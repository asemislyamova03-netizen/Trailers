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АДМИН\OneDrive\Documents\Trailers\"/>
    </mc:Choice>
  </mc:AlternateContent>
  <bookViews>
    <workbookView xWindow="0" yWindow="0" windowWidth="13212" windowHeight="5196" firstSheet="10" activeTab="14"/>
  </bookViews>
  <sheets>
    <sheet name="Реестр договоров" sheetId="1" r:id="rId1"/>
    <sheet name="Прицепы" sheetId="2" r:id="rId2"/>
    <sheet name="Сводная таблица ФЛ" sheetId="3" r:id="rId3"/>
    <sheet name="Шаблон Договора ФЛ" sheetId="4" r:id="rId4"/>
    <sheet name="юр лица" sheetId="5" r:id="rId5"/>
    <sheet name="заказы каспи магазин" sheetId="6" r:id="rId6"/>
    <sheet name="Покупатели" sheetId="7" r:id="rId7"/>
    <sheet name="наличие" sheetId="8" r:id="rId8"/>
    <sheet name="продажи" sheetId="9" r:id="rId9"/>
    <sheet name="Сводная таблица ЮЛ" sheetId="10" r:id="rId10"/>
    <sheet name="для артикула" sheetId="11" r:id="rId11"/>
    <sheet name="Ценообразование" sheetId="12" r:id="rId12"/>
    <sheet name="Виды прицепов" sheetId="13" r:id="rId13"/>
    <sheet name="ОТТС" sheetId="14" r:id="rId14"/>
    <sheet name="Матрица основная" sheetId="15" r:id="rId15"/>
  </sheets>
  <definedNames>
    <definedName name="_xlnm._FilterDatabase" localSheetId="5" hidden="1">'заказы каспи магазин'!$A$1:$P$133</definedName>
    <definedName name="_xlnm._FilterDatabase" localSheetId="14" hidden="1">'Матрица основная'!$A$1:$Z$509</definedName>
    <definedName name="_xlnm._FilterDatabase" localSheetId="9" hidden="1">'Сводная таблица ЮЛ'!$A$1:$U$48</definedName>
    <definedName name="Z_E2C6FE79_05D4_4600_BD5E_E0C43613DCD1_.wvu.FilterData" localSheetId="1" hidden="1">Прицепы!$A$1:$O$794</definedName>
    <definedName name="Z_E56CF565_73C4_49B1_A28E_F8C0640B66BE_.wvu.FilterData" localSheetId="5" hidden="1">'заказы каспи магазин'!$A$1:$K$133</definedName>
    <definedName name="Z_EC530BA7_56C7_4C42_B830_4EFDE36E0C9B_.wvu.FilterData" localSheetId="1" hidden="1">Прицепы!$A$1:$O$797</definedName>
    <definedName name="борт_2013">Ценообразование!$B$9:$D$11</definedName>
    <definedName name="борт_2513">Ценообразование!$B$12:$D$14</definedName>
    <definedName name="борт_2515">Ценообразование!$B$15:$D$17</definedName>
    <definedName name="борт_3015">Ценообразование!$B$18:$D$20</definedName>
    <definedName name="борт_3515">Ценообразование!$B$21:$D$23</definedName>
    <definedName name="борт_4015">Ценообразование!$B$24:$D$26</definedName>
    <definedName name="колесо">Ценообразование!$B$27:$D$29</definedName>
    <definedName name="Кузов_2013">'Виды прицепов'!$C$4:$I$6</definedName>
    <definedName name="кузов_2513">'Виды прицепов'!$C$7:$N$9</definedName>
    <definedName name="кузов_2515">'Виды прицепов'!$C$10:$I$12</definedName>
    <definedName name="кузов_3015">'Виды прицепов'!$C$13:$I$15</definedName>
    <definedName name="кузов_3515">'Виды прицепов'!$C$16:$I$18</definedName>
    <definedName name="кузов_4015">'Виды прицепов'!$C$19:$N$21</definedName>
    <definedName name="матрица">'Матрица основная'!$A$4:$Q$509</definedName>
    <definedName name="опорное_колесо">Ценообразование!$B$33:$D$34</definedName>
    <definedName name="Платформа">Ценообразование!$A$2:$B$7</definedName>
    <definedName name="платформа2">Ценообразование!$E$4:$F$7</definedName>
    <definedName name="Покупатели">Покупатели!$C$1:$N$835</definedName>
    <definedName name="ПРИЦЕПЫ">Прицепы!$C$2:$N$1073</definedName>
    <definedName name="Реестр_Договоров">'Реестр договоров'!$A$1:$D$899</definedName>
    <definedName name="Св_табл_ЮЛ">'Сводная таблица ЮЛ'!$A$1:$AB$57</definedName>
    <definedName name="Сводная_таблица" localSheetId="9">'Сводная таблица ЮЛ'!$A$2:$U$407</definedName>
    <definedName name="Сводная_таблица">'Сводная таблица ФЛ'!$A$2:$U$899</definedName>
    <definedName name="ступица">Ценообразование!$B$30:$D$32</definedName>
    <definedName name="тент_2013">Ценообразование!$B$35:$D$38</definedName>
    <definedName name="тент_2513">Ценообразование!$B$39:$D$42</definedName>
    <definedName name="тент_2515">Ценообразование!$B$43:$D$45</definedName>
    <definedName name="тент_3015">Ценообразование!$B$46:$D$48</definedName>
    <definedName name="тент_3515">Ценообразование!$B$49:$C$51</definedName>
    <definedName name="тент_4015">Ценообразование!$B$52:$D$54</definedName>
    <definedName name="Юр_лица">'юр лица'!$C$1:$T$38</definedName>
  </definedNames>
  <calcPr calcId="162913"/>
  <customWorkbookViews>
    <customWorkbookView name="Фильтр 1" guid="{E56CF565-73C4-49B1-A28E-F8C0640B66BE}" maximized="1" windowWidth="0" windowHeight="0" activeSheetId="0"/>
    <customWorkbookView name="Наличие Астана" guid="{EC530BA7-56C7-4C42-B830-4EFDE36E0C9B}" maximized="1" windowWidth="0" windowHeight="0" activeSheetId="0"/>
    <customWorkbookView name="Астана наличие" guid="{E2C6FE79-05D4-4600-BD5E-E0C43613DCD1}" maximized="1" windowWidth="0" windowHeight="0" activeSheetId="0"/>
  </customWorkbookViews>
  <pivotCaches>
    <pivotCache cacheId="8" r:id="rId16"/>
    <pivotCache cacheId="16" r:id="rId17"/>
  </pivotCaches>
</workbook>
</file>

<file path=xl/calcChain.xml><?xml version="1.0" encoding="utf-8"?>
<calcChain xmlns="http://schemas.openxmlformats.org/spreadsheetml/2006/main">
  <c r="L57" i="15" l="1"/>
  <c r="N509" i="15" l="1"/>
  <c r="M509" i="15"/>
  <c r="L509" i="15"/>
  <c r="K509" i="15"/>
  <c r="J509" i="15"/>
  <c r="I509" i="15"/>
  <c r="N508" i="15"/>
  <c r="M508" i="15"/>
  <c r="L508" i="15"/>
  <c r="K508" i="15"/>
  <c r="J508" i="15"/>
  <c r="I508" i="15"/>
  <c r="N507" i="15"/>
  <c r="M507" i="15"/>
  <c r="L507" i="15"/>
  <c r="K507" i="15"/>
  <c r="J507" i="15"/>
  <c r="I507" i="15"/>
  <c r="N506" i="15"/>
  <c r="M506" i="15"/>
  <c r="L506" i="15"/>
  <c r="K506" i="15"/>
  <c r="J506" i="15"/>
  <c r="I506" i="15"/>
  <c r="N505" i="15"/>
  <c r="M505" i="15"/>
  <c r="L505" i="15"/>
  <c r="K505" i="15"/>
  <c r="J505" i="15"/>
  <c r="I505" i="15"/>
  <c r="N504" i="15"/>
  <c r="M504" i="15"/>
  <c r="L504" i="15"/>
  <c r="K504" i="15"/>
  <c r="J504" i="15"/>
  <c r="I504" i="15"/>
  <c r="N503" i="15"/>
  <c r="M503" i="15"/>
  <c r="L503" i="15"/>
  <c r="K503" i="15"/>
  <c r="J503" i="15"/>
  <c r="I503" i="15"/>
  <c r="N502" i="15"/>
  <c r="M502" i="15"/>
  <c r="L502" i="15"/>
  <c r="K502" i="15"/>
  <c r="J502" i="15"/>
  <c r="I502" i="15"/>
  <c r="N501" i="15"/>
  <c r="M501" i="15"/>
  <c r="L501" i="15"/>
  <c r="K501" i="15"/>
  <c r="J501" i="15"/>
  <c r="I501" i="15"/>
  <c r="N500" i="15"/>
  <c r="M500" i="15"/>
  <c r="L500" i="15"/>
  <c r="K500" i="15"/>
  <c r="J500" i="15"/>
  <c r="I500" i="15"/>
  <c r="N499" i="15"/>
  <c r="M499" i="15"/>
  <c r="L499" i="15"/>
  <c r="K499" i="15"/>
  <c r="J499" i="15"/>
  <c r="I499" i="15"/>
  <c r="N498" i="15"/>
  <c r="M498" i="15"/>
  <c r="L498" i="15"/>
  <c r="K498" i="15"/>
  <c r="J498" i="15"/>
  <c r="I498" i="15"/>
  <c r="N497" i="15"/>
  <c r="M497" i="15"/>
  <c r="L497" i="15"/>
  <c r="K497" i="15"/>
  <c r="J497" i="15"/>
  <c r="I497" i="15"/>
  <c r="N496" i="15"/>
  <c r="M496" i="15"/>
  <c r="L496" i="15"/>
  <c r="K496" i="15"/>
  <c r="J496" i="15"/>
  <c r="I496" i="15"/>
  <c r="N495" i="15"/>
  <c r="M495" i="15"/>
  <c r="L495" i="15"/>
  <c r="K495" i="15"/>
  <c r="J495" i="15"/>
  <c r="I495" i="15"/>
  <c r="N494" i="15"/>
  <c r="M494" i="15"/>
  <c r="L494" i="15"/>
  <c r="K494" i="15"/>
  <c r="J494" i="15"/>
  <c r="I494" i="15"/>
  <c r="N493" i="15"/>
  <c r="M493" i="15"/>
  <c r="L493" i="15"/>
  <c r="K493" i="15"/>
  <c r="J493" i="15"/>
  <c r="I493" i="15"/>
  <c r="N492" i="15"/>
  <c r="M492" i="15"/>
  <c r="L492" i="15"/>
  <c r="K492" i="15"/>
  <c r="J492" i="15"/>
  <c r="I492" i="15"/>
  <c r="N491" i="15"/>
  <c r="M491" i="15"/>
  <c r="L491" i="15"/>
  <c r="K491" i="15"/>
  <c r="J491" i="15"/>
  <c r="I491" i="15"/>
  <c r="N490" i="15"/>
  <c r="M490" i="15"/>
  <c r="L490" i="15"/>
  <c r="K490" i="15"/>
  <c r="J490" i="15"/>
  <c r="I490" i="15"/>
  <c r="N489" i="15"/>
  <c r="M489" i="15"/>
  <c r="L489" i="15"/>
  <c r="K489" i="15"/>
  <c r="J489" i="15"/>
  <c r="I489" i="15"/>
  <c r="N488" i="15"/>
  <c r="M488" i="15"/>
  <c r="L488" i="15"/>
  <c r="K488" i="15"/>
  <c r="J488" i="15"/>
  <c r="I488" i="15"/>
  <c r="N487" i="15"/>
  <c r="M487" i="15"/>
  <c r="L487" i="15"/>
  <c r="K487" i="15"/>
  <c r="J487" i="15"/>
  <c r="I487" i="15"/>
  <c r="N486" i="15"/>
  <c r="M486" i="15"/>
  <c r="L486" i="15"/>
  <c r="K486" i="15"/>
  <c r="J486" i="15"/>
  <c r="I486" i="15"/>
  <c r="N484" i="15"/>
  <c r="M484" i="15"/>
  <c r="L484" i="15"/>
  <c r="K484" i="15"/>
  <c r="J484" i="15"/>
  <c r="I484" i="15"/>
  <c r="N483" i="15"/>
  <c r="M483" i="15"/>
  <c r="L483" i="15"/>
  <c r="K483" i="15"/>
  <c r="J483" i="15"/>
  <c r="I483" i="15"/>
  <c r="N482" i="15"/>
  <c r="M482" i="15"/>
  <c r="L482" i="15"/>
  <c r="K482" i="15"/>
  <c r="J482" i="15"/>
  <c r="I482" i="15"/>
  <c r="N481" i="15"/>
  <c r="M481" i="15"/>
  <c r="L481" i="15"/>
  <c r="K481" i="15"/>
  <c r="J481" i="15"/>
  <c r="I481" i="15"/>
  <c r="N480" i="15"/>
  <c r="M480" i="15"/>
  <c r="L480" i="15"/>
  <c r="K480" i="15"/>
  <c r="J480" i="15"/>
  <c r="I480" i="15"/>
  <c r="N479" i="15"/>
  <c r="M479" i="15"/>
  <c r="L479" i="15"/>
  <c r="K479" i="15"/>
  <c r="J479" i="15"/>
  <c r="I479" i="15"/>
  <c r="N478" i="15"/>
  <c r="M478" i="15"/>
  <c r="L478" i="15"/>
  <c r="K478" i="15"/>
  <c r="J478" i="15"/>
  <c r="I478" i="15"/>
  <c r="N477" i="15"/>
  <c r="M477" i="15"/>
  <c r="L477" i="15"/>
  <c r="K477" i="15"/>
  <c r="J477" i="15"/>
  <c r="I477" i="15"/>
  <c r="N476" i="15"/>
  <c r="M476" i="15"/>
  <c r="L476" i="15"/>
  <c r="K476" i="15"/>
  <c r="J476" i="15"/>
  <c r="I476" i="15"/>
  <c r="N475" i="15"/>
  <c r="M475" i="15"/>
  <c r="L475" i="15"/>
  <c r="K475" i="15"/>
  <c r="J475" i="15"/>
  <c r="I475" i="15"/>
  <c r="N474" i="15"/>
  <c r="M474" i="15"/>
  <c r="L474" i="15"/>
  <c r="K474" i="15"/>
  <c r="J474" i="15"/>
  <c r="I474" i="15"/>
  <c r="N473" i="15"/>
  <c r="M473" i="15"/>
  <c r="L473" i="15"/>
  <c r="K473" i="15"/>
  <c r="J473" i="15"/>
  <c r="I473" i="15"/>
  <c r="N472" i="15"/>
  <c r="M472" i="15"/>
  <c r="L472" i="15"/>
  <c r="K472" i="15"/>
  <c r="J472" i="15"/>
  <c r="I472" i="15"/>
  <c r="N471" i="15"/>
  <c r="M471" i="15"/>
  <c r="L471" i="15"/>
  <c r="K471" i="15"/>
  <c r="J471" i="15"/>
  <c r="I471" i="15"/>
  <c r="N470" i="15"/>
  <c r="M470" i="15"/>
  <c r="L470" i="15"/>
  <c r="K470" i="15"/>
  <c r="J470" i="15"/>
  <c r="I470" i="15"/>
  <c r="N469" i="15"/>
  <c r="M469" i="15"/>
  <c r="L469" i="15"/>
  <c r="K469" i="15"/>
  <c r="J469" i="15"/>
  <c r="I469" i="15"/>
  <c r="N468" i="15"/>
  <c r="M468" i="15"/>
  <c r="L468" i="15"/>
  <c r="K468" i="15"/>
  <c r="J468" i="15"/>
  <c r="I468" i="15"/>
  <c r="N467" i="15"/>
  <c r="M467" i="15"/>
  <c r="L467" i="15"/>
  <c r="K467" i="15"/>
  <c r="J467" i="15"/>
  <c r="I467" i="15"/>
  <c r="N466" i="15"/>
  <c r="M466" i="15"/>
  <c r="L466" i="15"/>
  <c r="K466" i="15"/>
  <c r="J466" i="15"/>
  <c r="I466" i="15"/>
  <c r="N465" i="15"/>
  <c r="M465" i="15"/>
  <c r="L465" i="15"/>
  <c r="K465" i="15"/>
  <c r="J465" i="15"/>
  <c r="I465" i="15"/>
  <c r="N464" i="15"/>
  <c r="M464" i="15"/>
  <c r="L464" i="15"/>
  <c r="K464" i="15"/>
  <c r="J464" i="15"/>
  <c r="I464" i="15"/>
  <c r="N463" i="15"/>
  <c r="M463" i="15"/>
  <c r="L463" i="15"/>
  <c r="K463" i="15"/>
  <c r="J463" i="15"/>
  <c r="I463" i="15"/>
  <c r="N462" i="15"/>
  <c r="M462" i="15"/>
  <c r="L462" i="15"/>
  <c r="K462" i="15"/>
  <c r="J462" i="15"/>
  <c r="I462" i="15"/>
  <c r="N461" i="15"/>
  <c r="M461" i="15"/>
  <c r="L461" i="15"/>
  <c r="K461" i="15"/>
  <c r="J461" i="15"/>
  <c r="I461" i="15"/>
  <c r="N460" i="15"/>
  <c r="M460" i="15"/>
  <c r="L460" i="15"/>
  <c r="K460" i="15"/>
  <c r="J460" i="15"/>
  <c r="I460" i="15"/>
  <c r="N459" i="15"/>
  <c r="M459" i="15"/>
  <c r="L459" i="15"/>
  <c r="K459" i="15"/>
  <c r="J459" i="15"/>
  <c r="I459" i="15"/>
  <c r="N458" i="15"/>
  <c r="M458" i="15"/>
  <c r="L458" i="15"/>
  <c r="K458" i="15"/>
  <c r="J458" i="15"/>
  <c r="I458" i="15"/>
  <c r="N457" i="15"/>
  <c r="M457" i="15"/>
  <c r="L457" i="15"/>
  <c r="K457" i="15"/>
  <c r="J457" i="15"/>
  <c r="I457" i="15"/>
  <c r="N456" i="15"/>
  <c r="M456" i="15"/>
  <c r="L456" i="15"/>
  <c r="K456" i="15"/>
  <c r="J456" i="15"/>
  <c r="I456" i="15"/>
  <c r="N455" i="15"/>
  <c r="M455" i="15"/>
  <c r="L455" i="15"/>
  <c r="K455" i="15"/>
  <c r="J455" i="15"/>
  <c r="I455" i="15"/>
  <c r="N454" i="15"/>
  <c r="M454" i="15"/>
  <c r="L454" i="15"/>
  <c r="K454" i="15"/>
  <c r="J454" i="15"/>
  <c r="I454" i="15"/>
  <c r="N453" i="15"/>
  <c r="M453" i="15"/>
  <c r="L453" i="15"/>
  <c r="K453" i="15"/>
  <c r="J453" i="15"/>
  <c r="I453" i="15"/>
  <c r="N452" i="15"/>
  <c r="M452" i="15"/>
  <c r="L452" i="15"/>
  <c r="K452" i="15"/>
  <c r="J452" i="15"/>
  <c r="I452" i="15"/>
  <c r="N451" i="15"/>
  <c r="M451" i="15"/>
  <c r="L451" i="15"/>
  <c r="K451" i="15"/>
  <c r="J451" i="15"/>
  <c r="I451" i="15"/>
  <c r="N450" i="15"/>
  <c r="M450" i="15"/>
  <c r="L450" i="15"/>
  <c r="K450" i="15"/>
  <c r="J450" i="15"/>
  <c r="I450" i="15"/>
  <c r="N449" i="15"/>
  <c r="M449" i="15"/>
  <c r="L449" i="15"/>
  <c r="K449" i="15"/>
  <c r="J449" i="15"/>
  <c r="I449" i="15"/>
  <c r="N448" i="15"/>
  <c r="M448" i="15"/>
  <c r="L448" i="15"/>
  <c r="K448" i="15"/>
  <c r="J448" i="15"/>
  <c r="I448" i="15"/>
  <c r="N447" i="15"/>
  <c r="M447" i="15"/>
  <c r="L447" i="15"/>
  <c r="K447" i="15"/>
  <c r="J447" i="15"/>
  <c r="I447" i="15"/>
  <c r="N446" i="15"/>
  <c r="M446" i="15"/>
  <c r="L446" i="15"/>
  <c r="K446" i="15"/>
  <c r="J446" i="15"/>
  <c r="I446" i="15"/>
  <c r="N445" i="15"/>
  <c r="M445" i="15"/>
  <c r="L445" i="15"/>
  <c r="K445" i="15"/>
  <c r="J445" i="15"/>
  <c r="I445" i="15"/>
  <c r="N443" i="15"/>
  <c r="M443" i="15"/>
  <c r="L443" i="15"/>
  <c r="K443" i="15"/>
  <c r="J443" i="15"/>
  <c r="I443" i="15"/>
  <c r="N442" i="15"/>
  <c r="M442" i="15"/>
  <c r="L442" i="15"/>
  <c r="K442" i="15"/>
  <c r="J442" i="15"/>
  <c r="I442" i="15"/>
  <c r="N441" i="15"/>
  <c r="M441" i="15"/>
  <c r="L441" i="15"/>
  <c r="K441" i="15"/>
  <c r="J441" i="15"/>
  <c r="I441" i="15"/>
  <c r="N440" i="15"/>
  <c r="M440" i="15"/>
  <c r="L440" i="15"/>
  <c r="K440" i="15"/>
  <c r="J440" i="15"/>
  <c r="I440" i="15"/>
  <c r="N439" i="15"/>
  <c r="M439" i="15"/>
  <c r="L439" i="15"/>
  <c r="K439" i="15"/>
  <c r="J439" i="15"/>
  <c r="I439" i="15"/>
  <c r="N438" i="15"/>
  <c r="M438" i="15"/>
  <c r="L438" i="15"/>
  <c r="K438" i="15"/>
  <c r="J438" i="15"/>
  <c r="I438" i="15"/>
  <c r="N437" i="15"/>
  <c r="M437" i="15"/>
  <c r="L437" i="15"/>
  <c r="K437" i="15"/>
  <c r="J437" i="15"/>
  <c r="I437" i="15"/>
  <c r="N436" i="15"/>
  <c r="M436" i="15"/>
  <c r="L436" i="15"/>
  <c r="K436" i="15"/>
  <c r="J436" i="15"/>
  <c r="I436" i="15"/>
  <c r="N435" i="15"/>
  <c r="M435" i="15"/>
  <c r="L435" i="15"/>
  <c r="K435" i="15"/>
  <c r="J435" i="15"/>
  <c r="I435" i="15"/>
  <c r="N434" i="15"/>
  <c r="M434" i="15"/>
  <c r="L434" i="15"/>
  <c r="K434" i="15"/>
  <c r="J434" i="15"/>
  <c r="I434" i="15"/>
  <c r="N433" i="15"/>
  <c r="M433" i="15"/>
  <c r="L433" i="15"/>
  <c r="K433" i="15"/>
  <c r="J433" i="15"/>
  <c r="I433" i="15"/>
  <c r="N432" i="15"/>
  <c r="M432" i="15"/>
  <c r="L432" i="15"/>
  <c r="K432" i="15"/>
  <c r="J432" i="15"/>
  <c r="I432" i="15"/>
  <c r="N431" i="15"/>
  <c r="M431" i="15"/>
  <c r="L431" i="15"/>
  <c r="K431" i="15"/>
  <c r="J431" i="15"/>
  <c r="I431" i="15"/>
  <c r="N430" i="15"/>
  <c r="M430" i="15"/>
  <c r="L430" i="15"/>
  <c r="K430" i="15"/>
  <c r="J430" i="15"/>
  <c r="I430" i="15"/>
  <c r="N429" i="15"/>
  <c r="M429" i="15"/>
  <c r="L429" i="15"/>
  <c r="K429" i="15"/>
  <c r="J429" i="15"/>
  <c r="I429" i="15"/>
  <c r="N428" i="15"/>
  <c r="M428" i="15"/>
  <c r="L428" i="15"/>
  <c r="K428" i="15"/>
  <c r="J428" i="15"/>
  <c r="I428" i="15"/>
  <c r="N427" i="15"/>
  <c r="M427" i="15"/>
  <c r="L427" i="15"/>
  <c r="K427" i="15"/>
  <c r="J427" i="15"/>
  <c r="I427" i="15"/>
  <c r="N426" i="15"/>
  <c r="M426" i="15"/>
  <c r="L426" i="15"/>
  <c r="K426" i="15"/>
  <c r="J426" i="15"/>
  <c r="I426" i="15"/>
  <c r="N425" i="15"/>
  <c r="M425" i="15"/>
  <c r="L425" i="15"/>
  <c r="K425" i="15"/>
  <c r="J425" i="15"/>
  <c r="I425" i="15"/>
  <c r="N424" i="15"/>
  <c r="M424" i="15"/>
  <c r="L424" i="15"/>
  <c r="K424" i="15"/>
  <c r="J424" i="15"/>
  <c r="I424" i="15"/>
  <c r="N423" i="15"/>
  <c r="M423" i="15"/>
  <c r="L423" i="15"/>
  <c r="K423" i="15"/>
  <c r="J423" i="15"/>
  <c r="I423" i="15"/>
  <c r="N422" i="15"/>
  <c r="M422" i="15"/>
  <c r="L422" i="15"/>
  <c r="K422" i="15"/>
  <c r="J422" i="15"/>
  <c r="I422" i="15"/>
  <c r="N421" i="15"/>
  <c r="M421" i="15"/>
  <c r="L421" i="15"/>
  <c r="K421" i="15"/>
  <c r="J421" i="15"/>
  <c r="I421" i="15"/>
  <c r="N420" i="15"/>
  <c r="M420" i="15"/>
  <c r="L420" i="15"/>
  <c r="K420" i="15"/>
  <c r="J420" i="15"/>
  <c r="I420" i="15"/>
  <c r="N419" i="15"/>
  <c r="M419" i="15"/>
  <c r="L419" i="15"/>
  <c r="K419" i="15"/>
  <c r="J419" i="15"/>
  <c r="I419" i="15"/>
  <c r="N418" i="15"/>
  <c r="M418" i="15"/>
  <c r="L418" i="15"/>
  <c r="K418" i="15"/>
  <c r="J418" i="15"/>
  <c r="I418" i="15"/>
  <c r="N417" i="15"/>
  <c r="M417" i="15"/>
  <c r="L417" i="15"/>
  <c r="K417" i="15"/>
  <c r="J417" i="15"/>
  <c r="I417" i="15"/>
  <c r="N416" i="15"/>
  <c r="M416" i="15"/>
  <c r="L416" i="15"/>
  <c r="K416" i="15"/>
  <c r="J416" i="15"/>
  <c r="I416" i="15"/>
  <c r="N415" i="15"/>
  <c r="M415" i="15"/>
  <c r="L415" i="15"/>
  <c r="K415" i="15"/>
  <c r="J415" i="15"/>
  <c r="I415" i="15"/>
  <c r="N414" i="15"/>
  <c r="M414" i="15"/>
  <c r="L414" i="15"/>
  <c r="K414" i="15"/>
  <c r="J414" i="15"/>
  <c r="I414" i="15"/>
  <c r="N413" i="15"/>
  <c r="M413" i="15"/>
  <c r="L413" i="15"/>
  <c r="K413" i="15"/>
  <c r="J413" i="15"/>
  <c r="I413" i="15"/>
  <c r="N412" i="15"/>
  <c r="M412" i="15"/>
  <c r="L412" i="15"/>
  <c r="K412" i="15"/>
  <c r="J412" i="15"/>
  <c r="I412" i="15"/>
  <c r="N411" i="15"/>
  <c r="M411" i="15"/>
  <c r="L411" i="15"/>
  <c r="K411" i="15"/>
  <c r="J411" i="15"/>
  <c r="I411" i="15"/>
  <c r="N410" i="15"/>
  <c r="M410" i="15"/>
  <c r="L410" i="15"/>
  <c r="K410" i="15"/>
  <c r="J410" i="15"/>
  <c r="I410" i="15"/>
  <c r="N409" i="15"/>
  <c r="M409" i="15"/>
  <c r="L409" i="15"/>
  <c r="K409" i="15"/>
  <c r="J409" i="15"/>
  <c r="I409" i="15"/>
  <c r="N408" i="15"/>
  <c r="M408" i="15"/>
  <c r="L408" i="15"/>
  <c r="K408" i="15"/>
  <c r="J408" i="15"/>
  <c r="I408" i="15"/>
  <c r="N407" i="15"/>
  <c r="M407" i="15"/>
  <c r="L407" i="15"/>
  <c r="K407" i="15"/>
  <c r="J407" i="15"/>
  <c r="I407" i="15"/>
  <c r="N406" i="15"/>
  <c r="M406" i="15"/>
  <c r="L406" i="15"/>
  <c r="K406" i="15"/>
  <c r="J406" i="15"/>
  <c r="I406" i="15"/>
  <c r="N405" i="15"/>
  <c r="M405" i="15"/>
  <c r="L405" i="15"/>
  <c r="K405" i="15"/>
  <c r="J405" i="15"/>
  <c r="I405" i="15"/>
  <c r="N404" i="15"/>
  <c r="M404" i="15"/>
  <c r="L404" i="15"/>
  <c r="K404" i="15"/>
  <c r="J404" i="15"/>
  <c r="I404" i="15"/>
  <c r="N402" i="15"/>
  <c r="M402" i="15"/>
  <c r="L402" i="15"/>
  <c r="K402" i="15"/>
  <c r="J402" i="15"/>
  <c r="I402" i="15"/>
  <c r="N401" i="15"/>
  <c r="M401" i="15"/>
  <c r="L401" i="15"/>
  <c r="K401" i="15"/>
  <c r="J401" i="15"/>
  <c r="I401" i="15"/>
  <c r="N400" i="15"/>
  <c r="M400" i="15"/>
  <c r="L400" i="15"/>
  <c r="K400" i="15"/>
  <c r="J400" i="15"/>
  <c r="I400" i="15"/>
  <c r="N399" i="15"/>
  <c r="M399" i="15"/>
  <c r="L399" i="15"/>
  <c r="K399" i="15"/>
  <c r="J399" i="15"/>
  <c r="I399" i="15"/>
  <c r="N398" i="15"/>
  <c r="M398" i="15"/>
  <c r="L398" i="15"/>
  <c r="K398" i="15"/>
  <c r="J398" i="15"/>
  <c r="I398" i="15"/>
  <c r="N397" i="15"/>
  <c r="M397" i="15"/>
  <c r="L397" i="15"/>
  <c r="K397" i="15"/>
  <c r="J397" i="15"/>
  <c r="I397" i="15"/>
  <c r="N396" i="15"/>
  <c r="M396" i="15"/>
  <c r="L396" i="15"/>
  <c r="K396" i="15"/>
  <c r="J396" i="15"/>
  <c r="I396" i="15"/>
  <c r="N395" i="15"/>
  <c r="M395" i="15"/>
  <c r="L395" i="15"/>
  <c r="K395" i="15"/>
  <c r="J395" i="15"/>
  <c r="I395" i="15"/>
  <c r="N394" i="15"/>
  <c r="M394" i="15"/>
  <c r="L394" i="15"/>
  <c r="K394" i="15"/>
  <c r="J394" i="15"/>
  <c r="I394" i="15"/>
  <c r="N393" i="15"/>
  <c r="M393" i="15"/>
  <c r="L393" i="15"/>
  <c r="K393" i="15"/>
  <c r="J393" i="15"/>
  <c r="I393" i="15"/>
  <c r="N392" i="15"/>
  <c r="M392" i="15"/>
  <c r="L392" i="15"/>
  <c r="K392" i="15"/>
  <c r="J392" i="15"/>
  <c r="I392" i="15"/>
  <c r="N391" i="15"/>
  <c r="M391" i="15"/>
  <c r="L391" i="15"/>
  <c r="K391" i="15"/>
  <c r="J391" i="15"/>
  <c r="I391" i="15"/>
  <c r="N390" i="15"/>
  <c r="M390" i="15"/>
  <c r="L390" i="15"/>
  <c r="K390" i="15"/>
  <c r="J390" i="15"/>
  <c r="I390" i="15"/>
  <c r="N389" i="15"/>
  <c r="M389" i="15"/>
  <c r="L389" i="15"/>
  <c r="K389" i="15"/>
  <c r="J389" i="15"/>
  <c r="I389" i="15"/>
  <c r="N388" i="15"/>
  <c r="M388" i="15"/>
  <c r="L388" i="15"/>
  <c r="K388" i="15"/>
  <c r="J388" i="15"/>
  <c r="I388" i="15"/>
  <c r="N387" i="15"/>
  <c r="M387" i="15"/>
  <c r="L387" i="15"/>
  <c r="K387" i="15"/>
  <c r="J387" i="15"/>
  <c r="I387" i="15"/>
  <c r="N386" i="15"/>
  <c r="M386" i="15"/>
  <c r="L386" i="15"/>
  <c r="K386" i="15"/>
  <c r="J386" i="15"/>
  <c r="I386" i="15"/>
  <c r="N385" i="15"/>
  <c r="M385" i="15"/>
  <c r="L385" i="15"/>
  <c r="K385" i="15"/>
  <c r="J385" i="15"/>
  <c r="I385" i="15"/>
  <c r="N384" i="15"/>
  <c r="M384" i="15"/>
  <c r="L384" i="15"/>
  <c r="K384" i="15"/>
  <c r="J384" i="15"/>
  <c r="I384" i="15"/>
  <c r="N383" i="15"/>
  <c r="M383" i="15"/>
  <c r="L383" i="15"/>
  <c r="K383" i="15"/>
  <c r="J383" i="15"/>
  <c r="I383" i="15"/>
  <c r="N382" i="15"/>
  <c r="M382" i="15"/>
  <c r="L382" i="15"/>
  <c r="K382" i="15"/>
  <c r="J382" i="15"/>
  <c r="I382" i="15"/>
  <c r="N381" i="15"/>
  <c r="M381" i="15"/>
  <c r="L381" i="15"/>
  <c r="K381" i="15"/>
  <c r="J381" i="15"/>
  <c r="I381" i="15"/>
  <c r="N380" i="15"/>
  <c r="M380" i="15"/>
  <c r="L380" i="15"/>
  <c r="K380" i="15"/>
  <c r="J380" i="15"/>
  <c r="I380" i="15"/>
  <c r="N379" i="15"/>
  <c r="M379" i="15"/>
  <c r="L379" i="15"/>
  <c r="K379" i="15"/>
  <c r="J379" i="15"/>
  <c r="I379" i="15"/>
  <c r="N378" i="15"/>
  <c r="M378" i="15"/>
  <c r="L378" i="15"/>
  <c r="K378" i="15"/>
  <c r="J378" i="15"/>
  <c r="I378" i="15"/>
  <c r="N377" i="15"/>
  <c r="M377" i="15"/>
  <c r="L377" i="15"/>
  <c r="K377" i="15"/>
  <c r="J377" i="15"/>
  <c r="I377" i="15"/>
  <c r="N376" i="15"/>
  <c r="M376" i="15"/>
  <c r="L376" i="15"/>
  <c r="K376" i="15"/>
  <c r="J376" i="15"/>
  <c r="I376" i="15"/>
  <c r="N375" i="15"/>
  <c r="M375" i="15"/>
  <c r="L375" i="15"/>
  <c r="K375" i="15"/>
  <c r="J375" i="15"/>
  <c r="I375" i="15"/>
  <c r="N374" i="15"/>
  <c r="M374" i="15"/>
  <c r="L374" i="15"/>
  <c r="K374" i="15"/>
  <c r="J374" i="15"/>
  <c r="I374" i="15"/>
  <c r="N373" i="15"/>
  <c r="M373" i="15"/>
  <c r="L373" i="15"/>
  <c r="K373" i="15"/>
  <c r="J373" i="15"/>
  <c r="I373" i="15"/>
  <c r="N372" i="15"/>
  <c r="M372" i="15"/>
  <c r="L372" i="15"/>
  <c r="K372" i="15"/>
  <c r="J372" i="15"/>
  <c r="I372" i="15"/>
  <c r="N371" i="15"/>
  <c r="M371" i="15"/>
  <c r="L371" i="15"/>
  <c r="K371" i="15"/>
  <c r="J371" i="15"/>
  <c r="I371" i="15"/>
  <c r="N370" i="15"/>
  <c r="M370" i="15"/>
  <c r="L370" i="15"/>
  <c r="K370" i="15"/>
  <c r="J370" i="15"/>
  <c r="I370" i="15"/>
  <c r="N369" i="15"/>
  <c r="M369" i="15"/>
  <c r="L369" i="15"/>
  <c r="K369" i="15"/>
  <c r="J369" i="15"/>
  <c r="I369" i="15"/>
  <c r="N368" i="15"/>
  <c r="M368" i="15"/>
  <c r="L368" i="15"/>
  <c r="K368" i="15"/>
  <c r="J368" i="15"/>
  <c r="I368" i="15"/>
  <c r="N367" i="15"/>
  <c r="M367" i="15"/>
  <c r="L367" i="15"/>
  <c r="K367" i="15"/>
  <c r="J367" i="15"/>
  <c r="I367" i="15"/>
  <c r="N366" i="15"/>
  <c r="M366" i="15"/>
  <c r="L366" i="15"/>
  <c r="K366" i="15"/>
  <c r="J366" i="15"/>
  <c r="I366" i="15"/>
  <c r="N365" i="15"/>
  <c r="M365" i="15"/>
  <c r="L365" i="15"/>
  <c r="K365" i="15"/>
  <c r="J365" i="15"/>
  <c r="I365" i="15"/>
  <c r="N364" i="15"/>
  <c r="M364" i="15"/>
  <c r="L364" i="15"/>
  <c r="K364" i="15"/>
  <c r="J364" i="15"/>
  <c r="I364" i="15"/>
  <c r="N363" i="15"/>
  <c r="M363" i="15"/>
  <c r="L363" i="15"/>
  <c r="K363" i="15"/>
  <c r="J363" i="15"/>
  <c r="I363" i="15"/>
  <c r="N362" i="15"/>
  <c r="M362" i="15"/>
  <c r="L362" i="15"/>
  <c r="K362" i="15"/>
  <c r="J362" i="15"/>
  <c r="I362" i="15"/>
  <c r="N361" i="15"/>
  <c r="M361" i="15"/>
  <c r="L361" i="15"/>
  <c r="K361" i="15"/>
  <c r="J361" i="15"/>
  <c r="I361" i="15"/>
  <c r="N360" i="15"/>
  <c r="M360" i="15"/>
  <c r="L360" i="15"/>
  <c r="K360" i="15"/>
  <c r="J360" i="15"/>
  <c r="I360" i="15"/>
  <c r="N359" i="15"/>
  <c r="M359" i="15"/>
  <c r="L359" i="15"/>
  <c r="K359" i="15"/>
  <c r="J359" i="15"/>
  <c r="I359" i="15"/>
  <c r="N358" i="15"/>
  <c r="M358" i="15"/>
  <c r="L358" i="15"/>
  <c r="K358" i="15"/>
  <c r="J358" i="15"/>
  <c r="I358" i="15"/>
  <c r="N357" i="15"/>
  <c r="M357" i="15"/>
  <c r="L357" i="15"/>
  <c r="K357" i="15"/>
  <c r="J357" i="15"/>
  <c r="I357" i="15"/>
  <c r="N356" i="15"/>
  <c r="M356" i="15"/>
  <c r="L356" i="15"/>
  <c r="K356" i="15"/>
  <c r="J356" i="15"/>
  <c r="I356" i="15"/>
  <c r="N355" i="15"/>
  <c r="M355" i="15"/>
  <c r="L355" i="15"/>
  <c r="K355" i="15"/>
  <c r="J355" i="15"/>
  <c r="I355" i="15"/>
  <c r="N354" i="15"/>
  <c r="M354" i="15"/>
  <c r="L354" i="15"/>
  <c r="K354" i="15"/>
  <c r="J354" i="15"/>
  <c r="I354" i="15"/>
  <c r="N353" i="15"/>
  <c r="M353" i="15"/>
  <c r="L353" i="15"/>
  <c r="K353" i="15"/>
  <c r="J353" i="15"/>
  <c r="I353" i="15"/>
  <c r="N352" i="15"/>
  <c r="M352" i="15"/>
  <c r="L352" i="15"/>
  <c r="K352" i="15"/>
  <c r="J352" i="15"/>
  <c r="I352" i="15"/>
  <c r="N351" i="15"/>
  <c r="M351" i="15"/>
  <c r="L351" i="15"/>
  <c r="K351" i="15"/>
  <c r="J351" i="15"/>
  <c r="I351" i="15"/>
  <c r="N350" i="15"/>
  <c r="M350" i="15"/>
  <c r="L350" i="15"/>
  <c r="K350" i="15"/>
  <c r="J350" i="15"/>
  <c r="I350" i="15"/>
  <c r="N349" i="15"/>
  <c r="M349" i="15"/>
  <c r="L349" i="15"/>
  <c r="K349" i="15"/>
  <c r="J349" i="15"/>
  <c r="I349" i="15"/>
  <c r="N348" i="15"/>
  <c r="M348" i="15"/>
  <c r="L348" i="15"/>
  <c r="K348" i="15"/>
  <c r="J348" i="15"/>
  <c r="I348" i="15"/>
  <c r="N347" i="15"/>
  <c r="M347" i="15"/>
  <c r="L347" i="15"/>
  <c r="K347" i="15"/>
  <c r="J347" i="15"/>
  <c r="I347" i="15"/>
  <c r="N344" i="15"/>
  <c r="M344" i="15"/>
  <c r="L344" i="15"/>
  <c r="K344" i="15"/>
  <c r="J344" i="15"/>
  <c r="I344" i="15"/>
  <c r="N343" i="15"/>
  <c r="M343" i="15"/>
  <c r="L343" i="15"/>
  <c r="K343" i="15"/>
  <c r="J343" i="15"/>
  <c r="I343" i="15"/>
  <c r="N342" i="15"/>
  <c r="M342" i="15"/>
  <c r="L342" i="15"/>
  <c r="K342" i="15"/>
  <c r="J342" i="15"/>
  <c r="I342" i="15"/>
  <c r="N341" i="15"/>
  <c r="M341" i="15"/>
  <c r="L341" i="15"/>
  <c r="K341" i="15"/>
  <c r="J341" i="15"/>
  <c r="I341" i="15"/>
  <c r="O341" i="15" s="1"/>
  <c r="N340" i="15"/>
  <c r="M340" i="15"/>
  <c r="L340" i="15"/>
  <c r="K340" i="15"/>
  <c r="J340" i="15"/>
  <c r="I340" i="15"/>
  <c r="N339" i="15"/>
  <c r="M339" i="15"/>
  <c r="L339" i="15"/>
  <c r="K339" i="15"/>
  <c r="J339" i="15"/>
  <c r="I339" i="15"/>
  <c r="N338" i="15"/>
  <c r="M338" i="15"/>
  <c r="L338" i="15"/>
  <c r="K338" i="15"/>
  <c r="J338" i="15"/>
  <c r="I338" i="15"/>
  <c r="N337" i="15"/>
  <c r="M337" i="15"/>
  <c r="L337" i="15"/>
  <c r="K337" i="15"/>
  <c r="J337" i="15"/>
  <c r="I337" i="15"/>
  <c r="O337" i="15" s="1"/>
  <c r="N336" i="15"/>
  <c r="M336" i="15"/>
  <c r="L336" i="15"/>
  <c r="K336" i="15"/>
  <c r="J336" i="15"/>
  <c r="I336" i="15"/>
  <c r="N335" i="15"/>
  <c r="M335" i="15"/>
  <c r="L335" i="15"/>
  <c r="K335" i="15"/>
  <c r="J335" i="15"/>
  <c r="I335" i="15"/>
  <c r="N334" i="15"/>
  <c r="M334" i="15"/>
  <c r="L334" i="15"/>
  <c r="K334" i="15"/>
  <c r="J334" i="15"/>
  <c r="I334" i="15"/>
  <c r="N333" i="15"/>
  <c r="M333" i="15"/>
  <c r="L333" i="15"/>
  <c r="K333" i="15"/>
  <c r="J333" i="15"/>
  <c r="I333" i="15"/>
  <c r="O333" i="15" s="1"/>
  <c r="N332" i="15"/>
  <c r="M332" i="15"/>
  <c r="L332" i="15"/>
  <c r="K332" i="15"/>
  <c r="J332" i="15"/>
  <c r="I332" i="15"/>
  <c r="N331" i="15"/>
  <c r="M331" i="15"/>
  <c r="L331" i="15"/>
  <c r="K331" i="15"/>
  <c r="J331" i="15"/>
  <c r="I331" i="15"/>
  <c r="N330" i="15"/>
  <c r="M330" i="15"/>
  <c r="L330" i="15"/>
  <c r="K330" i="15"/>
  <c r="J330" i="15"/>
  <c r="I330" i="15"/>
  <c r="N329" i="15"/>
  <c r="M329" i="15"/>
  <c r="L329" i="15"/>
  <c r="K329" i="15"/>
  <c r="J329" i="15"/>
  <c r="I329" i="15"/>
  <c r="O329" i="15" s="1"/>
  <c r="N328" i="15"/>
  <c r="M328" i="15"/>
  <c r="L328" i="15"/>
  <c r="K328" i="15"/>
  <c r="J328" i="15"/>
  <c r="I328" i="15"/>
  <c r="N327" i="15"/>
  <c r="M327" i="15"/>
  <c r="L327" i="15"/>
  <c r="K327" i="15"/>
  <c r="J327" i="15"/>
  <c r="I327" i="15"/>
  <c r="N326" i="15"/>
  <c r="M326" i="15"/>
  <c r="L326" i="15"/>
  <c r="K326" i="15"/>
  <c r="J326" i="15"/>
  <c r="I326" i="15"/>
  <c r="N325" i="15"/>
  <c r="M325" i="15"/>
  <c r="L325" i="15"/>
  <c r="K325" i="15"/>
  <c r="J325" i="15"/>
  <c r="I325" i="15"/>
  <c r="O325" i="15" s="1"/>
  <c r="N324" i="15"/>
  <c r="M324" i="15"/>
  <c r="L324" i="15"/>
  <c r="K324" i="15"/>
  <c r="J324" i="15"/>
  <c r="I324" i="15"/>
  <c r="N323" i="15"/>
  <c r="M323" i="15"/>
  <c r="L323" i="15"/>
  <c r="K323" i="15"/>
  <c r="J323" i="15"/>
  <c r="I323" i="15"/>
  <c r="N322" i="15"/>
  <c r="M322" i="15"/>
  <c r="L322" i="15"/>
  <c r="K322" i="15"/>
  <c r="J322" i="15"/>
  <c r="I322" i="15"/>
  <c r="N321" i="15"/>
  <c r="M321" i="15"/>
  <c r="L321" i="15"/>
  <c r="K321" i="15"/>
  <c r="J321" i="15"/>
  <c r="I321" i="15"/>
  <c r="O321" i="15" s="1"/>
  <c r="N320" i="15"/>
  <c r="M320" i="15"/>
  <c r="L320" i="15"/>
  <c r="K320" i="15"/>
  <c r="J320" i="15"/>
  <c r="I320" i="15"/>
  <c r="N319" i="15"/>
  <c r="M319" i="15"/>
  <c r="L319" i="15"/>
  <c r="K319" i="15"/>
  <c r="J319" i="15"/>
  <c r="I319" i="15"/>
  <c r="O319" i="15" s="1"/>
  <c r="N318" i="15"/>
  <c r="M318" i="15"/>
  <c r="L318" i="15"/>
  <c r="K318" i="15"/>
  <c r="J318" i="15"/>
  <c r="I318" i="15"/>
  <c r="N317" i="15"/>
  <c r="M317" i="15"/>
  <c r="L317" i="15"/>
  <c r="K317" i="15"/>
  <c r="J317" i="15"/>
  <c r="I317" i="15"/>
  <c r="O317" i="15" s="1"/>
  <c r="N316" i="15"/>
  <c r="M316" i="15"/>
  <c r="L316" i="15"/>
  <c r="K316" i="15"/>
  <c r="J316" i="15"/>
  <c r="I316" i="15"/>
  <c r="N315" i="15"/>
  <c r="M315" i="15"/>
  <c r="L315" i="15"/>
  <c r="K315" i="15"/>
  <c r="J315" i="15"/>
  <c r="I315" i="15"/>
  <c r="N314" i="15"/>
  <c r="M314" i="15"/>
  <c r="L314" i="15"/>
  <c r="K314" i="15"/>
  <c r="J314" i="15"/>
  <c r="I314" i="15"/>
  <c r="N313" i="15"/>
  <c r="M313" i="15"/>
  <c r="L313" i="15"/>
  <c r="K313" i="15"/>
  <c r="J313" i="15"/>
  <c r="I313" i="15"/>
  <c r="O313" i="15" s="1"/>
  <c r="N312" i="15"/>
  <c r="M312" i="15"/>
  <c r="L312" i="15"/>
  <c r="K312" i="15"/>
  <c r="J312" i="15"/>
  <c r="I312" i="15"/>
  <c r="N311" i="15"/>
  <c r="M311" i="15"/>
  <c r="L311" i="15"/>
  <c r="K311" i="15"/>
  <c r="J311" i="15"/>
  <c r="I311" i="15"/>
  <c r="O311" i="15" s="1"/>
  <c r="N310" i="15"/>
  <c r="M310" i="15"/>
  <c r="L310" i="15"/>
  <c r="K310" i="15"/>
  <c r="J310" i="15"/>
  <c r="I310" i="15"/>
  <c r="N309" i="15"/>
  <c r="M309" i="15"/>
  <c r="L309" i="15"/>
  <c r="K309" i="15"/>
  <c r="J309" i="15"/>
  <c r="I309" i="15"/>
  <c r="O309" i="15" s="1"/>
  <c r="N308" i="15"/>
  <c r="M308" i="15"/>
  <c r="L308" i="15"/>
  <c r="K308" i="15"/>
  <c r="J308" i="15"/>
  <c r="I308" i="15"/>
  <c r="N307" i="15"/>
  <c r="M307" i="15"/>
  <c r="L307" i="15"/>
  <c r="K307" i="15"/>
  <c r="J307" i="15"/>
  <c r="I307" i="15"/>
  <c r="O307" i="15" s="1"/>
  <c r="N306" i="15"/>
  <c r="M306" i="15"/>
  <c r="L306" i="15"/>
  <c r="K306" i="15"/>
  <c r="J306" i="15"/>
  <c r="I306" i="15"/>
  <c r="N305" i="15"/>
  <c r="M305" i="15"/>
  <c r="L305" i="15"/>
  <c r="K305" i="15"/>
  <c r="J305" i="15"/>
  <c r="I305" i="15"/>
  <c r="N303" i="15"/>
  <c r="M303" i="15"/>
  <c r="L303" i="15"/>
  <c r="K303" i="15"/>
  <c r="J303" i="15"/>
  <c r="I303" i="15"/>
  <c r="N302" i="15"/>
  <c r="M302" i="15"/>
  <c r="L302" i="15"/>
  <c r="K302" i="15"/>
  <c r="J302" i="15"/>
  <c r="I302" i="15"/>
  <c r="O302" i="15" s="1"/>
  <c r="N301" i="15"/>
  <c r="M301" i="15"/>
  <c r="L301" i="15"/>
  <c r="K301" i="15"/>
  <c r="J301" i="15"/>
  <c r="I301" i="15"/>
  <c r="N300" i="15"/>
  <c r="M300" i="15"/>
  <c r="L300" i="15"/>
  <c r="K300" i="15"/>
  <c r="J300" i="15"/>
  <c r="I300" i="15"/>
  <c r="N299" i="15"/>
  <c r="M299" i="15"/>
  <c r="L299" i="15"/>
  <c r="K299" i="15"/>
  <c r="J299" i="15"/>
  <c r="I299" i="15"/>
  <c r="N298" i="15"/>
  <c r="M298" i="15"/>
  <c r="L298" i="15"/>
  <c r="K298" i="15"/>
  <c r="J298" i="15"/>
  <c r="I298" i="15"/>
  <c r="O298" i="15" s="1"/>
  <c r="N297" i="15"/>
  <c r="M297" i="15"/>
  <c r="L297" i="15"/>
  <c r="K297" i="15"/>
  <c r="J297" i="15"/>
  <c r="I297" i="15"/>
  <c r="N296" i="15"/>
  <c r="M296" i="15"/>
  <c r="L296" i="15"/>
  <c r="K296" i="15"/>
  <c r="J296" i="15"/>
  <c r="I296" i="15"/>
  <c r="N295" i="15"/>
  <c r="M295" i="15"/>
  <c r="L295" i="15"/>
  <c r="K295" i="15"/>
  <c r="J295" i="15"/>
  <c r="I295" i="15"/>
  <c r="N294" i="15"/>
  <c r="M294" i="15"/>
  <c r="L294" i="15"/>
  <c r="K294" i="15"/>
  <c r="J294" i="15"/>
  <c r="I294" i="15"/>
  <c r="O294" i="15" s="1"/>
  <c r="N293" i="15"/>
  <c r="M293" i="15"/>
  <c r="L293" i="15"/>
  <c r="K293" i="15"/>
  <c r="J293" i="15"/>
  <c r="I293" i="15"/>
  <c r="N292" i="15"/>
  <c r="M292" i="15"/>
  <c r="L292" i="15"/>
  <c r="K292" i="15"/>
  <c r="J292" i="15"/>
  <c r="I292" i="15"/>
  <c r="N291" i="15"/>
  <c r="M291" i="15"/>
  <c r="L291" i="15"/>
  <c r="K291" i="15"/>
  <c r="J291" i="15"/>
  <c r="I291" i="15"/>
  <c r="N290" i="15"/>
  <c r="M290" i="15"/>
  <c r="L290" i="15"/>
  <c r="K290" i="15"/>
  <c r="J290" i="15"/>
  <c r="I290" i="15"/>
  <c r="O290" i="15" s="1"/>
  <c r="N289" i="15"/>
  <c r="M289" i="15"/>
  <c r="L289" i="15"/>
  <c r="K289" i="15"/>
  <c r="J289" i="15"/>
  <c r="I289" i="15"/>
  <c r="N288" i="15"/>
  <c r="M288" i="15"/>
  <c r="L288" i="15"/>
  <c r="K288" i="15"/>
  <c r="J288" i="15"/>
  <c r="I288" i="15"/>
  <c r="N287" i="15"/>
  <c r="M287" i="15"/>
  <c r="L287" i="15"/>
  <c r="K287" i="15"/>
  <c r="J287" i="15"/>
  <c r="I287" i="15"/>
  <c r="N286" i="15"/>
  <c r="M286" i="15"/>
  <c r="L286" i="15"/>
  <c r="K286" i="15"/>
  <c r="J286" i="15"/>
  <c r="I286" i="15"/>
  <c r="N285" i="15"/>
  <c r="M285" i="15"/>
  <c r="L285" i="15"/>
  <c r="K285" i="15"/>
  <c r="J285" i="15"/>
  <c r="I285" i="15"/>
  <c r="N284" i="15"/>
  <c r="M284" i="15"/>
  <c r="L284" i="15"/>
  <c r="K284" i="15"/>
  <c r="J284" i="15"/>
  <c r="I284" i="15"/>
  <c r="N283" i="15"/>
  <c r="M283" i="15"/>
  <c r="L283" i="15"/>
  <c r="K283" i="15"/>
  <c r="J283" i="15"/>
  <c r="I283" i="15"/>
  <c r="N282" i="15"/>
  <c r="M282" i="15"/>
  <c r="L282" i="15"/>
  <c r="K282" i="15"/>
  <c r="J282" i="15"/>
  <c r="I282" i="15"/>
  <c r="O282" i="15" s="1"/>
  <c r="N281" i="15"/>
  <c r="M281" i="15"/>
  <c r="L281" i="15"/>
  <c r="K281" i="15"/>
  <c r="J281" i="15"/>
  <c r="I281" i="15"/>
  <c r="N280" i="15"/>
  <c r="M280" i="15"/>
  <c r="L280" i="15"/>
  <c r="K280" i="15"/>
  <c r="J280" i="15"/>
  <c r="I280" i="15"/>
  <c r="N279" i="15"/>
  <c r="M279" i="15"/>
  <c r="L279" i="15"/>
  <c r="K279" i="15"/>
  <c r="J279" i="15"/>
  <c r="I279" i="15"/>
  <c r="N278" i="15"/>
  <c r="M278" i="15"/>
  <c r="L278" i="15"/>
  <c r="K278" i="15"/>
  <c r="J278" i="15"/>
  <c r="I278" i="15"/>
  <c r="O278" i="15" s="1"/>
  <c r="N277" i="15"/>
  <c r="M277" i="15"/>
  <c r="L277" i="15"/>
  <c r="K277" i="15"/>
  <c r="J277" i="15"/>
  <c r="I277" i="15"/>
  <c r="N276" i="15"/>
  <c r="M276" i="15"/>
  <c r="L276" i="15"/>
  <c r="K276" i="15"/>
  <c r="J276" i="15"/>
  <c r="I276" i="15"/>
  <c r="N275" i="15"/>
  <c r="M275" i="15"/>
  <c r="L275" i="15"/>
  <c r="K275" i="15"/>
  <c r="J275" i="15"/>
  <c r="I275" i="15"/>
  <c r="N274" i="15"/>
  <c r="M274" i="15"/>
  <c r="L274" i="15"/>
  <c r="K274" i="15"/>
  <c r="J274" i="15"/>
  <c r="I274" i="15"/>
  <c r="O274" i="15" s="1"/>
  <c r="N273" i="15"/>
  <c r="M273" i="15"/>
  <c r="L273" i="15"/>
  <c r="K273" i="15"/>
  <c r="J273" i="15"/>
  <c r="I273" i="15"/>
  <c r="N272" i="15"/>
  <c r="M272" i="15"/>
  <c r="L272" i="15"/>
  <c r="K272" i="15"/>
  <c r="J272" i="15"/>
  <c r="I272" i="15"/>
  <c r="N271" i="15"/>
  <c r="M271" i="15"/>
  <c r="L271" i="15"/>
  <c r="K271" i="15"/>
  <c r="J271" i="15"/>
  <c r="I271" i="15"/>
  <c r="N270" i="15"/>
  <c r="M270" i="15"/>
  <c r="L270" i="15"/>
  <c r="K270" i="15"/>
  <c r="J270" i="15"/>
  <c r="I270" i="15"/>
  <c r="O270" i="15" s="1"/>
  <c r="N269" i="15"/>
  <c r="M269" i="15"/>
  <c r="L269" i="15"/>
  <c r="K269" i="15"/>
  <c r="J269" i="15"/>
  <c r="I269" i="15"/>
  <c r="N268" i="15"/>
  <c r="M268" i="15"/>
  <c r="L268" i="15"/>
  <c r="K268" i="15"/>
  <c r="J268" i="15"/>
  <c r="I268" i="15"/>
  <c r="N267" i="15"/>
  <c r="M267" i="15"/>
  <c r="L267" i="15"/>
  <c r="K267" i="15"/>
  <c r="J267" i="15"/>
  <c r="I267" i="15"/>
  <c r="N266" i="15"/>
  <c r="M266" i="15"/>
  <c r="L266" i="15"/>
  <c r="K266" i="15"/>
  <c r="J266" i="15"/>
  <c r="I266" i="15"/>
  <c r="O266" i="15" s="1"/>
  <c r="N265" i="15"/>
  <c r="M265" i="15"/>
  <c r="L265" i="15"/>
  <c r="K265" i="15"/>
  <c r="J265" i="15"/>
  <c r="I265" i="15"/>
  <c r="N264" i="15"/>
  <c r="M264" i="15"/>
  <c r="L264" i="15"/>
  <c r="K264" i="15"/>
  <c r="J264" i="15"/>
  <c r="I264" i="15"/>
  <c r="N262" i="15"/>
  <c r="M262" i="15"/>
  <c r="L262" i="15"/>
  <c r="K262" i="15"/>
  <c r="J262" i="15"/>
  <c r="I262" i="15"/>
  <c r="N261" i="15"/>
  <c r="M261" i="15"/>
  <c r="L261" i="15"/>
  <c r="K261" i="15"/>
  <c r="J261" i="15"/>
  <c r="I261" i="15"/>
  <c r="O261" i="15" s="1"/>
  <c r="N260" i="15"/>
  <c r="M260" i="15"/>
  <c r="L260" i="15"/>
  <c r="K260" i="15"/>
  <c r="J260" i="15"/>
  <c r="I260" i="15"/>
  <c r="N259" i="15"/>
  <c r="M259" i="15"/>
  <c r="L259" i="15"/>
  <c r="K259" i="15"/>
  <c r="J259" i="15"/>
  <c r="I259" i="15"/>
  <c r="N258" i="15"/>
  <c r="M258" i="15"/>
  <c r="L258" i="15"/>
  <c r="K258" i="15"/>
  <c r="J258" i="15"/>
  <c r="I258" i="15"/>
  <c r="N257" i="15"/>
  <c r="M257" i="15"/>
  <c r="L257" i="15"/>
  <c r="K257" i="15"/>
  <c r="J257" i="15"/>
  <c r="I257" i="15"/>
  <c r="O257" i="15" s="1"/>
  <c r="N256" i="15"/>
  <c r="M256" i="15"/>
  <c r="L256" i="15"/>
  <c r="K256" i="15"/>
  <c r="J256" i="15"/>
  <c r="I256" i="15"/>
  <c r="N255" i="15"/>
  <c r="M255" i="15"/>
  <c r="L255" i="15"/>
  <c r="K255" i="15"/>
  <c r="J255" i="15"/>
  <c r="I255" i="15"/>
  <c r="N254" i="15"/>
  <c r="M254" i="15"/>
  <c r="L254" i="15"/>
  <c r="K254" i="15"/>
  <c r="J254" i="15"/>
  <c r="I254" i="15"/>
  <c r="N253" i="15"/>
  <c r="M253" i="15"/>
  <c r="L253" i="15"/>
  <c r="K253" i="15"/>
  <c r="J253" i="15"/>
  <c r="I253" i="15"/>
  <c r="O253" i="15" s="1"/>
  <c r="N252" i="15"/>
  <c r="M252" i="15"/>
  <c r="L252" i="15"/>
  <c r="K252" i="15"/>
  <c r="J252" i="15"/>
  <c r="I252" i="15"/>
  <c r="N251" i="15"/>
  <c r="M251" i="15"/>
  <c r="L251" i="15"/>
  <c r="K251" i="15"/>
  <c r="J251" i="15"/>
  <c r="I251" i="15"/>
  <c r="N250" i="15"/>
  <c r="M250" i="15"/>
  <c r="L250" i="15"/>
  <c r="K250" i="15"/>
  <c r="J250" i="15"/>
  <c r="I250" i="15"/>
  <c r="N249" i="15"/>
  <c r="M249" i="15"/>
  <c r="L249" i="15"/>
  <c r="K249" i="15"/>
  <c r="J249" i="15"/>
  <c r="I249" i="15"/>
  <c r="O249" i="15" s="1"/>
  <c r="N248" i="15"/>
  <c r="M248" i="15"/>
  <c r="L248" i="15"/>
  <c r="K248" i="15"/>
  <c r="J248" i="15"/>
  <c r="I248" i="15"/>
  <c r="N247" i="15"/>
  <c r="M247" i="15"/>
  <c r="L247" i="15"/>
  <c r="K247" i="15"/>
  <c r="J247" i="15"/>
  <c r="I247" i="15"/>
  <c r="N246" i="15"/>
  <c r="M246" i="15"/>
  <c r="L246" i="15"/>
  <c r="K246" i="15"/>
  <c r="J246" i="15"/>
  <c r="I246" i="15"/>
  <c r="N245" i="15"/>
  <c r="M245" i="15"/>
  <c r="L245" i="15"/>
  <c r="K245" i="15"/>
  <c r="J245" i="15"/>
  <c r="I245" i="15"/>
  <c r="O245" i="15" s="1"/>
  <c r="N244" i="15"/>
  <c r="M244" i="15"/>
  <c r="L244" i="15"/>
  <c r="K244" i="15"/>
  <c r="J244" i="15"/>
  <c r="I244" i="15"/>
  <c r="N243" i="15"/>
  <c r="M243" i="15"/>
  <c r="L243" i="15"/>
  <c r="K243" i="15"/>
  <c r="J243" i="15"/>
  <c r="I243" i="15"/>
  <c r="N242" i="15"/>
  <c r="M242" i="15"/>
  <c r="L242" i="15"/>
  <c r="K242" i="15"/>
  <c r="J242" i="15"/>
  <c r="I242" i="15"/>
  <c r="N241" i="15"/>
  <c r="M241" i="15"/>
  <c r="L241" i="15"/>
  <c r="K241" i="15"/>
  <c r="J241" i="15"/>
  <c r="I241" i="15"/>
  <c r="O241" i="15" s="1"/>
  <c r="N240" i="15"/>
  <c r="M240" i="15"/>
  <c r="L240" i="15"/>
  <c r="K240" i="15"/>
  <c r="J240" i="15"/>
  <c r="I240" i="15"/>
  <c r="N239" i="15"/>
  <c r="M239" i="15"/>
  <c r="L239" i="15"/>
  <c r="K239" i="15"/>
  <c r="J239" i="15"/>
  <c r="I239" i="15"/>
  <c r="N238" i="15"/>
  <c r="M238" i="15"/>
  <c r="L238" i="15"/>
  <c r="K238" i="15"/>
  <c r="J238" i="15"/>
  <c r="I238" i="15"/>
  <c r="N237" i="15"/>
  <c r="M237" i="15"/>
  <c r="L237" i="15"/>
  <c r="K237" i="15"/>
  <c r="J237" i="15"/>
  <c r="I237" i="15"/>
  <c r="O237" i="15" s="1"/>
  <c r="N236" i="15"/>
  <c r="M236" i="15"/>
  <c r="L236" i="15"/>
  <c r="K236" i="15"/>
  <c r="J236" i="15"/>
  <c r="I236" i="15"/>
  <c r="N235" i="15"/>
  <c r="M235" i="15"/>
  <c r="L235" i="15"/>
  <c r="K235" i="15"/>
  <c r="J235" i="15"/>
  <c r="I235" i="15"/>
  <c r="N234" i="15"/>
  <c r="M234" i="15"/>
  <c r="L234" i="15"/>
  <c r="K234" i="15"/>
  <c r="J234" i="15"/>
  <c r="I234" i="15"/>
  <c r="N233" i="15"/>
  <c r="M233" i="15"/>
  <c r="L233" i="15"/>
  <c r="K233" i="15"/>
  <c r="J233" i="15"/>
  <c r="I233" i="15"/>
  <c r="O233" i="15" s="1"/>
  <c r="N232" i="15"/>
  <c r="M232" i="15"/>
  <c r="L232" i="15"/>
  <c r="K232" i="15"/>
  <c r="J232" i="15"/>
  <c r="I232" i="15"/>
  <c r="N231" i="15"/>
  <c r="M231" i="15"/>
  <c r="L231" i="15"/>
  <c r="K231" i="15"/>
  <c r="J231" i="15"/>
  <c r="I231" i="15"/>
  <c r="N230" i="15"/>
  <c r="M230" i="15"/>
  <c r="L230" i="15"/>
  <c r="K230" i="15"/>
  <c r="J230" i="15"/>
  <c r="I230" i="15"/>
  <c r="N229" i="15"/>
  <c r="M229" i="15"/>
  <c r="L229" i="15"/>
  <c r="K229" i="15"/>
  <c r="J229" i="15"/>
  <c r="I229" i="15"/>
  <c r="N228" i="15"/>
  <c r="M228" i="15"/>
  <c r="L228" i="15"/>
  <c r="K228" i="15"/>
  <c r="J228" i="15"/>
  <c r="I228" i="15"/>
  <c r="N227" i="15"/>
  <c r="M227" i="15"/>
  <c r="L227" i="15"/>
  <c r="K227" i="15"/>
  <c r="J227" i="15"/>
  <c r="I227" i="15"/>
  <c r="N226" i="15"/>
  <c r="M226" i="15"/>
  <c r="L226" i="15"/>
  <c r="K226" i="15"/>
  <c r="J226" i="15"/>
  <c r="I226" i="15"/>
  <c r="N225" i="15"/>
  <c r="M225" i="15"/>
  <c r="L225" i="15"/>
  <c r="K225" i="15"/>
  <c r="J225" i="15"/>
  <c r="I225" i="15"/>
  <c r="O225" i="15" s="1"/>
  <c r="N224" i="15"/>
  <c r="M224" i="15"/>
  <c r="L224" i="15"/>
  <c r="K224" i="15"/>
  <c r="J224" i="15"/>
  <c r="I224" i="15"/>
  <c r="N223" i="15"/>
  <c r="M223" i="15"/>
  <c r="L223" i="15"/>
  <c r="K223" i="15"/>
  <c r="J223" i="15"/>
  <c r="I223" i="15"/>
  <c r="N222" i="15"/>
  <c r="M222" i="15"/>
  <c r="L222" i="15"/>
  <c r="K222" i="15"/>
  <c r="J222" i="15"/>
  <c r="I222" i="15"/>
  <c r="N221" i="15"/>
  <c r="M221" i="15"/>
  <c r="L221" i="15"/>
  <c r="K221" i="15"/>
  <c r="J221" i="15"/>
  <c r="I221" i="15"/>
  <c r="O221" i="15" s="1"/>
  <c r="N220" i="15"/>
  <c r="M220" i="15"/>
  <c r="L220" i="15"/>
  <c r="K220" i="15"/>
  <c r="J220" i="15"/>
  <c r="I220" i="15"/>
  <c r="N219" i="15"/>
  <c r="M219" i="15"/>
  <c r="L219" i="15"/>
  <c r="K219" i="15"/>
  <c r="J219" i="15"/>
  <c r="I219" i="15"/>
  <c r="N218" i="15"/>
  <c r="M218" i="15"/>
  <c r="L218" i="15"/>
  <c r="K218" i="15"/>
  <c r="J218" i="15"/>
  <c r="I218" i="15"/>
  <c r="N217" i="15"/>
  <c r="M217" i="15"/>
  <c r="L217" i="15"/>
  <c r="K217" i="15"/>
  <c r="J217" i="15"/>
  <c r="I217" i="15"/>
  <c r="O217" i="15" s="1"/>
  <c r="N216" i="15"/>
  <c r="M216" i="15"/>
  <c r="L216" i="15"/>
  <c r="K216" i="15"/>
  <c r="J216" i="15"/>
  <c r="I216" i="15"/>
  <c r="N215" i="15"/>
  <c r="M215" i="15"/>
  <c r="L215" i="15"/>
  <c r="K215" i="15"/>
  <c r="J215" i="15"/>
  <c r="I215" i="15"/>
  <c r="N214" i="15"/>
  <c r="M214" i="15"/>
  <c r="L214" i="15"/>
  <c r="K214" i="15"/>
  <c r="J214" i="15"/>
  <c r="I214" i="15"/>
  <c r="N213" i="15"/>
  <c r="M213" i="15"/>
  <c r="L213" i="15"/>
  <c r="K213" i="15"/>
  <c r="J213" i="15"/>
  <c r="I213" i="15"/>
  <c r="O213" i="15" s="1"/>
  <c r="N212" i="15"/>
  <c r="M212" i="15"/>
  <c r="L212" i="15"/>
  <c r="K212" i="15"/>
  <c r="O212" i="15" s="1"/>
  <c r="J212" i="15"/>
  <c r="I212" i="15"/>
  <c r="N211" i="15"/>
  <c r="M211" i="15"/>
  <c r="L211" i="15"/>
  <c r="K211" i="15"/>
  <c r="J211" i="15"/>
  <c r="I211" i="15"/>
  <c r="O211" i="15" s="1"/>
  <c r="N210" i="15"/>
  <c r="M210" i="15"/>
  <c r="L210" i="15"/>
  <c r="K210" i="15"/>
  <c r="J210" i="15"/>
  <c r="I210" i="15"/>
  <c r="N209" i="15"/>
  <c r="M209" i="15"/>
  <c r="L209" i="15"/>
  <c r="K209" i="15"/>
  <c r="J209" i="15"/>
  <c r="I209" i="15"/>
  <c r="N208" i="15"/>
  <c r="M208" i="15"/>
  <c r="L208" i="15"/>
  <c r="K208" i="15"/>
  <c r="O208" i="15" s="1"/>
  <c r="J208" i="15"/>
  <c r="I208" i="15"/>
  <c r="N207" i="15"/>
  <c r="M207" i="15"/>
  <c r="L207" i="15"/>
  <c r="K207" i="15"/>
  <c r="J207" i="15"/>
  <c r="I207" i="15"/>
  <c r="N205" i="15"/>
  <c r="M205" i="15"/>
  <c r="L205" i="15"/>
  <c r="K205" i="15"/>
  <c r="J205" i="15"/>
  <c r="I205" i="15"/>
  <c r="N204" i="15"/>
  <c r="M204" i="15"/>
  <c r="L204" i="15"/>
  <c r="K204" i="15"/>
  <c r="J204" i="15"/>
  <c r="I204" i="15"/>
  <c r="O204" i="15" s="1"/>
  <c r="N203" i="15"/>
  <c r="M203" i="15"/>
  <c r="L203" i="15"/>
  <c r="K203" i="15"/>
  <c r="O203" i="15" s="1"/>
  <c r="J203" i="15"/>
  <c r="I203" i="15"/>
  <c r="N202" i="15"/>
  <c r="M202" i="15"/>
  <c r="L202" i="15"/>
  <c r="K202" i="15"/>
  <c r="J202" i="15"/>
  <c r="I202" i="15"/>
  <c r="N201" i="15"/>
  <c r="M201" i="15"/>
  <c r="L201" i="15"/>
  <c r="K201" i="15"/>
  <c r="J201" i="15"/>
  <c r="I201" i="15"/>
  <c r="N200" i="15"/>
  <c r="M200" i="15"/>
  <c r="L200" i="15"/>
  <c r="K200" i="15"/>
  <c r="J200" i="15"/>
  <c r="I200" i="15"/>
  <c r="O200" i="15" s="1"/>
  <c r="N199" i="15"/>
  <c r="M199" i="15"/>
  <c r="L199" i="15"/>
  <c r="K199" i="15"/>
  <c r="O199" i="15" s="1"/>
  <c r="J199" i="15"/>
  <c r="I199" i="15"/>
  <c r="N198" i="15"/>
  <c r="M198" i="15"/>
  <c r="L198" i="15"/>
  <c r="K198" i="15"/>
  <c r="J198" i="15"/>
  <c r="I198" i="15"/>
  <c r="N197" i="15"/>
  <c r="M197" i="15"/>
  <c r="L197" i="15"/>
  <c r="K197" i="15"/>
  <c r="J197" i="15"/>
  <c r="I197" i="15"/>
  <c r="N196" i="15"/>
  <c r="M196" i="15"/>
  <c r="L196" i="15"/>
  <c r="K196" i="15"/>
  <c r="J196" i="15"/>
  <c r="I196" i="15"/>
  <c r="O196" i="15" s="1"/>
  <c r="N195" i="15"/>
  <c r="M195" i="15"/>
  <c r="L195" i="15"/>
  <c r="K195" i="15"/>
  <c r="O195" i="15" s="1"/>
  <c r="J195" i="15"/>
  <c r="I195" i="15"/>
  <c r="N194" i="15"/>
  <c r="M194" i="15"/>
  <c r="L194" i="15"/>
  <c r="K194" i="15"/>
  <c r="J194" i="15"/>
  <c r="I194" i="15"/>
  <c r="N193" i="15"/>
  <c r="M193" i="15"/>
  <c r="L193" i="15"/>
  <c r="K193" i="15"/>
  <c r="J193" i="15"/>
  <c r="I193" i="15"/>
  <c r="N192" i="15"/>
  <c r="M192" i="15"/>
  <c r="L192" i="15"/>
  <c r="K192" i="15"/>
  <c r="J192" i="15"/>
  <c r="I192" i="15"/>
  <c r="N191" i="15"/>
  <c r="M191" i="15"/>
  <c r="L191" i="15"/>
  <c r="K191" i="15"/>
  <c r="O191" i="15" s="1"/>
  <c r="J191" i="15"/>
  <c r="I191" i="15"/>
  <c r="N190" i="15"/>
  <c r="M190" i="15"/>
  <c r="L190" i="15"/>
  <c r="K190" i="15"/>
  <c r="J190" i="15"/>
  <c r="I190" i="15"/>
  <c r="N189" i="15"/>
  <c r="M189" i="15"/>
  <c r="L189" i="15"/>
  <c r="K189" i="15"/>
  <c r="J189" i="15"/>
  <c r="I189" i="15"/>
  <c r="N188" i="15"/>
  <c r="M188" i="15"/>
  <c r="L188" i="15"/>
  <c r="K188" i="15"/>
  <c r="J188" i="15"/>
  <c r="I188" i="15"/>
  <c r="O188" i="15" s="1"/>
  <c r="N187" i="15"/>
  <c r="M187" i="15"/>
  <c r="L187" i="15"/>
  <c r="K187" i="15"/>
  <c r="O187" i="15" s="1"/>
  <c r="J187" i="15"/>
  <c r="I187" i="15"/>
  <c r="N186" i="15"/>
  <c r="M186" i="15"/>
  <c r="L186" i="15"/>
  <c r="K186" i="15"/>
  <c r="J186" i="15"/>
  <c r="I186" i="15"/>
  <c r="N185" i="15"/>
  <c r="M185" i="15"/>
  <c r="L185" i="15"/>
  <c r="K185" i="15"/>
  <c r="J185" i="15"/>
  <c r="I185" i="15"/>
  <c r="N184" i="15"/>
  <c r="M184" i="15"/>
  <c r="L184" i="15"/>
  <c r="K184" i="15"/>
  <c r="J184" i="15"/>
  <c r="I184" i="15"/>
  <c r="O184" i="15" s="1"/>
  <c r="N183" i="15"/>
  <c r="M183" i="15"/>
  <c r="L183" i="15"/>
  <c r="K183" i="15"/>
  <c r="O183" i="15" s="1"/>
  <c r="J183" i="15"/>
  <c r="I183" i="15"/>
  <c r="N182" i="15"/>
  <c r="M182" i="15"/>
  <c r="L182" i="15"/>
  <c r="K182" i="15"/>
  <c r="J182" i="15"/>
  <c r="I182" i="15"/>
  <c r="N181" i="15"/>
  <c r="M181" i="15"/>
  <c r="L181" i="15"/>
  <c r="K181" i="15"/>
  <c r="J181" i="15"/>
  <c r="I181" i="15"/>
  <c r="N180" i="15"/>
  <c r="M180" i="15"/>
  <c r="L180" i="15"/>
  <c r="K180" i="15"/>
  <c r="J180" i="15"/>
  <c r="I180" i="15"/>
  <c r="O180" i="15" s="1"/>
  <c r="N179" i="15"/>
  <c r="M179" i="15"/>
  <c r="L179" i="15"/>
  <c r="K179" i="15"/>
  <c r="O179" i="15" s="1"/>
  <c r="J179" i="15"/>
  <c r="I179" i="15"/>
  <c r="N178" i="15"/>
  <c r="M178" i="15"/>
  <c r="L178" i="15"/>
  <c r="K178" i="15"/>
  <c r="J178" i="15"/>
  <c r="I178" i="15"/>
  <c r="N177" i="15"/>
  <c r="M177" i="15"/>
  <c r="L177" i="15"/>
  <c r="K177" i="15"/>
  <c r="J177" i="15"/>
  <c r="I177" i="15"/>
  <c r="N176" i="15"/>
  <c r="M176" i="15"/>
  <c r="L176" i="15"/>
  <c r="K176" i="15"/>
  <c r="J176" i="15"/>
  <c r="I176" i="15"/>
  <c r="N175" i="15"/>
  <c r="M175" i="15"/>
  <c r="L175" i="15"/>
  <c r="K175" i="15"/>
  <c r="O175" i="15" s="1"/>
  <c r="J175" i="15"/>
  <c r="I175" i="15"/>
  <c r="N174" i="15"/>
  <c r="M174" i="15"/>
  <c r="L174" i="15"/>
  <c r="K174" i="15"/>
  <c r="J174" i="15"/>
  <c r="I174" i="15"/>
  <c r="N173" i="15"/>
  <c r="M173" i="15"/>
  <c r="L173" i="15"/>
  <c r="K173" i="15"/>
  <c r="J173" i="15"/>
  <c r="I173" i="15"/>
  <c r="N172" i="15"/>
  <c r="M172" i="15"/>
  <c r="L172" i="15"/>
  <c r="K172" i="15"/>
  <c r="J172" i="15"/>
  <c r="I172" i="15"/>
  <c r="O172" i="15" s="1"/>
  <c r="N171" i="15"/>
  <c r="M171" i="15"/>
  <c r="L171" i="15"/>
  <c r="K171" i="15"/>
  <c r="O171" i="15" s="1"/>
  <c r="J171" i="15"/>
  <c r="I171" i="15"/>
  <c r="N170" i="15"/>
  <c r="M170" i="15"/>
  <c r="L170" i="15"/>
  <c r="K170" i="15"/>
  <c r="J170" i="15"/>
  <c r="I170" i="15"/>
  <c r="N169" i="15"/>
  <c r="M169" i="15"/>
  <c r="L169" i="15"/>
  <c r="K169" i="15"/>
  <c r="J169" i="15"/>
  <c r="I169" i="15"/>
  <c r="N168" i="15"/>
  <c r="M168" i="15"/>
  <c r="L168" i="15"/>
  <c r="K168" i="15"/>
  <c r="J168" i="15"/>
  <c r="I168" i="15"/>
  <c r="O168" i="15" s="1"/>
  <c r="N167" i="15"/>
  <c r="M167" i="15"/>
  <c r="L167" i="15"/>
  <c r="K167" i="15"/>
  <c r="O167" i="15" s="1"/>
  <c r="J167" i="15"/>
  <c r="I167" i="15"/>
  <c r="N166" i="15"/>
  <c r="M166" i="15"/>
  <c r="L166" i="15"/>
  <c r="K166" i="15"/>
  <c r="J166" i="15"/>
  <c r="I166" i="15"/>
  <c r="N165" i="15"/>
  <c r="M165" i="15"/>
  <c r="L165" i="15"/>
  <c r="K165" i="15"/>
  <c r="J165" i="15"/>
  <c r="I165" i="15"/>
  <c r="N164" i="15"/>
  <c r="M164" i="15"/>
  <c r="L164" i="15"/>
  <c r="K164" i="15"/>
  <c r="J164" i="15"/>
  <c r="I164" i="15"/>
  <c r="O164" i="15" s="1"/>
  <c r="N163" i="15"/>
  <c r="M163" i="15"/>
  <c r="L163" i="15"/>
  <c r="K163" i="15"/>
  <c r="O163" i="15" s="1"/>
  <c r="J163" i="15"/>
  <c r="I163" i="15"/>
  <c r="N162" i="15"/>
  <c r="M162" i="15"/>
  <c r="L162" i="15"/>
  <c r="K162" i="15"/>
  <c r="J162" i="15"/>
  <c r="I162" i="15"/>
  <c r="N161" i="15"/>
  <c r="M161" i="15"/>
  <c r="L161" i="15"/>
  <c r="K161" i="15"/>
  <c r="J161" i="15"/>
  <c r="I161" i="15"/>
  <c r="N160" i="15"/>
  <c r="M160" i="15"/>
  <c r="L160" i="15"/>
  <c r="K160" i="15"/>
  <c r="J160" i="15"/>
  <c r="I160" i="15"/>
  <c r="N159" i="15"/>
  <c r="M159" i="15"/>
  <c r="L159" i="15"/>
  <c r="K159" i="15"/>
  <c r="O159" i="15" s="1"/>
  <c r="J159" i="15"/>
  <c r="I159" i="15"/>
  <c r="N158" i="15"/>
  <c r="M158" i="15"/>
  <c r="L158" i="15"/>
  <c r="K158" i="15"/>
  <c r="J158" i="15"/>
  <c r="I158" i="15"/>
  <c r="N157" i="15"/>
  <c r="M157" i="15"/>
  <c r="L157" i="15"/>
  <c r="K157" i="15"/>
  <c r="J157" i="15"/>
  <c r="I157" i="15"/>
  <c r="N156" i="15"/>
  <c r="M156" i="15"/>
  <c r="L156" i="15"/>
  <c r="K156" i="15"/>
  <c r="J156" i="15"/>
  <c r="I156" i="15"/>
  <c r="O156" i="15" s="1"/>
  <c r="N155" i="15"/>
  <c r="M155" i="15"/>
  <c r="L155" i="15"/>
  <c r="K155" i="15"/>
  <c r="O155" i="15" s="1"/>
  <c r="J155" i="15"/>
  <c r="I155" i="15"/>
  <c r="N154" i="15"/>
  <c r="M154" i="15"/>
  <c r="L154" i="15"/>
  <c r="K154" i="15"/>
  <c r="J154" i="15"/>
  <c r="I154" i="15"/>
  <c r="N153" i="15"/>
  <c r="M153" i="15"/>
  <c r="L153" i="15"/>
  <c r="K153" i="15"/>
  <c r="J153" i="15"/>
  <c r="I153" i="15"/>
  <c r="N152" i="15"/>
  <c r="M152" i="15"/>
  <c r="L152" i="15"/>
  <c r="K152" i="15"/>
  <c r="J152" i="15"/>
  <c r="I152" i="15"/>
  <c r="O152" i="15" s="1"/>
  <c r="N151" i="15"/>
  <c r="M151" i="15"/>
  <c r="L151" i="15"/>
  <c r="K151" i="15"/>
  <c r="O151" i="15" s="1"/>
  <c r="J151" i="15"/>
  <c r="I151" i="15"/>
  <c r="N150" i="15"/>
  <c r="M150" i="15"/>
  <c r="L150" i="15"/>
  <c r="K150" i="15"/>
  <c r="J150" i="15"/>
  <c r="I150" i="15"/>
  <c r="N148" i="15"/>
  <c r="M148" i="15"/>
  <c r="L148" i="15"/>
  <c r="K148" i="15"/>
  <c r="J148" i="15"/>
  <c r="I148" i="15"/>
  <c r="N147" i="15"/>
  <c r="M147" i="15"/>
  <c r="L147" i="15"/>
  <c r="K147" i="15"/>
  <c r="J147" i="15"/>
  <c r="I147" i="15"/>
  <c r="O147" i="15" s="1"/>
  <c r="N146" i="15"/>
  <c r="M146" i="15"/>
  <c r="L146" i="15"/>
  <c r="K146" i="15"/>
  <c r="O146" i="15" s="1"/>
  <c r="J146" i="15"/>
  <c r="I146" i="15"/>
  <c r="N145" i="15"/>
  <c r="M145" i="15"/>
  <c r="L145" i="15"/>
  <c r="K145" i="15"/>
  <c r="J145" i="15"/>
  <c r="I145" i="15"/>
  <c r="N144" i="15"/>
  <c r="M144" i="15"/>
  <c r="L144" i="15"/>
  <c r="K144" i="15"/>
  <c r="J144" i="15"/>
  <c r="I144" i="15"/>
  <c r="N143" i="15"/>
  <c r="M143" i="15"/>
  <c r="L143" i="15"/>
  <c r="K143" i="15"/>
  <c r="J143" i="15"/>
  <c r="I143" i="15"/>
  <c r="N142" i="15"/>
  <c r="M142" i="15"/>
  <c r="L142" i="15"/>
  <c r="K142" i="15"/>
  <c r="O142" i="15" s="1"/>
  <c r="J142" i="15"/>
  <c r="I142" i="15"/>
  <c r="N141" i="15"/>
  <c r="M141" i="15"/>
  <c r="L141" i="15"/>
  <c r="K141" i="15"/>
  <c r="J141" i="15"/>
  <c r="I141" i="15"/>
  <c r="N140" i="15"/>
  <c r="M140" i="15"/>
  <c r="L140" i="15"/>
  <c r="K140" i="15"/>
  <c r="J140" i="15"/>
  <c r="I140" i="15"/>
  <c r="N139" i="15"/>
  <c r="M139" i="15"/>
  <c r="L139" i="15"/>
  <c r="K139" i="15"/>
  <c r="J139" i="15"/>
  <c r="I139" i="15"/>
  <c r="O139" i="15" s="1"/>
  <c r="N138" i="15"/>
  <c r="M138" i="15"/>
  <c r="L138" i="15"/>
  <c r="K138" i="15"/>
  <c r="O138" i="15" s="1"/>
  <c r="J138" i="15"/>
  <c r="I138" i="15"/>
  <c r="N137" i="15"/>
  <c r="M137" i="15"/>
  <c r="L137" i="15"/>
  <c r="K137" i="15"/>
  <c r="J137" i="15"/>
  <c r="I137" i="15"/>
  <c r="N136" i="15"/>
  <c r="M136" i="15"/>
  <c r="L136" i="15"/>
  <c r="K136" i="15"/>
  <c r="J136" i="15"/>
  <c r="I136" i="15"/>
  <c r="N135" i="15"/>
  <c r="M135" i="15"/>
  <c r="L135" i="15"/>
  <c r="K135" i="15"/>
  <c r="J135" i="15"/>
  <c r="I135" i="15"/>
  <c r="O135" i="15" s="1"/>
  <c r="N134" i="15"/>
  <c r="M134" i="15"/>
  <c r="L134" i="15"/>
  <c r="K134" i="15"/>
  <c r="O134" i="15" s="1"/>
  <c r="J134" i="15"/>
  <c r="I134" i="15"/>
  <c r="N133" i="15"/>
  <c r="M133" i="15"/>
  <c r="L133" i="15"/>
  <c r="K133" i="15"/>
  <c r="J133" i="15"/>
  <c r="I133" i="15"/>
  <c r="N132" i="15"/>
  <c r="M132" i="15"/>
  <c r="L132" i="15"/>
  <c r="K132" i="15"/>
  <c r="J132" i="15"/>
  <c r="I132" i="15"/>
  <c r="N131" i="15"/>
  <c r="M131" i="15"/>
  <c r="L131" i="15"/>
  <c r="K131" i="15"/>
  <c r="J131" i="15"/>
  <c r="I131" i="15"/>
  <c r="O131" i="15" s="1"/>
  <c r="N130" i="15"/>
  <c r="M130" i="15"/>
  <c r="L130" i="15"/>
  <c r="K130" i="15"/>
  <c r="O130" i="15" s="1"/>
  <c r="J130" i="15"/>
  <c r="I130" i="15"/>
  <c r="N129" i="15"/>
  <c r="M129" i="15"/>
  <c r="L129" i="15"/>
  <c r="K129" i="15"/>
  <c r="J129" i="15"/>
  <c r="I129" i="15"/>
  <c r="N128" i="15"/>
  <c r="M128" i="15"/>
  <c r="L128" i="15"/>
  <c r="K128" i="15"/>
  <c r="J128" i="15"/>
  <c r="I128" i="15"/>
  <c r="N127" i="15"/>
  <c r="M127" i="15"/>
  <c r="L127" i="15"/>
  <c r="K127" i="15"/>
  <c r="J127" i="15"/>
  <c r="I127" i="15"/>
  <c r="N126" i="15"/>
  <c r="M126" i="15"/>
  <c r="L126" i="15"/>
  <c r="K126" i="15"/>
  <c r="J126" i="15"/>
  <c r="I126" i="15"/>
  <c r="N125" i="15"/>
  <c r="M125" i="15"/>
  <c r="L125" i="15"/>
  <c r="K125" i="15"/>
  <c r="J125" i="15"/>
  <c r="I125" i="15"/>
  <c r="N124" i="15"/>
  <c r="M124" i="15"/>
  <c r="L124" i="15"/>
  <c r="K124" i="15"/>
  <c r="J124" i="15"/>
  <c r="I124" i="15"/>
  <c r="N123" i="15"/>
  <c r="M123" i="15"/>
  <c r="L123" i="15"/>
  <c r="K123" i="15"/>
  <c r="J123" i="15"/>
  <c r="I123" i="15"/>
  <c r="O123" i="15" s="1"/>
  <c r="N122" i="15"/>
  <c r="M122" i="15"/>
  <c r="L122" i="15"/>
  <c r="K122" i="15"/>
  <c r="J122" i="15"/>
  <c r="I122" i="15"/>
  <c r="N121" i="15"/>
  <c r="M121" i="15"/>
  <c r="L121" i="15"/>
  <c r="K121" i="15"/>
  <c r="J121" i="15"/>
  <c r="I121" i="15"/>
  <c r="O121" i="15" s="1"/>
  <c r="N120" i="15"/>
  <c r="M120" i="15"/>
  <c r="L120" i="15"/>
  <c r="K120" i="15"/>
  <c r="J120" i="15"/>
  <c r="I120" i="15"/>
  <c r="N119" i="15"/>
  <c r="M119" i="15"/>
  <c r="L119" i="15"/>
  <c r="K119" i="15"/>
  <c r="J119" i="15"/>
  <c r="I119" i="15"/>
  <c r="N118" i="15"/>
  <c r="M118" i="15"/>
  <c r="L118" i="15"/>
  <c r="K118" i="15"/>
  <c r="J118" i="15"/>
  <c r="I118" i="15"/>
  <c r="N117" i="15"/>
  <c r="M117" i="15"/>
  <c r="L117" i="15"/>
  <c r="K117" i="15"/>
  <c r="J117" i="15"/>
  <c r="I117" i="15"/>
  <c r="O117" i="15" s="1"/>
  <c r="N116" i="15"/>
  <c r="M116" i="15"/>
  <c r="L116" i="15"/>
  <c r="K116" i="15"/>
  <c r="J116" i="15"/>
  <c r="I116" i="15"/>
  <c r="N115" i="15"/>
  <c r="M115" i="15"/>
  <c r="L115" i="15"/>
  <c r="K115" i="15"/>
  <c r="J115" i="15"/>
  <c r="I115" i="15"/>
  <c r="N114" i="15"/>
  <c r="M114" i="15"/>
  <c r="L114" i="15"/>
  <c r="K114" i="15"/>
  <c r="J114" i="15"/>
  <c r="I114" i="15"/>
  <c r="N113" i="15"/>
  <c r="M113" i="15"/>
  <c r="L113" i="15"/>
  <c r="K113" i="15"/>
  <c r="J113" i="15"/>
  <c r="I113" i="15"/>
  <c r="O113" i="15" s="1"/>
  <c r="N112" i="15"/>
  <c r="M112" i="15"/>
  <c r="L112" i="15"/>
  <c r="K112" i="15"/>
  <c r="J112" i="15"/>
  <c r="I112" i="15"/>
  <c r="N111" i="15"/>
  <c r="M111" i="15"/>
  <c r="L111" i="15"/>
  <c r="K111" i="15"/>
  <c r="J111" i="15"/>
  <c r="I111" i="15"/>
  <c r="N110" i="15"/>
  <c r="M110" i="15"/>
  <c r="L110" i="15"/>
  <c r="K110" i="15"/>
  <c r="J110" i="15"/>
  <c r="I110" i="15"/>
  <c r="N109" i="15"/>
  <c r="M109" i="15"/>
  <c r="L109" i="15"/>
  <c r="K109" i="15"/>
  <c r="J109" i="15"/>
  <c r="I109" i="15"/>
  <c r="O109" i="15" s="1"/>
  <c r="N108" i="15"/>
  <c r="M108" i="15"/>
  <c r="L108" i="15"/>
  <c r="K108" i="15"/>
  <c r="J108" i="15"/>
  <c r="I108" i="15"/>
  <c r="N107" i="15"/>
  <c r="M107" i="15"/>
  <c r="L107" i="15"/>
  <c r="K107" i="15"/>
  <c r="J107" i="15"/>
  <c r="I107" i="15"/>
  <c r="N106" i="15"/>
  <c r="M106" i="15"/>
  <c r="L106" i="15"/>
  <c r="K106" i="15"/>
  <c r="J106" i="15"/>
  <c r="I106" i="15"/>
  <c r="N105" i="15"/>
  <c r="M105" i="15"/>
  <c r="L105" i="15"/>
  <c r="K105" i="15"/>
  <c r="J105" i="15"/>
  <c r="I105" i="15"/>
  <c r="O105" i="15" s="1"/>
  <c r="N104" i="15"/>
  <c r="M104" i="15"/>
  <c r="L104" i="15"/>
  <c r="K104" i="15"/>
  <c r="J104" i="15"/>
  <c r="I104" i="15"/>
  <c r="N103" i="15"/>
  <c r="M103" i="15"/>
  <c r="L103" i="15"/>
  <c r="K103" i="15"/>
  <c r="J103" i="15"/>
  <c r="I103" i="15"/>
  <c r="N102" i="15"/>
  <c r="M102" i="15"/>
  <c r="L102" i="15"/>
  <c r="K102" i="15"/>
  <c r="J102" i="15"/>
  <c r="I102" i="15"/>
  <c r="N101" i="15"/>
  <c r="M101" i="15"/>
  <c r="L101" i="15"/>
  <c r="K101" i="15"/>
  <c r="J101" i="15"/>
  <c r="I101" i="15"/>
  <c r="O101" i="15" s="1"/>
  <c r="N100" i="15"/>
  <c r="M100" i="15"/>
  <c r="L100" i="15"/>
  <c r="K100" i="15"/>
  <c r="J100" i="15"/>
  <c r="I100" i="15"/>
  <c r="N99" i="15"/>
  <c r="M99" i="15"/>
  <c r="L99" i="15"/>
  <c r="K99" i="15"/>
  <c r="J99" i="15"/>
  <c r="I99" i="15"/>
  <c r="N98" i="15"/>
  <c r="M98" i="15"/>
  <c r="L98" i="15"/>
  <c r="K98" i="15"/>
  <c r="J98" i="15"/>
  <c r="I98" i="15"/>
  <c r="N97" i="15"/>
  <c r="M97" i="15"/>
  <c r="L97" i="15"/>
  <c r="K97" i="15"/>
  <c r="J97" i="15"/>
  <c r="I97" i="15"/>
  <c r="O97" i="15" s="1"/>
  <c r="N96" i="15"/>
  <c r="M96" i="15"/>
  <c r="L96" i="15"/>
  <c r="K96" i="15"/>
  <c r="J96" i="15"/>
  <c r="I96" i="15"/>
  <c r="N95" i="15"/>
  <c r="M95" i="15"/>
  <c r="L95" i="15"/>
  <c r="K95" i="15"/>
  <c r="J95" i="15"/>
  <c r="I95" i="15"/>
  <c r="N94" i="15"/>
  <c r="M94" i="15"/>
  <c r="L94" i="15"/>
  <c r="K94" i="15"/>
  <c r="J94" i="15"/>
  <c r="I94" i="15"/>
  <c r="N93" i="15"/>
  <c r="M93" i="15"/>
  <c r="L93" i="15"/>
  <c r="K93" i="15"/>
  <c r="J93" i="15"/>
  <c r="I93" i="15"/>
  <c r="O93" i="15" s="1"/>
  <c r="N92" i="15"/>
  <c r="M92" i="15"/>
  <c r="L92" i="15"/>
  <c r="K92" i="15"/>
  <c r="J92" i="15"/>
  <c r="I92" i="15"/>
  <c r="N91" i="15"/>
  <c r="M91" i="15"/>
  <c r="L91" i="15"/>
  <c r="K91" i="15"/>
  <c r="J91" i="15"/>
  <c r="I91" i="15"/>
  <c r="N90" i="15"/>
  <c r="M90" i="15"/>
  <c r="L90" i="15"/>
  <c r="K90" i="15"/>
  <c r="J90" i="15"/>
  <c r="I90" i="15"/>
  <c r="N89" i="15"/>
  <c r="M89" i="15"/>
  <c r="L89" i="15"/>
  <c r="K89" i="15"/>
  <c r="J89" i="15"/>
  <c r="I89" i="15"/>
  <c r="O89" i="15" s="1"/>
  <c r="N88" i="15"/>
  <c r="M88" i="15"/>
  <c r="L88" i="15"/>
  <c r="K88" i="15"/>
  <c r="J88" i="15"/>
  <c r="I88" i="15"/>
  <c r="N87" i="15"/>
  <c r="M87" i="15"/>
  <c r="L87" i="15"/>
  <c r="K87" i="15"/>
  <c r="J87" i="15"/>
  <c r="I87" i="15"/>
  <c r="N86" i="15"/>
  <c r="M86" i="15"/>
  <c r="L86" i="15"/>
  <c r="K86" i="15"/>
  <c r="J86" i="15"/>
  <c r="I86" i="15"/>
  <c r="N85" i="15"/>
  <c r="M85" i="15"/>
  <c r="L85" i="15"/>
  <c r="K85" i="15"/>
  <c r="J85" i="15"/>
  <c r="I85" i="15"/>
  <c r="O85" i="15" s="1"/>
  <c r="N84" i="15"/>
  <c r="M84" i="15"/>
  <c r="L84" i="15"/>
  <c r="K84" i="15"/>
  <c r="J84" i="15"/>
  <c r="I84" i="15"/>
  <c r="N83" i="15"/>
  <c r="M83" i="15"/>
  <c r="L83" i="15"/>
  <c r="K83" i="15"/>
  <c r="J83" i="15"/>
  <c r="I83" i="15"/>
  <c r="N82" i="15"/>
  <c r="M82" i="15"/>
  <c r="L82" i="15"/>
  <c r="K82" i="15"/>
  <c r="J82" i="15"/>
  <c r="I82" i="15"/>
  <c r="N81" i="15"/>
  <c r="M81" i="15"/>
  <c r="L81" i="15"/>
  <c r="K81" i="15"/>
  <c r="J81" i="15"/>
  <c r="I81" i="15"/>
  <c r="O81" i="15" s="1"/>
  <c r="N80" i="15"/>
  <c r="M80" i="15"/>
  <c r="L80" i="15"/>
  <c r="K80" i="15"/>
  <c r="J80" i="15"/>
  <c r="I80" i="15"/>
  <c r="N79" i="15"/>
  <c r="M79" i="15"/>
  <c r="L79" i="15"/>
  <c r="K79" i="15"/>
  <c r="J79" i="15"/>
  <c r="I79" i="15"/>
  <c r="N78" i="15"/>
  <c r="M78" i="15"/>
  <c r="L78" i="15"/>
  <c r="K78" i="15"/>
  <c r="J78" i="15"/>
  <c r="I78" i="15"/>
  <c r="N77" i="15"/>
  <c r="M77" i="15"/>
  <c r="L77" i="15"/>
  <c r="K77" i="15"/>
  <c r="J77" i="15"/>
  <c r="I77" i="15"/>
  <c r="O77" i="15" s="1"/>
  <c r="N75" i="15"/>
  <c r="M75" i="15"/>
  <c r="L75" i="15"/>
  <c r="K75" i="15"/>
  <c r="J75" i="15"/>
  <c r="I75" i="15"/>
  <c r="N74" i="15"/>
  <c r="M74" i="15"/>
  <c r="L74" i="15"/>
  <c r="K74" i="15"/>
  <c r="J74" i="15"/>
  <c r="I74" i="15"/>
  <c r="N73" i="15"/>
  <c r="M73" i="15"/>
  <c r="L73" i="15"/>
  <c r="K73" i="15"/>
  <c r="J73" i="15"/>
  <c r="I73" i="15"/>
  <c r="N72" i="15"/>
  <c r="M72" i="15"/>
  <c r="L72" i="15"/>
  <c r="K72" i="15"/>
  <c r="J72" i="15"/>
  <c r="I72" i="15"/>
  <c r="O72" i="15" s="1"/>
  <c r="N71" i="15"/>
  <c r="M71" i="15"/>
  <c r="L71" i="15"/>
  <c r="K71" i="15"/>
  <c r="J71" i="15"/>
  <c r="I71" i="15"/>
  <c r="N70" i="15"/>
  <c r="M70" i="15"/>
  <c r="L70" i="15"/>
  <c r="K70" i="15"/>
  <c r="J70" i="15"/>
  <c r="I70" i="15"/>
  <c r="N69" i="15"/>
  <c r="M69" i="15"/>
  <c r="L69" i="15"/>
  <c r="K69" i="15"/>
  <c r="J69" i="15"/>
  <c r="I69" i="15"/>
  <c r="N68" i="15"/>
  <c r="M68" i="15"/>
  <c r="L68" i="15"/>
  <c r="K68" i="15"/>
  <c r="J68" i="15"/>
  <c r="I68" i="15"/>
  <c r="O68" i="15" s="1"/>
  <c r="N67" i="15"/>
  <c r="M67" i="15"/>
  <c r="L67" i="15"/>
  <c r="K67" i="15"/>
  <c r="J67" i="15"/>
  <c r="I67" i="15"/>
  <c r="N66" i="15"/>
  <c r="M66" i="15"/>
  <c r="L66" i="15"/>
  <c r="K66" i="15"/>
  <c r="J66" i="15"/>
  <c r="I66" i="15"/>
  <c r="N65" i="15"/>
  <c r="M65" i="15"/>
  <c r="L65" i="15"/>
  <c r="K65" i="15"/>
  <c r="J65" i="15"/>
  <c r="I65" i="15"/>
  <c r="N64" i="15"/>
  <c r="M64" i="15"/>
  <c r="L64" i="15"/>
  <c r="K64" i="15"/>
  <c r="J64" i="15"/>
  <c r="I64" i="15"/>
  <c r="O64" i="15" s="1"/>
  <c r="N63" i="15"/>
  <c r="M63" i="15"/>
  <c r="L63" i="15"/>
  <c r="K63" i="15"/>
  <c r="J63" i="15"/>
  <c r="I63" i="15"/>
  <c r="N62" i="15"/>
  <c r="M62" i="15"/>
  <c r="L62" i="15"/>
  <c r="K62" i="15"/>
  <c r="J62" i="15"/>
  <c r="I62" i="15"/>
  <c r="N61" i="15"/>
  <c r="M61" i="15"/>
  <c r="L61" i="15"/>
  <c r="K61" i="15"/>
  <c r="J61" i="15"/>
  <c r="I61" i="15"/>
  <c r="N60" i="15"/>
  <c r="M60" i="15"/>
  <c r="L60" i="15"/>
  <c r="K60" i="15"/>
  <c r="J60" i="15"/>
  <c r="I60" i="15"/>
  <c r="O60" i="15" s="1"/>
  <c r="N59" i="15"/>
  <c r="M59" i="15"/>
  <c r="L59" i="15"/>
  <c r="K59" i="15"/>
  <c r="J59" i="15"/>
  <c r="I59" i="15"/>
  <c r="N58" i="15"/>
  <c r="M58" i="15"/>
  <c r="L58" i="15"/>
  <c r="K58" i="15"/>
  <c r="J58" i="15"/>
  <c r="I58" i="15"/>
  <c r="N57" i="15"/>
  <c r="M57" i="15"/>
  <c r="K57" i="15"/>
  <c r="J57" i="15"/>
  <c r="I57" i="15"/>
  <c r="N56" i="15"/>
  <c r="M56" i="15"/>
  <c r="L56" i="15"/>
  <c r="K56" i="15"/>
  <c r="J56" i="15"/>
  <c r="I56" i="15"/>
  <c r="N55" i="15"/>
  <c r="M55" i="15"/>
  <c r="L55" i="15"/>
  <c r="K55" i="15"/>
  <c r="J55" i="15"/>
  <c r="I55" i="15"/>
  <c r="N54" i="15"/>
  <c r="M54" i="15"/>
  <c r="L54" i="15"/>
  <c r="K54" i="15"/>
  <c r="J54" i="15"/>
  <c r="I54" i="15"/>
  <c r="N53" i="15"/>
  <c r="M53" i="15"/>
  <c r="L53" i="15"/>
  <c r="K53" i="15"/>
  <c r="J53" i="15"/>
  <c r="I53" i="15"/>
  <c r="N52" i="15"/>
  <c r="M52" i="15"/>
  <c r="L52" i="15"/>
  <c r="K52" i="15"/>
  <c r="J52" i="15"/>
  <c r="I52" i="15"/>
  <c r="N51" i="15"/>
  <c r="M51" i="15"/>
  <c r="L51" i="15"/>
  <c r="K51" i="15"/>
  <c r="J51" i="15"/>
  <c r="I51" i="15"/>
  <c r="N50" i="15"/>
  <c r="M50" i="15"/>
  <c r="L50" i="15"/>
  <c r="K50" i="15"/>
  <c r="J50" i="15"/>
  <c r="I50" i="15"/>
  <c r="N49" i="15"/>
  <c r="M49" i="15"/>
  <c r="L49" i="15"/>
  <c r="K49" i="15"/>
  <c r="J49" i="15"/>
  <c r="I49" i="15"/>
  <c r="N48" i="15"/>
  <c r="M48" i="15"/>
  <c r="L48" i="15"/>
  <c r="K48" i="15"/>
  <c r="J48" i="15"/>
  <c r="I48" i="15"/>
  <c r="N47" i="15"/>
  <c r="M47" i="15"/>
  <c r="L47" i="15"/>
  <c r="K47" i="15"/>
  <c r="J47" i="15"/>
  <c r="I47" i="15"/>
  <c r="N46" i="15"/>
  <c r="M46" i="15"/>
  <c r="L46" i="15"/>
  <c r="K46" i="15"/>
  <c r="J46" i="15"/>
  <c r="I46" i="15"/>
  <c r="N45" i="15"/>
  <c r="M45" i="15"/>
  <c r="L45" i="15"/>
  <c r="K45" i="15"/>
  <c r="J45" i="15"/>
  <c r="I45" i="15"/>
  <c r="N44" i="15"/>
  <c r="M44" i="15"/>
  <c r="L44" i="15"/>
  <c r="K44" i="15"/>
  <c r="J44" i="15"/>
  <c r="I44" i="15"/>
  <c r="N43" i="15"/>
  <c r="M43" i="15"/>
  <c r="L43" i="15"/>
  <c r="K43" i="15"/>
  <c r="J43" i="15"/>
  <c r="I43" i="15"/>
  <c r="N42" i="15"/>
  <c r="M42" i="15"/>
  <c r="L42" i="15"/>
  <c r="K42" i="15"/>
  <c r="J42" i="15"/>
  <c r="I42" i="15"/>
  <c r="N41" i="15"/>
  <c r="M41" i="15"/>
  <c r="L41" i="15"/>
  <c r="K41" i="15"/>
  <c r="J41" i="15"/>
  <c r="I41" i="15"/>
  <c r="N40" i="15"/>
  <c r="M40" i="15"/>
  <c r="L40" i="15"/>
  <c r="K40" i="15"/>
  <c r="J40" i="15"/>
  <c r="I40" i="15"/>
  <c r="N39" i="15"/>
  <c r="M39" i="15"/>
  <c r="L39" i="15"/>
  <c r="K39" i="15"/>
  <c r="J39" i="15"/>
  <c r="I39" i="15"/>
  <c r="N38" i="15"/>
  <c r="M38" i="15"/>
  <c r="L38" i="15"/>
  <c r="K38" i="15"/>
  <c r="J38" i="15"/>
  <c r="I38" i="15"/>
  <c r="N37" i="15"/>
  <c r="M37" i="15"/>
  <c r="L37" i="15"/>
  <c r="K37" i="15"/>
  <c r="J37" i="15"/>
  <c r="I37" i="15"/>
  <c r="N36" i="15"/>
  <c r="M36" i="15"/>
  <c r="L36" i="15"/>
  <c r="K36" i="15"/>
  <c r="J36" i="15"/>
  <c r="I36" i="15"/>
  <c r="N35" i="15"/>
  <c r="M35" i="15"/>
  <c r="L35" i="15"/>
  <c r="K35" i="15"/>
  <c r="J35" i="15"/>
  <c r="I35" i="15"/>
  <c r="N34" i="15"/>
  <c r="M34" i="15"/>
  <c r="L34" i="15"/>
  <c r="K34" i="15"/>
  <c r="J34" i="15"/>
  <c r="I34" i="15"/>
  <c r="N33" i="15"/>
  <c r="M33" i="15"/>
  <c r="L33" i="15"/>
  <c r="K33" i="15"/>
  <c r="J33" i="15"/>
  <c r="I33" i="15"/>
  <c r="N32" i="15"/>
  <c r="M32" i="15"/>
  <c r="L32" i="15"/>
  <c r="K32" i="15"/>
  <c r="J32" i="15"/>
  <c r="I32" i="15"/>
  <c r="N31" i="15"/>
  <c r="M31" i="15"/>
  <c r="L31" i="15"/>
  <c r="K31" i="15"/>
  <c r="J31" i="15"/>
  <c r="I31" i="15"/>
  <c r="N30" i="15"/>
  <c r="M30" i="15"/>
  <c r="L30" i="15"/>
  <c r="K30" i="15"/>
  <c r="J30" i="15"/>
  <c r="I30" i="15"/>
  <c r="N29" i="15"/>
  <c r="M29" i="15"/>
  <c r="L29" i="15"/>
  <c r="K29" i="15"/>
  <c r="J29" i="15"/>
  <c r="I29" i="15"/>
  <c r="N28" i="15"/>
  <c r="M28" i="15"/>
  <c r="L28" i="15"/>
  <c r="K28" i="15"/>
  <c r="J28" i="15"/>
  <c r="I28" i="15"/>
  <c r="N27" i="15"/>
  <c r="M27" i="15"/>
  <c r="L27" i="15"/>
  <c r="K27" i="15"/>
  <c r="J27" i="15"/>
  <c r="I27" i="15"/>
  <c r="N26" i="15"/>
  <c r="M26" i="15"/>
  <c r="L26" i="15"/>
  <c r="K26" i="15"/>
  <c r="J26" i="15"/>
  <c r="I26" i="15"/>
  <c r="N25" i="15"/>
  <c r="M25" i="15"/>
  <c r="L25" i="15"/>
  <c r="K25" i="15"/>
  <c r="J25" i="15"/>
  <c r="I25" i="15"/>
  <c r="N24" i="15"/>
  <c r="M24" i="15"/>
  <c r="L24" i="15"/>
  <c r="K24" i="15"/>
  <c r="J24" i="15"/>
  <c r="I24" i="15"/>
  <c r="N23" i="15"/>
  <c r="M23" i="15"/>
  <c r="L23" i="15"/>
  <c r="K23" i="15"/>
  <c r="J23" i="15"/>
  <c r="I23" i="15"/>
  <c r="N22" i="15"/>
  <c r="M22" i="15"/>
  <c r="L22" i="15"/>
  <c r="K22" i="15"/>
  <c r="J22" i="15"/>
  <c r="I22" i="15"/>
  <c r="N21" i="15"/>
  <c r="M21" i="15"/>
  <c r="L21" i="15"/>
  <c r="K21" i="15"/>
  <c r="J21" i="15"/>
  <c r="I21" i="15"/>
  <c r="N20" i="15"/>
  <c r="M20" i="15"/>
  <c r="L20" i="15"/>
  <c r="K20" i="15"/>
  <c r="J20" i="15"/>
  <c r="I20" i="15"/>
  <c r="N19" i="15"/>
  <c r="M19" i="15"/>
  <c r="L19" i="15"/>
  <c r="K19" i="15"/>
  <c r="J19" i="15"/>
  <c r="I19" i="15"/>
  <c r="N18" i="15"/>
  <c r="M18" i="15"/>
  <c r="L18" i="15"/>
  <c r="K18" i="15"/>
  <c r="J18" i="15"/>
  <c r="I18" i="15"/>
  <c r="N17" i="15"/>
  <c r="M17" i="15"/>
  <c r="L17" i="15"/>
  <c r="K17" i="15"/>
  <c r="J17" i="15"/>
  <c r="I17" i="15"/>
  <c r="N16" i="15"/>
  <c r="M16" i="15"/>
  <c r="L16" i="15"/>
  <c r="K16" i="15"/>
  <c r="J16" i="15"/>
  <c r="I16" i="15"/>
  <c r="N15" i="15"/>
  <c r="M15" i="15"/>
  <c r="L15" i="15"/>
  <c r="K15" i="15"/>
  <c r="J15" i="15"/>
  <c r="I15" i="15"/>
  <c r="N14" i="15"/>
  <c r="M14" i="15"/>
  <c r="L14" i="15"/>
  <c r="K14" i="15"/>
  <c r="J14" i="15"/>
  <c r="I14" i="15"/>
  <c r="N13" i="15"/>
  <c r="M13" i="15"/>
  <c r="L13" i="15"/>
  <c r="K13" i="15"/>
  <c r="J13" i="15"/>
  <c r="I13" i="15"/>
  <c r="N12" i="15"/>
  <c r="M12" i="15"/>
  <c r="L12" i="15"/>
  <c r="K12" i="15"/>
  <c r="J12" i="15"/>
  <c r="I12" i="15"/>
  <c r="N11" i="15"/>
  <c r="M11" i="15"/>
  <c r="L11" i="15"/>
  <c r="K11" i="15"/>
  <c r="J11" i="15"/>
  <c r="I11" i="15"/>
  <c r="N10" i="15"/>
  <c r="M10" i="15"/>
  <c r="L10" i="15"/>
  <c r="K10" i="15"/>
  <c r="J10" i="15"/>
  <c r="I10" i="15"/>
  <c r="N9" i="15"/>
  <c r="M9" i="15"/>
  <c r="L9" i="15"/>
  <c r="K9" i="15"/>
  <c r="J9" i="15"/>
  <c r="I9" i="15"/>
  <c r="N8" i="15"/>
  <c r="M8" i="15"/>
  <c r="L8" i="15"/>
  <c r="K8" i="15"/>
  <c r="J8" i="15"/>
  <c r="I8" i="15"/>
  <c r="N7" i="15"/>
  <c r="M7" i="15"/>
  <c r="L7" i="15"/>
  <c r="K7" i="15"/>
  <c r="J7" i="15"/>
  <c r="I7" i="15"/>
  <c r="N6" i="15"/>
  <c r="M6" i="15"/>
  <c r="L6" i="15"/>
  <c r="K6" i="15"/>
  <c r="J6" i="15"/>
  <c r="I6" i="15"/>
  <c r="N5" i="15"/>
  <c r="M5" i="15"/>
  <c r="L5" i="15"/>
  <c r="K5" i="15"/>
  <c r="J5" i="15"/>
  <c r="I5" i="15"/>
  <c r="N4" i="15"/>
  <c r="M4" i="15"/>
  <c r="L4" i="15"/>
  <c r="K4" i="15"/>
  <c r="J4" i="15"/>
  <c r="I4" i="15"/>
  <c r="K21" i="13"/>
  <c r="D21" i="13"/>
  <c r="K20" i="13"/>
  <c r="K19" i="13"/>
  <c r="K18" i="13"/>
  <c r="K17" i="13"/>
  <c r="K16" i="13"/>
  <c r="K15" i="13"/>
  <c r="D15" i="13"/>
  <c r="D18" i="13" s="1"/>
  <c r="K14" i="13"/>
  <c r="D14" i="13"/>
  <c r="D17" i="13" s="1"/>
  <c r="D20" i="13" s="1"/>
  <c r="K13" i="13"/>
  <c r="D13" i="13"/>
  <c r="D16" i="13" s="1"/>
  <c r="L12" i="13"/>
  <c r="K12" i="13"/>
  <c r="J12" i="13"/>
  <c r="E12" i="13"/>
  <c r="K11" i="13"/>
  <c r="J11" i="13"/>
  <c r="E11" i="13"/>
  <c r="E10" i="13"/>
  <c r="K10" i="13" s="1"/>
  <c r="L9" i="13"/>
  <c r="K9" i="13"/>
  <c r="D9" i="13"/>
  <c r="J9" i="13" s="1"/>
  <c r="K8" i="13"/>
  <c r="D7" i="13"/>
  <c r="L6" i="13"/>
  <c r="K6" i="13"/>
  <c r="J6" i="13"/>
  <c r="D6" i="13"/>
  <c r="K5" i="13"/>
  <c r="D5" i="13"/>
  <c r="D8" i="13" s="1"/>
  <c r="J8" i="13" s="1"/>
  <c r="D4" i="13"/>
  <c r="W22" i="10"/>
  <c r="AA22" i="10" s="1"/>
  <c r="T22" i="10"/>
  <c r="V22" i="10" s="1"/>
  <c r="B22" i="10"/>
  <c r="S21" i="10"/>
  <c r="S20" i="10"/>
  <c r="X19" i="10"/>
  <c r="T19" i="10"/>
  <c r="R19" i="10"/>
  <c r="Q19" i="10"/>
  <c r="P19" i="10"/>
  <c r="N19" i="10"/>
  <c r="M19" i="10"/>
  <c r="L19" i="10"/>
  <c r="J19" i="10"/>
  <c r="I19" i="10"/>
  <c r="H19" i="10"/>
  <c r="F19" i="10"/>
  <c r="E19" i="10"/>
  <c r="D19" i="10"/>
  <c r="C19" i="10"/>
  <c r="S19" i="10" s="1"/>
  <c r="AB18" i="10"/>
  <c r="U18" i="10"/>
  <c r="T18" i="10"/>
  <c r="W18" i="10" s="1"/>
  <c r="AA18" i="10" s="1"/>
  <c r="R18" i="10"/>
  <c r="Q18" i="10"/>
  <c r="P18" i="10"/>
  <c r="N18" i="10"/>
  <c r="M18" i="10"/>
  <c r="L18" i="10"/>
  <c r="J18" i="10"/>
  <c r="I18" i="10"/>
  <c r="H18" i="10"/>
  <c r="F18" i="10"/>
  <c r="E18" i="10"/>
  <c r="D18" i="10"/>
  <c r="C18" i="10"/>
  <c r="S18" i="10" s="1"/>
  <c r="U17" i="10"/>
  <c r="T10" i="10"/>
  <c r="AB7" i="10"/>
  <c r="X7" i="10"/>
  <c r="W7" i="10"/>
  <c r="AA7" i="10" s="1"/>
  <c r="U7" i="10"/>
  <c r="Y7" i="10" s="1"/>
  <c r="T7" i="10"/>
  <c r="V7" i="10" s="1"/>
  <c r="B7" i="10"/>
  <c r="AB6" i="10"/>
  <c r="Y6" i="10"/>
  <c r="W6" i="10"/>
  <c r="AA6" i="10" s="1"/>
  <c r="V6" i="10"/>
  <c r="U6" i="10"/>
  <c r="T6" i="10"/>
  <c r="X6" i="10" s="1"/>
  <c r="B6" i="10"/>
  <c r="T5" i="10"/>
  <c r="R5" i="10"/>
  <c r="Q5" i="10"/>
  <c r="P5" i="10"/>
  <c r="N5" i="10"/>
  <c r="M5" i="10"/>
  <c r="L5" i="10"/>
  <c r="J5" i="10"/>
  <c r="I5" i="10"/>
  <c r="H5" i="10"/>
  <c r="F5" i="10"/>
  <c r="E5" i="10"/>
  <c r="D5" i="10"/>
  <c r="C5" i="10"/>
  <c r="S5" i="10" s="1"/>
  <c r="B5" i="10"/>
  <c r="AB4" i="10"/>
  <c r="W4" i="10"/>
  <c r="AA4" i="10" s="1"/>
  <c r="V4" i="10"/>
  <c r="T4" i="10"/>
  <c r="X4" i="10" s="1"/>
  <c r="B4" i="10"/>
  <c r="V3" i="10"/>
  <c r="T3" i="10"/>
  <c r="AB3" i="10" s="1"/>
  <c r="B3" i="10"/>
  <c r="X2" i="10"/>
  <c r="T2" i="10"/>
  <c r="B2" i="10"/>
  <c r="I132" i="6"/>
  <c r="H132" i="6"/>
  <c r="I131" i="6"/>
  <c r="H131" i="6"/>
  <c r="I130" i="6"/>
  <c r="H130" i="6"/>
  <c r="I129" i="6"/>
  <c r="H129" i="6"/>
  <c r="I128" i="6"/>
  <c r="H128" i="6"/>
  <c r="I127" i="6"/>
  <c r="H127" i="6"/>
  <c r="I126" i="6"/>
  <c r="H126" i="6"/>
  <c r="I125" i="6"/>
  <c r="H125" i="6"/>
  <c r="I124" i="6"/>
  <c r="H124" i="6"/>
  <c r="I123" i="6"/>
  <c r="H123" i="6"/>
  <c r="I122" i="6"/>
  <c r="H122" i="6"/>
  <c r="I121" i="6"/>
  <c r="H121" i="6"/>
  <c r="I120" i="6"/>
  <c r="H120" i="6"/>
  <c r="I119" i="6"/>
  <c r="H119" i="6"/>
  <c r="I118" i="6"/>
  <c r="H118" i="6"/>
  <c r="I117" i="6"/>
  <c r="H117" i="6"/>
  <c r="I116" i="6"/>
  <c r="H116" i="6"/>
  <c r="I115" i="6"/>
  <c r="H115" i="6"/>
  <c r="I114" i="6"/>
  <c r="H114" i="6"/>
  <c r="I113" i="6"/>
  <c r="H113" i="6"/>
  <c r="I112" i="6"/>
  <c r="H112" i="6"/>
  <c r="I111" i="6"/>
  <c r="H111" i="6"/>
  <c r="I110" i="6"/>
  <c r="H110" i="6"/>
  <c r="I109" i="6"/>
  <c r="H109" i="6"/>
  <c r="I108" i="6"/>
  <c r="H108" i="6"/>
  <c r="I107" i="6"/>
  <c r="H107" i="6"/>
  <c r="I106" i="6"/>
  <c r="H106" i="6"/>
  <c r="I105" i="6"/>
  <c r="H105" i="6"/>
  <c r="I104" i="6"/>
  <c r="H104" i="6"/>
  <c r="I103" i="6"/>
  <c r="H103" i="6"/>
  <c r="I102" i="6"/>
  <c r="H102" i="6"/>
  <c r="I101" i="6"/>
  <c r="H101" i="6"/>
  <c r="I100" i="6"/>
  <c r="H100" i="6"/>
  <c r="I99" i="6"/>
  <c r="H99" i="6"/>
  <c r="I98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I77" i="6"/>
  <c r="H77" i="6"/>
  <c r="I76" i="6"/>
  <c r="H76" i="6"/>
  <c r="I75" i="6"/>
  <c r="H75" i="6"/>
  <c r="H74" i="6"/>
  <c r="I73" i="6"/>
  <c r="H73" i="6"/>
  <c r="I72" i="6"/>
  <c r="H72" i="6"/>
  <c r="I71" i="6"/>
  <c r="H71" i="6"/>
  <c r="I70" i="6"/>
  <c r="H70" i="6"/>
  <c r="I69" i="6"/>
  <c r="H69" i="6"/>
  <c r="I68" i="6"/>
  <c r="H68" i="6"/>
  <c r="I67" i="6"/>
  <c r="H67" i="6"/>
  <c r="I66" i="6"/>
  <c r="H66" i="6"/>
  <c r="I65" i="6"/>
  <c r="H65" i="6"/>
  <c r="I64" i="6"/>
  <c r="H64" i="6"/>
  <c r="I63" i="6"/>
  <c r="H63" i="6"/>
  <c r="I62" i="6"/>
  <c r="H62" i="6"/>
  <c r="I61" i="6"/>
  <c r="H61" i="6"/>
  <c r="H60" i="6"/>
  <c r="J59" i="6"/>
  <c r="I59" i="6"/>
  <c r="H59" i="6"/>
  <c r="J58" i="6"/>
  <c r="I58" i="6"/>
  <c r="H58" i="6"/>
  <c r="J57" i="6"/>
  <c r="I57" i="6"/>
  <c r="H57" i="6"/>
  <c r="J56" i="6"/>
  <c r="I56" i="6"/>
  <c r="H56" i="6"/>
  <c r="J55" i="6"/>
  <c r="I55" i="6"/>
  <c r="H55" i="6"/>
  <c r="J54" i="6"/>
  <c r="I54" i="6"/>
  <c r="H54" i="6"/>
  <c r="J53" i="6"/>
  <c r="I53" i="6"/>
  <c r="H53" i="6"/>
  <c r="J52" i="6"/>
  <c r="I52" i="6"/>
  <c r="H52" i="6"/>
  <c r="J51" i="6"/>
  <c r="I51" i="6"/>
  <c r="H51" i="6"/>
  <c r="J50" i="6"/>
  <c r="I50" i="6"/>
  <c r="H50" i="6"/>
  <c r="I49" i="6"/>
  <c r="H49" i="6"/>
  <c r="J48" i="6"/>
  <c r="I48" i="6"/>
  <c r="H48" i="6"/>
  <c r="I47" i="6"/>
  <c r="H47" i="6"/>
  <c r="I46" i="6"/>
  <c r="H46" i="6"/>
  <c r="I45" i="6"/>
  <c r="H45" i="6"/>
  <c r="I44" i="6"/>
  <c r="H44" i="6"/>
  <c r="I43" i="6"/>
  <c r="H43" i="6"/>
  <c r="I42" i="6"/>
  <c r="H42" i="6"/>
  <c r="I41" i="6"/>
  <c r="H41" i="6"/>
  <c r="I40" i="6"/>
  <c r="H40" i="6"/>
  <c r="H39" i="6"/>
  <c r="H38" i="6"/>
  <c r="H37" i="6"/>
  <c r="H36" i="6"/>
  <c r="H35" i="6"/>
  <c r="H34" i="6"/>
  <c r="H33" i="6"/>
  <c r="H32" i="6"/>
  <c r="I31" i="6"/>
  <c r="H31" i="6"/>
  <c r="I30" i="6"/>
  <c r="H30" i="6"/>
  <c r="I29" i="6"/>
  <c r="H29" i="6"/>
  <c r="I28" i="6"/>
  <c r="H28" i="6"/>
  <c r="J27" i="6"/>
  <c r="I27" i="6"/>
  <c r="H27" i="6"/>
  <c r="I26" i="6"/>
  <c r="H26" i="6"/>
  <c r="I25" i="6"/>
  <c r="H25" i="6"/>
  <c r="I24" i="6"/>
  <c r="H24" i="6"/>
  <c r="I23" i="6"/>
  <c r="H23" i="6"/>
  <c r="I22" i="6"/>
  <c r="H22" i="6"/>
  <c r="I21" i="6"/>
  <c r="H21" i="6"/>
  <c r="I20" i="6"/>
  <c r="H20" i="6"/>
  <c r="I19" i="6"/>
  <c r="H19" i="6"/>
  <c r="I18" i="6"/>
  <c r="H18" i="6"/>
  <c r="I17" i="6"/>
  <c r="H17" i="6"/>
  <c r="I16" i="6"/>
  <c r="H16" i="6"/>
  <c r="I15" i="6"/>
  <c r="H15" i="6"/>
  <c r="I14" i="6"/>
  <c r="H14" i="6"/>
  <c r="I13" i="6"/>
  <c r="H13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I4" i="6"/>
  <c r="H4" i="6"/>
  <c r="I3" i="6"/>
  <c r="H3" i="6"/>
  <c r="I2" i="6"/>
  <c r="H2" i="6"/>
  <c r="K29" i="5"/>
  <c r="G133" i="4"/>
  <c r="G122" i="4"/>
  <c r="I122" i="4" s="1"/>
  <c r="I123" i="4" s="1"/>
  <c r="A107" i="4"/>
  <c r="B83" i="4"/>
  <c r="A77" i="4"/>
  <c r="G56" i="4"/>
  <c r="B737" i="3"/>
  <c r="I3" i="4" s="1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T565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7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H454" i="3"/>
  <c r="F454" i="3"/>
  <c r="G454" i="3" s="1"/>
  <c r="D454" i="3"/>
  <c r="C454" i="3"/>
  <c r="K454" i="3" s="1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P221" i="3"/>
  <c r="O221" i="3"/>
  <c r="S221" i="3" s="1"/>
  <c r="L221" i="3"/>
  <c r="M221" i="3" s="1"/>
  <c r="B221" i="3"/>
  <c r="P220" i="3"/>
  <c r="L220" i="3"/>
  <c r="B220" i="3"/>
  <c r="U219" i="3"/>
  <c r="P219" i="3"/>
  <c r="O219" i="3"/>
  <c r="S219" i="3" s="1"/>
  <c r="N219" i="3"/>
  <c r="L219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C803" i="1"/>
  <c r="C737" i="3" s="1"/>
  <c r="C802" i="1"/>
  <c r="C736" i="3" s="1"/>
  <c r="C800" i="1"/>
  <c r="C735" i="3" s="1"/>
  <c r="C799" i="1"/>
  <c r="C734" i="3" s="1"/>
  <c r="C798" i="1"/>
  <c r="C733" i="3" s="1"/>
  <c r="C797" i="1"/>
  <c r="C732" i="3" s="1"/>
  <c r="C796" i="1"/>
  <c r="C731" i="3" s="1"/>
  <c r="C795" i="1"/>
  <c r="C730" i="3" s="1"/>
  <c r="C794" i="1"/>
  <c r="C729" i="3" s="1"/>
  <c r="C793" i="1"/>
  <c r="C728" i="3" s="1"/>
  <c r="C792" i="1"/>
  <c r="C727" i="3" s="1"/>
  <c r="C791" i="1"/>
  <c r="C726" i="3" s="1"/>
  <c r="C789" i="1"/>
  <c r="C725" i="3" s="1"/>
  <c r="C788" i="1"/>
  <c r="C724" i="3" s="1"/>
  <c r="C787" i="1"/>
  <c r="C723" i="3" s="1"/>
  <c r="C786" i="1"/>
  <c r="C722" i="3" s="1"/>
  <c r="C785" i="1"/>
  <c r="C721" i="3" s="1"/>
  <c r="C784" i="1"/>
  <c r="C720" i="3" s="1"/>
  <c r="C783" i="1"/>
  <c r="C719" i="3" s="1"/>
  <c r="C782" i="1"/>
  <c r="C718" i="3" s="1"/>
  <c r="C781" i="1"/>
  <c r="C717" i="3" s="1"/>
  <c r="C780" i="1"/>
  <c r="C716" i="3" s="1"/>
  <c r="C779" i="1"/>
  <c r="C715" i="3" s="1"/>
  <c r="C778" i="1"/>
  <c r="C714" i="3" s="1"/>
  <c r="C777" i="1"/>
  <c r="C713" i="3" s="1"/>
  <c r="C776" i="1"/>
  <c r="C712" i="3" s="1"/>
  <c r="C775" i="1"/>
  <c r="C711" i="3" s="1"/>
  <c r="C774" i="1"/>
  <c r="C710" i="3" s="1"/>
  <c r="C773" i="1"/>
  <c r="C709" i="3" s="1"/>
  <c r="C772" i="1"/>
  <c r="C708" i="3" s="1"/>
  <c r="C771" i="1"/>
  <c r="C707" i="3" s="1"/>
  <c r="C770" i="1"/>
  <c r="C706" i="3" s="1"/>
  <c r="C769" i="1"/>
  <c r="C705" i="3" s="1"/>
  <c r="C768" i="1"/>
  <c r="C704" i="3" s="1"/>
  <c r="C767" i="1"/>
  <c r="C703" i="3" s="1"/>
  <c r="C766" i="1"/>
  <c r="C702" i="3" s="1"/>
  <c r="C765" i="1"/>
  <c r="C701" i="3" s="1"/>
  <c r="C764" i="1"/>
  <c r="C700" i="3" s="1"/>
  <c r="C763" i="1"/>
  <c r="C699" i="3" s="1"/>
  <c r="C762" i="1"/>
  <c r="C698" i="3" s="1"/>
  <c r="C761" i="1"/>
  <c r="C697" i="3" s="1"/>
  <c r="C760" i="1"/>
  <c r="C696" i="3" s="1"/>
  <c r="C759" i="1"/>
  <c r="C695" i="3" s="1"/>
  <c r="C758" i="1"/>
  <c r="C694" i="3" s="1"/>
  <c r="C757" i="1"/>
  <c r="C693" i="3" s="1"/>
  <c r="C756" i="1"/>
  <c r="C692" i="3" s="1"/>
  <c r="C755" i="1"/>
  <c r="C691" i="3" s="1"/>
  <c r="C754" i="1"/>
  <c r="C690" i="3" s="1"/>
  <c r="C753" i="1"/>
  <c r="C689" i="3" s="1"/>
  <c r="C752" i="1"/>
  <c r="C688" i="3" s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3" i="1"/>
  <c r="C692" i="1"/>
  <c r="C691" i="1"/>
  <c r="C690" i="1"/>
  <c r="C689" i="1"/>
  <c r="C688" i="1"/>
  <c r="C687" i="1"/>
  <c r="C686" i="1"/>
  <c r="C684" i="1"/>
  <c r="C683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D669" i="1"/>
  <c r="L612" i="3" s="1"/>
  <c r="C669" i="1"/>
  <c r="C612" i="3" s="1"/>
  <c r="D668" i="1"/>
  <c r="L611" i="3" s="1"/>
  <c r="C668" i="1"/>
  <c r="C611" i="3" s="1"/>
  <c r="D667" i="1"/>
  <c r="L610" i="3" s="1"/>
  <c r="C667" i="1"/>
  <c r="C610" i="3" s="1"/>
  <c r="D666" i="1"/>
  <c r="L609" i="3" s="1"/>
  <c r="C666" i="1"/>
  <c r="C609" i="3" s="1"/>
  <c r="D665" i="1"/>
  <c r="L608" i="3" s="1"/>
  <c r="C665" i="1"/>
  <c r="C608" i="3" s="1"/>
  <c r="D664" i="1"/>
  <c r="L607" i="3" s="1"/>
  <c r="C664" i="1"/>
  <c r="C607" i="3" s="1"/>
  <c r="D663" i="1"/>
  <c r="L606" i="3" s="1"/>
  <c r="C663" i="1"/>
  <c r="C606" i="3" s="1"/>
  <c r="D662" i="1"/>
  <c r="L605" i="3" s="1"/>
  <c r="C662" i="1"/>
  <c r="C605" i="3" s="1"/>
  <c r="D661" i="1"/>
  <c r="L604" i="3" s="1"/>
  <c r="C661" i="1"/>
  <c r="C604" i="3" s="1"/>
  <c r="D660" i="1"/>
  <c r="L603" i="3" s="1"/>
  <c r="C660" i="1"/>
  <c r="C603" i="3" s="1"/>
  <c r="D658" i="1"/>
  <c r="L602" i="3" s="1"/>
  <c r="C658" i="1"/>
  <c r="C602" i="3" s="1"/>
  <c r="D657" i="1"/>
  <c r="L601" i="3" s="1"/>
  <c r="C657" i="1"/>
  <c r="C601" i="3" s="1"/>
  <c r="D656" i="1"/>
  <c r="L600" i="3" s="1"/>
  <c r="C656" i="1"/>
  <c r="C600" i="3" s="1"/>
  <c r="D655" i="1"/>
  <c r="L599" i="3" s="1"/>
  <c r="C655" i="1"/>
  <c r="C599" i="3" s="1"/>
  <c r="D654" i="1"/>
  <c r="L598" i="3" s="1"/>
  <c r="C654" i="1"/>
  <c r="C598" i="3" s="1"/>
  <c r="D653" i="1"/>
  <c r="L597" i="3" s="1"/>
  <c r="C653" i="1"/>
  <c r="C597" i="3" s="1"/>
  <c r="D651" i="1"/>
  <c r="L596" i="3" s="1"/>
  <c r="C651" i="1"/>
  <c r="C596" i="3" s="1"/>
  <c r="D650" i="1"/>
  <c r="L595" i="3" s="1"/>
  <c r="C650" i="1"/>
  <c r="C595" i="3" s="1"/>
  <c r="D649" i="1"/>
  <c r="L594" i="3" s="1"/>
  <c r="C649" i="1"/>
  <c r="C594" i="3" s="1"/>
  <c r="D648" i="1"/>
  <c r="L593" i="3" s="1"/>
  <c r="C648" i="1"/>
  <c r="C593" i="3" s="1"/>
  <c r="D647" i="1"/>
  <c r="L592" i="3" s="1"/>
  <c r="C647" i="1"/>
  <c r="C592" i="3" s="1"/>
  <c r="D646" i="1"/>
  <c r="L591" i="3" s="1"/>
  <c r="C646" i="1"/>
  <c r="C591" i="3" s="1"/>
  <c r="D645" i="1"/>
  <c r="L590" i="3" s="1"/>
  <c r="C645" i="1"/>
  <c r="C590" i="3" s="1"/>
  <c r="D644" i="1"/>
  <c r="L589" i="3" s="1"/>
  <c r="C644" i="1"/>
  <c r="C589" i="3" s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6" i="1"/>
  <c r="C595" i="1"/>
  <c r="C594" i="1"/>
  <c r="C593" i="1"/>
  <c r="C592" i="1"/>
  <c r="C591" i="1"/>
  <c r="C590" i="1"/>
  <c r="C589" i="1"/>
  <c r="C588" i="1"/>
  <c r="C586" i="1"/>
  <c r="C585" i="1"/>
  <c r="C584" i="1"/>
  <c r="C583" i="1"/>
  <c r="C582" i="1"/>
  <c r="C581" i="1"/>
  <c r="C580" i="1"/>
  <c r="C579" i="1"/>
  <c r="C578" i="1"/>
  <c r="C577" i="1"/>
  <c r="C575" i="1"/>
  <c r="C574" i="1"/>
  <c r="C573" i="1"/>
  <c r="C572" i="1"/>
  <c r="C571" i="1"/>
  <c r="C570" i="1"/>
  <c r="C569" i="1"/>
  <c r="C568" i="1"/>
  <c r="C567" i="1"/>
  <c r="C565" i="1"/>
  <c r="C564" i="1"/>
  <c r="C563" i="1"/>
  <c r="C562" i="1"/>
  <c r="C561" i="1"/>
  <c r="C560" i="1"/>
  <c r="C559" i="1"/>
  <c r="C557" i="1"/>
  <c r="C556" i="1"/>
  <c r="C555" i="1"/>
  <c r="C554" i="1"/>
  <c r="C553" i="1"/>
  <c r="C551" i="1"/>
  <c r="C550" i="1"/>
  <c r="C549" i="1"/>
  <c r="C548" i="1"/>
  <c r="C547" i="1"/>
  <c r="C546" i="1"/>
  <c r="C545" i="1"/>
  <c r="C544" i="1"/>
  <c r="C543" i="1"/>
  <c r="D541" i="1"/>
  <c r="L497" i="3" s="1"/>
  <c r="C541" i="1"/>
  <c r="C497" i="3" s="1"/>
  <c r="D539" i="1"/>
  <c r="L496" i="3" s="1"/>
  <c r="C539" i="1"/>
  <c r="C496" i="3" s="1"/>
  <c r="D538" i="1"/>
  <c r="L495" i="3" s="1"/>
  <c r="C538" i="1"/>
  <c r="C495" i="3" s="1"/>
  <c r="D537" i="1"/>
  <c r="L494" i="3" s="1"/>
  <c r="C537" i="1"/>
  <c r="C494" i="3" s="1"/>
  <c r="D536" i="1"/>
  <c r="L493" i="3" s="1"/>
  <c r="C536" i="1"/>
  <c r="C493" i="3" s="1"/>
  <c r="D535" i="1"/>
  <c r="L492" i="3" s="1"/>
  <c r="C535" i="1"/>
  <c r="C492" i="3" s="1"/>
  <c r="D534" i="1"/>
  <c r="L491" i="3" s="1"/>
  <c r="C534" i="1"/>
  <c r="C491" i="3" s="1"/>
  <c r="D533" i="1"/>
  <c r="L490" i="3" s="1"/>
  <c r="C533" i="1"/>
  <c r="C490" i="3" s="1"/>
  <c r="D531" i="1"/>
  <c r="L489" i="3" s="1"/>
  <c r="C531" i="1"/>
  <c r="C489" i="3" s="1"/>
  <c r="D530" i="1"/>
  <c r="L488" i="3" s="1"/>
  <c r="C530" i="1"/>
  <c r="C488" i="3" s="1"/>
  <c r="D529" i="1"/>
  <c r="L487" i="3" s="1"/>
  <c r="C529" i="1"/>
  <c r="C487" i="3" s="1"/>
  <c r="D528" i="1"/>
  <c r="L486" i="3" s="1"/>
  <c r="C528" i="1"/>
  <c r="C486" i="3" s="1"/>
  <c r="D527" i="1"/>
  <c r="L485" i="3" s="1"/>
  <c r="C527" i="1"/>
  <c r="C485" i="3" s="1"/>
  <c r="D526" i="1"/>
  <c r="L484" i="3" s="1"/>
  <c r="C526" i="1"/>
  <c r="C484" i="3" s="1"/>
  <c r="D525" i="1"/>
  <c r="L483" i="3" s="1"/>
  <c r="C525" i="1"/>
  <c r="C483" i="3" s="1"/>
  <c r="D524" i="1"/>
  <c r="L482" i="3" s="1"/>
  <c r="C524" i="1"/>
  <c r="C482" i="3" s="1"/>
  <c r="D523" i="1"/>
  <c r="L481" i="3" s="1"/>
  <c r="C523" i="1"/>
  <c r="C481" i="3" s="1"/>
  <c r="D521" i="1"/>
  <c r="L480" i="3" s="1"/>
  <c r="C521" i="1"/>
  <c r="C480" i="3" s="1"/>
  <c r="D520" i="1"/>
  <c r="L479" i="3" s="1"/>
  <c r="C520" i="1"/>
  <c r="C479" i="3" s="1"/>
  <c r="D519" i="1"/>
  <c r="L478" i="3" s="1"/>
  <c r="C519" i="1"/>
  <c r="C478" i="3" s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22" i="10" s="1"/>
  <c r="D502" i="1"/>
  <c r="L463" i="3" s="1"/>
  <c r="C502" i="1"/>
  <c r="C463" i="3" s="1"/>
  <c r="D501" i="1"/>
  <c r="L462" i="3" s="1"/>
  <c r="C501" i="1"/>
  <c r="C462" i="3" s="1"/>
  <c r="D500" i="1"/>
  <c r="L461" i="3" s="1"/>
  <c r="C500" i="1"/>
  <c r="C461" i="3" s="1"/>
  <c r="D499" i="1"/>
  <c r="L460" i="3" s="1"/>
  <c r="C499" i="1"/>
  <c r="C460" i="3" s="1"/>
  <c r="D498" i="1"/>
  <c r="L459" i="3" s="1"/>
  <c r="C498" i="1"/>
  <c r="C459" i="3" s="1"/>
  <c r="D497" i="1"/>
  <c r="L458" i="3" s="1"/>
  <c r="C497" i="1"/>
  <c r="C458" i="3" s="1"/>
  <c r="D496" i="1"/>
  <c r="L457" i="3" s="1"/>
  <c r="C496" i="1"/>
  <c r="C457" i="3" s="1"/>
  <c r="D495" i="1"/>
  <c r="L456" i="3" s="1"/>
  <c r="C495" i="1"/>
  <c r="C456" i="3" s="1"/>
  <c r="D494" i="1"/>
  <c r="L455" i="3" s="1"/>
  <c r="C494" i="1"/>
  <c r="C455" i="3" s="1"/>
  <c r="D493" i="1"/>
  <c r="L454" i="3" s="1"/>
  <c r="C491" i="1"/>
  <c r="C490" i="1"/>
  <c r="C489" i="1"/>
  <c r="C488" i="1"/>
  <c r="C487" i="1"/>
  <c r="C486" i="1"/>
  <c r="C484" i="1"/>
  <c r="C483" i="1"/>
  <c r="C482" i="1"/>
  <c r="C481" i="1"/>
  <c r="C480" i="1"/>
  <c r="C479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02" i="3" s="1"/>
  <c r="C323" i="1"/>
  <c r="D322" i="1"/>
  <c r="L300" i="3" s="1"/>
  <c r="C322" i="1"/>
  <c r="C300" i="3" s="1"/>
  <c r="C321" i="1"/>
  <c r="C320" i="1"/>
  <c r="C298" i="3" s="1"/>
  <c r="C319" i="1"/>
  <c r="C318" i="1"/>
  <c r="C296" i="3" s="1"/>
  <c r="C317" i="1"/>
  <c r="C316" i="1"/>
  <c r="C294" i="3" s="1"/>
  <c r="C315" i="1"/>
  <c r="D314" i="1"/>
  <c r="L292" i="3" s="1"/>
  <c r="C314" i="1"/>
  <c r="C292" i="3" s="1"/>
  <c r="C313" i="1"/>
  <c r="C311" i="1"/>
  <c r="C290" i="3" s="1"/>
  <c r="C310" i="1"/>
  <c r="C309" i="1"/>
  <c r="C288" i="3" s="1"/>
  <c r="C308" i="1"/>
  <c r="C307" i="1"/>
  <c r="C286" i="3" s="1"/>
  <c r="C306" i="1"/>
  <c r="D305" i="1"/>
  <c r="L284" i="3" s="1"/>
  <c r="C305" i="1"/>
  <c r="C284" i="3" s="1"/>
  <c r="C304" i="1"/>
  <c r="C303" i="1"/>
  <c r="C282" i="3" s="1"/>
  <c r="C302" i="1"/>
  <c r="C301" i="1"/>
  <c r="C280" i="3" s="1"/>
  <c r="D300" i="1"/>
  <c r="L279" i="3" s="1"/>
  <c r="C300" i="1"/>
  <c r="C279" i="3" s="1"/>
  <c r="C299" i="1"/>
  <c r="C278" i="3" s="1"/>
  <c r="D298" i="1"/>
  <c r="L277" i="3" s="1"/>
  <c r="C298" i="1"/>
  <c r="C277" i="3" s="1"/>
  <c r="C297" i="1"/>
  <c r="C276" i="3" s="1"/>
  <c r="D296" i="1"/>
  <c r="L275" i="3" s="1"/>
  <c r="C296" i="1"/>
  <c r="C275" i="3" s="1"/>
  <c r="C295" i="1"/>
  <c r="C274" i="3" s="1"/>
  <c r="D294" i="1"/>
  <c r="L273" i="3" s="1"/>
  <c r="C294" i="1"/>
  <c r="C273" i="3" s="1"/>
  <c r="C293" i="1"/>
  <c r="C272" i="3" s="1"/>
  <c r="D292" i="1"/>
  <c r="L271" i="3" s="1"/>
  <c r="C292" i="1"/>
  <c r="C271" i="3" s="1"/>
  <c r="C291" i="1"/>
  <c r="C270" i="3" s="1"/>
  <c r="D290" i="1"/>
  <c r="L269" i="3" s="1"/>
  <c r="C290" i="1"/>
  <c r="C269" i="3" s="1"/>
  <c r="C289" i="1"/>
  <c r="C268" i="3" s="1"/>
  <c r="D288" i="1"/>
  <c r="L267" i="3" s="1"/>
  <c r="C288" i="1"/>
  <c r="C267" i="3" s="1"/>
  <c r="C287" i="1"/>
  <c r="C266" i="3" s="1"/>
  <c r="D286" i="1"/>
  <c r="L265" i="3" s="1"/>
  <c r="C286" i="1"/>
  <c r="C265" i="3" s="1"/>
  <c r="C285" i="1"/>
  <c r="C264" i="3" s="1"/>
  <c r="D284" i="1"/>
  <c r="L263" i="3" s="1"/>
  <c r="C284" i="1"/>
  <c r="C263" i="3" s="1"/>
  <c r="C283" i="1"/>
  <c r="C262" i="3" s="1"/>
  <c r="D282" i="1"/>
  <c r="L261" i="3" s="1"/>
  <c r="C282" i="1"/>
  <c r="C261" i="3" s="1"/>
  <c r="C281" i="1"/>
  <c r="C260" i="3" s="1"/>
  <c r="D280" i="1"/>
  <c r="L259" i="3" s="1"/>
  <c r="C280" i="1"/>
  <c r="C259" i="3" s="1"/>
  <c r="C279" i="1"/>
  <c r="C258" i="3" s="1"/>
  <c r="D278" i="1"/>
  <c r="L257" i="3" s="1"/>
  <c r="C278" i="1"/>
  <c r="C257" i="3" s="1"/>
  <c r="C277" i="1"/>
  <c r="C256" i="3" s="1"/>
  <c r="D276" i="1"/>
  <c r="L255" i="3" s="1"/>
  <c r="C276" i="1"/>
  <c r="C255" i="3" s="1"/>
  <c r="C275" i="1"/>
  <c r="C254" i="3" s="1"/>
  <c r="D274" i="1"/>
  <c r="L253" i="3" s="1"/>
  <c r="C274" i="1"/>
  <c r="C253" i="3" s="1"/>
  <c r="C273" i="1"/>
  <c r="C252" i="3" s="1"/>
  <c r="D272" i="1"/>
  <c r="L251" i="3" s="1"/>
  <c r="C272" i="1"/>
  <c r="C251" i="3" s="1"/>
  <c r="C271" i="1"/>
  <c r="C250" i="3" s="1"/>
  <c r="D270" i="1"/>
  <c r="L249" i="3" s="1"/>
  <c r="C270" i="1"/>
  <c r="C249" i="3" s="1"/>
  <c r="C269" i="1"/>
  <c r="C248" i="3" s="1"/>
  <c r="D268" i="1"/>
  <c r="L247" i="3" s="1"/>
  <c r="C268" i="1"/>
  <c r="C247" i="3" s="1"/>
  <c r="C267" i="1"/>
  <c r="C246" i="3" s="1"/>
  <c r="D266" i="1"/>
  <c r="L245" i="3" s="1"/>
  <c r="C266" i="1"/>
  <c r="C245" i="3" s="1"/>
  <c r="C265" i="1"/>
  <c r="C244" i="3" s="1"/>
  <c r="D264" i="1"/>
  <c r="L243" i="3" s="1"/>
  <c r="C264" i="1"/>
  <c r="C243" i="3" s="1"/>
  <c r="C263" i="1"/>
  <c r="C242" i="3" s="1"/>
  <c r="D262" i="1"/>
  <c r="L241" i="3" s="1"/>
  <c r="C262" i="1"/>
  <c r="C241" i="3" s="1"/>
  <c r="C261" i="1"/>
  <c r="C240" i="3" s="1"/>
  <c r="D260" i="1"/>
  <c r="L239" i="3" s="1"/>
  <c r="C260" i="1"/>
  <c r="C239" i="3" s="1"/>
  <c r="C259" i="1"/>
  <c r="C238" i="3" s="1"/>
  <c r="D258" i="1"/>
  <c r="L237" i="3" s="1"/>
  <c r="C258" i="1"/>
  <c r="C237" i="3" s="1"/>
  <c r="C257" i="1"/>
  <c r="C236" i="3" s="1"/>
  <c r="D256" i="1"/>
  <c r="L235" i="3" s="1"/>
  <c r="C256" i="1"/>
  <c r="C235" i="3" s="1"/>
  <c r="C255" i="1"/>
  <c r="C234" i="3" s="1"/>
  <c r="D254" i="1"/>
  <c r="L233" i="3" s="1"/>
  <c r="C254" i="1"/>
  <c r="C233" i="3" s="1"/>
  <c r="C253" i="1"/>
  <c r="C232" i="3" s="1"/>
  <c r="C252" i="1"/>
  <c r="D251" i="1"/>
  <c r="L231" i="3" s="1"/>
  <c r="C251" i="1"/>
  <c r="C231" i="3" s="1"/>
  <c r="C250" i="1"/>
  <c r="C230" i="3" s="1"/>
  <c r="D249" i="1"/>
  <c r="L229" i="3" s="1"/>
  <c r="C249" i="1"/>
  <c r="C229" i="3" s="1"/>
  <c r="C248" i="1"/>
  <c r="C228" i="3" s="1"/>
  <c r="D247" i="1"/>
  <c r="L227" i="3" s="1"/>
  <c r="C247" i="1"/>
  <c r="C227" i="3" s="1"/>
  <c r="C246" i="1"/>
  <c r="C226" i="3" s="1"/>
  <c r="D245" i="1"/>
  <c r="L225" i="3" s="1"/>
  <c r="C245" i="1"/>
  <c r="C225" i="3" s="1"/>
  <c r="C244" i="1"/>
  <c r="C224" i="3" s="1"/>
  <c r="D243" i="1"/>
  <c r="L223" i="3" s="1"/>
  <c r="C243" i="1"/>
  <c r="C223" i="3" s="1"/>
  <c r="C242" i="1"/>
  <c r="C222" i="3" s="1"/>
  <c r="C241" i="1"/>
  <c r="C221" i="3" s="1"/>
  <c r="C239" i="1"/>
  <c r="C220" i="3" s="1"/>
  <c r="C231" i="1"/>
  <c r="C219" i="3" s="1"/>
  <c r="D226" i="1"/>
  <c r="L218" i="3" s="1"/>
  <c r="C226" i="1"/>
  <c r="C218" i="3" s="1"/>
  <c r="C225" i="1"/>
  <c r="C217" i="3" s="1"/>
  <c r="D224" i="1"/>
  <c r="L216" i="3" s="1"/>
  <c r="C224" i="1"/>
  <c r="C216" i="3" s="1"/>
  <c r="C223" i="1"/>
  <c r="C215" i="3" s="1"/>
  <c r="D222" i="1"/>
  <c r="L214" i="3" s="1"/>
  <c r="C222" i="1"/>
  <c r="C214" i="3" s="1"/>
  <c r="C221" i="1"/>
  <c r="C213" i="3" s="1"/>
  <c r="D220" i="1"/>
  <c r="L212" i="3" s="1"/>
  <c r="C220" i="1"/>
  <c r="C212" i="3" s="1"/>
  <c r="C219" i="1"/>
  <c r="C211" i="3" s="1"/>
  <c r="D218" i="1"/>
  <c r="L210" i="3" s="1"/>
  <c r="C218" i="1"/>
  <c r="C210" i="3" s="1"/>
  <c r="C217" i="1"/>
  <c r="C209" i="3" s="1"/>
  <c r="D216" i="1"/>
  <c r="L208" i="3" s="1"/>
  <c r="C216" i="1"/>
  <c r="C208" i="3" s="1"/>
  <c r="C215" i="1"/>
  <c r="C207" i="3" s="1"/>
  <c r="D214" i="1"/>
  <c r="L206" i="3" s="1"/>
  <c r="C214" i="1"/>
  <c r="C206" i="3" s="1"/>
  <c r="C213" i="1"/>
  <c r="C205" i="3" s="1"/>
  <c r="D212" i="1"/>
  <c r="L204" i="3" s="1"/>
  <c r="C212" i="1"/>
  <c r="C204" i="3" s="1"/>
  <c r="C211" i="1"/>
  <c r="C203" i="3" s="1"/>
  <c r="D210" i="1"/>
  <c r="L202" i="3" s="1"/>
  <c r="C210" i="1"/>
  <c r="C202" i="3" s="1"/>
  <c r="C209" i="1"/>
  <c r="C201" i="3" s="1"/>
  <c r="D208" i="1"/>
  <c r="L200" i="3" s="1"/>
  <c r="C208" i="1"/>
  <c r="C200" i="3" s="1"/>
  <c r="C207" i="1"/>
  <c r="C199" i="3" s="1"/>
  <c r="D206" i="1"/>
  <c r="L198" i="3" s="1"/>
  <c r="C206" i="1"/>
  <c r="C198" i="3" s="1"/>
  <c r="C205" i="1"/>
  <c r="C197" i="3" s="1"/>
  <c r="D204" i="1"/>
  <c r="L196" i="3" s="1"/>
  <c r="C204" i="1"/>
  <c r="C196" i="3" s="1"/>
  <c r="C203" i="1"/>
  <c r="C195" i="3" s="1"/>
  <c r="D201" i="1"/>
  <c r="L194" i="3" s="1"/>
  <c r="C201" i="1"/>
  <c r="C194" i="3" s="1"/>
  <c r="C200" i="1"/>
  <c r="C193" i="3" s="1"/>
  <c r="D199" i="1"/>
  <c r="L192" i="3" s="1"/>
  <c r="C199" i="1"/>
  <c r="C192" i="3" s="1"/>
  <c r="C198" i="1"/>
  <c r="C191" i="3" s="1"/>
  <c r="D197" i="1"/>
  <c r="L190" i="3" s="1"/>
  <c r="C197" i="1"/>
  <c r="C190" i="3" s="1"/>
  <c r="C196" i="1"/>
  <c r="C189" i="3" s="1"/>
  <c r="D195" i="1"/>
  <c r="L188" i="3" s="1"/>
  <c r="C195" i="1"/>
  <c r="C188" i="3" s="1"/>
  <c r="C194" i="1"/>
  <c r="C187" i="3" s="1"/>
  <c r="D193" i="1"/>
  <c r="L186" i="3" s="1"/>
  <c r="C193" i="1"/>
  <c r="C186" i="3" s="1"/>
  <c r="C192" i="1"/>
  <c r="C185" i="3" s="1"/>
  <c r="D190" i="1"/>
  <c r="L184" i="3" s="1"/>
  <c r="C190" i="1"/>
  <c r="C184" i="3" s="1"/>
  <c r="C189" i="1"/>
  <c r="C183" i="3" s="1"/>
  <c r="D188" i="1"/>
  <c r="L182" i="3" s="1"/>
  <c r="C188" i="1"/>
  <c r="C182" i="3" s="1"/>
  <c r="C187" i="1"/>
  <c r="C181" i="3" s="1"/>
  <c r="D186" i="1"/>
  <c r="L180" i="3" s="1"/>
  <c r="C186" i="1"/>
  <c r="C180" i="3" s="1"/>
  <c r="C185" i="1"/>
  <c r="C179" i="3" s="1"/>
  <c r="D184" i="1"/>
  <c r="L178" i="3" s="1"/>
  <c r="C184" i="1"/>
  <c r="C178" i="3" s="1"/>
  <c r="C183" i="1"/>
  <c r="C177" i="3" s="1"/>
  <c r="D182" i="1"/>
  <c r="L176" i="3" s="1"/>
  <c r="C182" i="1"/>
  <c r="C176" i="3" s="1"/>
  <c r="C181" i="1"/>
  <c r="C175" i="3" s="1"/>
  <c r="D180" i="1"/>
  <c r="L174" i="3" s="1"/>
  <c r="C180" i="1"/>
  <c r="C174" i="3" s="1"/>
  <c r="C179" i="1"/>
  <c r="C173" i="3" s="1"/>
  <c r="D178" i="1"/>
  <c r="L172" i="3" s="1"/>
  <c r="C178" i="1"/>
  <c r="C172" i="3" s="1"/>
  <c r="C177" i="1"/>
  <c r="C171" i="3" s="1"/>
  <c r="D176" i="1"/>
  <c r="L170" i="3" s="1"/>
  <c r="C176" i="1"/>
  <c r="C170" i="3" s="1"/>
  <c r="C175" i="1"/>
  <c r="C169" i="3" s="1"/>
  <c r="D174" i="1"/>
  <c r="L168" i="3" s="1"/>
  <c r="C174" i="1"/>
  <c r="C168" i="3" s="1"/>
  <c r="C173" i="1"/>
  <c r="C167" i="3" s="1"/>
  <c r="C172" i="1"/>
  <c r="C7" i="10" s="1"/>
  <c r="D171" i="1"/>
  <c r="L166" i="3" s="1"/>
  <c r="C171" i="1"/>
  <c r="C166" i="3" s="1"/>
  <c r="C170" i="1"/>
  <c r="C165" i="3" s="1"/>
  <c r="D169" i="1"/>
  <c r="L164" i="3" s="1"/>
  <c r="C169" i="1"/>
  <c r="C164" i="3" s="1"/>
  <c r="C168" i="1"/>
  <c r="C163" i="3" s="1"/>
  <c r="D167" i="1"/>
  <c r="L162" i="3" s="1"/>
  <c r="C167" i="1"/>
  <c r="C162" i="3" s="1"/>
  <c r="C166" i="1"/>
  <c r="C161" i="3" s="1"/>
  <c r="D165" i="1"/>
  <c r="L160" i="3" s="1"/>
  <c r="C165" i="1"/>
  <c r="C160" i="3" s="1"/>
  <c r="C164" i="1"/>
  <c r="C159" i="3" s="1"/>
  <c r="D163" i="1"/>
  <c r="L158" i="3" s="1"/>
  <c r="C163" i="1"/>
  <c r="C158" i="3" s="1"/>
  <c r="C162" i="1"/>
  <c r="C157" i="3" s="1"/>
  <c r="D161" i="1"/>
  <c r="L156" i="3" s="1"/>
  <c r="C161" i="1"/>
  <c r="C156" i="3" s="1"/>
  <c r="C160" i="1"/>
  <c r="C155" i="3" s="1"/>
  <c r="D159" i="1"/>
  <c r="L154" i="3" s="1"/>
  <c r="C159" i="1"/>
  <c r="C154" i="3" s="1"/>
  <c r="C158" i="1"/>
  <c r="C153" i="3" s="1"/>
  <c r="D157" i="1"/>
  <c r="L152" i="3" s="1"/>
  <c r="C157" i="1"/>
  <c r="C152" i="3" s="1"/>
  <c r="C156" i="1"/>
  <c r="C151" i="3" s="1"/>
  <c r="D155" i="1"/>
  <c r="L150" i="3" s="1"/>
  <c r="C155" i="1"/>
  <c r="C150" i="3" s="1"/>
  <c r="C154" i="1"/>
  <c r="C6" i="10" s="1"/>
  <c r="D153" i="1"/>
  <c r="L149" i="3" s="1"/>
  <c r="C153" i="1"/>
  <c r="C149" i="3" s="1"/>
  <c r="C152" i="1"/>
  <c r="C148" i="3" s="1"/>
  <c r="D151" i="1"/>
  <c r="L147" i="3" s="1"/>
  <c r="C151" i="1"/>
  <c r="C147" i="3" s="1"/>
  <c r="C150" i="1"/>
  <c r="C146" i="3" s="1"/>
  <c r="D149" i="1"/>
  <c r="L145" i="3" s="1"/>
  <c r="C149" i="1"/>
  <c r="C145" i="3" s="1"/>
  <c r="C148" i="1"/>
  <c r="C144" i="3" s="1"/>
  <c r="D147" i="1"/>
  <c r="L143" i="3" s="1"/>
  <c r="C147" i="1"/>
  <c r="C143" i="3" s="1"/>
  <c r="C146" i="1"/>
  <c r="C142" i="3" s="1"/>
  <c r="D145" i="1"/>
  <c r="L141" i="3" s="1"/>
  <c r="C145" i="1"/>
  <c r="C141" i="3" s="1"/>
  <c r="C144" i="1"/>
  <c r="C140" i="3" s="1"/>
  <c r="D143" i="1"/>
  <c r="L139" i="3" s="1"/>
  <c r="C143" i="1"/>
  <c r="C139" i="3" s="1"/>
  <c r="C142" i="1"/>
  <c r="C138" i="3" s="1"/>
  <c r="D141" i="1"/>
  <c r="L137" i="3" s="1"/>
  <c r="C141" i="1"/>
  <c r="C137" i="3" s="1"/>
  <c r="C140" i="1"/>
  <c r="C136" i="3" s="1"/>
  <c r="D139" i="1"/>
  <c r="C139" i="1"/>
  <c r="C135" i="3" s="1"/>
  <c r="C138" i="1"/>
  <c r="C134" i="3" s="1"/>
  <c r="D137" i="1"/>
  <c r="L133" i="3" s="1"/>
  <c r="C137" i="1"/>
  <c r="C133" i="3" s="1"/>
  <c r="C136" i="1"/>
  <c r="C132" i="3" s="1"/>
  <c r="D135" i="1"/>
  <c r="L131" i="3" s="1"/>
  <c r="C135" i="1"/>
  <c r="C131" i="3" s="1"/>
  <c r="C134" i="1"/>
  <c r="C130" i="3" s="1"/>
  <c r="D133" i="1"/>
  <c r="L129" i="3" s="1"/>
  <c r="C133" i="1"/>
  <c r="C129" i="3" s="1"/>
  <c r="C132" i="1"/>
  <c r="C128" i="3" s="1"/>
  <c r="D131" i="1"/>
  <c r="L127" i="3" s="1"/>
  <c r="C131" i="1"/>
  <c r="C127" i="3" s="1"/>
  <c r="C130" i="1"/>
  <c r="C126" i="3" s="1"/>
  <c r="D129" i="1"/>
  <c r="C129" i="1"/>
  <c r="C125" i="3" s="1"/>
  <c r="C128" i="1"/>
  <c r="C124" i="3" s="1"/>
  <c r="D127" i="1"/>
  <c r="C127" i="1"/>
  <c r="C123" i="3" s="1"/>
  <c r="C125" i="1"/>
  <c r="C122" i="3" s="1"/>
  <c r="D124" i="1"/>
  <c r="L121" i="3" s="1"/>
  <c r="C124" i="1"/>
  <c r="C121" i="3" s="1"/>
  <c r="C123" i="1"/>
  <c r="C120" i="3" s="1"/>
  <c r="D122" i="1"/>
  <c r="C122" i="1"/>
  <c r="C119" i="3" s="1"/>
  <c r="C121" i="1"/>
  <c r="C118" i="3" s="1"/>
  <c r="D120" i="1"/>
  <c r="L117" i="3" s="1"/>
  <c r="C120" i="1"/>
  <c r="C117" i="3" s="1"/>
  <c r="C119" i="1"/>
  <c r="C116" i="3" s="1"/>
  <c r="D118" i="1"/>
  <c r="C118" i="1"/>
  <c r="C115" i="3" s="1"/>
  <c r="C117" i="1"/>
  <c r="C114" i="3" s="1"/>
  <c r="D116" i="1"/>
  <c r="L113" i="3" s="1"/>
  <c r="C116" i="1"/>
  <c r="C113" i="3" s="1"/>
  <c r="C115" i="1"/>
  <c r="C112" i="3" s="1"/>
  <c r="D114" i="1"/>
  <c r="C114" i="1"/>
  <c r="C111" i="3" s="1"/>
  <c r="C113" i="1"/>
  <c r="C110" i="3" s="1"/>
  <c r="D112" i="1"/>
  <c r="L109" i="3" s="1"/>
  <c r="C112" i="1"/>
  <c r="C109" i="3" s="1"/>
  <c r="C111" i="1"/>
  <c r="C108" i="3" s="1"/>
  <c r="D110" i="1"/>
  <c r="L107" i="3" s="1"/>
  <c r="C110" i="1"/>
  <c r="C107" i="3" s="1"/>
  <c r="C109" i="1"/>
  <c r="C106" i="3" s="1"/>
  <c r="D108" i="1"/>
  <c r="L105" i="3" s="1"/>
  <c r="C108" i="1"/>
  <c r="C105" i="3" s="1"/>
  <c r="C107" i="1"/>
  <c r="C104" i="3" s="1"/>
  <c r="D106" i="1"/>
  <c r="L103" i="3" s="1"/>
  <c r="C106" i="1"/>
  <c r="C103" i="3" s="1"/>
  <c r="C105" i="1"/>
  <c r="C102" i="3" s="1"/>
  <c r="D104" i="1"/>
  <c r="L101" i="3" s="1"/>
  <c r="C104" i="1"/>
  <c r="C101" i="3" s="1"/>
  <c r="C103" i="1"/>
  <c r="C100" i="3" s="1"/>
  <c r="D102" i="1"/>
  <c r="L99" i="3" s="1"/>
  <c r="C102" i="1"/>
  <c r="C99" i="3" s="1"/>
  <c r="C101" i="1"/>
  <c r="C98" i="3" s="1"/>
  <c r="D100" i="1"/>
  <c r="L97" i="3" s="1"/>
  <c r="C100" i="1"/>
  <c r="C97" i="3" s="1"/>
  <c r="C99" i="1"/>
  <c r="C96" i="3" s="1"/>
  <c r="D98" i="1"/>
  <c r="L95" i="3" s="1"/>
  <c r="C98" i="1"/>
  <c r="C95" i="3" s="1"/>
  <c r="C97" i="1"/>
  <c r="C94" i="3" s="1"/>
  <c r="D96" i="1"/>
  <c r="L93" i="3" s="1"/>
  <c r="C96" i="1"/>
  <c r="C93" i="3" s="1"/>
  <c r="C95" i="1"/>
  <c r="C92" i="3" s="1"/>
  <c r="D94" i="1"/>
  <c r="L91" i="3" s="1"/>
  <c r="C94" i="1"/>
  <c r="C91" i="3" s="1"/>
  <c r="C93" i="1"/>
  <c r="C90" i="3" s="1"/>
  <c r="D92" i="1"/>
  <c r="L89" i="3" s="1"/>
  <c r="C92" i="1"/>
  <c r="C89" i="3" s="1"/>
  <c r="C91" i="1"/>
  <c r="C88" i="3" s="1"/>
  <c r="D90" i="1"/>
  <c r="L87" i="3" s="1"/>
  <c r="C90" i="1"/>
  <c r="C87" i="3" s="1"/>
  <c r="C89" i="1"/>
  <c r="C86" i="3" s="1"/>
  <c r="C88" i="1"/>
  <c r="C4" i="10" s="1"/>
  <c r="D87" i="1"/>
  <c r="L85" i="3" s="1"/>
  <c r="C87" i="1"/>
  <c r="C85" i="3" s="1"/>
  <c r="C86" i="1"/>
  <c r="C84" i="3" s="1"/>
  <c r="D85" i="1"/>
  <c r="L83" i="3" s="1"/>
  <c r="C85" i="1"/>
  <c r="C83" i="3" s="1"/>
  <c r="C84" i="1"/>
  <c r="C82" i="3" s="1"/>
  <c r="D83" i="1"/>
  <c r="L81" i="3" s="1"/>
  <c r="C83" i="1"/>
  <c r="C81" i="3" s="1"/>
  <c r="C82" i="1"/>
  <c r="C80" i="3" s="1"/>
  <c r="D81" i="1"/>
  <c r="L79" i="3" s="1"/>
  <c r="C81" i="1"/>
  <c r="C79" i="3" s="1"/>
  <c r="C80" i="1"/>
  <c r="C78" i="3" s="1"/>
  <c r="D79" i="1"/>
  <c r="L77" i="3" s="1"/>
  <c r="C79" i="1"/>
  <c r="C77" i="3" s="1"/>
  <c r="C78" i="1"/>
  <c r="C76" i="3" s="1"/>
  <c r="D77" i="1"/>
  <c r="C77" i="1"/>
  <c r="C75" i="3" s="1"/>
  <c r="C76" i="1"/>
  <c r="C74" i="3" s="1"/>
  <c r="D75" i="1"/>
  <c r="C75" i="1"/>
  <c r="C73" i="3" s="1"/>
  <c r="C74" i="1"/>
  <c r="C72" i="3" s="1"/>
  <c r="C73" i="1"/>
  <c r="C3" i="10" s="1"/>
  <c r="C72" i="1"/>
  <c r="C71" i="3" s="1"/>
  <c r="D71" i="1"/>
  <c r="C71" i="1"/>
  <c r="C70" i="3" s="1"/>
  <c r="C70" i="1"/>
  <c r="C69" i="3" s="1"/>
  <c r="D69" i="1"/>
  <c r="L68" i="3" s="1"/>
  <c r="C69" i="1"/>
  <c r="C68" i="3" s="1"/>
  <c r="C68" i="1"/>
  <c r="C67" i="3" s="1"/>
  <c r="D67" i="1"/>
  <c r="C67" i="1"/>
  <c r="C66" i="3" s="1"/>
  <c r="C66" i="1"/>
  <c r="C65" i="3" s="1"/>
  <c r="D65" i="1"/>
  <c r="C65" i="1"/>
  <c r="C64" i="3" s="1"/>
  <c r="C64" i="1"/>
  <c r="C63" i="3" s="1"/>
  <c r="C63" i="1"/>
  <c r="C2" i="10" s="1"/>
  <c r="D62" i="1"/>
  <c r="L62" i="3" s="1"/>
  <c r="C62" i="1"/>
  <c r="C62" i="3" s="1"/>
  <c r="C61" i="1"/>
  <c r="C61" i="3" s="1"/>
  <c r="D60" i="1"/>
  <c r="L60" i="3" s="1"/>
  <c r="C60" i="1"/>
  <c r="C60" i="3" s="1"/>
  <c r="C59" i="1"/>
  <c r="C59" i="3" s="1"/>
  <c r="D58" i="1"/>
  <c r="C58" i="1"/>
  <c r="C58" i="3" s="1"/>
  <c r="C57" i="1"/>
  <c r="C57" i="3" s="1"/>
  <c r="D56" i="1"/>
  <c r="L56" i="3" s="1"/>
  <c r="C56" i="1"/>
  <c r="C56" i="3" s="1"/>
  <c r="C55" i="1"/>
  <c r="C55" i="3" s="1"/>
  <c r="D54" i="1"/>
  <c r="L54" i="3" s="1"/>
  <c r="C54" i="1"/>
  <c r="C54" i="3" s="1"/>
  <c r="C53" i="1"/>
  <c r="C53" i="3" s="1"/>
  <c r="D52" i="1"/>
  <c r="L52" i="3" s="1"/>
  <c r="C52" i="1"/>
  <c r="C52" i="3" s="1"/>
  <c r="C51" i="1"/>
  <c r="C51" i="3" s="1"/>
  <c r="D50" i="1"/>
  <c r="C50" i="1"/>
  <c r="C50" i="3" s="1"/>
  <c r="C49" i="1"/>
  <c r="C49" i="3" s="1"/>
  <c r="D48" i="1"/>
  <c r="C48" i="1"/>
  <c r="C48" i="3" s="1"/>
  <c r="C47" i="1"/>
  <c r="C47" i="3" s="1"/>
  <c r="D46" i="1"/>
  <c r="C46" i="1"/>
  <c r="C46" i="3" s="1"/>
  <c r="C45" i="1"/>
  <c r="C45" i="3" s="1"/>
  <c r="D44" i="1"/>
  <c r="C44" i="1"/>
  <c r="C44" i="3" s="1"/>
  <c r="C43" i="1"/>
  <c r="C43" i="3" s="1"/>
  <c r="D42" i="1"/>
  <c r="C42" i="1"/>
  <c r="C42" i="3" s="1"/>
  <c r="C41" i="1"/>
  <c r="C41" i="3" s="1"/>
  <c r="D40" i="1"/>
  <c r="C40" i="1"/>
  <c r="C40" i="3" s="1"/>
  <c r="C39" i="1"/>
  <c r="C39" i="3" s="1"/>
  <c r="D38" i="1"/>
  <c r="L38" i="3" s="1"/>
  <c r="C38" i="1"/>
  <c r="C38" i="3" s="1"/>
  <c r="C37" i="1"/>
  <c r="C37" i="3" s="1"/>
  <c r="D36" i="1"/>
  <c r="C36" i="1"/>
  <c r="C36" i="3" s="1"/>
  <c r="C35" i="1"/>
  <c r="C35" i="3" s="1"/>
  <c r="D34" i="1"/>
  <c r="C34" i="1"/>
  <c r="C34" i="3" s="1"/>
  <c r="C33" i="1"/>
  <c r="C33" i="3" s="1"/>
  <c r="D32" i="1"/>
  <c r="C32" i="1"/>
  <c r="C32" i="3" s="1"/>
  <c r="C31" i="1"/>
  <c r="C31" i="3" s="1"/>
  <c r="D30" i="1"/>
  <c r="L30" i="3" s="1"/>
  <c r="C30" i="1"/>
  <c r="C30" i="3" s="1"/>
  <c r="C29" i="1"/>
  <c r="C29" i="3" s="1"/>
  <c r="D28" i="1"/>
  <c r="C28" i="1"/>
  <c r="C28" i="3" s="1"/>
  <c r="C27" i="1"/>
  <c r="C27" i="3" s="1"/>
  <c r="D26" i="1"/>
  <c r="L26" i="3" s="1"/>
  <c r="C26" i="1"/>
  <c r="C26" i="3" s="1"/>
  <c r="C25" i="1"/>
  <c r="C25" i="3" s="1"/>
  <c r="D24" i="1"/>
  <c r="C24" i="1"/>
  <c r="C24" i="3" s="1"/>
  <c r="C23" i="1"/>
  <c r="C23" i="3" s="1"/>
  <c r="D22" i="1"/>
  <c r="L22" i="3" s="1"/>
  <c r="C22" i="1"/>
  <c r="C22" i="3" s="1"/>
  <c r="C21" i="1"/>
  <c r="C21" i="3" s="1"/>
  <c r="D20" i="1"/>
  <c r="C20" i="1"/>
  <c r="C20" i="3" s="1"/>
  <c r="C19" i="1"/>
  <c r="C19" i="3" s="1"/>
  <c r="D18" i="1"/>
  <c r="C18" i="1"/>
  <c r="C18" i="3" s="1"/>
  <c r="C17" i="1"/>
  <c r="C17" i="3" s="1"/>
  <c r="D16" i="1"/>
  <c r="L16" i="3" s="1"/>
  <c r="C16" i="1"/>
  <c r="C16" i="3" s="1"/>
  <c r="C15" i="1"/>
  <c r="C15" i="3" s="1"/>
  <c r="D14" i="1"/>
  <c r="L14" i="3" s="1"/>
  <c r="C14" i="1"/>
  <c r="C14" i="3" s="1"/>
  <c r="C13" i="1"/>
  <c r="C13" i="3" s="1"/>
  <c r="D12" i="1"/>
  <c r="L12" i="3" s="1"/>
  <c r="C12" i="1"/>
  <c r="C12" i="3" s="1"/>
  <c r="C11" i="1"/>
  <c r="C11" i="3" s="1"/>
  <c r="D10" i="1"/>
  <c r="L10" i="3" s="1"/>
  <c r="C10" i="1"/>
  <c r="C10" i="3" s="1"/>
  <c r="C9" i="1"/>
  <c r="C9" i="3" s="1"/>
  <c r="D8" i="1"/>
  <c r="L8" i="3" s="1"/>
  <c r="C8" i="1"/>
  <c r="C8" i="3" s="1"/>
  <c r="C7" i="1"/>
  <c r="C7" i="3" s="1"/>
  <c r="D6" i="1"/>
  <c r="L6" i="3" s="1"/>
  <c r="C6" i="1"/>
  <c r="C6" i="3" s="1"/>
  <c r="C5" i="1"/>
  <c r="C5" i="3" s="1"/>
  <c r="D4" i="1"/>
  <c r="L4" i="3" s="1"/>
  <c r="C4" i="1"/>
  <c r="C4" i="3" s="1"/>
  <c r="C3" i="1"/>
  <c r="C3" i="3" s="1"/>
  <c r="D2" i="1"/>
  <c r="C2" i="1"/>
  <c r="C2" i="3" s="1"/>
  <c r="N20" i="13"/>
  <c r="N6" i="13"/>
  <c r="M19" i="13"/>
  <c r="N11" i="13"/>
  <c r="M18" i="13"/>
  <c r="N14" i="13"/>
  <c r="N9" i="13"/>
  <c r="M10" i="13"/>
  <c r="F132" i="4"/>
  <c r="J730" i="3"/>
  <c r="M9" i="13"/>
  <c r="J712" i="3"/>
  <c r="J735" i="3"/>
  <c r="J727" i="3"/>
  <c r="J707" i="3"/>
  <c r="J691" i="3"/>
  <c r="J714" i="3"/>
  <c r="J711" i="3"/>
  <c r="J677" i="3"/>
  <c r="J667" i="3"/>
  <c r="J651" i="3"/>
  <c r="J697" i="3"/>
  <c r="J686" i="3"/>
  <c r="J670" i="3"/>
  <c r="J652" i="3"/>
  <c r="J636" i="3"/>
  <c r="J709" i="3"/>
  <c r="J679" i="3"/>
  <c r="J657" i="3"/>
  <c r="J641" i="3"/>
  <c r="J672" i="3"/>
  <c r="J634" i="3"/>
  <c r="J620" i="3"/>
  <c r="J604" i="3"/>
  <c r="J588" i="3"/>
  <c r="J668" i="3"/>
  <c r="J642" i="3"/>
  <c r="J617" i="3"/>
  <c r="J627" i="3"/>
  <c r="J611" i="3"/>
  <c r="J567" i="3"/>
  <c r="J550" i="3"/>
  <c r="J684" i="3"/>
  <c r="J622" i="3"/>
  <c r="J606" i="3"/>
  <c r="J594" i="3"/>
  <c r="J583" i="3"/>
  <c r="J633" i="3"/>
  <c r="J564" i="3"/>
  <c r="J548" i="3"/>
  <c r="J582" i="3"/>
  <c r="J566" i="3"/>
  <c r="J532" i="3"/>
  <c r="J516" i="3"/>
  <c r="J500" i="3"/>
  <c r="J482" i="3"/>
  <c r="J466" i="3"/>
  <c r="J453" i="3"/>
  <c r="J439" i="3"/>
  <c r="J420" i="3"/>
  <c r="J541" i="3"/>
  <c r="J525" i="3"/>
  <c r="J509" i="3"/>
  <c r="J493" i="3"/>
  <c r="J479" i="3"/>
  <c r="J464" i="3"/>
  <c r="J450" i="3"/>
  <c r="J561" i="3"/>
  <c r="J553" i="3"/>
  <c r="J545" i="3"/>
  <c r="J530" i="3"/>
  <c r="J514" i="3"/>
  <c r="J498" i="3"/>
  <c r="J484" i="3"/>
  <c r="J468" i="3"/>
  <c r="J445" i="3"/>
  <c r="J429" i="3"/>
  <c r="J414" i="3"/>
  <c r="J477" i="3"/>
  <c r="J419" i="3"/>
  <c r="J405" i="3"/>
  <c r="J386" i="3"/>
  <c r="J370" i="3"/>
  <c r="J354" i="3"/>
  <c r="J339" i="3"/>
  <c r="J323" i="3"/>
  <c r="J696" i="3"/>
  <c r="J523" i="3"/>
  <c r="J491" i="3"/>
  <c r="J601" i="3"/>
  <c r="J465" i="3"/>
  <c r="J407" i="3"/>
  <c r="J391" i="3"/>
  <c r="J376" i="3"/>
  <c r="J527" i="3"/>
  <c r="J412" i="3"/>
  <c r="J404" i="3"/>
  <c r="J396" i="3"/>
  <c r="J346" i="3"/>
  <c r="J336" i="3"/>
  <c r="J325" i="3"/>
  <c r="J314" i="3"/>
  <c r="J301" i="3"/>
  <c r="J287" i="3"/>
  <c r="J271" i="3"/>
  <c r="J255" i="3"/>
  <c r="J239" i="3"/>
  <c r="J223" i="3"/>
  <c r="J212" i="3"/>
  <c r="J196" i="3"/>
  <c r="J180" i="3"/>
  <c r="J162" i="3"/>
  <c r="J146" i="3"/>
  <c r="J132" i="3"/>
  <c r="J116" i="3"/>
  <c r="J98" i="3"/>
  <c r="J82" i="3"/>
  <c r="J440" i="3"/>
  <c r="J424" i="3"/>
  <c r="J383" i="3"/>
  <c r="J375" i="3"/>
  <c r="J365" i="3"/>
  <c r="J355" i="3"/>
  <c r="J302" i="3"/>
  <c r="J535" i="3"/>
  <c r="J353" i="3"/>
  <c r="J446" i="3"/>
  <c r="N19" i="13"/>
  <c r="M4" i="13"/>
  <c r="N18" i="13"/>
  <c r="M8" i="13"/>
  <c r="M17" i="13"/>
  <c r="N13" i="13"/>
  <c r="M7" i="13"/>
  <c r="N4" i="13"/>
  <c r="J736" i="3"/>
  <c r="J728" i="3"/>
  <c r="M15" i="13"/>
  <c r="J710" i="3"/>
  <c r="J733" i="3"/>
  <c r="J721" i="3"/>
  <c r="J703" i="3"/>
  <c r="J724" i="3"/>
  <c r="J708" i="3"/>
  <c r="J689" i="3"/>
  <c r="J673" i="3"/>
  <c r="J663" i="3"/>
  <c r="J647" i="3"/>
  <c r="J694" i="3"/>
  <c r="J682" i="3"/>
  <c r="J664" i="3"/>
  <c r="J648" i="3"/>
  <c r="J632" i="3"/>
  <c r="J705" i="3"/>
  <c r="J675" i="3"/>
  <c r="J653" i="3"/>
  <c r="J704" i="3"/>
  <c r="J643" i="3"/>
  <c r="J631" i="3"/>
  <c r="J616" i="3"/>
  <c r="J600" i="3"/>
  <c r="J584" i="3"/>
  <c r="J662" i="3"/>
  <c r="J629" i="3"/>
  <c r="J613" i="3"/>
  <c r="J623" i="3"/>
  <c r="J607" i="3"/>
  <c r="J562" i="3"/>
  <c r="J546" i="3"/>
  <c r="J658" i="3"/>
  <c r="J618" i="3"/>
  <c r="J602" i="3"/>
  <c r="J591" i="3"/>
  <c r="J581" i="3"/>
  <c r="J577" i="3"/>
  <c r="J560" i="3"/>
  <c r="J638" i="3"/>
  <c r="J572" i="3"/>
  <c r="J544" i="3"/>
  <c r="J528" i="3"/>
  <c r="J512" i="3"/>
  <c r="J496" i="3"/>
  <c r="J478" i="3"/>
  <c r="J463" i="3"/>
  <c r="J449" i="3"/>
  <c r="J435" i="3"/>
  <c r="J595" i="3"/>
  <c r="J537" i="3"/>
  <c r="J521" i="3"/>
  <c r="J505" i="3"/>
  <c r="J489" i="3"/>
  <c r="J475" i="3"/>
  <c r="J462" i="3"/>
  <c r="J590" i="3"/>
  <c r="J559" i="3"/>
  <c r="J551" i="3"/>
  <c r="J542" i="3"/>
  <c r="J526" i="3"/>
  <c r="J510" i="3"/>
  <c r="J494" i="3"/>
  <c r="J480" i="3"/>
  <c r="J459" i="3"/>
  <c r="J441" i="3"/>
  <c r="J425" i="3"/>
  <c r="J587" i="3"/>
  <c r="J469" i="3"/>
  <c r="J417" i="3"/>
  <c r="J401" i="3"/>
  <c r="J382" i="3"/>
  <c r="J366" i="3"/>
  <c r="J350" i="3"/>
  <c r="J335" i="3"/>
  <c r="J319" i="3"/>
  <c r="J676" i="3"/>
  <c r="J515" i="3"/>
  <c r="J666" i="3"/>
  <c r="J574" i="3"/>
  <c r="J416" i="3"/>
  <c r="J403" i="3"/>
  <c r="J388" i="3"/>
  <c r="J372" i="3"/>
  <c r="J511" i="3"/>
  <c r="J410" i="3"/>
  <c r="J402" i="3"/>
  <c r="J394" i="3"/>
  <c r="J344" i="3"/>
  <c r="J333" i="3"/>
  <c r="J322" i="3"/>
  <c r="J312" i="3"/>
  <c r="J299" i="3"/>
  <c r="J283" i="3"/>
  <c r="J267" i="3"/>
  <c r="J251" i="3"/>
  <c r="J235" i="3"/>
  <c r="J220" i="3"/>
  <c r="J208" i="3"/>
  <c r="J192" i="3"/>
  <c r="J176" i="3"/>
  <c r="J158" i="3"/>
  <c r="J142" i="3"/>
  <c r="J128" i="3"/>
  <c r="J112" i="3"/>
  <c r="J94" i="3"/>
  <c r="J460" i="3"/>
  <c r="J436" i="3"/>
  <c r="J389" i="3"/>
  <c r="J381" i="3"/>
  <c r="J373" i="3"/>
  <c r="J363" i="3"/>
  <c r="J352" i="3"/>
  <c r="J300" i="3"/>
  <c r="J519" i="3"/>
  <c r="J340" i="3"/>
  <c r="J442" i="3"/>
  <c r="M21" i="13"/>
  <c r="N7" i="13"/>
  <c r="M11" i="13"/>
  <c r="M13" i="13"/>
  <c r="J726" i="3"/>
  <c r="J706" i="3"/>
  <c r="J717" i="3"/>
  <c r="J722" i="3"/>
  <c r="J685" i="3"/>
  <c r="J659" i="3"/>
  <c r="J692" i="3"/>
  <c r="J660" i="3"/>
  <c r="J723" i="3"/>
  <c r="J665" i="3"/>
  <c r="J688" i="3"/>
  <c r="J628" i="3"/>
  <c r="J596" i="3"/>
  <c r="J654" i="3"/>
  <c r="J609" i="3"/>
  <c r="J575" i="3"/>
  <c r="J698" i="3"/>
  <c r="J614" i="3"/>
  <c r="J589" i="3"/>
  <c r="J573" i="3"/>
  <c r="J635" i="3"/>
  <c r="J540" i="3"/>
  <c r="J508" i="3"/>
  <c r="J474" i="3"/>
  <c r="J447" i="3"/>
  <c r="J593" i="3"/>
  <c r="J517" i="3"/>
  <c r="J486" i="3"/>
  <c r="J458" i="3"/>
  <c r="J557" i="3"/>
  <c r="J538" i="3"/>
  <c r="J506" i="3"/>
  <c r="J476" i="3"/>
  <c r="J437" i="3"/>
  <c r="J585" i="3"/>
  <c r="J415" i="3"/>
  <c r="J378" i="3"/>
  <c r="J347" i="3"/>
  <c r="J315" i="3"/>
  <c r="J507" i="3"/>
  <c r="J481" i="3"/>
  <c r="J399" i="3"/>
  <c r="J368" i="3"/>
  <c r="J408" i="3"/>
  <c r="J392" i="3"/>
  <c r="J330" i="3"/>
  <c r="J309" i="3"/>
  <c r="J279" i="3"/>
  <c r="J247" i="3"/>
  <c r="J215" i="3"/>
  <c r="J188" i="3"/>
  <c r="J154" i="3"/>
  <c r="J124" i="3"/>
  <c r="J90" i="3"/>
  <c r="J432" i="3"/>
  <c r="J379" i="3"/>
  <c r="J360" i="3"/>
  <c r="J296" i="3"/>
  <c r="J324" i="3"/>
  <c r="J430" i="3"/>
  <c r="J345" i="3"/>
  <c r="J313" i="3"/>
  <c r="J281" i="3"/>
  <c r="J270" i="3"/>
  <c r="J260" i="3"/>
  <c r="J249" i="3"/>
  <c r="J238" i="3"/>
  <c r="J229" i="3"/>
  <c r="J163" i="3"/>
  <c r="J152" i="3"/>
  <c r="J141" i="3"/>
  <c r="J316" i="3"/>
  <c r="J294" i="3"/>
  <c r="J216" i="3"/>
  <c r="J205" i="3"/>
  <c r="J194" i="3"/>
  <c r="J183" i="3"/>
  <c r="J173" i="3"/>
  <c r="J456" i="3"/>
  <c r="J321" i="3"/>
  <c r="J348" i="3"/>
  <c r="J266" i="3"/>
  <c r="J274" i="3"/>
  <c r="J240" i="3"/>
  <c r="J167" i="3"/>
  <c r="J253" i="3"/>
  <c r="J185" i="3"/>
  <c r="J156" i="3"/>
  <c r="J133" i="3"/>
  <c r="J293" i="3"/>
  <c r="J245" i="3"/>
  <c r="J203" i="3"/>
  <c r="J136" i="3"/>
  <c r="J227" i="3"/>
  <c r="J206" i="3"/>
  <c r="J174" i="3"/>
  <c r="J145" i="3"/>
  <c r="J101" i="3"/>
  <c r="J77" i="3"/>
  <c r="J61" i="3"/>
  <c r="J39" i="3"/>
  <c r="J118" i="3"/>
  <c r="J109" i="3"/>
  <c r="J85" i="3"/>
  <c r="J70" i="3"/>
  <c r="J51" i="3"/>
  <c r="J40" i="3"/>
  <c r="J108" i="3"/>
  <c r="J97" i="3"/>
  <c r="J71" i="3"/>
  <c r="J56" i="3"/>
  <c r="J121" i="3"/>
  <c r="J92" i="3"/>
  <c r="J80" i="3"/>
  <c r="J64" i="3"/>
  <c r="J53" i="3"/>
  <c r="J36" i="3"/>
  <c r="J20" i="3"/>
  <c r="J3" i="3"/>
  <c r="M764" i="2"/>
  <c r="M756" i="2"/>
  <c r="M716" i="2"/>
  <c r="M708" i="2"/>
  <c r="N21" i="13"/>
  <c r="M20" i="13"/>
  <c r="M6" i="13"/>
  <c r="N10" i="13"/>
  <c r="M5" i="13"/>
  <c r="M14" i="13"/>
  <c r="J737" i="3"/>
  <c r="J713" i="3"/>
  <c r="J718" i="3"/>
  <c r="J681" i="3"/>
  <c r="J655" i="3"/>
  <c r="J690" i="3"/>
  <c r="J656" i="3"/>
  <c r="J715" i="3"/>
  <c r="J661" i="3"/>
  <c r="J680" i="3"/>
  <c r="J624" i="3"/>
  <c r="J592" i="3"/>
  <c r="J646" i="3"/>
  <c r="J605" i="3"/>
  <c r="J571" i="3"/>
  <c r="J693" i="3"/>
  <c r="J610" i="3"/>
  <c r="J586" i="3"/>
  <c r="J569" i="3"/>
  <c r="J598" i="3"/>
  <c r="J536" i="3"/>
  <c r="J504" i="3"/>
  <c r="J470" i="3"/>
  <c r="J443" i="3"/>
  <c r="J579" i="3"/>
  <c r="J513" i="3"/>
  <c r="J483" i="3"/>
  <c r="J454" i="3"/>
  <c r="J555" i="3"/>
  <c r="J534" i="3"/>
  <c r="J502" i="3"/>
  <c r="J472" i="3"/>
  <c r="J433" i="3"/>
  <c r="J485" i="3"/>
  <c r="J409" i="3"/>
  <c r="J374" i="3"/>
  <c r="J343" i="3"/>
  <c r="J311" i="3"/>
  <c r="J499" i="3"/>
  <c r="J473" i="3"/>
  <c r="J395" i="3"/>
  <c r="J543" i="3"/>
  <c r="J406" i="3"/>
  <c r="J390" i="3"/>
  <c r="J328" i="3"/>
  <c r="J305" i="3"/>
  <c r="J275" i="3"/>
  <c r="J243" i="3"/>
  <c r="J214" i="3"/>
  <c r="J184" i="3"/>
  <c r="J150" i="3"/>
  <c r="J120" i="3"/>
  <c r="J86" i="3"/>
  <c r="J428" i="3"/>
  <c r="J377" i="3"/>
  <c r="J357" i="3"/>
  <c r="J292" i="3"/>
  <c r="J226" i="3"/>
  <c r="J426" i="3"/>
  <c r="J342" i="3"/>
  <c r="J310" i="3"/>
  <c r="J278" i="3"/>
  <c r="J268" i="3"/>
  <c r="J257" i="3"/>
  <c r="J246" i="3"/>
  <c r="J236" i="3"/>
  <c r="J171" i="3"/>
  <c r="J160" i="3"/>
  <c r="J149" i="3"/>
  <c r="J139" i="3"/>
  <c r="J308" i="3"/>
  <c r="J290" i="3"/>
  <c r="J213" i="3"/>
  <c r="J202" i="3"/>
  <c r="J191" i="3"/>
  <c r="J181" i="3"/>
  <c r="J351" i="3"/>
  <c r="J364" i="3"/>
  <c r="J318" i="3"/>
  <c r="J307" i="3"/>
  <c r="J264" i="3"/>
  <c r="J272" i="3"/>
  <c r="J211" i="3"/>
  <c r="J151" i="3"/>
  <c r="J217" i="3"/>
  <c r="J182" i="3"/>
  <c r="J153" i="3"/>
  <c r="J130" i="3"/>
  <c r="J277" i="3"/>
  <c r="J234" i="3"/>
  <c r="J187" i="3"/>
  <c r="J269" i="3"/>
  <c r="J222" i="3"/>
  <c r="J193" i="3"/>
  <c r="J164" i="3"/>
  <c r="J122" i="3"/>
  <c r="J99" i="3"/>
  <c r="J73" i="3"/>
  <c r="J54" i="3"/>
  <c r="J38" i="3"/>
  <c r="J117" i="3"/>
  <c r="J93" i="3"/>
  <c r="J83" i="3"/>
  <c r="J66" i="3"/>
  <c r="J50" i="3"/>
  <c r="J131" i="3"/>
  <c r="J105" i="3"/>
  <c r="J95" i="3"/>
  <c r="J67" i="3"/>
  <c r="J52" i="3"/>
  <c r="J115" i="3"/>
  <c r="J89" i="3"/>
  <c r="J76" i="3"/>
  <c r="J60" i="3"/>
  <c r="J48" i="3"/>
  <c r="J32" i="3"/>
  <c r="J15" i="3"/>
  <c r="M770" i="2"/>
  <c r="M762" i="2"/>
  <c r="M722" i="2"/>
  <c r="M714" i="2"/>
  <c r="M12" i="13"/>
  <c r="N17" i="13"/>
  <c r="M16" i="13"/>
  <c r="N5" i="13"/>
  <c r="J734" i="3"/>
  <c r="J720" i="3"/>
  <c r="J731" i="3"/>
  <c r="J699" i="3"/>
  <c r="J725" i="3"/>
  <c r="J671" i="3"/>
  <c r="J702" i="3"/>
  <c r="J678" i="3"/>
  <c r="J644" i="3"/>
  <c r="J687" i="3"/>
  <c r="J649" i="3"/>
  <c r="J639" i="3"/>
  <c r="J612" i="3"/>
  <c r="J580" i="3"/>
  <c r="J625" i="3"/>
  <c r="J619" i="3"/>
  <c r="J558" i="3"/>
  <c r="J630" i="3"/>
  <c r="J599" i="3"/>
  <c r="J578" i="3"/>
  <c r="J556" i="3"/>
  <c r="J570" i="3"/>
  <c r="J524" i="3"/>
  <c r="J492" i="3"/>
  <c r="J461" i="3"/>
  <c r="J431" i="3"/>
  <c r="J533" i="3"/>
  <c r="J501" i="3"/>
  <c r="J471" i="3"/>
  <c r="J565" i="3"/>
  <c r="J549" i="3"/>
  <c r="J522" i="3"/>
  <c r="J490" i="3"/>
  <c r="J455" i="3"/>
  <c r="J422" i="3"/>
  <c r="J423" i="3"/>
  <c r="J397" i="3"/>
  <c r="J362" i="3"/>
  <c r="J331" i="3"/>
  <c r="J539" i="3"/>
  <c r="J650" i="3"/>
  <c r="J413" i="3"/>
  <c r="J384" i="3"/>
  <c r="J495" i="3"/>
  <c r="J400" i="3"/>
  <c r="J341" i="3"/>
  <c r="J320" i="3"/>
  <c r="J295" i="3"/>
  <c r="J263" i="3"/>
  <c r="J231" i="3"/>
  <c r="J204" i="3"/>
  <c r="J170" i="3"/>
  <c r="J138" i="3"/>
  <c r="J106" i="3"/>
  <c r="J448" i="3"/>
  <c r="J387" i="3"/>
  <c r="J371" i="3"/>
  <c r="J349" i="3"/>
  <c r="J503" i="3"/>
  <c r="J438" i="3"/>
  <c r="J359" i="3"/>
  <c r="J329" i="3"/>
  <c r="J286" i="3"/>
  <c r="J276" i="3"/>
  <c r="J265" i="3"/>
  <c r="J254" i="3"/>
  <c r="J244" i="3"/>
  <c r="J233" i="3"/>
  <c r="J168" i="3"/>
  <c r="J157" i="3"/>
  <c r="J147" i="3"/>
  <c r="J361" i="3"/>
  <c r="J304" i="3"/>
  <c r="J224" i="3"/>
  <c r="J210" i="3"/>
  <c r="J199" i="3"/>
  <c r="J189" i="3"/>
  <c r="J178" i="3"/>
  <c r="J303" i="3"/>
  <c r="J337" i="3"/>
  <c r="J289" i="3"/>
  <c r="J282" i="3"/>
  <c r="J250" i="3"/>
  <c r="J261" i="3"/>
  <c r="J195" i="3"/>
  <c r="N15" i="13"/>
  <c r="J729" i="3"/>
  <c r="J700" i="3"/>
  <c r="J645" i="3"/>
  <c r="J621" i="3"/>
  <c r="J597" i="3"/>
  <c r="J520" i="3"/>
  <c r="J529" i="3"/>
  <c r="J547" i="3"/>
  <c r="J418" i="3"/>
  <c r="J327" i="3"/>
  <c r="J380" i="3"/>
  <c r="J317" i="3"/>
  <c r="J200" i="3"/>
  <c r="J444" i="3"/>
  <c r="J367" i="3"/>
  <c r="J284" i="3"/>
  <c r="J241" i="3"/>
  <c r="J144" i="3"/>
  <c r="J207" i="3"/>
  <c r="J297" i="3"/>
  <c r="J248" i="3"/>
  <c r="J288" i="3"/>
  <c r="J169" i="3"/>
  <c r="J125" i="3"/>
  <c r="J221" i="3"/>
  <c r="J228" i="3"/>
  <c r="J177" i="3"/>
  <c r="J104" i="3"/>
  <c r="J65" i="3"/>
  <c r="J126" i="3"/>
  <c r="J88" i="3"/>
  <c r="J55" i="3"/>
  <c r="J119" i="3"/>
  <c r="J75" i="3"/>
  <c r="J41" i="3"/>
  <c r="J84" i="3"/>
  <c r="J57" i="3"/>
  <c r="J24" i="3"/>
  <c r="M766" i="2"/>
  <c r="M718" i="2"/>
  <c r="M704" i="2"/>
  <c r="M696" i="2"/>
  <c r="M688" i="2"/>
  <c r="M680" i="2"/>
  <c r="M672" i="2"/>
  <c r="M664" i="2"/>
  <c r="M656" i="2"/>
  <c r="M607" i="2"/>
  <c r="M599" i="2"/>
  <c r="M591" i="2"/>
  <c r="M583" i="2"/>
  <c r="M575" i="2"/>
  <c r="M567" i="2"/>
  <c r="M559" i="2"/>
  <c r="M551" i="2"/>
  <c r="M543" i="2"/>
  <c r="M535" i="2"/>
  <c r="M527" i="2"/>
  <c r="M519" i="2"/>
  <c r="M511" i="2"/>
  <c r="M503" i="2"/>
  <c r="M495" i="2"/>
  <c r="M229" i="2"/>
  <c r="M221" i="2"/>
  <c r="M213" i="2"/>
  <c r="M205" i="2"/>
  <c r="M197" i="2"/>
  <c r="M189" i="2"/>
  <c r="M181" i="2"/>
  <c r="M86" i="2"/>
  <c r="M78" i="2"/>
  <c r="M70" i="2"/>
  <c r="M62" i="2"/>
  <c r="M54" i="2"/>
  <c r="M46" i="2"/>
  <c r="M38" i="2"/>
  <c r="M30" i="2"/>
  <c r="M22" i="2"/>
  <c r="M14" i="2"/>
  <c r="M6" i="2"/>
  <c r="J33" i="3"/>
  <c r="J16" i="3"/>
  <c r="M794" i="2"/>
  <c r="M786" i="2"/>
  <c r="M778" i="2"/>
  <c r="M751" i="2"/>
  <c r="M743" i="2"/>
  <c r="M735" i="2"/>
  <c r="M726" i="2"/>
  <c r="M649" i="2"/>
  <c r="M641" i="2"/>
  <c r="M633" i="2"/>
  <c r="M625" i="2"/>
  <c r="M617" i="2"/>
  <c r="M488" i="2"/>
  <c r="M480" i="2"/>
  <c r="M472" i="2"/>
  <c r="M464" i="2"/>
  <c r="M456" i="2"/>
  <c r="M448" i="2"/>
  <c r="M440" i="2"/>
  <c r="M432" i="2"/>
  <c r="M424" i="2"/>
  <c r="M416" i="2"/>
  <c r="M408" i="2"/>
  <c r="M400" i="2"/>
  <c r="M392" i="2"/>
  <c r="M384" i="2"/>
  <c r="M376" i="2"/>
  <c r="M368" i="2"/>
  <c r="M360" i="2"/>
  <c r="N12" i="13"/>
  <c r="J695" i="3"/>
  <c r="J674" i="3"/>
  <c r="J637" i="3"/>
  <c r="J615" i="3"/>
  <c r="J576" i="3"/>
  <c r="J488" i="3"/>
  <c r="J497" i="3"/>
  <c r="J518" i="3"/>
  <c r="J421" i="3"/>
  <c r="J531" i="3"/>
  <c r="J452" i="3"/>
  <c r="J291" i="3"/>
  <c r="J166" i="3"/>
  <c r="J385" i="3"/>
  <c r="J434" i="3"/>
  <c r="J273" i="3"/>
  <c r="J230" i="3"/>
  <c r="J332" i="3"/>
  <c r="J197" i="3"/>
  <c r="J334" i="3"/>
  <c r="J242" i="3"/>
  <c r="J201" i="3"/>
  <c r="J140" i="3"/>
  <c r="J258" i="3"/>
  <c r="J159" i="3"/>
  <c r="J219" i="3"/>
  <c r="J161" i="3"/>
  <c r="J96" i="3"/>
  <c r="J49" i="3"/>
  <c r="J114" i="3"/>
  <c r="J78" i="3"/>
  <c r="J45" i="3"/>
  <c r="J103" i="3"/>
  <c r="J63" i="3"/>
  <c r="J113" i="3"/>
  <c r="J72" i="3"/>
  <c r="J47" i="3"/>
  <c r="J11" i="3"/>
  <c r="M760" i="2"/>
  <c r="M712" i="2"/>
  <c r="M702" i="2"/>
  <c r="M694" i="2"/>
  <c r="M686" i="2"/>
  <c r="M678" i="2"/>
  <c r="M670" i="2"/>
  <c r="M662" i="2"/>
  <c r="M613" i="2"/>
  <c r="M605" i="2"/>
  <c r="M597" i="2"/>
  <c r="M589" i="2"/>
  <c r="M581" i="2"/>
  <c r="M573" i="2"/>
  <c r="M565" i="2"/>
  <c r="M557" i="2"/>
  <c r="M549" i="2"/>
  <c r="M541" i="2"/>
  <c r="M533" i="2"/>
  <c r="M525" i="2"/>
  <c r="M517" i="2"/>
  <c r="M509" i="2"/>
  <c r="M501" i="2"/>
  <c r="M235" i="2"/>
  <c r="M227" i="2"/>
  <c r="M219" i="2"/>
  <c r="M211" i="2"/>
  <c r="M203" i="2"/>
  <c r="M195" i="2"/>
  <c r="M187" i="2"/>
  <c r="M179" i="2"/>
  <c r="M84" i="2"/>
  <c r="M76" i="2"/>
  <c r="M68" i="2"/>
  <c r="M60" i="2"/>
  <c r="M52" i="2"/>
  <c r="M44" i="2"/>
  <c r="M36" i="2"/>
  <c r="M28" i="2"/>
  <c r="M20" i="2"/>
  <c r="M12" i="2"/>
  <c r="M4" i="2"/>
  <c r="J29" i="3"/>
  <c r="J12" i="3"/>
  <c r="M792" i="2"/>
  <c r="M784" i="2"/>
  <c r="M776" i="2"/>
  <c r="M749" i="2"/>
  <c r="M741" i="2"/>
  <c r="M733" i="2"/>
  <c r="M724" i="2"/>
  <c r="M647" i="2"/>
  <c r="M639" i="2"/>
  <c r="M631" i="2"/>
  <c r="M623" i="2"/>
  <c r="M615" i="2"/>
  <c r="M486" i="2"/>
  <c r="M478" i="2"/>
  <c r="M470" i="2"/>
  <c r="M462" i="2"/>
  <c r="M454" i="2"/>
  <c r="M446" i="2"/>
  <c r="M438" i="2"/>
  <c r="M430" i="2"/>
  <c r="M422" i="2"/>
  <c r="M414" i="2"/>
  <c r="M406" i="2"/>
  <c r="M398" i="2"/>
  <c r="M390" i="2"/>
  <c r="M382" i="2"/>
  <c r="M374" i="2"/>
  <c r="M366" i="2"/>
  <c r="M358" i="2"/>
  <c r="M350" i="2"/>
  <c r="M342" i="2"/>
  <c r="M334" i="2"/>
  <c r="M326" i="2"/>
  <c r="M318" i="2"/>
  <c r="M310" i="2"/>
  <c r="M302" i="2"/>
  <c r="M294" i="2"/>
  <c r="M286" i="2"/>
  <c r="M278" i="2"/>
  <c r="M270" i="2"/>
  <c r="M262" i="2"/>
  <c r="M176" i="2"/>
  <c r="M168" i="2"/>
  <c r="M160" i="2"/>
  <c r="M152" i="2"/>
  <c r="M144" i="2"/>
  <c r="M136" i="2"/>
  <c r="M128" i="2"/>
  <c r="M120" i="2"/>
  <c r="M112" i="2"/>
  <c r="M104" i="2"/>
  <c r="M96" i="2"/>
  <c r="J30" i="3"/>
  <c r="J17" i="3"/>
  <c r="M771" i="2"/>
  <c r="M763" i="2"/>
  <c r="M721" i="2"/>
  <c r="M713" i="2"/>
  <c r="M705" i="2"/>
  <c r="M697" i="2"/>
  <c r="M689" i="2"/>
  <c r="M681" i="2"/>
  <c r="M673" i="2"/>
  <c r="M665" i="2"/>
  <c r="M657" i="2"/>
  <c r="M608" i="2"/>
  <c r="M600" i="2"/>
  <c r="M592" i="2"/>
  <c r="M584" i="2"/>
  <c r="M576" i="2"/>
  <c r="M568" i="2"/>
  <c r="M560" i="2"/>
  <c r="M552" i="2"/>
  <c r="M544" i="2"/>
  <c r="M536" i="2"/>
  <c r="M528" i="2"/>
  <c r="M520" i="2"/>
  <c r="M512" i="2"/>
  <c r="M504" i="2"/>
  <c r="M496" i="2"/>
  <c r="M234" i="2"/>
  <c r="M226" i="2"/>
  <c r="M218" i="2"/>
  <c r="M210" i="2"/>
  <c r="M202" i="2"/>
  <c r="M194" i="2"/>
  <c r="M186" i="2"/>
  <c r="M178" i="2"/>
  <c r="M83" i="2"/>
  <c r="M75" i="2"/>
  <c r="M67" i="2"/>
  <c r="M59" i="2"/>
  <c r="M51" i="2"/>
  <c r="M43" i="2"/>
  <c r="M35" i="2"/>
  <c r="M27" i="2"/>
  <c r="M19" i="2"/>
  <c r="M11" i="2"/>
  <c r="M3" i="2"/>
  <c r="J23" i="3"/>
  <c r="J6" i="3"/>
  <c r="M789" i="2"/>
  <c r="M781" i="2"/>
  <c r="M773" i="2"/>
  <c r="M748" i="2"/>
  <c r="M740" i="2"/>
  <c r="M732" i="2"/>
  <c r="M650" i="2"/>
  <c r="M642" i="2"/>
  <c r="M634" i="2"/>
  <c r="M626" i="2"/>
  <c r="M618" i="2"/>
  <c r="M487" i="2"/>
  <c r="M479" i="2"/>
  <c r="M471" i="2"/>
  <c r="M463" i="2"/>
  <c r="M455" i="2"/>
  <c r="M447" i="2"/>
  <c r="M439" i="2"/>
  <c r="M431" i="2"/>
  <c r="M423" i="2"/>
  <c r="M415" i="2"/>
  <c r="M407" i="2"/>
  <c r="M399" i="2"/>
  <c r="M391" i="2"/>
  <c r="M383" i="2"/>
  <c r="M375" i="2"/>
  <c r="M367" i="2"/>
  <c r="M359" i="2"/>
  <c r="M351" i="2"/>
  <c r="M343" i="2"/>
  <c r="M335" i="2"/>
  <c r="M327" i="2"/>
  <c r="M319" i="2"/>
  <c r="M311" i="2"/>
  <c r="M303" i="2"/>
  <c r="M295" i="2"/>
  <c r="M287" i="2"/>
  <c r="M279" i="2"/>
  <c r="M271" i="2"/>
  <c r="M263" i="2"/>
  <c r="M249" i="2"/>
  <c r="M173" i="2"/>
  <c r="M165" i="2"/>
  <c r="M157" i="2"/>
  <c r="M149" i="2"/>
  <c r="M141" i="2"/>
  <c r="M133" i="2"/>
  <c r="M125" i="2"/>
  <c r="M117" i="2"/>
  <c r="M109" i="2"/>
  <c r="M101" i="2"/>
  <c r="M93" i="2"/>
  <c r="N8" i="13"/>
  <c r="J732" i="3"/>
  <c r="J719" i="3"/>
  <c r="J640" i="3"/>
  <c r="J608" i="3"/>
  <c r="J554" i="3"/>
  <c r="J552" i="3"/>
  <c r="J457" i="3"/>
  <c r="J467" i="3"/>
  <c r="J487" i="3"/>
  <c r="J393" i="3"/>
  <c r="J603" i="3"/>
  <c r="J398" i="3"/>
  <c r="J259" i="3"/>
  <c r="J134" i="3"/>
  <c r="J369" i="3"/>
  <c r="J356" i="3"/>
  <c r="J262" i="3"/>
  <c r="J165" i="3"/>
  <c r="J716" i="3"/>
  <c r="J626" i="3"/>
  <c r="J451" i="3"/>
  <c r="J225" i="3"/>
  <c r="J252" i="3"/>
  <c r="J186" i="3"/>
  <c r="J179" i="3"/>
  <c r="J137" i="3"/>
  <c r="J143" i="3"/>
  <c r="J148" i="3"/>
  <c r="J43" i="3"/>
  <c r="J74" i="3"/>
  <c r="J100" i="3"/>
  <c r="J110" i="3"/>
  <c r="J42" i="3"/>
  <c r="M758" i="2"/>
  <c r="M700" i="2"/>
  <c r="M684" i="2"/>
  <c r="M668" i="2"/>
  <c r="M611" i="2"/>
  <c r="M595" i="2"/>
  <c r="M579" i="2"/>
  <c r="M563" i="2"/>
  <c r="M547" i="2"/>
  <c r="M531" i="2"/>
  <c r="M515" i="2"/>
  <c r="M499" i="2"/>
  <c r="M225" i="2"/>
  <c r="M209" i="2"/>
  <c r="M193" i="2"/>
  <c r="M90" i="2"/>
  <c r="M74" i="2"/>
  <c r="M58" i="2"/>
  <c r="M42" i="2"/>
  <c r="M26" i="2"/>
  <c r="M10" i="2"/>
  <c r="J25" i="3"/>
  <c r="M790" i="2"/>
  <c r="M774" i="2"/>
  <c r="M739" i="2"/>
  <c r="M653" i="2"/>
  <c r="M637" i="2"/>
  <c r="M621" i="2"/>
  <c r="M484" i="2"/>
  <c r="M468" i="2"/>
  <c r="M452" i="2"/>
  <c r="M436" i="2"/>
  <c r="M420" i="2"/>
  <c r="M404" i="2"/>
  <c r="M388" i="2"/>
  <c r="M372" i="2"/>
  <c r="M356" i="2"/>
  <c r="M346" i="2"/>
  <c r="M336" i="2"/>
  <c r="M324" i="2"/>
  <c r="M314" i="2"/>
  <c r="M304" i="2"/>
  <c r="M292" i="2"/>
  <c r="M282" i="2"/>
  <c r="M272" i="2"/>
  <c r="M250" i="2"/>
  <c r="M172" i="2"/>
  <c r="M162" i="2"/>
  <c r="M150" i="2"/>
  <c r="M140" i="2"/>
  <c r="M130" i="2"/>
  <c r="M118" i="2"/>
  <c r="M108" i="2"/>
  <c r="M98" i="2"/>
  <c r="J26" i="3"/>
  <c r="J9" i="3"/>
  <c r="M765" i="2"/>
  <c r="M719" i="2"/>
  <c r="M709" i="2"/>
  <c r="M699" i="2"/>
  <c r="M687" i="2"/>
  <c r="M677" i="2"/>
  <c r="M667" i="2"/>
  <c r="M655" i="2"/>
  <c r="M604" i="2"/>
  <c r="M594" i="2"/>
  <c r="M582" i="2"/>
  <c r="M572" i="2"/>
  <c r="M562" i="2"/>
  <c r="M550" i="2"/>
  <c r="M540" i="2"/>
  <c r="M530" i="2"/>
  <c r="M518" i="2"/>
  <c r="M508" i="2"/>
  <c r="M498" i="2"/>
  <c r="M232" i="2"/>
  <c r="M222" i="2"/>
  <c r="M212" i="2"/>
  <c r="M200" i="2"/>
  <c r="M190" i="2"/>
  <c r="M180" i="2"/>
  <c r="M81" i="2"/>
  <c r="M71" i="2"/>
  <c r="M61" i="2"/>
  <c r="M49" i="2"/>
  <c r="M39" i="2"/>
  <c r="M29" i="2"/>
  <c r="M17" i="2"/>
  <c r="M7" i="2"/>
  <c r="J27" i="3"/>
  <c r="J2" i="3"/>
  <c r="M785" i="2"/>
  <c r="M775" i="2"/>
  <c r="M746" i="2"/>
  <c r="M736" i="2"/>
  <c r="M652" i="2"/>
  <c r="M640" i="2"/>
  <c r="M630" i="2"/>
  <c r="M620" i="2"/>
  <c r="M485" i="2"/>
  <c r="M475" i="2"/>
  <c r="M465" i="2"/>
  <c r="M453" i="2"/>
  <c r="M443" i="2"/>
  <c r="M433" i="2"/>
  <c r="M421" i="2"/>
  <c r="M411" i="2"/>
  <c r="M401" i="2"/>
  <c r="M389" i="2"/>
  <c r="M379" i="2"/>
  <c r="M369" i="2"/>
  <c r="M357" i="2"/>
  <c r="M347" i="2"/>
  <c r="M337" i="2"/>
  <c r="M325" i="2"/>
  <c r="M315" i="2"/>
  <c r="M305" i="2"/>
  <c r="M293" i="2"/>
  <c r="M283" i="2"/>
  <c r="M273" i="2"/>
  <c r="M257" i="2"/>
  <c r="M245" i="2"/>
  <c r="M167" i="2"/>
  <c r="M155" i="2"/>
  <c r="M145" i="2"/>
  <c r="M135" i="2"/>
  <c r="M123" i="2"/>
  <c r="M113" i="2"/>
  <c r="M103" i="2"/>
  <c r="J669" i="3"/>
  <c r="J568" i="3"/>
  <c r="J358" i="3"/>
  <c r="J102" i="3"/>
  <c r="J155" i="3"/>
  <c r="J175" i="3"/>
  <c r="J135" i="3"/>
  <c r="J127" i="3"/>
  <c r="J237" i="3"/>
  <c r="J107" i="3"/>
  <c r="J129" i="3"/>
  <c r="J62" i="3"/>
  <c r="J79" i="3"/>
  <c r="J87" i="3"/>
  <c r="J28" i="3"/>
  <c r="M720" i="2"/>
  <c r="M698" i="2"/>
  <c r="M682" i="2"/>
  <c r="M666" i="2"/>
  <c r="M609" i="2"/>
  <c r="M593" i="2"/>
  <c r="M577" i="2"/>
  <c r="M561" i="2"/>
  <c r="M545" i="2"/>
  <c r="M529" i="2"/>
  <c r="M513" i="2"/>
  <c r="M497" i="2"/>
  <c r="M223" i="2"/>
  <c r="M207" i="2"/>
  <c r="M191" i="2"/>
  <c r="M88" i="2"/>
  <c r="M72" i="2"/>
  <c r="M56" i="2"/>
  <c r="M40" i="2"/>
  <c r="M24" i="2"/>
  <c r="M8" i="2"/>
  <c r="J21" i="3"/>
  <c r="M788" i="2"/>
  <c r="M753" i="2"/>
  <c r="M737" i="2"/>
  <c r="M651" i="2"/>
  <c r="M635" i="2"/>
  <c r="M619" i="2"/>
  <c r="M482" i="2"/>
  <c r="M466" i="2"/>
  <c r="M450" i="2"/>
  <c r="M434" i="2"/>
  <c r="M418" i="2"/>
  <c r="M402" i="2"/>
  <c r="M386" i="2"/>
  <c r="M370" i="2"/>
  <c r="M354" i="2"/>
  <c r="M344" i="2"/>
  <c r="M332" i="2"/>
  <c r="M322" i="2"/>
  <c r="M312" i="2"/>
  <c r="M300" i="2"/>
  <c r="M290" i="2"/>
  <c r="M280" i="2"/>
  <c r="M268" i="2"/>
  <c r="M248" i="2"/>
  <c r="M170" i="2"/>
  <c r="M158" i="2"/>
  <c r="M148" i="2"/>
  <c r="M138" i="2"/>
  <c r="M126" i="2"/>
  <c r="M116" i="2"/>
  <c r="M106" i="2"/>
  <c r="M94" i="2"/>
  <c r="J22" i="3"/>
  <c r="J5" i="3"/>
  <c r="M761" i="2"/>
  <c r="M717" i="2"/>
  <c r="M707" i="2"/>
  <c r="M695" i="2"/>
  <c r="M685" i="2"/>
  <c r="M675" i="2"/>
  <c r="M663" i="2"/>
  <c r="M612" i="2"/>
  <c r="M602" i="2"/>
  <c r="M590" i="2"/>
  <c r="M580" i="2"/>
  <c r="M570" i="2"/>
  <c r="M558" i="2"/>
  <c r="M548" i="2"/>
  <c r="M538" i="2"/>
  <c r="M526" i="2"/>
  <c r="M516" i="2"/>
  <c r="M506" i="2"/>
  <c r="M494" i="2"/>
  <c r="M230" i="2"/>
  <c r="M220" i="2"/>
  <c r="M208" i="2"/>
  <c r="M198" i="2"/>
  <c r="M188" i="2"/>
  <c r="M89" i="2"/>
  <c r="M79" i="2"/>
  <c r="M69" i="2"/>
  <c r="M57" i="2"/>
  <c r="M47" i="2"/>
  <c r="M37" i="2"/>
  <c r="M25" i="2"/>
  <c r="M15" i="2"/>
  <c r="M5" i="2"/>
  <c r="J19" i="3"/>
  <c r="M793" i="2"/>
  <c r="M783" i="2"/>
  <c r="M754" i="2"/>
  <c r="M744" i="2"/>
  <c r="M734" i="2"/>
  <c r="M648" i="2"/>
  <c r="J427" i="3"/>
  <c r="J306" i="3"/>
  <c r="J285" i="3"/>
  <c r="J256" i="3"/>
  <c r="J81" i="3"/>
  <c r="J44" i="3"/>
  <c r="J68" i="3"/>
  <c r="M710" i="2"/>
  <c r="M676" i="2"/>
  <c r="M603" i="2"/>
  <c r="M571" i="2"/>
  <c r="M539" i="2"/>
  <c r="M507" i="2"/>
  <c r="M217" i="2"/>
  <c r="M185" i="2"/>
  <c r="M66" i="2"/>
  <c r="M34" i="2"/>
  <c r="M2" i="2"/>
  <c r="M782" i="2"/>
  <c r="M731" i="2"/>
  <c r="M629" i="2"/>
  <c r="M476" i="2"/>
  <c r="M444" i="2"/>
  <c r="M412" i="2"/>
  <c r="M380" i="2"/>
  <c r="M352" i="2"/>
  <c r="M330" i="2"/>
  <c r="M308" i="2"/>
  <c r="M288" i="2"/>
  <c r="M266" i="2"/>
  <c r="M166" i="2"/>
  <c r="M146" i="2"/>
  <c r="M124" i="2"/>
  <c r="M102" i="2"/>
  <c r="J18" i="3"/>
  <c r="M759" i="2"/>
  <c r="M703" i="2"/>
  <c r="M683" i="2"/>
  <c r="M661" i="2"/>
  <c r="M598" i="2"/>
  <c r="M578" i="2"/>
  <c r="M556" i="2"/>
  <c r="M534" i="2"/>
  <c r="M514" i="2"/>
  <c r="M239" i="2"/>
  <c r="M216" i="2"/>
  <c r="M196" i="2"/>
  <c r="M87" i="2"/>
  <c r="M65" i="2"/>
  <c r="M45" i="2"/>
  <c r="M23" i="2"/>
  <c r="J35" i="3"/>
  <c r="M791" i="2"/>
  <c r="M752" i="2"/>
  <c r="M730" i="2"/>
  <c r="M638" i="2"/>
  <c r="M624" i="2"/>
  <c r="M489" i="2"/>
  <c r="M473" i="2"/>
  <c r="M459" i="2"/>
  <c r="M445" i="2"/>
  <c r="M429" i="2"/>
  <c r="M417" i="2"/>
  <c r="M403" i="2"/>
  <c r="M387" i="2"/>
  <c r="M373" i="2"/>
  <c r="M361" i="2"/>
  <c r="M345" i="2"/>
  <c r="M331" i="2"/>
  <c r="M317" i="2"/>
  <c r="M301" i="2"/>
  <c r="M289" i="2"/>
  <c r="M275" i="2"/>
  <c r="M254" i="2"/>
  <c r="M171" i="2"/>
  <c r="M159" i="2"/>
  <c r="M143" i="2"/>
  <c r="M129" i="2"/>
  <c r="M115" i="2"/>
  <c r="M99" i="2"/>
  <c r="N16" i="13"/>
  <c r="J563" i="3"/>
  <c r="J326" i="3"/>
  <c r="J280" i="3"/>
  <c r="J232" i="3"/>
  <c r="J69" i="3"/>
  <c r="J123" i="3"/>
  <c r="J58" i="3"/>
  <c r="M706" i="2"/>
  <c r="M674" i="2"/>
  <c r="M601" i="2"/>
  <c r="M569" i="2"/>
  <c r="M537" i="2"/>
  <c r="M505" i="2"/>
  <c r="M215" i="2"/>
  <c r="M183" i="2"/>
  <c r="M64" i="2"/>
  <c r="M32" i="2"/>
  <c r="J37" i="3"/>
  <c r="M780" i="2"/>
  <c r="M729" i="2"/>
  <c r="M627" i="2"/>
  <c r="M474" i="2"/>
  <c r="M442" i="2"/>
  <c r="M410" i="2"/>
  <c r="M378" i="2"/>
  <c r="M348" i="2"/>
  <c r="M328" i="2"/>
  <c r="M306" i="2"/>
  <c r="M284" i="2"/>
  <c r="M264" i="2"/>
  <c r="M164" i="2"/>
  <c r="M142" i="2"/>
  <c r="M122" i="2"/>
  <c r="M100" i="2"/>
  <c r="J13" i="3"/>
  <c r="M757" i="2"/>
  <c r="M701" i="2"/>
  <c r="M679" i="2"/>
  <c r="M659" i="2"/>
  <c r="M596" i="2"/>
  <c r="M574" i="2"/>
  <c r="M554" i="2"/>
  <c r="M532" i="2"/>
  <c r="M510" i="2"/>
  <c r="M236" i="2"/>
  <c r="M214" i="2"/>
  <c r="M192" i="2"/>
  <c r="M85" i="2"/>
  <c r="M63" i="2"/>
  <c r="M41" i="2"/>
  <c r="M21" i="2"/>
  <c r="J31" i="3"/>
  <c r="M787" i="2"/>
  <c r="M750" i="2"/>
  <c r="M725" i="2"/>
  <c r="M636" i="2"/>
  <c r="M622" i="2"/>
  <c r="M483" i="2"/>
  <c r="M469" i="2"/>
  <c r="M457" i="2"/>
  <c r="M441" i="2"/>
  <c r="M427" i="2"/>
  <c r="M413" i="2"/>
  <c r="M397" i="2"/>
  <c r="M385" i="2"/>
  <c r="M371" i="2"/>
  <c r="M355" i="2"/>
  <c r="M341" i="2"/>
  <c r="M329" i="2"/>
  <c r="M313" i="2"/>
  <c r="M299" i="2"/>
  <c r="M285" i="2"/>
  <c r="M269" i="2"/>
  <c r="M251" i="2"/>
  <c r="M169" i="2"/>
  <c r="M153" i="2"/>
  <c r="M139" i="2"/>
  <c r="M127" i="2"/>
  <c r="M111" i="2"/>
  <c r="M97" i="2"/>
  <c r="J683" i="3"/>
  <c r="J411" i="3"/>
  <c r="J298" i="3"/>
  <c r="J198" i="3"/>
  <c r="J209" i="3"/>
  <c r="J111" i="3"/>
  <c r="J59" i="3"/>
  <c r="J7" i="3"/>
  <c r="M692" i="2"/>
  <c r="M660" i="2"/>
  <c r="M587" i="2"/>
  <c r="M555" i="2"/>
  <c r="M523" i="2"/>
  <c r="M233" i="2"/>
  <c r="M201" i="2"/>
  <c r="M82" i="2"/>
  <c r="M50" i="2"/>
  <c r="M18" i="2"/>
  <c r="J8" i="3"/>
  <c r="M747" i="2"/>
  <c r="M645" i="2"/>
  <c r="M492" i="2"/>
  <c r="M460" i="2"/>
  <c r="M428" i="2"/>
  <c r="M396" i="2"/>
  <c r="M364" i="2"/>
  <c r="M340" i="2"/>
  <c r="M320" i="2"/>
  <c r="M298" i="2"/>
  <c r="M276" i="2"/>
  <c r="M246" i="2"/>
  <c r="M156" i="2"/>
  <c r="M134" i="2"/>
  <c r="M114" i="2"/>
  <c r="M92" i="2"/>
  <c r="M769" i="2"/>
  <c r="M715" i="2"/>
  <c r="M693" i="2"/>
  <c r="M671" i="2"/>
  <c r="M610" i="2"/>
  <c r="M588" i="2"/>
  <c r="M566" i="2"/>
  <c r="M546" i="2"/>
  <c r="M524" i="2"/>
  <c r="M502" i="2"/>
  <c r="M228" i="2"/>
  <c r="M206" i="2"/>
  <c r="M184" i="2"/>
  <c r="M77" i="2"/>
  <c r="M55" i="2"/>
  <c r="M33" i="2"/>
  <c r="M13" i="2"/>
  <c r="J14" i="3"/>
  <c r="M779" i="2"/>
  <c r="M742" i="2"/>
  <c r="M646" i="2"/>
  <c r="M632" i="2"/>
  <c r="M616" i="2"/>
  <c r="M481" i="2"/>
  <c r="M467" i="2"/>
  <c r="M451" i="2"/>
  <c r="M437" i="2"/>
  <c r="M425" i="2"/>
  <c r="M409" i="2"/>
  <c r="M395" i="2"/>
  <c r="M381" i="2"/>
  <c r="M365" i="2"/>
  <c r="M353" i="2"/>
  <c r="M339" i="2"/>
  <c r="M323" i="2"/>
  <c r="M309" i="2"/>
  <c r="M297" i="2"/>
  <c r="M281" i="2"/>
  <c r="M267" i="2"/>
  <c r="M247" i="2"/>
  <c r="M163" i="2"/>
  <c r="M151" i="2"/>
  <c r="M137" i="2"/>
  <c r="M121" i="2"/>
  <c r="M107" i="2"/>
  <c r="M95" i="2"/>
  <c r="J701" i="3"/>
  <c r="J338" i="3"/>
  <c r="J218" i="3"/>
  <c r="J172" i="3"/>
  <c r="J190" i="3"/>
  <c r="J91" i="3"/>
  <c r="J46" i="3"/>
  <c r="M768" i="2"/>
  <c r="M690" i="2"/>
  <c r="M658" i="2"/>
  <c r="M585" i="2"/>
  <c r="M553" i="2"/>
  <c r="M521" i="2"/>
  <c r="M231" i="2"/>
  <c r="M199" i="2"/>
  <c r="M80" i="2"/>
  <c r="M48" i="2"/>
  <c r="M16" i="2"/>
  <c r="J4" i="3"/>
  <c r="M745" i="2"/>
  <c r="M643" i="2"/>
  <c r="M490" i="2"/>
  <c r="M458" i="2"/>
  <c r="M426" i="2"/>
  <c r="M394" i="2"/>
  <c r="M362" i="2"/>
  <c r="M338" i="2"/>
  <c r="M316" i="2"/>
  <c r="M296" i="2"/>
  <c r="M274" i="2"/>
  <c r="M174" i="2"/>
  <c r="M154" i="2"/>
  <c r="M132" i="2"/>
  <c r="M110" i="2"/>
  <c r="J34" i="3"/>
  <c r="M767" i="2"/>
  <c r="M711" i="2"/>
  <c r="M691" i="2"/>
  <c r="M669" i="2"/>
  <c r="M606" i="2"/>
  <c r="M586" i="2"/>
  <c r="M564" i="2"/>
  <c r="M542" i="2"/>
  <c r="M522" i="2"/>
  <c r="M500" i="2"/>
  <c r="M224" i="2"/>
  <c r="M204" i="2"/>
  <c r="M182" i="2"/>
  <c r="M73" i="2"/>
  <c r="M53" i="2"/>
  <c r="M31" i="2"/>
  <c r="M9" i="2"/>
  <c r="J10" i="3"/>
  <c r="M777" i="2"/>
  <c r="M738" i="2"/>
  <c r="M644" i="2"/>
  <c r="M628" i="2"/>
  <c r="M491" i="2"/>
  <c r="M477" i="2"/>
  <c r="M461" i="2"/>
  <c r="M449" i="2"/>
  <c r="M435" i="2"/>
  <c r="M419" i="2"/>
  <c r="M405" i="2"/>
  <c r="M393" i="2"/>
  <c r="M377" i="2"/>
  <c r="M363" i="2"/>
  <c r="M349" i="2"/>
  <c r="M333" i="2"/>
  <c r="M321" i="2"/>
  <c r="M307" i="2"/>
  <c r="M291" i="2"/>
  <c r="M277" i="2"/>
  <c r="M265" i="2"/>
  <c r="M175" i="2"/>
  <c r="M161" i="2"/>
  <c r="M147" i="2"/>
  <c r="M131" i="2"/>
  <c r="M119" i="2"/>
  <c r="M105" i="2"/>
  <c r="O8" i="15" l="1"/>
  <c r="O12" i="15"/>
  <c r="O16" i="15"/>
  <c r="O20" i="15"/>
  <c r="O24" i="15"/>
  <c r="O28" i="15"/>
  <c r="O32" i="15"/>
  <c r="O36" i="15"/>
  <c r="O40" i="15"/>
  <c r="O44" i="15"/>
  <c r="O48" i="15"/>
  <c r="O56" i="15"/>
  <c r="O4" i="15"/>
  <c r="O52" i="15"/>
  <c r="O229" i="15"/>
  <c r="O286" i="15"/>
  <c r="O125" i="15"/>
  <c r="O129" i="15"/>
  <c r="O133" i="15"/>
  <c r="O145" i="15"/>
  <c r="O150" i="15"/>
  <c r="O6" i="15"/>
  <c r="O9" i="15"/>
  <c r="O10" i="15"/>
  <c r="O13" i="15"/>
  <c r="O14" i="15"/>
  <c r="O15" i="15"/>
  <c r="O18" i="15"/>
  <c r="O19" i="15"/>
  <c r="O22" i="15"/>
  <c r="O25" i="15"/>
  <c r="O26" i="15"/>
  <c r="O29" i="15"/>
  <c r="O30" i="15"/>
  <c r="O31" i="15"/>
  <c r="O34" i="15"/>
  <c r="O35" i="15"/>
  <c r="O38" i="15"/>
  <c r="O41" i="15"/>
  <c r="O42" i="15"/>
  <c r="O45" i="15"/>
  <c r="O46" i="15"/>
  <c r="O47" i="15"/>
  <c r="O50" i="15"/>
  <c r="O51" i="15"/>
  <c r="O54" i="15"/>
  <c r="O58" i="15"/>
  <c r="O61" i="15"/>
  <c r="O62" i="15"/>
  <c r="O63" i="15"/>
  <c r="O66" i="15"/>
  <c r="O67" i="15"/>
  <c r="O70" i="15"/>
  <c r="O73" i="15"/>
  <c r="O74" i="15"/>
  <c r="O78" i="15"/>
  <c r="O79" i="15"/>
  <c r="O80" i="15"/>
  <c r="O83" i="15"/>
  <c r="O84" i="15"/>
  <c r="O87" i="15"/>
  <c r="O90" i="15"/>
  <c r="O91" i="15"/>
  <c r="O94" i="15"/>
  <c r="O95" i="15"/>
  <c r="O96" i="15"/>
  <c r="O99" i="15"/>
  <c r="O100" i="15"/>
  <c r="O103" i="15"/>
  <c r="O106" i="15"/>
  <c r="O107" i="15"/>
  <c r="O110" i="15"/>
  <c r="O111" i="15"/>
  <c r="O57" i="15"/>
  <c r="O104" i="15"/>
  <c r="O108" i="15"/>
  <c r="O112" i="15"/>
  <c r="O116" i="15"/>
  <c r="O120" i="15"/>
  <c r="O162" i="15"/>
  <c r="O166" i="15"/>
  <c r="O178" i="15"/>
  <c r="O182" i="15"/>
  <c r="O194" i="15"/>
  <c r="O198" i="15"/>
  <c r="O115" i="15"/>
  <c r="O119" i="15"/>
  <c r="O122" i="15"/>
  <c r="O124" i="15"/>
  <c r="O126" i="15"/>
  <c r="O132" i="15"/>
  <c r="O136" i="15"/>
  <c r="O140" i="15"/>
  <c r="O144" i="15"/>
  <c r="O148" i="15"/>
  <c r="O153" i="15"/>
  <c r="O157" i="15"/>
  <c r="O161" i="15"/>
  <c r="O165" i="15"/>
  <c r="O169" i="15"/>
  <c r="O173" i="15"/>
  <c r="O177" i="15"/>
  <c r="O181" i="15"/>
  <c r="O185" i="15"/>
  <c r="O189" i="15"/>
  <c r="O193" i="15"/>
  <c r="O197" i="15"/>
  <c r="O201" i="15"/>
  <c r="O205" i="15"/>
  <c r="O210" i="15"/>
  <c r="O215" i="15"/>
  <c r="O218" i="15"/>
  <c r="O219" i="15"/>
  <c r="O220" i="15"/>
  <c r="O223" i="15"/>
  <c r="O226" i="15"/>
  <c r="O227" i="15"/>
  <c r="O228" i="15"/>
  <c r="O231" i="15"/>
  <c r="O235" i="15"/>
  <c r="O236" i="15"/>
  <c r="O239" i="15"/>
  <c r="O242" i="15"/>
  <c r="O243" i="15"/>
  <c r="O244" i="15"/>
  <c r="O247" i="15"/>
  <c r="O251" i="15"/>
  <c r="O252" i="15"/>
  <c r="O255" i="15"/>
  <c r="O258" i="15"/>
  <c r="O259" i="15"/>
  <c r="O260" i="15"/>
  <c r="O264" i="15"/>
  <c r="O265" i="15"/>
  <c r="O268" i="15"/>
  <c r="O269" i="15"/>
  <c r="O272" i="15"/>
  <c r="O275" i="15"/>
  <c r="O276" i="15"/>
  <c r="O277" i="15"/>
  <c r="O280" i="15"/>
  <c r="O281" i="15"/>
  <c r="O284" i="15"/>
  <c r="O285" i="15"/>
  <c r="O288" i="15"/>
  <c r="O291" i="15"/>
  <c r="O292" i="15"/>
  <c r="O293" i="15"/>
  <c r="O296" i="15"/>
  <c r="O297" i="15"/>
  <c r="O300" i="15"/>
  <c r="O301" i="15"/>
  <c r="O305" i="15"/>
  <c r="O308" i="15"/>
  <c r="O312" i="15"/>
  <c r="O315" i="15"/>
  <c r="O316" i="15"/>
  <c r="O320" i="15"/>
  <c r="O323" i="15"/>
  <c r="O326" i="15"/>
  <c r="O327" i="15"/>
  <c r="O328" i="15"/>
  <c r="O331" i="15"/>
  <c r="O334" i="15"/>
  <c r="O335" i="15"/>
  <c r="O336" i="15"/>
  <c r="O339" i="15"/>
  <c r="O342" i="15"/>
  <c r="O343" i="15"/>
  <c r="O344" i="15"/>
  <c r="O340" i="15"/>
  <c r="U4" i="10"/>
  <c r="U3" i="10"/>
  <c r="U19" i="10"/>
  <c r="F130" i="4"/>
  <c r="F53" i="4"/>
  <c r="P241" i="15"/>
  <c r="P233" i="15"/>
  <c r="P229" i="15"/>
  <c r="P221" i="15"/>
  <c r="P213" i="15"/>
  <c r="P260" i="15"/>
  <c r="P256" i="15"/>
  <c r="P252" i="15"/>
  <c r="P248" i="15"/>
  <c r="P236" i="15"/>
  <c r="P216" i="15"/>
  <c r="P243" i="15"/>
  <c r="P239" i="15"/>
  <c r="P231" i="15"/>
  <c r="P223" i="15"/>
  <c r="P219" i="15"/>
  <c r="P254" i="15"/>
  <c r="P258" i="15"/>
  <c r="P226" i="15"/>
  <c r="P209" i="15"/>
  <c r="P262" i="15"/>
  <c r="P246" i="15"/>
  <c r="P211" i="15"/>
  <c r="P250" i="15"/>
  <c r="P148" i="15"/>
  <c r="P140" i="15"/>
  <c r="P136" i="15"/>
  <c r="P147" i="15"/>
  <c r="P139" i="15"/>
  <c r="P135" i="15"/>
  <c r="P146" i="15"/>
  <c r="P138" i="15"/>
  <c r="P134" i="15"/>
  <c r="P124" i="15"/>
  <c r="P121" i="15"/>
  <c r="P117" i="15"/>
  <c r="P109" i="15"/>
  <c r="P105" i="15"/>
  <c r="P145" i="15"/>
  <c r="P123" i="15"/>
  <c r="P120" i="15"/>
  <c r="P116" i="15"/>
  <c r="P112" i="15"/>
  <c r="P108" i="15"/>
  <c r="P104" i="15"/>
  <c r="P133" i="15"/>
  <c r="P119" i="15"/>
  <c r="P115" i="15"/>
  <c r="P111" i="15"/>
  <c r="P107" i="15"/>
  <c r="P103" i="15"/>
  <c r="P118" i="15"/>
  <c r="P102" i="15"/>
  <c r="P106" i="15"/>
  <c r="P137" i="15"/>
  <c r="P114" i="15"/>
  <c r="P261" i="15"/>
  <c r="P257" i="15"/>
  <c r="P253" i="15"/>
  <c r="P249" i="15"/>
  <c r="P245" i="15"/>
  <c r="P225" i="15"/>
  <c r="P240" i="15"/>
  <c r="P232" i="15"/>
  <c r="P228" i="15"/>
  <c r="P220" i="15"/>
  <c r="P259" i="15"/>
  <c r="P255" i="15"/>
  <c r="P251" i="15"/>
  <c r="P247" i="15"/>
  <c r="P235" i="15"/>
  <c r="P215" i="15"/>
  <c r="P238" i="15"/>
  <c r="P222" i="15"/>
  <c r="P210" i="15"/>
  <c r="P242" i="15"/>
  <c r="P230" i="15"/>
  <c r="P212" i="15"/>
  <c r="P208" i="15"/>
  <c r="P218" i="15"/>
  <c r="P56" i="15"/>
  <c r="P52" i="15"/>
  <c r="P48" i="15"/>
  <c r="P44" i="15"/>
  <c r="P24" i="15"/>
  <c r="P20" i="15"/>
  <c r="P16" i="15"/>
  <c r="P59" i="15"/>
  <c r="P55" i="15"/>
  <c r="P51" i="15"/>
  <c r="P47" i="15"/>
  <c r="P19" i="15"/>
  <c r="P15" i="15"/>
  <c r="P11" i="15"/>
  <c r="P58" i="15"/>
  <c r="P54" i="15"/>
  <c r="P50" i="15"/>
  <c r="P46" i="15"/>
  <c r="P26" i="15"/>
  <c r="P22" i="15"/>
  <c r="P18" i="15"/>
  <c r="P14" i="15"/>
  <c r="P10" i="15"/>
  <c r="P6" i="15"/>
  <c r="P53" i="15"/>
  <c r="P21" i="15"/>
  <c r="P57" i="15"/>
  <c r="P25" i="15"/>
  <c r="P9" i="15"/>
  <c r="P45" i="15"/>
  <c r="P49" i="15"/>
  <c r="P17" i="15"/>
  <c r="P237" i="15"/>
  <c r="P217" i="15"/>
  <c r="P244" i="15"/>
  <c r="P224" i="15"/>
  <c r="P227" i="15"/>
  <c r="P214" i="15"/>
  <c r="P207" i="15"/>
  <c r="P234" i="15"/>
  <c r="Q23" i="15"/>
  <c r="Q7" i="15"/>
  <c r="Q13" i="15"/>
  <c r="Q5" i="15"/>
  <c r="Q8" i="15"/>
  <c r="Q28" i="15"/>
  <c r="Q12" i="15"/>
  <c r="Q4" i="15"/>
  <c r="P404" i="15"/>
  <c r="P384" i="15"/>
  <c r="P377" i="15"/>
  <c r="P374" i="15"/>
  <c r="P367" i="15"/>
  <c r="P364" i="15"/>
  <c r="P357" i="15"/>
  <c r="P354" i="15"/>
  <c r="P347" i="15"/>
  <c r="P177" i="15"/>
  <c r="P157" i="15"/>
  <c r="P180" i="15"/>
  <c r="P160" i="15"/>
  <c r="P187" i="15"/>
  <c r="P167" i="15"/>
  <c r="P150" i="15"/>
  <c r="P170" i="15"/>
  <c r="Q184" i="15"/>
  <c r="Q176" i="15"/>
  <c r="Q172" i="15"/>
  <c r="Q164" i="15"/>
  <c r="Q156" i="15"/>
  <c r="Q152" i="15"/>
  <c r="Q203" i="15"/>
  <c r="Q199" i="15"/>
  <c r="Q195" i="15"/>
  <c r="Q191" i="15"/>
  <c r="Q179" i="15"/>
  <c r="Q159" i="15"/>
  <c r="Q186" i="15"/>
  <c r="Q182" i="15"/>
  <c r="Q174" i="15"/>
  <c r="Q166" i="15"/>
  <c r="Q162" i="15"/>
  <c r="Q154" i="15"/>
  <c r="Q193" i="15"/>
  <c r="Q197" i="15"/>
  <c r="Q201" i="15"/>
  <c r="Q169" i="15"/>
  <c r="Q205" i="15"/>
  <c r="Q189" i="15"/>
  <c r="Q59" i="15"/>
  <c r="Q55" i="15"/>
  <c r="Q51" i="15"/>
  <c r="Q47" i="15"/>
  <c r="Q19" i="15"/>
  <c r="Q15" i="15"/>
  <c r="Q11" i="15"/>
  <c r="Q58" i="15"/>
  <c r="Q54" i="15"/>
  <c r="Q50" i="15"/>
  <c r="Q46" i="15"/>
  <c r="Q26" i="15"/>
  <c r="Q22" i="15"/>
  <c r="Q18" i="15"/>
  <c r="Q14" i="15"/>
  <c r="Q10" i="15"/>
  <c r="Q6" i="15"/>
  <c r="Q57" i="15"/>
  <c r="Q53" i="15"/>
  <c r="Q49" i="15"/>
  <c r="Q45" i="15"/>
  <c r="Q25" i="15"/>
  <c r="Q21" i="15"/>
  <c r="Q17" i="15"/>
  <c r="Q9" i="15"/>
  <c r="Q56" i="15"/>
  <c r="Q24" i="15"/>
  <c r="Q44" i="15"/>
  <c r="Q48" i="15"/>
  <c r="Q16" i="15"/>
  <c r="Q52" i="15"/>
  <c r="Q20" i="15"/>
  <c r="P122" i="15"/>
  <c r="P113" i="15"/>
  <c r="P101" i="15"/>
  <c r="P89" i="15"/>
  <c r="P77" i="15"/>
  <c r="P86" i="15"/>
  <c r="P110" i="15"/>
  <c r="P98" i="15"/>
  <c r="Q147" i="15"/>
  <c r="Q139" i="15"/>
  <c r="Q135" i="15"/>
  <c r="Q146" i="15"/>
  <c r="Q138" i="15"/>
  <c r="Q134" i="15"/>
  <c r="Q145" i="15"/>
  <c r="Q137" i="15"/>
  <c r="Q133" i="15"/>
  <c r="Q121" i="15"/>
  <c r="Q123" i="15"/>
  <c r="Q120" i="15"/>
  <c r="Q116" i="15"/>
  <c r="Q112" i="15"/>
  <c r="Q108" i="15"/>
  <c r="Q104" i="15"/>
  <c r="Q148" i="15"/>
  <c r="Q119" i="15"/>
  <c r="Q115" i="15"/>
  <c r="Q111" i="15"/>
  <c r="Q107" i="15"/>
  <c r="Q103" i="15"/>
  <c r="Q136" i="15"/>
  <c r="Q118" i="15"/>
  <c r="Q114" i="15"/>
  <c r="Q106" i="15"/>
  <c r="Q102" i="15"/>
  <c r="Q140" i="15"/>
  <c r="Q105" i="15"/>
  <c r="Q109" i="15"/>
  <c r="Q124" i="15"/>
  <c r="Q117" i="15"/>
  <c r="Q180" i="15"/>
  <c r="Q160" i="15"/>
  <c r="Q187" i="15"/>
  <c r="Q167" i="15"/>
  <c r="Q170" i="15"/>
  <c r="Q150" i="15"/>
  <c r="Q177" i="15"/>
  <c r="Q157" i="15"/>
  <c r="P401" i="15"/>
  <c r="P399" i="15"/>
  <c r="P397" i="15"/>
  <c r="P395" i="15"/>
  <c r="P393" i="15"/>
  <c r="P391" i="15"/>
  <c r="P389" i="15"/>
  <c r="P387" i="15"/>
  <c r="P385" i="15"/>
  <c r="P382" i="15"/>
  <c r="P380" i="15"/>
  <c r="P378" i="15"/>
  <c r="P375" i="15"/>
  <c r="P372" i="15"/>
  <c r="P370" i="15"/>
  <c r="P368" i="15"/>
  <c r="P365" i="15"/>
  <c r="P362" i="15"/>
  <c r="P360" i="15"/>
  <c r="P358" i="15"/>
  <c r="P355" i="15"/>
  <c r="P352" i="15"/>
  <c r="P350" i="15"/>
  <c r="P348" i="15"/>
  <c r="P185" i="15"/>
  <c r="P181" i="15"/>
  <c r="P173" i="15"/>
  <c r="P165" i="15"/>
  <c r="P161" i="15"/>
  <c r="P153" i="15"/>
  <c r="P204" i="15"/>
  <c r="P200" i="15"/>
  <c r="P196" i="15"/>
  <c r="P192" i="15"/>
  <c r="P188" i="15"/>
  <c r="P168" i="15"/>
  <c r="P183" i="15"/>
  <c r="P175" i="15"/>
  <c r="P171" i="15"/>
  <c r="P163" i="15"/>
  <c r="P155" i="15"/>
  <c r="P151" i="15"/>
  <c r="P190" i="15"/>
  <c r="P158" i="15"/>
  <c r="P194" i="15"/>
  <c r="P178" i="15"/>
  <c r="P198" i="15"/>
  <c r="P202" i="15"/>
  <c r="Q244" i="15"/>
  <c r="Q224" i="15"/>
  <c r="Q227" i="15"/>
  <c r="Q234" i="15"/>
  <c r="Q214" i="15"/>
  <c r="Q217" i="15"/>
  <c r="Q207" i="15"/>
  <c r="Q237" i="15"/>
  <c r="Q240" i="15"/>
  <c r="Q232" i="15"/>
  <c r="Q228" i="15"/>
  <c r="Q220" i="15"/>
  <c r="Q259" i="15"/>
  <c r="Q255" i="15"/>
  <c r="Q251" i="15"/>
  <c r="Q247" i="15"/>
  <c r="Q235" i="15"/>
  <c r="Q215" i="15"/>
  <c r="Q242" i="15"/>
  <c r="Q238" i="15"/>
  <c r="Q230" i="15"/>
  <c r="Q222" i="15"/>
  <c r="Q218" i="15"/>
  <c r="Q257" i="15"/>
  <c r="Q225" i="15"/>
  <c r="Q261" i="15"/>
  <c r="Q245" i="15"/>
  <c r="Q212" i="15"/>
  <c r="Q208" i="15"/>
  <c r="Q249" i="15"/>
  <c r="Q210" i="15"/>
  <c r="Q253" i="15"/>
  <c r="Q260" i="15"/>
  <c r="Q256" i="15"/>
  <c r="Q252" i="15"/>
  <c r="Q248" i="15"/>
  <c r="Q236" i="15"/>
  <c r="Q216" i="15"/>
  <c r="Q243" i="15"/>
  <c r="Q239" i="15"/>
  <c r="Q231" i="15"/>
  <c r="Q223" i="15"/>
  <c r="Q219" i="15"/>
  <c r="Q262" i="15"/>
  <c r="Q258" i="15"/>
  <c r="Q254" i="15"/>
  <c r="Q250" i="15"/>
  <c r="Q246" i="15"/>
  <c r="Q226" i="15"/>
  <c r="Q241" i="15"/>
  <c r="Q209" i="15"/>
  <c r="Q229" i="15"/>
  <c r="Q213" i="15"/>
  <c r="Q233" i="15"/>
  <c r="Q211" i="15"/>
  <c r="Q221" i="15"/>
  <c r="P293" i="15"/>
  <c r="P285" i="15"/>
  <c r="P277" i="15"/>
  <c r="P269" i="15"/>
  <c r="P288" i="15"/>
  <c r="P280" i="15"/>
  <c r="P272" i="15"/>
  <c r="P264" i="15"/>
  <c r="P302" i="15"/>
  <c r="P298" i="15"/>
  <c r="P294" i="15"/>
  <c r="P286" i="15"/>
  <c r="P278" i="15"/>
  <c r="P270" i="15"/>
  <c r="P289" i="15"/>
  <c r="P281" i="15"/>
  <c r="P273" i="15"/>
  <c r="P265" i="15"/>
  <c r="P300" i="15"/>
  <c r="P296" i="15"/>
  <c r="P291" i="15"/>
  <c r="P275" i="15"/>
  <c r="P283" i="15"/>
  <c r="P267" i="15"/>
  <c r="P290" i="15"/>
  <c r="P282" i="15"/>
  <c r="P274" i="15"/>
  <c r="P266" i="15"/>
  <c r="P301" i="15"/>
  <c r="P297" i="15"/>
  <c r="P292" i="15"/>
  <c r="P284" i="15"/>
  <c r="P276" i="15"/>
  <c r="P268" i="15"/>
  <c r="P303" i="15"/>
  <c r="P287" i="15"/>
  <c r="P271" i="15"/>
  <c r="P295" i="15"/>
  <c r="P279" i="15"/>
  <c r="P299" i="15"/>
  <c r="P72" i="15"/>
  <c r="P68" i="15"/>
  <c r="P64" i="15"/>
  <c r="P60" i="15"/>
  <c r="P40" i="15"/>
  <c r="P36" i="15"/>
  <c r="P32" i="15"/>
  <c r="P75" i="15"/>
  <c r="P71" i="15"/>
  <c r="P67" i="15"/>
  <c r="P63" i="15"/>
  <c r="P43" i="15"/>
  <c r="P39" i="15"/>
  <c r="P35" i="15"/>
  <c r="P31" i="15"/>
  <c r="P27" i="15"/>
  <c r="P74" i="15"/>
  <c r="P70" i="15"/>
  <c r="P66" i="15"/>
  <c r="P62" i="15"/>
  <c r="P42" i="15"/>
  <c r="P38" i="15"/>
  <c r="P34" i="15"/>
  <c r="P30" i="15"/>
  <c r="P69" i="15"/>
  <c r="P37" i="15"/>
  <c r="P73" i="15"/>
  <c r="P41" i="15"/>
  <c r="P61" i="15"/>
  <c r="P29" i="15"/>
  <c r="P65" i="15"/>
  <c r="P33" i="15"/>
  <c r="Q122" i="15"/>
  <c r="Q110" i="15"/>
  <c r="Q98" i="15"/>
  <c r="Q86" i="15"/>
  <c r="Q89" i="15"/>
  <c r="Q77" i="15"/>
  <c r="Q113" i="15"/>
  <c r="Q101" i="15"/>
  <c r="P144" i="15"/>
  <c r="P132" i="15"/>
  <c r="P128" i="15"/>
  <c r="P143" i="15"/>
  <c r="P131" i="15"/>
  <c r="P142" i="15"/>
  <c r="P130" i="15"/>
  <c r="P126" i="15"/>
  <c r="P141" i="15"/>
  <c r="P127" i="15"/>
  <c r="P97" i="15"/>
  <c r="P93" i="15"/>
  <c r="P85" i="15"/>
  <c r="P81" i="15"/>
  <c r="P129" i="15"/>
  <c r="P100" i="15"/>
  <c r="P96" i="15"/>
  <c r="P92" i="15"/>
  <c r="P88" i="15"/>
  <c r="P84" i="15"/>
  <c r="P80" i="15"/>
  <c r="P99" i="15"/>
  <c r="P95" i="15"/>
  <c r="P91" i="15"/>
  <c r="P87" i="15"/>
  <c r="P83" i="15"/>
  <c r="P79" i="15"/>
  <c r="P90" i="15"/>
  <c r="P94" i="15"/>
  <c r="P78" i="15"/>
  <c r="P125" i="15"/>
  <c r="P82" i="15"/>
  <c r="Q204" i="15"/>
  <c r="Q200" i="15"/>
  <c r="Q196" i="15"/>
  <c r="Q192" i="15"/>
  <c r="Q188" i="15"/>
  <c r="Q168" i="15"/>
  <c r="Q183" i="15"/>
  <c r="Q175" i="15"/>
  <c r="Q171" i="15"/>
  <c r="Q163" i="15"/>
  <c r="Q155" i="15"/>
  <c r="Q151" i="15"/>
  <c r="Q202" i="15"/>
  <c r="Q198" i="15"/>
  <c r="Q194" i="15"/>
  <c r="Q190" i="15"/>
  <c r="Q178" i="15"/>
  <c r="Q158" i="15"/>
  <c r="Q161" i="15"/>
  <c r="Q181" i="15"/>
  <c r="Q165" i="15"/>
  <c r="Q185" i="15"/>
  <c r="Q153" i="15"/>
  <c r="Q173" i="15"/>
  <c r="Q293" i="15"/>
  <c r="Q285" i="15"/>
  <c r="Q277" i="15"/>
  <c r="Q269" i="15"/>
  <c r="Q288" i="15"/>
  <c r="Q280" i="15"/>
  <c r="Q272" i="15"/>
  <c r="Q264" i="15"/>
  <c r="Q289" i="15"/>
  <c r="Q281" i="15"/>
  <c r="Q273" i="15"/>
  <c r="Q265" i="15"/>
  <c r="Q300" i="15"/>
  <c r="Q296" i="15"/>
  <c r="Q291" i="15"/>
  <c r="Q283" i="15"/>
  <c r="Q275" i="15"/>
  <c r="Q267" i="15"/>
  <c r="Q294" i="15"/>
  <c r="Q278" i="15"/>
  <c r="Q298" i="15"/>
  <c r="Q270" i="15"/>
  <c r="Q286" i="15"/>
  <c r="Q302" i="15"/>
  <c r="Q301" i="15"/>
  <c r="Q297" i="15"/>
  <c r="Q292" i="15"/>
  <c r="Q284" i="15"/>
  <c r="Q276" i="15"/>
  <c r="Q268" i="15"/>
  <c r="Q303" i="15"/>
  <c r="Q299" i="15"/>
  <c r="Q295" i="15"/>
  <c r="Q287" i="15"/>
  <c r="Q279" i="15"/>
  <c r="Q271" i="15"/>
  <c r="Q290" i="15"/>
  <c r="Q274" i="15"/>
  <c r="Q282" i="15"/>
  <c r="Q266" i="15"/>
  <c r="P329" i="15"/>
  <c r="P321" i="15"/>
  <c r="P313" i="15"/>
  <c r="P318" i="15"/>
  <c r="P310" i="15"/>
  <c r="P326" i="15"/>
  <c r="P305" i="15"/>
  <c r="P334" i="15"/>
  <c r="P343" i="15"/>
  <c r="P339" i="15"/>
  <c r="P335" i="15"/>
  <c r="P327" i="15"/>
  <c r="P319" i="15"/>
  <c r="P311" i="15"/>
  <c r="P341" i="15"/>
  <c r="P337" i="15"/>
  <c r="P332" i="15"/>
  <c r="P324" i="15"/>
  <c r="P322" i="15"/>
  <c r="P306" i="15"/>
  <c r="P330" i="15"/>
  <c r="P314" i="15"/>
  <c r="P316" i="15"/>
  <c r="P308" i="15"/>
  <c r="P331" i="15"/>
  <c r="P323" i="15"/>
  <c r="P315" i="15"/>
  <c r="P333" i="15"/>
  <c r="P325" i="15"/>
  <c r="P317" i="15"/>
  <c r="P309" i="15"/>
  <c r="P344" i="15"/>
  <c r="P340" i="15"/>
  <c r="P336" i="15"/>
  <c r="P328" i="15"/>
  <c r="P320" i="15"/>
  <c r="P338" i="15"/>
  <c r="P307" i="15"/>
  <c r="P342" i="15"/>
  <c r="P312" i="15"/>
  <c r="P28" i="15"/>
  <c r="P12" i="15"/>
  <c r="P8" i="15"/>
  <c r="P4" i="15"/>
  <c r="P23" i="15"/>
  <c r="P7" i="15"/>
  <c r="P5" i="15"/>
  <c r="P13" i="15"/>
  <c r="Q75" i="15"/>
  <c r="Q71" i="15"/>
  <c r="Q67" i="15"/>
  <c r="Q63" i="15"/>
  <c r="Q43" i="15"/>
  <c r="Q39" i="15"/>
  <c r="Q35" i="15"/>
  <c r="Q31" i="15"/>
  <c r="Q27" i="15"/>
  <c r="Q74" i="15"/>
  <c r="Q70" i="15"/>
  <c r="Q66" i="15"/>
  <c r="Q62" i="15"/>
  <c r="Q42" i="15"/>
  <c r="Q38" i="15"/>
  <c r="Q34" i="15"/>
  <c r="Q30" i="15"/>
  <c r="Q73" i="15"/>
  <c r="Q69" i="15"/>
  <c r="Q65" i="15"/>
  <c r="Q61" i="15"/>
  <c r="Q41" i="15"/>
  <c r="Q37" i="15"/>
  <c r="Q33" i="15"/>
  <c r="Q29" i="15"/>
  <c r="Q72" i="15"/>
  <c r="Q40" i="15"/>
  <c r="Q60" i="15"/>
  <c r="Q64" i="15"/>
  <c r="Q32" i="15"/>
  <c r="Q68" i="15"/>
  <c r="Q36" i="15"/>
  <c r="Q143" i="15"/>
  <c r="Q131" i="15"/>
  <c r="Q142" i="15"/>
  <c r="Q130" i="15"/>
  <c r="Q141" i="15"/>
  <c r="Q129" i="15"/>
  <c r="Q125" i="15"/>
  <c r="Q144" i="15"/>
  <c r="Q128" i="15"/>
  <c r="Q100" i="15"/>
  <c r="Q96" i="15"/>
  <c r="Q92" i="15"/>
  <c r="Q88" i="15"/>
  <c r="Q84" i="15"/>
  <c r="Q80" i="15"/>
  <c r="Q132" i="15"/>
  <c r="Q99" i="15"/>
  <c r="Q95" i="15"/>
  <c r="Q91" i="15"/>
  <c r="Q87" i="15"/>
  <c r="Q83" i="15"/>
  <c r="Q79" i="15"/>
  <c r="Q94" i="15"/>
  <c r="Q90" i="15"/>
  <c r="Q82" i="15"/>
  <c r="Q78" i="15"/>
  <c r="Q126" i="15"/>
  <c r="Q127" i="15"/>
  <c r="Q93" i="15"/>
  <c r="Q97" i="15"/>
  <c r="Q81" i="15"/>
  <c r="Q85" i="15"/>
  <c r="P402" i="15"/>
  <c r="P400" i="15"/>
  <c r="P398" i="15"/>
  <c r="P396" i="15"/>
  <c r="P394" i="15"/>
  <c r="P392" i="15"/>
  <c r="Q219" i="3" s="1"/>
  <c r="P390" i="15"/>
  <c r="P388" i="15"/>
  <c r="P386" i="15"/>
  <c r="P383" i="15"/>
  <c r="P381" i="15"/>
  <c r="P379" i="15"/>
  <c r="P376" i="15"/>
  <c r="P373" i="15"/>
  <c r="P371" i="15"/>
  <c r="P369" i="15"/>
  <c r="P366" i="15"/>
  <c r="P363" i="15"/>
  <c r="P361" i="15"/>
  <c r="P359" i="15"/>
  <c r="P356" i="15"/>
  <c r="P353" i="15"/>
  <c r="P351" i="15"/>
  <c r="P349" i="15"/>
  <c r="P205" i="15"/>
  <c r="P201" i="15"/>
  <c r="P197" i="15"/>
  <c r="P193" i="15"/>
  <c r="P189" i="15"/>
  <c r="P169" i="15"/>
  <c r="P184" i="15"/>
  <c r="P176" i="15"/>
  <c r="P172" i="15"/>
  <c r="P164" i="15"/>
  <c r="P156" i="15"/>
  <c r="P152" i="15"/>
  <c r="P203" i="15"/>
  <c r="P199" i="15"/>
  <c r="P195" i="15"/>
  <c r="P191" i="15"/>
  <c r="P179" i="15"/>
  <c r="P159" i="15"/>
  <c r="P174" i="15"/>
  <c r="P162" i="15"/>
  <c r="P182" i="15"/>
  <c r="P166" i="15"/>
  <c r="P154" i="15"/>
  <c r="P186" i="15"/>
  <c r="Q334" i="15"/>
  <c r="Q326" i="15"/>
  <c r="Q318" i="15"/>
  <c r="Q310" i="15"/>
  <c r="Q404" i="15"/>
  <c r="Q384" i="15"/>
  <c r="Q377" i="15"/>
  <c r="Q374" i="15"/>
  <c r="Q367" i="15"/>
  <c r="Q364" i="15"/>
  <c r="Q357" i="15"/>
  <c r="Q354" i="15"/>
  <c r="Q347" i="15"/>
  <c r="Q329" i="15"/>
  <c r="Q313" i="15"/>
  <c r="Q305" i="15"/>
  <c r="Q321" i="15"/>
  <c r="Q330" i="15"/>
  <c r="Q322" i="15"/>
  <c r="Q314" i="15"/>
  <c r="Q401" i="15"/>
  <c r="Q399" i="15"/>
  <c r="Q397" i="15"/>
  <c r="Q395" i="15"/>
  <c r="Q393" i="15"/>
  <c r="Q391" i="15"/>
  <c r="Q389" i="15"/>
  <c r="Q387" i="15"/>
  <c r="Q385" i="15"/>
  <c r="Q382" i="15"/>
  <c r="Q380" i="15"/>
  <c r="Q378" i="15"/>
  <c r="Q375" i="15"/>
  <c r="Q372" i="15"/>
  <c r="Q370" i="15"/>
  <c r="Q368" i="15"/>
  <c r="Q365" i="15"/>
  <c r="Q362" i="15"/>
  <c r="Q360" i="15"/>
  <c r="Q358" i="15"/>
  <c r="Q355" i="15"/>
  <c r="Q352" i="15"/>
  <c r="Q350" i="15"/>
  <c r="Q348" i="15"/>
  <c r="Q332" i="15"/>
  <c r="Q324" i="15"/>
  <c r="Q316" i="15"/>
  <c r="Q308" i="15"/>
  <c r="Q343" i="15"/>
  <c r="Q339" i="15"/>
  <c r="Q335" i="15"/>
  <c r="Q327" i="15"/>
  <c r="Q341" i="15"/>
  <c r="Q319" i="15"/>
  <c r="Q311" i="15"/>
  <c r="Q306" i="15"/>
  <c r="Q337" i="15"/>
  <c r="Q342" i="15"/>
  <c r="Q338" i="15"/>
  <c r="Q402" i="15"/>
  <c r="Q400" i="15"/>
  <c r="Q398" i="15"/>
  <c r="Q396" i="15"/>
  <c r="Q394" i="15"/>
  <c r="Q392" i="15"/>
  <c r="R219" i="3" s="1"/>
  <c r="Q390" i="15"/>
  <c r="Q388" i="15"/>
  <c r="Q386" i="15"/>
  <c r="Q383" i="15"/>
  <c r="Q381" i="15"/>
  <c r="Q379" i="15"/>
  <c r="Q376" i="15"/>
  <c r="Q373" i="15"/>
  <c r="Q371" i="15"/>
  <c r="Q369" i="15"/>
  <c r="Q366" i="15"/>
  <c r="Q363" i="15"/>
  <c r="Q361" i="15"/>
  <c r="Q359" i="15"/>
  <c r="Q356" i="15"/>
  <c r="Q353" i="15"/>
  <c r="Q351" i="15"/>
  <c r="Q349" i="15"/>
  <c r="Q344" i="15"/>
  <c r="Q340" i="15"/>
  <c r="Q336" i="15"/>
  <c r="Q328" i="15"/>
  <c r="Q320" i="15"/>
  <c r="Q312" i="15"/>
  <c r="Q331" i="15"/>
  <c r="Q323" i="15"/>
  <c r="Q325" i="15"/>
  <c r="Q333" i="15"/>
  <c r="Q315" i="15"/>
  <c r="Q317" i="15"/>
  <c r="Q307" i="15"/>
  <c r="Q309" i="15"/>
  <c r="F11" i="3"/>
  <c r="I11" i="3"/>
  <c r="E11" i="3"/>
  <c r="D11" i="3"/>
  <c r="K11" i="3"/>
  <c r="D17" i="3"/>
  <c r="K17" i="3"/>
  <c r="F17" i="3"/>
  <c r="I17" i="3"/>
  <c r="E17" i="3"/>
  <c r="K25" i="3"/>
  <c r="F25" i="3"/>
  <c r="I25" i="3"/>
  <c r="E25" i="3"/>
  <c r="D25" i="3"/>
  <c r="I35" i="3"/>
  <c r="E35" i="3"/>
  <c r="D35" i="3"/>
  <c r="K35" i="3"/>
  <c r="F35" i="3"/>
  <c r="M68" i="3"/>
  <c r="U68" i="3"/>
  <c r="P68" i="3"/>
  <c r="O68" i="3"/>
  <c r="S68" i="3" s="1"/>
  <c r="N68" i="3"/>
  <c r="K74" i="3"/>
  <c r="F74" i="3"/>
  <c r="I74" i="3"/>
  <c r="E74" i="3"/>
  <c r="D74" i="3"/>
  <c r="M89" i="3"/>
  <c r="N89" i="3"/>
  <c r="P89" i="3"/>
  <c r="U89" i="3"/>
  <c r="O89" i="3"/>
  <c r="S89" i="3" s="1"/>
  <c r="O93" i="3"/>
  <c r="S93" i="3" s="1"/>
  <c r="U93" i="3"/>
  <c r="P93" i="3"/>
  <c r="M105" i="3"/>
  <c r="P105" i="3"/>
  <c r="U105" i="3"/>
  <c r="O105" i="3"/>
  <c r="S105" i="3" s="1"/>
  <c r="N105" i="3"/>
  <c r="O113" i="3"/>
  <c r="S113" i="3" s="1"/>
  <c r="U113" i="3"/>
  <c r="N113" i="3"/>
  <c r="M113" i="3"/>
  <c r="P113" i="3"/>
  <c r="J66" i="6"/>
  <c r="L119" i="3"/>
  <c r="O129" i="3"/>
  <c r="S129" i="3" s="1"/>
  <c r="U129" i="3"/>
  <c r="N129" i="3"/>
  <c r="M129" i="3"/>
  <c r="P129" i="3"/>
  <c r="O133" i="3"/>
  <c r="S133" i="3" s="1"/>
  <c r="M133" i="3"/>
  <c r="U133" i="3"/>
  <c r="P133" i="3"/>
  <c r="N133" i="3"/>
  <c r="M141" i="3"/>
  <c r="U141" i="3"/>
  <c r="O141" i="3"/>
  <c r="S141" i="3" s="1"/>
  <c r="N141" i="3"/>
  <c r="P141" i="3"/>
  <c r="L2" i="3"/>
  <c r="N219" i="2"/>
  <c r="O4" i="3"/>
  <c r="S4" i="3" s="1"/>
  <c r="N4" i="3"/>
  <c r="M4" i="3"/>
  <c r="U4" i="3"/>
  <c r="P4" i="3"/>
  <c r="M6" i="3"/>
  <c r="U6" i="3"/>
  <c r="P6" i="3"/>
  <c r="O6" i="3"/>
  <c r="S6" i="3" s="1"/>
  <c r="N6" i="3"/>
  <c r="O8" i="3"/>
  <c r="S8" i="3" s="1"/>
  <c r="N8" i="3"/>
  <c r="M8" i="3"/>
  <c r="U8" i="3"/>
  <c r="P8" i="3"/>
  <c r="M10" i="3"/>
  <c r="U10" i="3"/>
  <c r="P10" i="3"/>
  <c r="O10" i="3"/>
  <c r="S10" i="3" s="1"/>
  <c r="N10" i="3"/>
  <c r="O12" i="3"/>
  <c r="S12" i="3" s="1"/>
  <c r="N12" i="3"/>
  <c r="M12" i="3"/>
  <c r="U12" i="3"/>
  <c r="P12" i="3"/>
  <c r="M14" i="3"/>
  <c r="U14" i="3"/>
  <c r="P14" i="3"/>
  <c r="O14" i="3"/>
  <c r="S14" i="3" s="1"/>
  <c r="N14" i="3"/>
  <c r="O16" i="3"/>
  <c r="S16" i="3" s="1"/>
  <c r="N16" i="3"/>
  <c r="M16" i="3"/>
  <c r="U16" i="3"/>
  <c r="P16" i="3"/>
  <c r="J2" i="6"/>
  <c r="L18" i="3"/>
  <c r="J12" i="6"/>
  <c r="L20" i="3"/>
  <c r="U22" i="3"/>
  <c r="P22" i="3"/>
  <c r="O22" i="3"/>
  <c r="S22" i="3" s="1"/>
  <c r="N22" i="3"/>
  <c r="M22" i="3"/>
  <c r="J4" i="6"/>
  <c r="L24" i="3"/>
  <c r="U26" i="3"/>
  <c r="P26" i="3"/>
  <c r="O26" i="3"/>
  <c r="S26" i="3" s="1"/>
  <c r="N26" i="3"/>
  <c r="M26" i="3"/>
  <c r="J21" i="6"/>
  <c r="L28" i="3"/>
  <c r="U30" i="3"/>
  <c r="P30" i="3"/>
  <c r="O30" i="3"/>
  <c r="S30" i="3" s="1"/>
  <c r="N30" i="3"/>
  <c r="M30" i="3"/>
  <c r="J16" i="6"/>
  <c r="L32" i="3"/>
  <c r="J17" i="6"/>
  <c r="L34" i="3"/>
  <c r="J15" i="6"/>
  <c r="L36" i="3"/>
  <c r="N38" i="3"/>
  <c r="P38" i="3"/>
  <c r="O38" i="3"/>
  <c r="S38" i="3" s="1"/>
  <c r="U38" i="3"/>
  <c r="M38" i="3"/>
  <c r="J23" i="6"/>
  <c r="L40" i="3"/>
  <c r="J31" i="6"/>
  <c r="L42" i="3"/>
  <c r="J9" i="6"/>
  <c r="L44" i="3"/>
  <c r="J22" i="6"/>
  <c r="L46" i="3"/>
  <c r="J24" i="6"/>
  <c r="L48" i="3"/>
  <c r="J32" i="6"/>
  <c r="L50" i="3"/>
  <c r="U52" i="3"/>
  <c r="P52" i="3"/>
  <c r="O52" i="3"/>
  <c r="S52" i="3" s="1"/>
  <c r="N52" i="3"/>
  <c r="M52" i="3"/>
  <c r="N54" i="3"/>
  <c r="M54" i="3"/>
  <c r="U54" i="3"/>
  <c r="P54" i="3"/>
  <c r="O54" i="3"/>
  <c r="S54" i="3" s="1"/>
  <c r="U56" i="3"/>
  <c r="P56" i="3"/>
  <c r="O56" i="3"/>
  <c r="S56" i="3" s="1"/>
  <c r="N56" i="3"/>
  <c r="M56" i="3"/>
  <c r="J35" i="6"/>
  <c r="L58" i="3"/>
  <c r="M60" i="3"/>
  <c r="U60" i="3"/>
  <c r="P60" i="3"/>
  <c r="O60" i="3"/>
  <c r="S60" i="3" s="1"/>
  <c r="N60" i="3"/>
  <c r="O62" i="3"/>
  <c r="S62" i="3" s="1"/>
  <c r="N62" i="3"/>
  <c r="M62" i="3"/>
  <c r="U62" i="3"/>
  <c r="P62" i="3"/>
  <c r="I64" i="3"/>
  <c r="E64" i="3"/>
  <c r="D64" i="3"/>
  <c r="K64" i="3"/>
  <c r="F64" i="3"/>
  <c r="K66" i="3"/>
  <c r="F66" i="3"/>
  <c r="I66" i="3"/>
  <c r="E66" i="3"/>
  <c r="D66" i="3"/>
  <c r="I68" i="3"/>
  <c r="E68" i="3"/>
  <c r="D68" i="3"/>
  <c r="K68" i="3"/>
  <c r="F68" i="3"/>
  <c r="K70" i="3"/>
  <c r="F70" i="3"/>
  <c r="I70" i="3"/>
  <c r="E70" i="3"/>
  <c r="D70" i="3"/>
  <c r="P3" i="10"/>
  <c r="L3" i="10"/>
  <c r="H3" i="10"/>
  <c r="D3" i="10"/>
  <c r="S3" i="10"/>
  <c r="O3" i="10"/>
  <c r="K3" i="10"/>
  <c r="G3" i="10"/>
  <c r="R3" i="10"/>
  <c r="J3" i="10"/>
  <c r="Q3" i="10"/>
  <c r="I3" i="10"/>
  <c r="N3" i="10"/>
  <c r="F3" i="10"/>
  <c r="M3" i="10"/>
  <c r="E3" i="10"/>
  <c r="J46" i="6"/>
  <c r="L73" i="3"/>
  <c r="J47" i="6"/>
  <c r="L75" i="3"/>
  <c r="N77" i="3"/>
  <c r="M77" i="3"/>
  <c r="U77" i="3"/>
  <c r="P77" i="3"/>
  <c r="O77" i="3"/>
  <c r="S77" i="3" s="1"/>
  <c r="U79" i="3"/>
  <c r="P79" i="3"/>
  <c r="O79" i="3"/>
  <c r="S79" i="3" s="1"/>
  <c r="N79" i="3"/>
  <c r="M79" i="3"/>
  <c r="N81" i="3"/>
  <c r="M81" i="3"/>
  <c r="P81" i="3"/>
  <c r="O81" i="3"/>
  <c r="S81" i="3" s="1"/>
  <c r="O83" i="3"/>
  <c r="S83" i="3" s="1"/>
  <c r="P83" i="3"/>
  <c r="U83" i="3"/>
  <c r="N83" i="3"/>
  <c r="M83" i="3"/>
  <c r="M85" i="3"/>
  <c r="P85" i="3"/>
  <c r="U85" i="3"/>
  <c r="O85" i="3"/>
  <c r="S85" i="3" s="1"/>
  <c r="N85" i="3"/>
  <c r="K87" i="3"/>
  <c r="I87" i="3"/>
  <c r="D87" i="3"/>
  <c r="F87" i="3"/>
  <c r="E87" i="3"/>
  <c r="I89" i="3"/>
  <c r="E89" i="3"/>
  <c r="K89" i="3"/>
  <c r="F89" i="3"/>
  <c r="D89" i="3"/>
  <c r="K91" i="3"/>
  <c r="F91" i="3"/>
  <c r="E91" i="3"/>
  <c r="I91" i="3"/>
  <c r="D91" i="3"/>
  <c r="I93" i="3"/>
  <c r="E93" i="3"/>
  <c r="K93" i="3"/>
  <c r="F93" i="3"/>
  <c r="D93" i="3"/>
  <c r="K95" i="3"/>
  <c r="F95" i="3"/>
  <c r="E95" i="3"/>
  <c r="I95" i="3"/>
  <c r="D95" i="3"/>
  <c r="I97" i="3"/>
  <c r="E97" i="3"/>
  <c r="K97" i="3"/>
  <c r="F97" i="3"/>
  <c r="D97" i="3"/>
  <c r="K99" i="3"/>
  <c r="E99" i="3"/>
  <c r="I99" i="3"/>
  <c r="D99" i="3"/>
  <c r="F99" i="3"/>
  <c r="I101" i="3"/>
  <c r="E101" i="3"/>
  <c r="D101" i="3"/>
  <c r="K101" i="3"/>
  <c r="F101" i="3"/>
  <c r="K103" i="3"/>
  <c r="F103" i="3"/>
  <c r="E103" i="3"/>
  <c r="I103" i="3"/>
  <c r="D103" i="3"/>
  <c r="I105" i="3"/>
  <c r="E105" i="3"/>
  <c r="K105" i="3"/>
  <c r="F105" i="3"/>
  <c r="D105" i="3"/>
  <c r="K107" i="3"/>
  <c r="E107" i="3"/>
  <c r="I107" i="3"/>
  <c r="D107" i="3"/>
  <c r="F107" i="3"/>
  <c r="K109" i="3"/>
  <c r="F109" i="3"/>
  <c r="E109" i="3"/>
  <c r="I109" i="3"/>
  <c r="D109" i="3"/>
  <c r="I111" i="3"/>
  <c r="E111" i="3"/>
  <c r="K111" i="3"/>
  <c r="F111" i="3"/>
  <c r="D111" i="3"/>
  <c r="K113" i="3"/>
  <c r="I113" i="3"/>
  <c r="D113" i="3"/>
  <c r="F113" i="3"/>
  <c r="E113" i="3"/>
  <c r="I115" i="3"/>
  <c r="E115" i="3"/>
  <c r="K115" i="3"/>
  <c r="F115" i="3"/>
  <c r="D115" i="3"/>
  <c r="K117" i="3"/>
  <c r="F117" i="3"/>
  <c r="E117" i="3"/>
  <c r="I117" i="3"/>
  <c r="D117" i="3"/>
  <c r="I119" i="3"/>
  <c r="E119" i="3"/>
  <c r="K119" i="3"/>
  <c r="F119" i="3"/>
  <c r="D119" i="3"/>
  <c r="K121" i="3"/>
  <c r="I121" i="3"/>
  <c r="D121" i="3"/>
  <c r="F121" i="3"/>
  <c r="E121" i="3"/>
  <c r="I123" i="3"/>
  <c r="E123" i="3"/>
  <c r="F123" i="3"/>
  <c r="K123" i="3"/>
  <c r="D123" i="3"/>
  <c r="K125" i="3"/>
  <c r="F125" i="3"/>
  <c r="E125" i="3"/>
  <c r="I125" i="3"/>
  <c r="D125" i="3"/>
  <c r="I127" i="3"/>
  <c r="E127" i="3"/>
  <c r="K127" i="3"/>
  <c r="F127" i="3"/>
  <c r="D127" i="3"/>
  <c r="K129" i="3"/>
  <c r="I129" i="3"/>
  <c r="D129" i="3"/>
  <c r="F129" i="3"/>
  <c r="E129" i="3"/>
  <c r="I131" i="3"/>
  <c r="E131" i="3"/>
  <c r="D131" i="3"/>
  <c r="K131" i="3"/>
  <c r="F131" i="3"/>
  <c r="K133" i="3"/>
  <c r="F133" i="3"/>
  <c r="E133" i="3"/>
  <c r="D133" i="3"/>
  <c r="I133" i="3"/>
  <c r="K135" i="3"/>
  <c r="F135" i="3"/>
  <c r="D135" i="3"/>
  <c r="I135" i="3"/>
  <c r="E135" i="3"/>
  <c r="I137" i="3"/>
  <c r="E137" i="3"/>
  <c r="K137" i="3"/>
  <c r="F137" i="3"/>
  <c r="D137" i="3"/>
  <c r="K139" i="3"/>
  <c r="E139" i="3"/>
  <c r="I139" i="3"/>
  <c r="D139" i="3"/>
  <c r="F139" i="3"/>
  <c r="I141" i="3"/>
  <c r="E141" i="3"/>
  <c r="D141" i="3"/>
  <c r="F141" i="3"/>
  <c r="K141" i="3"/>
  <c r="K143" i="3"/>
  <c r="F143" i="3"/>
  <c r="E143" i="3"/>
  <c r="D143" i="3"/>
  <c r="I143" i="3"/>
  <c r="I145" i="3"/>
  <c r="E145" i="3"/>
  <c r="K145" i="3"/>
  <c r="F145" i="3"/>
  <c r="D145" i="3"/>
  <c r="K147" i="3"/>
  <c r="E147" i="3"/>
  <c r="I147" i="3"/>
  <c r="D147" i="3"/>
  <c r="F147" i="3"/>
  <c r="I149" i="3"/>
  <c r="E149" i="3"/>
  <c r="D149" i="3"/>
  <c r="K149" i="3"/>
  <c r="F149" i="3"/>
  <c r="N150" i="3"/>
  <c r="P150" i="3"/>
  <c r="U150" i="3"/>
  <c r="O150" i="3"/>
  <c r="S150" i="3" s="1"/>
  <c r="M150" i="3"/>
  <c r="U152" i="3"/>
  <c r="P152" i="3"/>
  <c r="O152" i="3"/>
  <c r="S152" i="3" s="1"/>
  <c r="N152" i="3"/>
  <c r="M152" i="3"/>
  <c r="N154" i="3"/>
  <c r="M154" i="3"/>
  <c r="U154" i="3"/>
  <c r="P154" i="3"/>
  <c r="O154" i="3"/>
  <c r="S154" i="3" s="1"/>
  <c r="U156" i="3"/>
  <c r="P156" i="3"/>
  <c r="M156" i="3"/>
  <c r="N156" i="3"/>
  <c r="O156" i="3"/>
  <c r="S156" i="3" s="1"/>
  <c r="N158" i="3"/>
  <c r="P158" i="3"/>
  <c r="U158" i="3"/>
  <c r="O158" i="3"/>
  <c r="S158" i="3" s="1"/>
  <c r="M158" i="3"/>
  <c r="U160" i="3"/>
  <c r="P160" i="3"/>
  <c r="O160" i="3"/>
  <c r="S160" i="3" s="1"/>
  <c r="N160" i="3"/>
  <c r="M160" i="3"/>
  <c r="N162" i="3"/>
  <c r="M162" i="3"/>
  <c r="P162" i="3"/>
  <c r="O162" i="3"/>
  <c r="S162" i="3" s="1"/>
  <c r="U162" i="3"/>
  <c r="U164" i="3"/>
  <c r="P164" i="3"/>
  <c r="M164" i="3"/>
  <c r="O164" i="3"/>
  <c r="S164" i="3" s="1"/>
  <c r="N164" i="3"/>
  <c r="N166" i="3"/>
  <c r="P166" i="3"/>
  <c r="U166" i="3"/>
  <c r="O166" i="3"/>
  <c r="S166" i="3" s="1"/>
  <c r="M166" i="3"/>
  <c r="D168" i="3"/>
  <c r="E168" i="3"/>
  <c r="I168" i="3"/>
  <c r="K168" i="3"/>
  <c r="F168" i="3"/>
  <c r="F170" i="3"/>
  <c r="K170" i="3"/>
  <c r="I170" i="3"/>
  <c r="E170" i="3"/>
  <c r="D170" i="3"/>
  <c r="D172" i="3"/>
  <c r="K172" i="3"/>
  <c r="F172" i="3"/>
  <c r="I172" i="3"/>
  <c r="E172" i="3"/>
  <c r="D174" i="3"/>
  <c r="I174" i="3"/>
  <c r="F174" i="3"/>
  <c r="E174" i="3"/>
  <c r="K174" i="3"/>
  <c r="F176" i="3"/>
  <c r="K176" i="3"/>
  <c r="E176" i="3"/>
  <c r="D176" i="3"/>
  <c r="I176" i="3"/>
  <c r="D178" i="3"/>
  <c r="K178" i="3"/>
  <c r="F178" i="3"/>
  <c r="E178" i="3"/>
  <c r="I178" i="3"/>
  <c r="F180" i="3"/>
  <c r="I180" i="3"/>
  <c r="D180" i="3"/>
  <c r="K180" i="3"/>
  <c r="E180" i="3"/>
  <c r="D182" i="3"/>
  <c r="I182" i="3"/>
  <c r="K182" i="3"/>
  <c r="F182" i="3"/>
  <c r="E182" i="3"/>
  <c r="F184" i="3"/>
  <c r="K184" i="3"/>
  <c r="E184" i="3"/>
  <c r="I184" i="3"/>
  <c r="D184" i="3"/>
  <c r="D186" i="3"/>
  <c r="K186" i="3"/>
  <c r="F186" i="3"/>
  <c r="E186" i="3"/>
  <c r="I186" i="3"/>
  <c r="F188" i="3"/>
  <c r="I188" i="3"/>
  <c r="D188" i="3"/>
  <c r="E188" i="3"/>
  <c r="K188" i="3"/>
  <c r="D190" i="3"/>
  <c r="I190" i="3"/>
  <c r="F190" i="3"/>
  <c r="E190" i="3"/>
  <c r="K190" i="3"/>
  <c r="F192" i="3"/>
  <c r="K192" i="3"/>
  <c r="E192" i="3"/>
  <c r="D192" i="3"/>
  <c r="I192" i="3"/>
  <c r="D194" i="3"/>
  <c r="K194" i="3"/>
  <c r="F194" i="3"/>
  <c r="E194" i="3"/>
  <c r="I194" i="3"/>
  <c r="F196" i="3"/>
  <c r="I196" i="3"/>
  <c r="D196" i="3"/>
  <c r="K196" i="3"/>
  <c r="E196" i="3"/>
  <c r="D198" i="3"/>
  <c r="I198" i="3"/>
  <c r="K198" i="3"/>
  <c r="F198" i="3"/>
  <c r="E198" i="3"/>
  <c r="F200" i="3"/>
  <c r="K200" i="3"/>
  <c r="E200" i="3"/>
  <c r="I200" i="3"/>
  <c r="D200" i="3"/>
  <c r="D202" i="3"/>
  <c r="K202" i="3"/>
  <c r="F202" i="3"/>
  <c r="E202" i="3"/>
  <c r="I202" i="3"/>
  <c r="F204" i="3"/>
  <c r="I204" i="3"/>
  <c r="D204" i="3"/>
  <c r="E204" i="3"/>
  <c r="K204" i="3"/>
  <c r="D206" i="3"/>
  <c r="I206" i="3"/>
  <c r="F206" i="3"/>
  <c r="E206" i="3"/>
  <c r="K206" i="3"/>
  <c r="F208" i="3"/>
  <c r="K208" i="3"/>
  <c r="E208" i="3"/>
  <c r="D208" i="3"/>
  <c r="I208" i="3"/>
  <c r="D210" i="3"/>
  <c r="K210" i="3"/>
  <c r="F210" i="3"/>
  <c r="E210" i="3"/>
  <c r="I210" i="3"/>
  <c r="F212" i="3"/>
  <c r="I212" i="3"/>
  <c r="D212" i="3"/>
  <c r="K212" i="3"/>
  <c r="E212" i="3"/>
  <c r="F214" i="3"/>
  <c r="I214" i="3"/>
  <c r="D214" i="3"/>
  <c r="E214" i="3"/>
  <c r="K214" i="3"/>
  <c r="K216" i="3"/>
  <c r="F216" i="3"/>
  <c r="E216" i="3"/>
  <c r="I216" i="3"/>
  <c r="D216" i="3"/>
  <c r="K218" i="3"/>
  <c r="F218" i="3"/>
  <c r="E218" i="3"/>
  <c r="D218" i="3"/>
  <c r="I218" i="3"/>
  <c r="I221" i="3"/>
  <c r="E221" i="3"/>
  <c r="D221" i="3"/>
  <c r="K221" i="3"/>
  <c r="F221" i="3"/>
  <c r="N223" i="3"/>
  <c r="P223" i="3"/>
  <c r="U223" i="3"/>
  <c r="O223" i="3"/>
  <c r="S223" i="3" s="1"/>
  <c r="M223" i="3"/>
  <c r="U225" i="3"/>
  <c r="N225" i="3"/>
  <c r="P225" i="3"/>
  <c r="O225" i="3"/>
  <c r="S225" i="3" s="1"/>
  <c r="M225" i="3"/>
  <c r="P227" i="3"/>
  <c r="N227" i="3"/>
  <c r="U227" i="3"/>
  <c r="M227" i="3"/>
  <c r="O227" i="3"/>
  <c r="S227" i="3" s="1"/>
  <c r="M229" i="3"/>
  <c r="P229" i="3"/>
  <c r="O229" i="3"/>
  <c r="S229" i="3" s="1"/>
  <c r="N229" i="3"/>
  <c r="U229" i="3"/>
  <c r="N231" i="3"/>
  <c r="P231" i="3"/>
  <c r="U231" i="3"/>
  <c r="O231" i="3"/>
  <c r="S231" i="3" s="1"/>
  <c r="M231" i="3"/>
  <c r="D233" i="3"/>
  <c r="K233" i="3"/>
  <c r="F233" i="3"/>
  <c r="E233" i="3"/>
  <c r="I233" i="3"/>
  <c r="F235" i="3"/>
  <c r="I235" i="3"/>
  <c r="D235" i="3"/>
  <c r="K235" i="3"/>
  <c r="E235" i="3"/>
  <c r="D237" i="3"/>
  <c r="I237" i="3"/>
  <c r="K237" i="3"/>
  <c r="F237" i="3"/>
  <c r="E237" i="3"/>
  <c r="F239" i="3"/>
  <c r="K239" i="3"/>
  <c r="E239" i="3"/>
  <c r="I239" i="3"/>
  <c r="D239" i="3"/>
  <c r="D241" i="3"/>
  <c r="K241" i="3"/>
  <c r="F241" i="3"/>
  <c r="E241" i="3"/>
  <c r="I241" i="3"/>
  <c r="F243" i="3"/>
  <c r="I243" i="3"/>
  <c r="D243" i="3"/>
  <c r="K243" i="3"/>
  <c r="E243" i="3"/>
  <c r="D245" i="3"/>
  <c r="I245" i="3"/>
  <c r="K245" i="3"/>
  <c r="F245" i="3"/>
  <c r="E245" i="3"/>
  <c r="F247" i="3"/>
  <c r="K247" i="3"/>
  <c r="E247" i="3"/>
  <c r="I247" i="3"/>
  <c r="D247" i="3"/>
  <c r="D249" i="3"/>
  <c r="K249" i="3"/>
  <c r="F249" i="3"/>
  <c r="E249" i="3"/>
  <c r="I249" i="3"/>
  <c r="F251" i="3"/>
  <c r="I251" i="3"/>
  <c r="D251" i="3"/>
  <c r="E251" i="3"/>
  <c r="K251" i="3"/>
  <c r="D253" i="3"/>
  <c r="I253" i="3"/>
  <c r="K253" i="3"/>
  <c r="F253" i="3"/>
  <c r="E253" i="3"/>
  <c r="F255" i="3"/>
  <c r="K255" i="3"/>
  <c r="E255" i="3"/>
  <c r="I255" i="3"/>
  <c r="D255" i="3"/>
  <c r="D257" i="3"/>
  <c r="K257" i="3"/>
  <c r="F257" i="3"/>
  <c r="E257" i="3"/>
  <c r="I257" i="3"/>
  <c r="F259" i="3"/>
  <c r="I259" i="3"/>
  <c r="D259" i="3"/>
  <c r="K259" i="3"/>
  <c r="E259" i="3"/>
  <c r="D261" i="3"/>
  <c r="I261" i="3"/>
  <c r="K261" i="3"/>
  <c r="F261" i="3"/>
  <c r="E261" i="3"/>
  <c r="F263" i="3"/>
  <c r="K263" i="3"/>
  <c r="E263" i="3"/>
  <c r="I263" i="3"/>
  <c r="D263" i="3"/>
  <c r="D265" i="3"/>
  <c r="K265" i="3"/>
  <c r="F265" i="3"/>
  <c r="E265" i="3"/>
  <c r="I265" i="3"/>
  <c r="F267" i="3"/>
  <c r="I267" i="3"/>
  <c r="D267" i="3"/>
  <c r="E267" i="3"/>
  <c r="K267" i="3"/>
  <c r="D269" i="3"/>
  <c r="I269" i="3"/>
  <c r="K269" i="3"/>
  <c r="F269" i="3"/>
  <c r="E269" i="3"/>
  <c r="F271" i="3"/>
  <c r="K271" i="3"/>
  <c r="E271" i="3"/>
  <c r="I271" i="3"/>
  <c r="D271" i="3"/>
  <c r="D273" i="3"/>
  <c r="K273" i="3"/>
  <c r="F273" i="3"/>
  <c r="E273" i="3"/>
  <c r="I273" i="3"/>
  <c r="F275" i="3"/>
  <c r="I275" i="3"/>
  <c r="D275" i="3"/>
  <c r="K275" i="3"/>
  <c r="E275" i="3"/>
  <c r="D277" i="3"/>
  <c r="I277" i="3"/>
  <c r="K277" i="3"/>
  <c r="F277" i="3"/>
  <c r="E277" i="3"/>
  <c r="F279" i="3"/>
  <c r="K279" i="3"/>
  <c r="E279" i="3"/>
  <c r="I279" i="3"/>
  <c r="D279" i="3"/>
  <c r="C281" i="3"/>
  <c r="D302" i="1"/>
  <c r="L281" i="3" s="1"/>
  <c r="K284" i="3"/>
  <c r="F284" i="3"/>
  <c r="E284" i="3"/>
  <c r="I284" i="3"/>
  <c r="D284" i="3"/>
  <c r="D307" i="1"/>
  <c r="L286" i="3" s="1"/>
  <c r="C289" i="3"/>
  <c r="D310" i="1"/>
  <c r="L289" i="3" s="1"/>
  <c r="K292" i="3"/>
  <c r="F292" i="3"/>
  <c r="D292" i="3"/>
  <c r="I292" i="3"/>
  <c r="E292" i="3"/>
  <c r="D316" i="1"/>
  <c r="L294" i="3" s="1"/>
  <c r="C297" i="3"/>
  <c r="D319" i="1"/>
  <c r="L297" i="3" s="1"/>
  <c r="K300" i="3"/>
  <c r="F300" i="3"/>
  <c r="D300" i="3"/>
  <c r="I300" i="3"/>
  <c r="E300" i="3"/>
  <c r="D324" i="1"/>
  <c r="L302" i="3" s="1"/>
  <c r="C306" i="3"/>
  <c r="D328" i="1"/>
  <c r="L306" i="3" s="1"/>
  <c r="C310" i="3"/>
  <c r="D332" i="1"/>
  <c r="L310" i="3" s="1"/>
  <c r="C314" i="3"/>
  <c r="D336" i="1"/>
  <c r="L314" i="3" s="1"/>
  <c r="C318" i="3"/>
  <c r="D340" i="1"/>
  <c r="L318" i="3" s="1"/>
  <c r="C322" i="3"/>
  <c r="D344" i="1"/>
  <c r="L322" i="3" s="1"/>
  <c r="C326" i="3"/>
  <c r="D348" i="1"/>
  <c r="L326" i="3" s="1"/>
  <c r="C330" i="3"/>
  <c r="D353" i="1"/>
  <c r="L330" i="3" s="1"/>
  <c r="C334" i="3"/>
  <c r="D357" i="1"/>
  <c r="L334" i="3" s="1"/>
  <c r="C338" i="3"/>
  <c r="D361" i="1"/>
  <c r="L338" i="3" s="1"/>
  <c r="C342" i="3"/>
  <c r="D365" i="1"/>
  <c r="L342" i="3" s="1"/>
  <c r="C346" i="3"/>
  <c r="D370" i="1"/>
  <c r="L346" i="3" s="1"/>
  <c r="C350" i="3"/>
  <c r="D374" i="1"/>
  <c r="L350" i="3" s="1"/>
  <c r="C354" i="3"/>
  <c r="D378" i="1"/>
  <c r="L354" i="3" s="1"/>
  <c r="C358" i="3"/>
  <c r="D382" i="1"/>
  <c r="L358" i="3" s="1"/>
  <c r="C364" i="3"/>
  <c r="D399" i="1"/>
  <c r="L364" i="3" s="1"/>
  <c r="C368" i="3"/>
  <c r="D403" i="1"/>
  <c r="L368" i="3" s="1"/>
  <c r="C372" i="3"/>
  <c r="D407" i="1"/>
  <c r="L372" i="3" s="1"/>
  <c r="C376" i="3"/>
  <c r="D411" i="1"/>
  <c r="L376" i="3" s="1"/>
  <c r="C380" i="3"/>
  <c r="D415" i="1"/>
  <c r="L380" i="3" s="1"/>
  <c r="C384" i="3"/>
  <c r="D419" i="1"/>
  <c r="L384" i="3" s="1"/>
  <c r="C388" i="3"/>
  <c r="D423" i="1"/>
  <c r="L388" i="3" s="1"/>
  <c r="C392" i="3"/>
  <c r="D427" i="1"/>
  <c r="L392" i="3" s="1"/>
  <c r="C396" i="3"/>
  <c r="D431" i="1"/>
  <c r="L396" i="3" s="1"/>
  <c r="C400" i="3"/>
  <c r="D435" i="1"/>
  <c r="L400" i="3" s="1"/>
  <c r="C404" i="3"/>
  <c r="D439" i="1"/>
  <c r="L404" i="3" s="1"/>
  <c r="C408" i="3"/>
  <c r="D443" i="1"/>
  <c r="L408" i="3" s="1"/>
  <c r="C412" i="3"/>
  <c r="D447" i="1"/>
  <c r="L412" i="3" s="1"/>
  <c r="C416" i="3"/>
  <c r="D451" i="1"/>
  <c r="L416" i="3" s="1"/>
  <c r="C420" i="3"/>
  <c r="D456" i="1"/>
  <c r="L420" i="3" s="1"/>
  <c r="C424" i="3"/>
  <c r="D460" i="1"/>
  <c r="L424" i="3" s="1"/>
  <c r="C428" i="3"/>
  <c r="D464" i="1"/>
  <c r="L428" i="3" s="1"/>
  <c r="C432" i="3"/>
  <c r="D468" i="1"/>
  <c r="L432" i="3" s="1"/>
  <c r="C436" i="3"/>
  <c r="D472" i="1"/>
  <c r="L436" i="3" s="1"/>
  <c r="C440" i="3"/>
  <c r="D476" i="1"/>
  <c r="L440" i="3" s="1"/>
  <c r="C444" i="3"/>
  <c r="D481" i="1"/>
  <c r="L444" i="3" s="1"/>
  <c r="C448" i="3"/>
  <c r="D486" i="1"/>
  <c r="L448" i="3" s="1"/>
  <c r="C452" i="3"/>
  <c r="D490" i="1"/>
  <c r="L452" i="3" s="1"/>
  <c r="U455" i="3"/>
  <c r="P455" i="3"/>
  <c r="O455" i="3"/>
  <c r="S455" i="3" s="1"/>
  <c r="N455" i="3"/>
  <c r="M455" i="3"/>
  <c r="N457" i="3"/>
  <c r="M457" i="3"/>
  <c r="U457" i="3"/>
  <c r="P457" i="3"/>
  <c r="O457" i="3"/>
  <c r="S457" i="3" s="1"/>
  <c r="U459" i="3"/>
  <c r="P459" i="3"/>
  <c r="O459" i="3"/>
  <c r="S459" i="3" s="1"/>
  <c r="N459" i="3"/>
  <c r="M459" i="3"/>
  <c r="N461" i="3"/>
  <c r="M461" i="3"/>
  <c r="U461" i="3"/>
  <c r="P461" i="3"/>
  <c r="O461" i="3"/>
  <c r="S461" i="3" s="1"/>
  <c r="N463" i="3"/>
  <c r="M463" i="3"/>
  <c r="U463" i="3"/>
  <c r="P463" i="3"/>
  <c r="O463" i="3"/>
  <c r="S463" i="3" s="1"/>
  <c r="C466" i="3"/>
  <c r="D506" i="1"/>
  <c r="L466" i="3" s="1"/>
  <c r="C470" i="3"/>
  <c r="D510" i="1"/>
  <c r="L470" i="3" s="1"/>
  <c r="C474" i="3"/>
  <c r="D514" i="1"/>
  <c r="L474" i="3" s="1"/>
  <c r="O479" i="3"/>
  <c r="S479" i="3" s="1"/>
  <c r="N479" i="3"/>
  <c r="M479" i="3"/>
  <c r="U479" i="3"/>
  <c r="P479" i="3"/>
  <c r="M481" i="3"/>
  <c r="U481" i="3"/>
  <c r="P481" i="3"/>
  <c r="O481" i="3"/>
  <c r="S481" i="3" s="1"/>
  <c r="N481" i="3"/>
  <c r="O483" i="3"/>
  <c r="S483" i="3" s="1"/>
  <c r="N483" i="3"/>
  <c r="M483" i="3"/>
  <c r="U483" i="3"/>
  <c r="P483" i="3"/>
  <c r="M485" i="3"/>
  <c r="U485" i="3"/>
  <c r="P485" i="3"/>
  <c r="O485" i="3"/>
  <c r="S485" i="3" s="1"/>
  <c r="N485" i="3"/>
  <c r="U487" i="3"/>
  <c r="P487" i="3"/>
  <c r="O487" i="3"/>
  <c r="S487" i="3" s="1"/>
  <c r="N487" i="3"/>
  <c r="M487" i="3"/>
  <c r="O489" i="3"/>
  <c r="S489" i="3" s="1"/>
  <c r="N489" i="3"/>
  <c r="M489" i="3"/>
  <c r="U489" i="3"/>
  <c r="P489" i="3"/>
  <c r="M491" i="3"/>
  <c r="U491" i="3"/>
  <c r="P491" i="3"/>
  <c r="O491" i="3"/>
  <c r="S491" i="3" s="1"/>
  <c r="N491" i="3"/>
  <c r="O493" i="3"/>
  <c r="S493" i="3" s="1"/>
  <c r="N493" i="3"/>
  <c r="M493" i="3"/>
  <c r="P493" i="3"/>
  <c r="U493" i="3"/>
  <c r="M495" i="3"/>
  <c r="U495" i="3"/>
  <c r="P495" i="3"/>
  <c r="O495" i="3"/>
  <c r="S495" i="3" s="1"/>
  <c r="N495" i="3"/>
  <c r="O497" i="3"/>
  <c r="S497" i="3" s="1"/>
  <c r="N497" i="3"/>
  <c r="M497" i="3"/>
  <c r="U497" i="3"/>
  <c r="P497" i="3"/>
  <c r="C500" i="3"/>
  <c r="D546" i="1"/>
  <c r="L500" i="3" s="1"/>
  <c r="C504" i="3"/>
  <c r="D550" i="1"/>
  <c r="L504" i="3" s="1"/>
  <c r="C508" i="3"/>
  <c r="D555" i="1"/>
  <c r="L508" i="3" s="1"/>
  <c r="C512" i="3"/>
  <c r="D560" i="1"/>
  <c r="L512" i="3" s="1"/>
  <c r="C516" i="3"/>
  <c r="D564" i="1"/>
  <c r="L516" i="3" s="1"/>
  <c r="C520" i="3"/>
  <c r="D569" i="1"/>
  <c r="L520" i="3" s="1"/>
  <c r="C524" i="3"/>
  <c r="D573" i="1"/>
  <c r="L524" i="3" s="1"/>
  <c r="C528" i="3"/>
  <c r="D578" i="1"/>
  <c r="L528" i="3" s="1"/>
  <c r="C532" i="3"/>
  <c r="D582" i="1"/>
  <c r="L532" i="3" s="1"/>
  <c r="C536" i="3"/>
  <c r="D586" i="1"/>
  <c r="L536" i="3" s="1"/>
  <c r="C540" i="3"/>
  <c r="D591" i="1"/>
  <c r="L540" i="3" s="1"/>
  <c r="C544" i="3"/>
  <c r="D595" i="1"/>
  <c r="L544" i="3" s="1"/>
  <c r="C548" i="3"/>
  <c r="D600" i="1"/>
  <c r="L548" i="3" s="1"/>
  <c r="C552" i="3"/>
  <c r="D604" i="1"/>
  <c r="L552" i="3" s="1"/>
  <c r="C556" i="3"/>
  <c r="D608" i="1"/>
  <c r="L556" i="3" s="1"/>
  <c r="C560" i="3"/>
  <c r="D612" i="1"/>
  <c r="L560" i="3" s="1"/>
  <c r="C564" i="3"/>
  <c r="D618" i="1"/>
  <c r="L564" i="3" s="1"/>
  <c r="C568" i="3"/>
  <c r="D622" i="1"/>
  <c r="L568" i="3" s="1"/>
  <c r="C572" i="3"/>
  <c r="D626" i="1"/>
  <c r="L572" i="3" s="1"/>
  <c r="C576" i="3"/>
  <c r="D630" i="1"/>
  <c r="L576" i="3" s="1"/>
  <c r="C580" i="3"/>
  <c r="D634" i="1"/>
  <c r="L580" i="3" s="1"/>
  <c r="C584" i="3"/>
  <c r="D638" i="1"/>
  <c r="L584" i="3" s="1"/>
  <c r="C588" i="3"/>
  <c r="D642" i="1"/>
  <c r="L588" i="3" s="1"/>
  <c r="C616" i="3"/>
  <c r="D676" i="1"/>
  <c r="L616" i="3" s="1"/>
  <c r="C620" i="3"/>
  <c r="D680" i="1"/>
  <c r="L620" i="3" s="1"/>
  <c r="C624" i="3"/>
  <c r="D686" i="1"/>
  <c r="L624" i="3" s="1"/>
  <c r="C628" i="3"/>
  <c r="D690" i="1"/>
  <c r="L628" i="3" s="1"/>
  <c r="C632" i="3"/>
  <c r="D695" i="1"/>
  <c r="L632" i="3" s="1"/>
  <c r="C636" i="3"/>
  <c r="D699" i="1"/>
  <c r="L636" i="3" s="1"/>
  <c r="C640" i="3"/>
  <c r="D703" i="1"/>
  <c r="L640" i="3" s="1"/>
  <c r="C644" i="3"/>
  <c r="D707" i="1"/>
  <c r="L644" i="3" s="1"/>
  <c r="C648" i="3"/>
  <c r="D711" i="1"/>
  <c r="L648" i="3" s="1"/>
  <c r="C652" i="3"/>
  <c r="D715" i="1"/>
  <c r="L652" i="3" s="1"/>
  <c r="C656" i="3"/>
  <c r="D719" i="1"/>
  <c r="L656" i="3" s="1"/>
  <c r="C660" i="3"/>
  <c r="D723" i="1"/>
  <c r="L660" i="3" s="1"/>
  <c r="C664" i="3"/>
  <c r="D727" i="1"/>
  <c r="L664" i="3" s="1"/>
  <c r="C668" i="3"/>
  <c r="D731" i="1"/>
  <c r="L668" i="3" s="1"/>
  <c r="C672" i="3"/>
  <c r="D735" i="1"/>
  <c r="L672" i="3" s="1"/>
  <c r="C676" i="3"/>
  <c r="D740" i="1"/>
  <c r="L676" i="3" s="1"/>
  <c r="C680" i="3"/>
  <c r="D744" i="1"/>
  <c r="L680" i="3" s="1"/>
  <c r="C684" i="3"/>
  <c r="D748" i="1"/>
  <c r="L684" i="3" s="1"/>
  <c r="D5" i="3"/>
  <c r="K5" i="3"/>
  <c r="F5" i="3"/>
  <c r="I5" i="3"/>
  <c r="E5" i="3"/>
  <c r="D13" i="3"/>
  <c r="K13" i="3"/>
  <c r="F13" i="3"/>
  <c r="I13" i="3"/>
  <c r="E13" i="3"/>
  <c r="I23" i="3"/>
  <c r="E23" i="3"/>
  <c r="D23" i="3"/>
  <c r="K23" i="3"/>
  <c r="F23" i="3"/>
  <c r="I31" i="3"/>
  <c r="E31" i="3"/>
  <c r="D31" i="3"/>
  <c r="K31" i="3"/>
  <c r="F31" i="3"/>
  <c r="F39" i="3"/>
  <c r="I39" i="3"/>
  <c r="E39" i="3"/>
  <c r="D39" i="3"/>
  <c r="K39" i="3"/>
  <c r="K45" i="3"/>
  <c r="F45" i="3"/>
  <c r="I45" i="3"/>
  <c r="E45" i="3"/>
  <c r="D45" i="3"/>
  <c r="K51" i="3"/>
  <c r="F51" i="3"/>
  <c r="I51" i="3"/>
  <c r="E51" i="3"/>
  <c r="D51" i="3"/>
  <c r="K55" i="3"/>
  <c r="F55" i="3"/>
  <c r="I55" i="3"/>
  <c r="E55" i="3"/>
  <c r="D55" i="3"/>
  <c r="J45" i="6"/>
  <c r="L70" i="3"/>
  <c r="I76" i="3"/>
  <c r="E76" i="3"/>
  <c r="D76" i="3"/>
  <c r="K76" i="3"/>
  <c r="F76" i="3"/>
  <c r="K78" i="3"/>
  <c r="F78" i="3"/>
  <c r="I78" i="3"/>
  <c r="E78" i="3"/>
  <c r="D78" i="3"/>
  <c r="I80" i="3"/>
  <c r="E80" i="3"/>
  <c r="D80" i="3"/>
  <c r="K80" i="3"/>
  <c r="F80" i="3"/>
  <c r="F82" i="3"/>
  <c r="I82" i="3"/>
  <c r="D82" i="3"/>
  <c r="K82" i="3"/>
  <c r="E82" i="3"/>
  <c r="D84" i="3"/>
  <c r="I84" i="3"/>
  <c r="K84" i="3"/>
  <c r="F84" i="3"/>
  <c r="E84" i="3"/>
  <c r="Q4" i="10"/>
  <c r="M4" i="10"/>
  <c r="I4" i="10"/>
  <c r="E4" i="10"/>
  <c r="P4" i="10"/>
  <c r="L4" i="10"/>
  <c r="H4" i="10"/>
  <c r="D4" i="10"/>
  <c r="N4" i="10"/>
  <c r="F4" i="10"/>
  <c r="S4" i="10"/>
  <c r="K4" i="10"/>
  <c r="R4" i="10"/>
  <c r="J4" i="10"/>
  <c r="O4" i="10"/>
  <c r="G4" i="10"/>
  <c r="O95" i="3"/>
  <c r="S95" i="3" s="1"/>
  <c r="M95" i="3"/>
  <c r="P95" i="3"/>
  <c r="U95" i="3"/>
  <c r="N95" i="3"/>
  <c r="O107" i="3"/>
  <c r="S107" i="3" s="1"/>
  <c r="P107" i="3"/>
  <c r="U107" i="3"/>
  <c r="N107" i="3"/>
  <c r="M107" i="3"/>
  <c r="O117" i="3"/>
  <c r="S117" i="3" s="1"/>
  <c r="P117" i="3"/>
  <c r="U117" i="3"/>
  <c r="N117" i="3"/>
  <c r="M117" i="3"/>
  <c r="J70" i="6"/>
  <c r="L123" i="3"/>
  <c r="O139" i="3"/>
  <c r="S139" i="3" s="1"/>
  <c r="P139" i="3"/>
  <c r="U139" i="3"/>
  <c r="N139" i="3"/>
  <c r="M139" i="3"/>
  <c r="O147" i="3"/>
  <c r="S147" i="3" s="1"/>
  <c r="P147" i="3"/>
  <c r="U147" i="3"/>
  <c r="N147" i="3"/>
  <c r="M147" i="3"/>
  <c r="I153" i="3"/>
  <c r="E153" i="3"/>
  <c r="K153" i="3"/>
  <c r="F153" i="3"/>
  <c r="D153" i="3"/>
  <c r="I157" i="3"/>
  <c r="E157" i="3"/>
  <c r="D157" i="3"/>
  <c r="F157" i="3"/>
  <c r="K157" i="3"/>
  <c r="I161" i="3"/>
  <c r="E161" i="3"/>
  <c r="K161" i="3"/>
  <c r="F161" i="3"/>
  <c r="D161" i="3"/>
  <c r="K163" i="3"/>
  <c r="E163" i="3"/>
  <c r="I163" i="3"/>
  <c r="D163" i="3"/>
  <c r="F163" i="3"/>
  <c r="R7" i="10"/>
  <c r="N7" i="10"/>
  <c r="J7" i="10"/>
  <c r="F7" i="10"/>
  <c r="P7" i="10"/>
  <c r="K7" i="10"/>
  <c r="E7" i="10"/>
  <c r="O7" i="10"/>
  <c r="I7" i="10"/>
  <c r="D7" i="10"/>
  <c r="S7" i="10"/>
  <c r="M7" i="10"/>
  <c r="H7" i="10"/>
  <c r="Q7" i="10"/>
  <c r="L7" i="10"/>
  <c r="G7" i="10"/>
  <c r="P172" i="3"/>
  <c r="U172" i="3"/>
  <c r="M172" i="3"/>
  <c r="N172" i="3"/>
  <c r="O172" i="3"/>
  <c r="S172" i="3" s="1"/>
  <c r="U178" i="3"/>
  <c r="P178" i="3"/>
  <c r="O178" i="3"/>
  <c r="S178" i="3" s="1"/>
  <c r="N178" i="3"/>
  <c r="M178" i="3"/>
  <c r="U182" i="3"/>
  <c r="P182" i="3"/>
  <c r="N182" i="3"/>
  <c r="M182" i="3"/>
  <c r="O182" i="3"/>
  <c r="S182" i="3" s="1"/>
  <c r="N192" i="3"/>
  <c r="P192" i="3"/>
  <c r="O192" i="3"/>
  <c r="S192" i="3" s="1"/>
  <c r="M192" i="3"/>
  <c r="U192" i="3"/>
  <c r="U198" i="3"/>
  <c r="P198" i="3"/>
  <c r="N198" i="3"/>
  <c r="M198" i="3"/>
  <c r="O198" i="3"/>
  <c r="S198" i="3" s="1"/>
  <c r="N204" i="3"/>
  <c r="U204" i="3"/>
  <c r="O204" i="3"/>
  <c r="S204" i="3" s="1"/>
  <c r="M204" i="3"/>
  <c r="P204" i="3"/>
  <c r="U206" i="3"/>
  <c r="P206" i="3"/>
  <c r="N206" i="3"/>
  <c r="M206" i="3"/>
  <c r="O206" i="3"/>
  <c r="S206" i="3" s="1"/>
  <c r="U216" i="3"/>
  <c r="P216" i="3"/>
  <c r="O216" i="3"/>
  <c r="S216" i="3" s="1"/>
  <c r="I226" i="3"/>
  <c r="E226" i="3"/>
  <c r="D226" i="3"/>
  <c r="F226" i="3"/>
  <c r="K226" i="3"/>
  <c r="I228" i="3"/>
  <c r="K228" i="3"/>
  <c r="F228" i="3"/>
  <c r="D228" i="3"/>
  <c r="I230" i="3"/>
  <c r="D230" i="3"/>
  <c r="K230" i="3"/>
  <c r="F230" i="3"/>
  <c r="N239" i="3"/>
  <c r="P239" i="3"/>
  <c r="U239" i="3"/>
  <c r="O239" i="3"/>
  <c r="S239" i="3" s="1"/>
  <c r="M239" i="3"/>
  <c r="U245" i="3"/>
  <c r="P245" i="3"/>
  <c r="N245" i="3"/>
  <c r="M245" i="3"/>
  <c r="O245" i="3"/>
  <c r="S245" i="3" s="1"/>
  <c r="N251" i="3"/>
  <c r="U251" i="3"/>
  <c r="O251" i="3"/>
  <c r="S251" i="3" s="1"/>
  <c r="M251" i="3"/>
  <c r="P251" i="3"/>
  <c r="N255" i="3"/>
  <c r="P255" i="3"/>
  <c r="U255" i="3"/>
  <c r="O255" i="3"/>
  <c r="S255" i="3" s="1"/>
  <c r="M255" i="3"/>
  <c r="U257" i="3"/>
  <c r="P257" i="3"/>
  <c r="O257" i="3"/>
  <c r="S257" i="3" s="1"/>
  <c r="N257" i="3"/>
  <c r="M257" i="3"/>
  <c r="U261" i="3"/>
  <c r="P261" i="3"/>
  <c r="N261" i="3"/>
  <c r="M261" i="3"/>
  <c r="O261" i="3"/>
  <c r="S261" i="3" s="1"/>
  <c r="N267" i="3"/>
  <c r="U267" i="3"/>
  <c r="O267" i="3"/>
  <c r="S267" i="3" s="1"/>
  <c r="M267" i="3"/>
  <c r="P267" i="3"/>
  <c r="U273" i="3"/>
  <c r="P273" i="3"/>
  <c r="O273" i="3"/>
  <c r="S273" i="3" s="1"/>
  <c r="N273" i="3"/>
  <c r="M273" i="3"/>
  <c r="N275" i="3"/>
  <c r="U275" i="3"/>
  <c r="O275" i="3"/>
  <c r="S275" i="3" s="1"/>
  <c r="M275" i="3"/>
  <c r="P275" i="3"/>
  <c r="U277" i="3"/>
  <c r="P277" i="3"/>
  <c r="N277" i="3"/>
  <c r="M277" i="3"/>
  <c r="O277" i="3"/>
  <c r="S277" i="3" s="1"/>
  <c r="N279" i="3"/>
  <c r="P279" i="3"/>
  <c r="U279" i="3"/>
  <c r="O279" i="3"/>
  <c r="S279" i="3" s="1"/>
  <c r="M279" i="3"/>
  <c r="I282" i="3"/>
  <c r="E282" i="3"/>
  <c r="K282" i="3"/>
  <c r="F282" i="3"/>
  <c r="D282" i="3"/>
  <c r="O284" i="3"/>
  <c r="S284" i="3" s="1"/>
  <c r="P284" i="3"/>
  <c r="U284" i="3"/>
  <c r="N284" i="3"/>
  <c r="M284" i="3"/>
  <c r="C287" i="3"/>
  <c r="D308" i="1"/>
  <c r="L287" i="3" s="1"/>
  <c r="I290" i="3"/>
  <c r="E290" i="3"/>
  <c r="D290" i="3"/>
  <c r="F290" i="3"/>
  <c r="K290" i="3"/>
  <c r="O292" i="3"/>
  <c r="S292" i="3" s="1"/>
  <c r="N292" i="3"/>
  <c r="U292" i="3"/>
  <c r="P292" i="3"/>
  <c r="M292" i="3"/>
  <c r="C295" i="3"/>
  <c r="D317" i="1"/>
  <c r="L295" i="3" s="1"/>
  <c r="I298" i="3"/>
  <c r="E298" i="3"/>
  <c r="D298" i="3"/>
  <c r="F298" i="3"/>
  <c r="K298" i="3"/>
  <c r="O300" i="3"/>
  <c r="S300" i="3" s="1"/>
  <c r="U300" i="3"/>
  <c r="N300" i="3"/>
  <c r="P300" i="3"/>
  <c r="M300" i="3"/>
  <c r="C303" i="3"/>
  <c r="D325" i="1"/>
  <c r="L303" i="3" s="1"/>
  <c r="C307" i="3"/>
  <c r="D329" i="1"/>
  <c r="L307" i="3" s="1"/>
  <c r="C311" i="3"/>
  <c r="D333" i="1"/>
  <c r="L311" i="3" s="1"/>
  <c r="C315" i="3"/>
  <c r="D337" i="1"/>
  <c r="L315" i="3" s="1"/>
  <c r="C319" i="3"/>
  <c r="D341" i="1"/>
  <c r="L319" i="3" s="1"/>
  <c r="C323" i="3"/>
  <c r="D345" i="1"/>
  <c r="L323" i="3" s="1"/>
  <c r="C327" i="3"/>
  <c r="D349" i="1"/>
  <c r="L327" i="3" s="1"/>
  <c r="C331" i="3"/>
  <c r="D354" i="1"/>
  <c r="L331" i="3" s="1"/>
  <c r="C335" i="3"/>
  <c r="D358" i="1"/>
  <c r="L335" i="3" s="1"/>
  <c r="C339" i="3"/>
  <c r="D362" i="1"/>
  <c r="L339" i="3" s="1"/>
  <c r="C343" i="3"/>
  <c r="D366" i="1"/>
  <c r="L343" i="3" s="1"/>
  <c r="C347" i="3"/>
  <c r="D371" i="1"/>
  <c r="L347" i="3" s="1"/>
  <c r="C351" i="3"/>
  <c r="D375" i="1"/>
  <c r="L351" i="3" s="1"/>
  <c r="C355" i="3"/>
  <c r="D379" i="1"/>
  <c r="L355" i="3" s="1"/>
  <c r="C359" i="3"/>
  <c r="D383" i="1"/>
  <c r="L359" i="3" s="1"/>
  <c r="C361" i="3"/>
  <c r="D396" i="1"/>
  <c r="L361" i="3" s="1"/>
  <c r="C365" i="3"/>
  <c r="D400" i="1"/>
  <c r="L365" i="3" s="1"/>
  <c r="C369" i="3"/>
  <c r="D404" i="1"/>
  <c r="L369" i="3" s="1"/>
  <c r="C373" i="3"/>
  <c r="D408" i="1"/>
  <c r="L373" i="3" s="1"/>
  <c r="C377" i="3"/>
  <c r="D412" i="1"/>
  <c r="L377" i="3" s="1"/>
  <c r="C381" i="3"/>
  <c r="D416" i="1"/>
  <c r="L381" i="3" s="1"/>
  <c r="C385" i="3"/>
  <c r="D420" i="1"/>
  <c r="L385" i="3" s="1"/>
  <c r="C389" i="3"/>
  <c r="D424" i="1"/>
  <c r="L389" i="3" s="1"/>
  <c r="C393" i="3"/>
  <c r="D428" i="1"/>
  <c r="L393" i="3" s="1"/>
  <c r="C397" i="3"/>
  <c r="D432" i="1"/>
  <c r="L397" i="3" s="1"/>
  <c r="C401" i="3"/>
  <c r="D436" i="1"/>
  <c r="L401" i="3" s="1"/>
  <c r="C405" i="3"/>
  <c r="D440" i="1"/>
  <c r="L405" i="3" s="1"/>
  <c r="C409" i="3"/>
  <c r="D444" i="1"/>
  <c r="L409" i="3" s="1"/>
  <c r="C413" i="3"/>
  <c r="D448" i="1"/>
  <c r="L413" i="3" s="1"/>
  <c r="C417" i="3"/>
  <c r="D453" i="1"/>
  <c r="L417" i="3" s="1"/>
  <c r="C421" i="3"/>
  <c r="D457" i="1"/>
  <c r="L421" i="3" s="1"/>
  <c r="C425" i="3"/>
  <c r="D461" i="1"/>
  <c r="L425" i="3" s="1"/>
  <c r="C429" i="3"/>
  <c r="D465" i="1"/>
  <c r="L429" i="3" s="1"/>
  <c r="C433" i="3"/>
  <c r="D469" i="1"/>
  <c r="L433" i="3" s="1"/>
  <c r="C437" i="3"/>
  <c r="D473" i="1"/>
  <c r="L437" i="3" s="1"/>
  <c r="C441" i="3"/>
  <c r="D477" i="1"/>
  <c r="L441" i="3" s="1"/>
  <c r="C445" i="3"/>
  <c r="D482" i="1"/>
  <c r="L445" i="3" s="1"/>
  <c r="C449" i="3"/>
  <c r="D487" i="1"/>
  <c r="L449" i="3" s="1"/>
  <c r="C453" i="3"/>
  <c r="D491" i="1"/>
  <c r="L453" i="3" s="1"/>
  <c r="C467" i="3"/>
  <c r="D507" i="1"/>
  <c r="L467" i="3" s="1"/>
  <c r="C471" i="3"/>
  <c r="D511" i="1"/>
  <c r="L471" i="3" s="1"/>
  <c r="C475" i="3"/>
  <c r="D515" i="1"/>
  <c r="L475" i="3" s="1"/>
  <c r="C501" i="3"/>
  <c r="D547" i="1"/>
  <c r="L501" i="3" s="1"/>
  <c r="C505" i="3"/>
  <c r="D551" i="1"/>
  <c r="L505" i="3" s="1"/>
  <c r="C509" i="3"/>
  <c r="D556" i="1"/>
  <c r="L509" i="3" s="1"/>
  <c r="C513" i="3"/>
  <c r="D561" i="1"/>
  <c r="L513" i="3" s="1"/>
  <c r="C517" i="3"/>
  <c r="D565" i="1"/>
  <c r="L517" i="3" s="1"/>
  <c r="C521" i="3"/>
  <c r="D570" i="1"/>
  <c r="L521" i="3" s="1"/>
  <c r="C525" i="3"/>
  <c r="D574" i="1"/>
  <c r="L525" i="3" s="1"/>
  <c r="C529" i="3"/>
  <c r="D579" i="1"/>
  <c r="L529" i="3" s="1"/>
  <c r="C533" i="3"/>
  <c r="D583" i="1"/>
  <c r="L533" i="3" s="1"/>
  <c r="C537" i="3"/>
  <c r="D588" i="1"/>
  <c r="L537" i="3" s="1"/>
  <c r="C541" i="3"/>
  <c r="D592" i="1"/>
  <c r="L541" i="3" s="1"/>
  <c r="C545" i="3"/>
  <c r="D596" i="1"/>
  <c r="L545" i="3" s="1"/>
  <c r="C549" i="3"/>
  <c r="D601" i="1"/>
  <c r="L549" i="3" s="1"/>
  <c r="C553" i="3"/>
  <c r="D605" i="1"/>
  <c r="L553" i="3" s="1"/>
  <c r="C557" i="3"/>
  <c r="D609" i="1"/>
  <c r="L557" i="3" s="1"/>
  <c r="C561" i="3"/>
  <c r="D613" i="1"/>
  <c r="L561" i="3" s="1"/>
  <c r="C565" i="3"/>
  <c r="D619" i="1"/>
  <c r="L565" i="3" s="1"/>
  <c r="C569" i="3"/>
  <c r="D623" i="1"/>
  <c r="L569" i="3" s="1"/>
  <c r="C573" i="3"/>
  <c r="D627" i="1"/>
  <c r="L573" i="3" s="1"/>
  <c r="C577" i="3"/>
  <c r="D631" i="1"/>
  <c r="L577" i="3" s="1"/>
  <c r="C581" i="3"/>
  <c r="D635" i="1"/>
  <c r="L581" i="3" s="1"/>
  <c r="C585" i="3"/>
  <c r="D639" i="1"/>
  <c r="L585" i="3" s="1"/>
  <c r="U590" i="3"/>
  <c r="P590" i="3"/>
  <c r="N590" i="3"/>
  <c r="M590" i="3"/>
  <c r="O590" i="3"/>
  <c r="S590" i="3" s="1"/>
  <c r="N592" i="3"/>
  <c r="P592" i="3"/>
  <c r="U592" i="3"/>
  <c r="O592" i="3"/>
  <c r="S592" i="3" s="1"/>
  <c r="M592" i="3"/>
  <c r="U594" i="3"/>
  <c r="P594" i="3"/>
  <c r="O594" i="3"/>
  <c r="S594" i="3" s="1"/>
  <c r="N594" i="3"/>
  <c r="M594" i="3"/>
  <c r="N596" i="3"/>
  <c r="U596" i="3"/>
  <c r="O596" i="3"/>
  <c r="S596" i="3" s="1"/>
  <c r="M596" i="3"/>
  <c r="P596" i="3"/>
  <c r="U598" i="3"/>
  <c r="P598" i="3"/>
  <c r="N598" i="3"/>
  <c r="M598" i="3"/>
  <c r="O598" i="3"/>
  <c r="S598" i="3" s="1"/>
  <c r="N600" i="3"/>
  <c r="P600" i="3"/>
  <c r="U600" i="3"/>
  <c r="O600" i="3"/>
  <c r="S600" i="3" s="1"/>
  <c r="M600" i="3"/>
  <c r="U602" i="3"/>
  <c r="P602" i="3"/>
  <c r="O602" i="3"/>
  <c r="S602" i="3" s="1"/>
  <c r="N602" i="3"/>
  <c r="M602" i="3"/>
  <c r="N604" i="3"/>
  <c r="U604" i="3"/>
  <c r="O604" i="3"/>
  <c r="S604" i="3" s="1"/>
  <c r="M604" i="3"/>
  <c r="P604" i="3"/>
  <c r="U606" i="3"/>
  <c r="P606" i="3"/>
  <c r="O606" i="3"/>
  <c r="S606" i="3" s="1"/>
  <c r="M606" i="3"/>
  <c r="N606" i="3"/>
  <c r="N608" i="3"/>
  <c r="M608" i="3"/>
  <c r="U608" i="3"/>
  <c r="P608" i="3"/>
  <c r="O608" i="3"/>
  <c r="S608" i="3" s="1"/>
  <c r="U610" i="3"/>
  <c r="P610" i="3"/>
  <c r="O610" i="3"/>
  <c r="S610" i="3" s="1"/>
  <c r="M610" i="3"/>
  <c r="N610" i="3"/>
  <c r="N612" i="3"/>
  <c r="M612" i="3"/>
  <c r="U612" i="3"/>
  <c r="P612" i="3"/>
  <c r="O612" i="3"/>
  <c r="S612" i="3" s="1"/>
  <c r="C613" i="3"/>
  <c r="D673" i="1"/>
  <c r="L613" i="3" s="1"/>
  <c r="C617" i="3"/>
  <c r="D677" i="1"/>
  <c r="L617" i="3" s="1"/>
  <c r="C621" i="3"/>
  <c r="D681" i="1"/>
  <c r="L621" i="3" s="1"/>
  <c r="C625" i="3"/>
  <c r="D687" i="1"/>
  <c r="L625" i="3" s="1"/>
  <c r="C629" i="3"/>
  <c r="D691" i="1"/>
  <c r="L629" i="3" s="1"/>
  <c r="C633" i="3"/>
  <c r="D696" i="1"/>
  <c r="L633" i="3" s="1"/>
  <c r="C637" i="3"/>
  <c r="D700" i="1"/>
  <c r="L637" i="3" s="1"/>
  <c r="C641" i="3"/>
  <c r="D704" i="1"/>
  <c r="L641" i="3" s="1"/>
  <c r="C645" i="3"/>
  <c r="D708" i="1"/>
  <c r="L645" i="3" s="1"/>
  <c r="C649" i="3"/>
  <c r="D712" i="1"/>
  <c r="L649" i="3" s="1"/>
  <c r="C653" i="3"/>
  <c r="D716" i="1"/>
  <c r="L653" i="3" s="1"/>
  <c r="C657" i="3"/>
  <c r="D720" i="1"/>
  <c r="L657" i="3" s="1"/>
  <c r="C661" i="3"/>
  <c r="D724" i="1"/>
  <c r="L661" i="3" s="1"/>
  <c r="C665" i="3"/>
  <c r="D728" i="1"/>
  <c r="L665" i="3" s="1"/>
  <c r="C669" i="3"/>
  <c r="D732" i="1"/>
  <c r="L669" i="3" s="1"/>
  <c r="C673" i="3"/>
  <c r="D736" i="1"/>
  <c r="L673" i="3" s="1"/>
  <c r="C677" i="3"/>
  <c r="D741" i="1"/>
  <c r="L677" i="3" s="1"/>
  <c r="C681" i="3"/>
  <c r="D745" i="1"/>
  <c r="L681" i="3" s="1"/>
  <c r="C685" i="3"/>
  <c r="D749" i="1"/>
  <c r="L685" i="3" s="1"/>
  <c r="F3" i="3"/>
  <c r="I3" i="3"/>
  <c r="E3" i="3"/>
  <c r="D3" i="3"/>
  <c r="K3" i="3"/>
  <c r="D9" i="3"/>
  <c r="K9" i="3"/>
  <c r="F9" i="3"/>
  <c r="I9" i="3"/>
  <c r="E9" i="3"/>
  <c r="I19" i="3"/>
  <c r="E19" i="3"/>
  <c r="D19" i="3"/>
  <c r="K19" i="3"/>
  <c r="F19" i="3"/>
  <c r="I27" i="3"/>
  <c r="E27" i="3"/>
  <c r="D27" i="3"/>
  <c r="K27" i="3"/>
  <c r="F27" i="3"/>
  <c r="K33" i="3"/>
  <c r="F33" i="3"/>
  <c r="I33" i="3"/>
  <c r="E33" i="3"/>
  <c r="D33" i="3"/>
  <c r="D41" i="3"/>
  <c r="K41" i="3"/>
  <c r="F41" i="3"/>
  <c r="I41" i="3"/>
  <c r="E41" i="3"/>
  <c r="F49" i="3"/>
  <c r="I49" i="3"/>
  <c r="E49" i="3"/>
  <c r="D49" i="3"/>
  <c r="K49" i="3"/>
  <c r="J30" i="6"/>
  <c r="L64" i="3"/>
  <c r="O87" i="3"/>
  <c r="S87" i="3" s="1"/>
  <c r="U87" i="3"/>
  <c r="N87" i="3"/>
  <c r="M87" i="3"/>
  <c r="P87" i="3"/>
  <c r="M97" i="3"/>
  <c r="P97" i="3"/>
  <c r="U97" i="3"/>
  <c r="O97" i="3"/>
  <c r="S97" i="3" s="1"/>
  <c r="N97" i="3"/>
  <c r="M101" i="3"/>
  <c r="U101" i="3"/>
  <c r="O101" i="3"/>
  <c r="S101" i="3" s="1"/>
  <c r="N101" i="3"/>
  <c r="P101" i="3"/>
  <c r="O109" i="3"/>
  <c r="S109" i="3" s="1"/>
  <c r="P109" i="3"/>
  <c r="U109" i="3"/>
  <c r="N109" i="3"/>
  <c r="M109" i="3"/>
  <c r="J60" i="6"/>
  <c r="L115" i="3"/>
  <c r="M127" i="3"/>
  <c r="P127" i="3"/>
  <c r="U127" i="3"/>
  <c r="O127" i="3"/>
  <c r="S127" i="3" s="1"/>
  <c r="N127" i="3"/>
  <c r="M131" i="3"/>
  <c r="N131" i="3"/>
  <c r="O131" i="3"/>
  <c r="S131" i="3" s="1"/>
  <c r="U131" i="3"/>
  <c r="P131" i="3"/>
  <c r="M137" i="3"/>
  <c r="P137" i="3"/>
  <c r="N137" i="3"/>
  <c r="U137" i="3"/>
  <c r="O137" i="3"/>
  <c r="S137" i="3" s="1"/>
  <c r="O143" i="3"/>
  <c r="S143" i="3" s="1"/>
  <c r="M143" i="3"/>
  <c r="P143" i="3"/>
  <c r="N143" i="3"/>
  <c r="U143" i="3"/>
  <c r="U168" i="3"/>
  <c r="P168" i="3"/>
  <c r="O168" i="3"/>
  <c r="S168" i="3" s="1"/>
  <c r="N168" i="3"/>
  <c r="M168" i="3"/>
  <c r="U174" i="3"/>
  <c r="P174" i="3"/>
  <c r="N174" i="3"/>
  <c r="M174" i="3"/>
  <c r="O174" i="3"/>
  <c r="S174" i="3" s="1"/>
  <c r="N184" i="3"/>
  <c r="P184" i="3"/>
  <c r="M184" i="3"/>
  <c r="U184" i="3"/>
  <c r="O184" i="3"/>
  <c r="S184" i="3" s="1"/>
  <c r="U186" i="3"/>
  <c r="P186" i="3"/>
  <c r="O186" i="3"/>
  <c r="S186" i="3" s="1"/>
  <c r="N186" i="3"/>
  <c r="M186" i="3"/>
  <c r="U190" i="3"/>
  <c r="P190" i="3"/>
  <c r="N190" i="3"/>
  <c r="M190" i="3"/>
  <c r="O190" i="3"/>
  <c r="S190" i="3" s="1"/>
  <c r="U194" i="3"/>
  <c r="P194" i="3"/>
  <c r="O194" i="3"/>
  <c r="S194" i="3" s="1"/>
  <c r="N194" i="3"/>
  <c r="M194" i="3"/>
  <c r="U202" i="3"/>
  <c r="P202" i="3"/>
  <c r="O202" i="3"/>
  <c r="S202" i="3" s="1"/>
  <c r="N202" i="3"/>
  <c r="M202" i="3"/>
  <c r="N208" i="3"/>
  <c r="P208" i="3"/>
  <c r="O208" i="3"/>
  <c r="S208" i="3" s="1"/>
  <c r="M208" i="3"/>
  <c r="U208" i="3"/>
  <c r="O218" i="3"/>
  <c r="S218" i="3" s="1"/>
  <c r="P218" i="3"/>
  <c r="N218" i="3"/>
  <c r="M218" i="3"/>
  <c r="U218" i="3"/>
  <c r="U233" i="3"/>
  <c r="P233" i="3"/>
  <c r="O233" i="3"/>
  <c r="S233" i="3" s="1"/>
  <c r="N233" i="3"/>
  <c r="M233" i="3"/>
  <c r="U237" i="3"/>
  <c r="P237" i="3"/>
  <c r="N237" i="3"/>
  <c r="M237" i="3"/>
  <c r="O237" i="3"/>
  <c r="S237" i="3" s="1"/>
  <c r="N243" i="3"/>
  <c r="U243" i="3"/>
  <c r="O243" i="3"/>
  <c r="S243" i="3" s="1"/>
  <c r="M243" i="3"/>
  <c r="P243" i="3"/>
  <c r="U253" i="3"/>
  <c r="P253" i="3"/>
  <c r="N253" i="3"/>
  <c r="M253" i="3"/>
  <c r="O253" i="3"/>
  <c r="S253" i="3" s="1"/>
  <c r="N263" i="3"/>
  <c r="P263" i="3"/>
  <c r="U263" i="3"/>
  <c r="O263" i="3"/>
  <c r="S263" i="3" s="1"/>
  <c r="M263" i="3"/>
  <c r="N271" i="3"/>
  <c r="P271" i="3"/>
  <c r="U271" i="3"/>
  <c r="O271" i="3"/>
  <c r="S271" i="3" s="1"/>
  <c r="M271" i="3"/>
  <c r="D5" i="1"/>
  <c r="L5" i="3" s="1"/>
  <c r="D11" i="1"/>
  <c r="L11" i="3" s="1"/>
  <c r="D15" i="1"/>
  <c r="L15" i="3" s="1"/>
  <c r="D19" i="1"/>
  <c r="D23" i="1"/>
  <c r="D29" i="1"/>
  <c r="D33" i="1"/>
  <c r="D39" i="1"/>
  <c r="D43" i="1"/>
  <c r="L43" i="3" s="1"/>
  <c r="D63" i="3"/>
  <c r="K63" i="3"/>
  <c r="F63" i="3"/>
  <c r="I63" i="3"/>
  <c r="E63" i="3"/>
  <c r="D67" i="3"/>
  <c r="K67" i="3"/>
  <c r="F67" i="3"/>
  <c r="I67" i="3"/>
  <c r="E67" i="3"/>
  <c r="D71" i="3"/>
  <c r="K71" i="3"/>
  <c r="F71" i="3"/>
  <c r="I71" i="3"/>
  <c r="E71" i="3"/>
  <c r="D74" i="1"/>
  <c r="L72" i="3" s="1"/>
  <c r="D76" i="1"/>
  <c r="L74" i="3" s="1"/>
  <c r="D78" i="1"/>
  <c r="L76" i="3" s="1"/>
  <c r="D80" i="1"/>
  <c r="L78" i="3" s="1"/>
  <c r="D82" i="1"/>
  <c r="L80" i="3" s="1"/>
  <c r="D84" i="1"/>
  <c r="L82" i="3" s="1"/>
  <c r="D86" i="1"/>
  <c r="L84" i="3" s="1"/>
  <c r="D88" i="3"/>
  <c r="K88" i="3"/>
  <c r="F88" i="3"/>
  <c r="E88" i="3"/>
  <c r="I88" i="3"/>
  <c r="F94" i="3"/>
  <c r="K94" i="3"/>
  <c r="E94" i="3"/>
  <c r="I94" i="3"/>
  <c r="D94" i="3"/>
  <c r="F98" i="3"/>
  <c r="K98" i="3"/>
  <c r="E98" i="3"/>
  <c r="I98" i="3"/>
  <c r="D98" i="3"/>
  <c r="F102" i="3"/>
  <c r="K102" i="3"/>
  <c r="E102" i="3"/>
  <c r="I102" i="3"/>
  <c r="D102" i="3"/>
  <c r="F106" i="3"/>
  <c r="K106" i="3"/>
  <c r="E106" i="3"/>
  <c r="I106" i="3"/>
  <c r="D106" i="3"/>
  <c r="D110" i="3"/>
  <c r="I110" i="3"/>
  <c r="K110" i="3"/>
  <c r="F110" i="3"/>
  <c r="E110" i="3"/>
  <c r="D114" i="3"/>
  <c r="K114" i="3"/>
  <c r="F114" i="3"/>
  <c r="E114" i="3"/>
  <c r="I114" i="3"/>
  <c r="D118" i="3"/>
  <c r="I118" i="3"/>
  <c r="K118" i="3"/>
  <c r="E118" i="3"/>
  <c r="F118" i="3"/>
  <c r="D122" i="3"/>
  <c r="K122" i="3"/>
  <c r="F122" i="3"/>
  <c r="I122" i="3"/>
  <c r="E122" i="3"/>
  <c r="D126" i="3"/>
  <c r="I126" i="3"/>
  <c r="K126" i="3"/>
  <c r="F126" i="3"/>
  <c r="E126" i="3"/>
  <c r="D130" i="3"/>
  <c r="K130" i="3"/>
  <c r="F130" i="3"/>
  <c r="E130" i="3"/>
  <c r="I130" i="3"/>
  <c r="F134" i="3"/>
  <c r="I134" i="3"/>
  <c r="D134" i="3"/>
  <c r="K134" i="3"/>
  <c r="E134" i="3"/>
  <c r="F138" i="3"/>
  <c r="K138" i="3"/>
  <c r="I138" i="3"/>
  <c r="E138" i="3"/>
  <c r="D138" i="3"/>
  <c r="F142" i="3"/>
  <c r="K142" i="3"/>
  <c r="E142" i="3"/>
  <c r="I142" i="3"/>
  <c r="D142" i="3"/>
  <c r="F146" i="3"/>
  <c r="E146" i="3"/>
  <c r="D146" i="3"/>
  <c r="K146" i="3"/>
  <c r="I146" i="3"/>
  <c r="D148" i="3"/>
  <c r="K148" i="3"/>
  <c r="F148" i="3"/>
  <c r="I148" i="3"/>
  <c r="E148" i="3"/>
  <c r="K167" i="3"/>
  <c r="F167" i="3"/>
  <c r="I167" i="3"/>
  <c r="E167" i="3"/>
  <c r="D167" i="3"/>
  <c r="I169" i="3"/>
  <c r="E169" i="3"/>
  <c r="K169" i="3"/>
  <c r="F169" i="3"/>
  <c r="D169" i="3"/>
  <c r="K173" i="3"/>
  <c r="F173" i="3"/>
  <c r="E173" i="3"/>
  <c r="D173" i="3"/>
  <c r="I173" i="3"/>
  <c r="K177" i="3"/>
  <c r="I177" i="3"/>
  <c r="D177" i="3"/>
  <c r="F177" i="3"/>
  <c r="E177" i="3"/>
  <c r="K181" i="3"/>
  <c r="F181" i="3"/>
  <c r="E181" i="3"/>
  <c r="I181" i="3"/>
  <c r="D181" i="3"/>
  <c r="K185" i="3"/>
  <c r="I185" i="3"/>
  <c r="D185" i="3"/>
  <c r="F185" i="3"/>
  <c r="E185" i="3"/>
  <c r="K189" i="3"/>
  <c r="F189" i="3"/>
  <c r="E189" i="3"/>
  <c r="D189" i="3"/>
  <c r="I189" i="3"/>
  <c r="K193" i="3"/>
  <c r="I193" i="3"/>
  <c r="D193" i="3"/>
  <c r="F193" i="3"/>
  <c r="E193" i="3"/>
  <c r="K197" i="3"/>
  <c r="F197" i="3"/>
  <c r="E197" i="3"/>
  <c r="I197" i="3"/>
  <c r="D197" i="3"/>
  <c r="K201" i="3"/>
  <c r="I201" i="3"/>
  <c r="D201" i="3"/>
  <c r="F201" i="3"/>
  <c r="E201" i="3"/>
  <c r="K205" i="3"/>
  <c r="F205" i="3"/>
  <c r="E205" i="3"/>
  <c r="D205" i="3"/>
  <c r="I205" i="3"/>
  <c r="K209" i="3"/>
  <c r="I209" i="3"/>
  <c r="D209" i="3"/>
  <c r="F209" i="3"/>
  <c r="E209" i="3"/>
  <c r="K213" i="3"/>
  <c r="F213" i="3"/>
  <c r="E213" i="3"/>
  <c r="I213" i="3"/>
  <c r="D213" i="3"/>
  <c r="D217" i="3"/>
  <c r="K217" i="3"/>
  <c r="F217" i="3"/>
  <c r="I217" i="3"/>
  <c r="E217" i="3"/>
  <c r="K232" i="3"/>
  <c r="I232" i="3"/>
  <c r="D232" i="3"/>
  <c r="F232" i="3"/>
  <c r="E232" i="3"/>
  <c r="I234" i="3"/>
  <c r="E234" i="3"/>
  <c r="K234" i="3"/>
  <c r="F234" i="3"/>
  <c r="D234" i="3"/>
  <c r="K236" i="3"/>
  <c r="F236" i="3"/>
  <c r="E236" i="3"/>
  <c r="I236" i="3"/>
  <c r="D236" i="3"/>
  <c r="I238" i="3"/>
  <c r="E238" i="3"/>
  <c r="K238" i="3"/>
  <c r="F238" i="3"/>
  <c r="D238" i="3"/>
  <c r="K240" i="3"/>
  <c r="I240" i="3"/>
  <c r="D240" i="3"/>
  <c r="F240" i="3"/>
  <c r="E240" i="3"/>
  <c r="I242" i="3"/>
  <c r="E242" i="3"/>
  <c r="K242" i="3"/>
  <c r="F242" i="3"/>
  <c r="D242" i="3"/>
  <c r="K244" i="3"/>
  <c r="F244" i="3"/>
  <c r="E244" i="3"/>
  <c r="I244" i="3"/>
  <c r="D244" i="3"/>
  <c r="I246" i="3"/>
  <c r="E246" i="3"/>
  <c r="K246" i="3"/>
  <c r="F246" i="3"/>
  <c r="D246" i="3"/>
  <c r="K248" i="3"/>
  <c r="I248" i="3"/>
  <c r="D248" i="3"/>
  <c r="F248" i="3"/>
  <c r="E248" i="3"/>
  <c r="I250" i="3"/>
  <c r="E250" i="3"/>
  <c r="K250" i="3"/>
  <c r="F250" i="3"/>
  <c r="D250" i="3"/>
  <c r="K252" i="3"/>
  <c r="F252" i="3"/>
  <c r="E252" i="3"/>
  <c r="I252" i="3"/>
  <c r="D252" i="3"/>
  <c r="I254" i="3"/>
  <c r="E254" i="3"/>
  <c r="K254" i="3"/>
  <c r="F254" i="3"/>
  <c r="D254" i="3"/>
  <c r="K256" i="3"/>
  <c r="I256" i="3"/>
  <c r="D256" i="3"/>
  <c r="F256" i="3"/>
  <c r="E256" i="3"/>
  <c r="I258" i="3"/>
  <c r="E258" i="3"/>
  <c r="K258" i="3"/>
  <c r="F258" i="3"/>
  <c r="D258" i="3"/>
  <c r="K260" i="3"/>
  <c r="F260" i="3"/>
  <c r="E260" i="3"/>
  <c r="I260" i="3"/>
  <c r="D260" i="3"/>
  <c r="I262" i="3"/>
  <c r="E262" i="3"/>
  <c r="K262" i="3"/>
  <c r="F262" i="3"/>
  <c r="D262" i="3"/>
  <c r="K264" i="3"/>
  <c r="I264" i="3"/>
  <c r="D264" i="3"/>
  <c r="F264" i="3"/>
  <c r="E264" i="3"/>
  <c r="I266" i="3"/>
  <c r="E266" i="3"/>
  <c r="K266" i="3"/>
  <c r="F266" i="3"/>
  <c r="D266" i="3"/>
  <c r="K268" i="3"/>
  <c r="F268" i="3"/>
  <c r="E268" i="3"/>
  <c r="I268" i="3"/>
  <c r="D268" i="3"/>
  <c r="I270" i="3"/>
  <c r="E270" i="3"/>
  <c r="K270" i="3"/>
  <c r="F270" i="3"/>
  <c r="D270" i="3"/>
  <c r="K272" i="3"/>
  <c r="I272" i="3"/>
  <c r="D272" i="3"/>
  <c r="F272" i="3"/>
  <c r="E272" i="3"/>
  <c r="I274" i="3"/>
  <c r="E274" i="3"/>
  <c r="K274" i="3"/>
  <c r="F274" i="3"/>
  <c r="D274" i="3"/>
  <c r="K276" i="3"/>
  <c r="F276" i="3"/>
  <c r="E276" i="3"/>
  <c r="I276" i="3"/>
  <c r="D276" i="3"/>
  <c r="I278" i="3"/>
  <c r="E278" i="3"/>
  <c r="K278" i="3"/>
  <c r="F278" i="3"/>
  <c r="D278" i="3"/>
  <c r="K280" i="3"/>
  <c r="I280" i="3"/>
  <c r="D280" i="3"/>
  <c r="F280" i="3"/>
  <c r="E280" i="3"/>
  <c r="D303" i="1"/>
  <c r="L282" i="3" s="1"/>
  <c r="C285" i="3"/>
  <c r="D306" i="1"/>
  <c r="L285" i="3" s="1"/>
  <c r="K288" i="3"/>
  <c r="I288" i="3"/>
  <c r="D288" i="3"/>
  <c r="F288" i="3"/>
  <c r="E288" i="3"/>
  <c r="D311" i="1"/>
  <c r="L290" i="3" s="1"/>
  <c r="C293" i="3"/>
  <c r="D315" i="1"/>
  <c r="L293" i="3" s="1"/>
  <c r="K296" i="3"/>
  <c r="F296" i="3"/>
  <c r="D296" i="3"/>
  <c r="I296" i="3"/>
  <c r="E296" i="3"/>
  <c r="D320" i="1"/>
  <c r="L298" i="3" s="1"/>
  <c r="C301" i="3"/>
  <c r="D323" i="1"/>
  <c r="L301" i="3" s="1"/>
  <c r="C304" i="3"/>
  <c r="D326" i="1"/>
  <c r="L304" i="3" s="1"/>
  <c r="C308" i="3"/>
  <c r="D330" i="1"/>
  <c r="L308" i="3" s="1"/>
  <c r="C312" i="3"/>
  <c r="D334" i="1"/>
  <c r="L312" i="3" s="1"/>
  <c r="C316" i="3"/>
  <c r="D338" i="1"/>
  <c r="L316" i="3" s="1"/>
  <c r="C320" i="3"/>
  <c r="D342" i="1"/>
  <c r="L320" i="3" s="1"/>
  <c r="C324" i="3"/>
  <c r="D346" i="1"/>
  <c r="L324" i="3" s="1"/>
  <c r="C328" i="3"/>
  <c r="D350" i="1"/>
  <c r="L328" i="3" s="1"/>
  <c r="C332" i="3"/>
  <c r="D355" i="1"/>
  <c r="L332" i="3" s="1"/>
  <c r="C336" i="3"/>
  <c r="D359" i="1"/>
  <c r="L336" i="3" s="1"/>
  <c r="C340" i="3"/>
  <c r="D363" i="1"/>
  <c r="L340" i="3" s="1"/>
  <c r="C344" i="3"/>
  <c r="D367" i="1"/>
  <c r="L344" i="3" s="1"/>
  <c r="C348" i="3"/>
  <c r="D372" i="1"/>
  <c r="L348" i="3" s="1"/>
  <c r="C352" i="3"/>
  <c r="D376" i="1"/>
  <c r="L352" i="3" s="1"/>
  <c r="C356" i="3"/>
  <c r="D380" i="1"/>
  <c r="L356" i="3" s="1"/>
  <c r="C360" i="3"/>
  <c r="D384" i="1"/>
  <c r="L360" i="3" s="1"/>
  <c r="C362" i="3"/>
  <c r="D397" i="1"/>
  <c r="L362" i="3" s="1"/>
  <c r="C366" i="3"/>
  <c r="D401" i="1"/>
  <c r="L366" i="3" s="1"/>
  <c r="C370" i="3"/>
  <c r="D405" i="1"/>
  <c r="L370" i="3" s="1"/>
  <c r="C374" i="3"/>
  <c r="D409" i="1"/>
  <c r="L374" i="3" s="1"/>
  <c r="C378" i="3"/>
  <c r="D413" i="1"/>
  <c r="L378" i="3" s="1"/>
  <c r="C382" i="3"/>
  <c r="D417" i="1"/>
  <c r="L382" i="3" s="1"/>
  <c r="C386" i="3"/>
  <c r="D421" i="1"/>
  <c r="L386" i="3" s="1"/>
  <c r="C390" i="3"/>
  <c r="D425" i="1"/>
  <c r="L390" i="3" s="1"/>
  <c r="C394" i="3"/>
  <c r="D429" i="1"/>
  <c r="L394" i="3" s="1"/>
  <c r="C398" i="3"/>
  <c r="D433" i="1"/>
  <c r="L398" i="3" s="1"/>
  <c r="C402" i="3"/>
  <c r="D437" i="1"/>
  <c r="L402" i="3" s="1"/>
  <c r="C406" i="3"/>
  <c r="D441" i="1"/>
  <c r="L406" i="3" s="1"/>
  <c r="C410" i="3"/>
  <c r="D445" i="1"/>
  <c r="L410" i="3" s="1"/>
  <c r="C414" i="3"/>
  <c r="D449" i="1"/>
  <c r="L414" i="3" s="1"/>
  <c r="C418" i="3"/>
  <c r="D454" i="1"/>
  <c r="L418" i="3" s="1"/>
  <c r="C422" i="3"/>
  <c r="D458" i="1"/>
  <c r="L422" i="3" s="1"/>
  <c r="C426" i="3"/>
  <c r="D462" i="1"/>
  <c r="L426" i="3" s="1"/>
  <c r="C430" i="3"/>
  <c r="D466" i="1"/>
  <c r="L430" i="3" s="1"/>
  <c r="C434" i="3"/>
  <c r="D470" i="1"/>
  <c r="L434" i="3" s="1"/>
  <c r="C438" i="3"/>
  <c r="D474" i="1"/>
  <c r="L438" i="3" s="1"/>
  <c r="C442" i="3"/>
  <c r="D479" i="1"/>
  <c r="L442" i="3" s="1"/>
  <c r="C446" i="3"/>
  <c r="D483" i="1"/>
  <c r="L446" i="3" s="1"/>
  <c r="C450" i="3"/>
  <c r="D488" i="1"/>
  <c r="L450" i="3" s="1"/>
  <c r="O454" i="3"/>
  <c r="S454" i="3" s="1"/>
  <c r="N454" i="3"/>
  <c r="M454" i="3"/>
  <c r="P454" i="3"/>
  <c r="U454" i="3"/>
  <c r="M456" i="3"/>
  <c r="U456" i="3"/>
  <c r="P456" i="3"/>
  <c r="O456" i="3"/>
  <c r="S456" i="3" s="1"/>
  <c r="N456" i="3"/>
  <c r="O458" i="3"/>
  <c r="S458" i="3" s="1"/>
  <c r="N458" i="3"/>
  <c r="M458" i="3"/>
  <c r="P458" i="3"/>
  <c r="U458" i="3"/>
  <c r="M460" i="3"/>
  <c r="U460" i="3"/>
  <c r="P460" i="3"/>
  <c r="O460" i="3"/>
  <c r="S460" i="3" s="1"/>
  <c r="N460" i="3"/>
  <c r="O462" i="3"/>
  <c r="S462" i="3" s="1"/>
  <c r="U462" i="3"/>
  <c r="N462" i="3"/>
  <c r="M462" i="3"/>
  <c r="P462" i="3"/>
  <c r="C464" i="3"/>
  <c r="D504" i="1"/>
  <c r="L464" i="3" s="1"/>
  <c r="C468" i="3"/>
  <c r="D508" i="1"/>
  <c r="L468" i="3" s="1"/>
  <c r="C472" i="3"/>
  <c r="D512" i="1"/>
  <c r="L472" i="3" s="1"/>
  <c r="C476" i="3"/>
  <c r="D516" i="1"/>
  <c r="L476" i="3" s="1"/>
  <c r="N478" i="3"/>
  <c r="M478" i="3"/>
  <c r="U478" i="3"/>
  <c r="P478" i="3"/>
  <c r="O478" i="3"/>
  <c r="S478" i="3" s="1"/>
  <c r="U480" i="3"/>
  <c r="P480" i="3"/>
  <c r="O480" i="3"/>
  <c r="S480" i="3" s="1"/>
  <c r="N480" i="3"/>
  <c r="M480" i="3"/>
  <c r="N482" i="3"/>
  <c r="M482" i="3"/>
  <c r="U482" i="3"/>
  <c r="P482" i="3"/>
  <c r="O482" i="3"/>
  <c r="S482" i="3" s="1"/>
  <c r="U484" i="3"/>
  <c r="P484" i="3"/>
  <c r="O484" i="3"/>
  <c r="S484" i="3" s="1"/>
  <c r="N484" i="3"/>
  <c r="M484" i="3"/>
  <c r="O486" i="3"/>
  <c r="S486" i="3" s="1"/>
  <c r="N486" i="3"/>
  <c r="M486" i="3"/>
  <c r="U486" i="3"/>
  <c r="P486" i="3"/>
  <c r="N488" i="3"/>
  <c r="M488" i="3"/>
  <c r="U488" i="3"/>
  <c r="P488" i="3"/>
  <c r="O488" i="3"/>
  <c r="S488" i="3" s="1"/>
  <c r="U490" i="3"/>
  <c r="P490" i="3"/>
  <c r="O490" i="3"/>
  <c r="S490" i="3" s="1"/>
  <c r="N490" i="3"/>
  <c r="M490" i="3"/>
  <c r="N492" i="3"/>
  <c r="M492" i="3"/>
  <c r="U492" i="3"/>
  <c r="P492" i="3"/>
  <c r="O492" i="3"/>
  <c r="S492" i="3" s="1"/>
  <c r="U494" i="3"/>
  <c r="P494" i="3"/>
  <c r="O494" i="3"/>
  <c r="S494" i="3" s="1"/>
  <c r="N494" i="3"/>
  <c r="M494" i="3"/>
  <c r="N496" i="3"/>
  <c r="M496" i="3"/>
  <c r="U496" i="3"/>
  <c r="P496" i="3"/>
  <c r="O496" i="3"/>
  <c r="S496" i="3" s="1"/>
  <c r="C498" i="3"/>
  <c r="D544" i="1"/>
  <c r="L498" i="3" s="1"/>
  <c r="C502" i="3"/>
  <c r="D548" i="1"/>
  <c r="L502" i="3" s="1"/>
  <c r="C506" i="3"/>
  <c r="D553" i="1"/>
  <c r="L506" i="3" s="1"/>
  <c r="C510" i="3"/>
  <c r="D557" i="1"/>
  <c r="L510" i="3" s="1"/>
  <c r="C514" i="3"/>
  <c r="D562" i="1"/>
  <c r="L514" i="3" s="1"/>
  <c r="C518" i="3"/>
  <c r="D567" i="1"/>
  <c r="L518" i="3" s="1"/>
  <c r="C522" i="3"/>
  <c r="D571" i="1"/>
  <c r="L522" i="3" s="1"/>
  <c r="C526" i="3"/>
  <c r="D575" i="1"/>
  <c r="L526" i="3" s="1"/>
  <c r="C530" i="3"/>
  <c r="D580" i="1"/>
  <c r="L530" i="3" s="1"/>
  <c r="C534" i="3"/>
  <c r="D584" i="1"/>
  <c r="L534" i="3" s="1"/>
  <c r="C538" i="3"/>
  <c r="D589" i="1"/>
  <c r="L538" i="3" s="1"/>
  <c r="C542" i="3"/>
  <c r="D593" i="1"/>
  <c r="L542" i="3" s="1"/>
  <c r="C546" i="3"/>
  <c r="D598" i="1"/>
  <c r="L546" i="3" s="1"/>
  <c r="C550" i="3"/>
  <c r="D602" i="1"/>
  <c r="L550" i="3" s="1"/>
  <c r="C554" i="3"/>
  <c r="D606" i="1"/>
  <c r="L554" i="3" s="1"/>
  <c r="C558" i="3"/>
  <c r="D610" i="1"/>
  <c r="L558" i="3" s="1"/>
  <c r="C562" i="3"/>
  <c r="D614" i="1"/>
  <c r="L562" i="3" s="1"/>
  <c r="C566" i="3"/>
  <c r="D620" i="1"/>
  <c r="L566" i="3" s="1"/>
  <c r="C570" i="3"/>
  <c r="D624" i="1"/>
  <c r="L570" i="3" s="1"/>
  <c r="C574" i="3"/>
  <c r="D628" i="1"/>
  <c r="L574" i="3" s="1"/>
  <c r="C578" i="3"/>
  <c r="D632" i="1"/>
  <c r="L578" i="3" s="1"/>
  <c r="C582" i="3"/>
  <c r="D636" i="1"/>
  <c r="L582" i="3" s="1"/>
  <c r="C586" i="3"/>
  <c r="D640" i="1"/>
  <c r="L586" i="3" s="1"/>
  <c r="C614" i="3"/>
  <c r="D674" i="1"/>
  <c r="L614" i="3" s="1"/>
  <c r="C618" i="3"/>
  <c r="D678" i="1"/>
  <c r="L618" i="3" s="1"/>
  <c r="C622" i="3"/>
  <c r="D683" i="1"/>
  <c r="L622" i="3" s="1"/>
  <c r="C626" i="3"/>
  <c r="D688" i="1"/>
  <c r="L626" i="3" s="1"/>
  <c r="C630" i="3"/>
  <c r="D692" i="1"/>
  <c r="L630" i="3" s="1"/>
  <c r="C634" i="3"/>
  <c r="D697" i="1"/>
  <c r="L634" i="3" s="1"/>
  <c r="C638" i="3"/>
  <c r="D701" i="1"/>
  <c r="L638" i="3" s="1"/>
  <c r="C642" i="3"/>
  <c r="D705" i="1"/>
  <c r="L642" i="3" s="1"/>
  <c r="C646" i="3"/>
  <c r="D709" i="1"/>
  <c r="L646" i="3" s="1"/>
  <c r="C650" i="3"/>
  <c r="D713" i="1"/>
  <c r="L650" i="3" s="1"/>
  <c r="C654" i="3"/>
  <c r="D717" i="1"/>
  <c r="L654" i="3" s="1"/>
  <c r="C658" i="3"/>
  <c r="D721" i="1"/>
  <c r="L658" i="3" s="1"/>
  <c r="C662" i="3"/>
  <c r="D725" i="1"/>
  <c r="L662" i="3" s="1"/>
  <c r="C666" i="3"/>
  <c r="D729" i="1"/>
  <c r="L666" i="3" s="1"/>
  <c r="C670" i="3"/>
  <c r="D733" i="1"/>
  <c r="L670" i="3" s="1"/>
  <c r="C674" i="3"/>
  <c r="D738" i="1"/>
  <c r="L674" i="3" s="1"/>
  <c r="C678" i="3"/>
  <c r="D742" i="1"/>
  <c r="L678" i="3" s="1"/>
  <c r="C682" i="3"/>
  <c r="D746" i="1"/>
  <c r="L682" i="3" s="1"/>
  <c r="C686" i="3"/>
  <c r="D750" i="1"/>
  <c r="L686" i="3" s="1"/>
  <c r="F7" i="3"/>
  <c r="I7" i="3"/>
  <c r="E7" i="3"/>
  <c r="D7" i="3"/>
  <c r="K7" i="3"/>
  <c r="F15" i="3"/>
  <c r="I15" i="3"/>
  <c r="E15" i="3"/>
  <c r="D15" i="3"/>
  <c r="K15" i="3"/>
  <c r="K21" i="3"/>
  <c r="F21" i="3"/>
  <c r="I21" i="3"/>
  <c r="E21" i="3"/>
  <c r="D21" i="3"/>
  <c r="K29" i="3"/>
  <c r="F29" i="3"/>
  <c r="I29" i="3"/>
  <c r="E29" i="3"/>
  <c r="D29" i="3"/>
  <c r="K37" i="3"/>
  <c r="F37" i="3"/>
  <c r="I37" i="3"/>
  <c r="E37" i="3"/>
  <c r="D37" i="3"/>
  <c r="F43" i="3"/>
  <c r="I43" i="3"/>
  <c r="E43" i="3"/>
  <c r="D43" i="3"/>
  <c r="K43" i="3"/>
  <c r="I47" i="3"/>
  <c r="E47" i="3"/>
  <c r="D47" i="3"/>
  <c r="K47" i="3"/>
  <c r="F47" i="3"/>
  <c r="I53" i="3"/>
  <c r="E53" i="3"/>
  <c r="D53" i="3"/>
  <c r="K53" i="3"/>
  <c r="F53" i="3"/>
  <c r="I57" i="3"/>
  <c r="E57" i="3"/>
  <c r="D57" i="3"/>
  <c r="K57" i="3"/>
  <c r="F57" i="3"/>
  <c r="D59" i="3"/>
  <c r="K59" i="3"/>
  <c r="F59" i="3"/>
  <c r="I59" i="3"/>
  <c r="E59" i="3"/>
  <c r="F61" i="3"/>
  <c r="I61" i="3"/>
  <c r="E61" i="3"/>
  <c r="D61" i="3"/>
  <c r="K61" i="3"/>
  <c r="S2" i="10"/>
  <c r="O2" i="10"/>
  <c r="K2" i="10"/>
  <c r="G2" i="10"/>
  <c r="R2" i="10"/>
  <c r="N2" i="10"/>
  <c r="J2" i="10"/>
  <c r="F2" i="10"/>
  <c r="M2" i="10"/>
  <c r="E2" i="10"/>
  <c r="L2" i="10"/>
  <c r="D2" i="10"/>
  <c r="Q2" i="10"/>
  <c r="I2" i="10"/>
  <c r="P2" i="10"/>
  <c r="H2" i="10"/>
  <c r="J43" i="6"/>
  <c r="L66" i="3"/>
  <c r="I72" i="3"/>
  <c r="E72" i="3"/>
  <c r="D72" i="3"/>
  <c r="K72" i="3"/>
  <c r="F72" i="3"/>
  <c r="O91" i="3"/>
  <c r="S91" i="3" s="1"/>
  <c r="P91" i="3"/>
  <c r="U91" i="3"/>
  <c r="N91" i="3"/>
  <c r="M91" i="3"/>
  <c r="O99" i="3"/>
  <c r="S99" i="3" s="1"/>
  <c r="P99" i="3"/>
  <c r="U99" i="3"/>
  <c r="N99" i="3"/>
  <c r="M99" i="3"/>
  <c r="O103" i="3"/>
  <c r="S103" i="3" s="1"/>
  <c r="M103" i="3"/>
  <c r="P103" i="3"/>
  <c r="U103" i="3"/>
  <c r="N103" i="3"/>
  <c r="J61" i="6"/>
  <c r="L111" i="3"/>
  <c r="O121" i="3"/>
  <c r="S121" i="3" s="1"/>
  <c r="U121" i="3"/>
  <c r="N121" i="3"/>
  <c r="P121" i="3"/>
  <c r="M121" i="3"/>
  <c r="J72" i="6"/>
  <c r="L125" i="3"/>
  <c r="J75" i="6"/>
  <c r="L135" i="3"/>
  <c r="M145" i="3"/>
  <c r="P145" i="3"/>
  <c r="O145" i="3"/>
  <c r="S145" i="3" s="1"/>
  <c r="N145" i="3"/>
  <c r="U145" i="3"/>
  <c r="M149" i="3"/>
  <c r="U149" i="3"/>
  <c r="O149" i="3"/>
  <c r="S149" i="3" s="1"/>
  <c r="N149" i="3"/>
  <c r="P149" i="3"/>
  <c r="K151" i="3"/>
  <c r="F151" i="3"/>
  <c r="I151" i="3"/>
  <c r="E151" i="3"/>
  <c r="D151" i="3"/>
  <c r="K155" i="3"/>
  <c r="E155" i="3"/>
  <c r="I155" i="3"/>
  <c r="D155" i="3"/>
  <c r="F155" i="3"/>
  <c r="K159" i="3"/>
  <c r="F159" i="3"/>
  <c r="E159" i="3"/>
  <c r="D159" i="3"/>
  <c r="I159" i="3"/>
  <c r="I165" i="3"/>
  <c r="E165" i="3"/>
  <c r="D165" i="3"/>
  <c r="K165" i="3"/>
  <c r="F165" i="3"/>
  <c r="N170" i="3"/>
  <c r="M170" i="3"/>
  <c r="U170" i="3"/>
  <c r="P170" i="3"/>
  <c r="O170" i="3"/>
  <c r="S170" i="3" s="1"/>
  <c r="N176" i="3"/>
  <c r="P176" i="3"/>
  <c r="O176" i="3"/>
  <c r="S176" i="3" s="1"/>
  <c r="M176" i="3"/>
  <c r="U176" i="3"/>
  <c r="N180" i="3"/>
  <c r="U180" i="3"/>
  <c r="O180" i="3"/>
  <c r="S180" i="3" s="1"/>
  <c r="M180" i="3"/>
  <c r="P180" i="3"/>
  <c r="N188" i="3"/>
  <c r="U188" i="3"/>
  <c r="O188" i="3"/>
  <c r="S188" i="3" s="1"/>
  <c r="M188" i="3"/>
  <c r="P188" i="3"/>
  <c r="N196" i="3"/>
  <c r="U196" i="3"/>
  <c r="O196" i="3"/>
  <c r="S196" i="3" s="1"/>
  <c r="M196" i="3"/>
  <c r="P196" i="3"/>
  <c r="N200" i="3"/>
  <c r="P200" i="3"/>
  <c r="M200" i="3"/>
  <c r="U200" i="3"/>
  <c r="O200" i="3"/>
  <c r="S200" i="3" s="1"/>
  <c r="U210" i="3"/>
  <c r="P210" i="3"/>
  <c r="O210" i="3"/>
  <c r="S210" i="3" s="1"/>
  <c r="N210" i="3"/>
  <c r="M210" i="3"/>
  <c r="N212" i="3"/>
  <c r="U212" i="3"/>
  <c r="O212" i="3"/>
  <c r="S212" i="3" s="1"/>
  <c r="M212" i="3"/>
  <c r="P212" i="3"/>
  <c r="U214" i="3"/>
  <c r="N214" i="3"/>
  <c r="O214" i="3"/>
  <c r="S214" i="3" s="1"/>
  <c r="M214" i="3"/>
  <c r="P214" i="3"/>
  <c r="D222" i="3"/>
  <c r="I222" i="3"/>
  <c r="K222" i="3"/>
  <c r="F222" i="3"/>
  <c r="E222" i="3"/>
  <c r="K224" i="3"/>
  <c r="F224" i="3"/>
  <c r="E224" i="3"/>
  <c r="D224" i="3"/>
  <c r="I224" i="3"/>
  <c r="N235" i="3"/>
  <c r="U235" i="3"/>
  <c r="O235" i="3"/>
  <c r="S235" i="3" s="1"/>
  <c r="M235" i="3"/>
  <c r="P235" i="3"/>
  <c r="U241" i="3"/>
  <c r="P241" i="3"/>
  <c r="O241" i="3"/>
  <c r="S241" i="3" s="1"/>
  <c r="N241" i="3"/>
  <c r="M241" i="3"/>
  <c r="N247" i="3"/>
  <c r="P247" i="3"/>
  <c r="U247" i="3"/>
  <c r="O247" i="3"/>
  <c r="S247" i="3" s="1"/>
  <c r="M247" i="3"/>
  <c r="U249" i="3"/>
  <c r="P249" i="3"/>
  <c r="O249" i="3"/>
  <c r="S249" i="3" s="1"/>
  <c r="N249" i="3"/>
  <c r="M249" i="3"/>
  <c r="N259" i="3"/>
  <c r="U259" i="3"/>
  <c r="O259" i="3"/>
  <c r="S259" i="3" s="1"/>
  <c r="M259" i="3"/>
  <c r="P259" i="3"/>
  <c r="U265" i="3"/>
  <c r="P265" i="3"/>
  <c r="O265" i="3"/>
  <c r="S265" i="3" s="1"/>
  <c r="N265" i="3"/>
  <c r="M265" i="3"/>
  <c r="U269" i="3"/>
  <c r="P269" i="3"/>
  <c r="N269" i="3"/>
  <c r="M269" i="3"/>
  <c r="O269" i="3"/>
  <c r="S269" i="3" s="1"/>
  <c r="D3" i="1"/>
  <c r="L3" i="3" s="1"/>
  <c r="D7" i="1"/>
  <c r="L7" i="3" s="1"/>
  <c r="D9" i="1"/>
  <c r="L9" i="3" s="1"/>
  <c r="D13" i="1"/>
  <c r="L13" i="3" s="1"/>
  <c r="D17" i="1"/>
  <c r="D21" i="1"/>
  <c r="D25" i="1"/>
  <c r="D27" i="1"/>
  <c r="D31" i="1"/>
  <c r="D35" i="1"/>
  <c r="D37" i="1"/>
  <c r="D41" i="1"/>
  <c r="L41" i="3" s="1"/>
  <c r="D45" i="1"/>
  <c r="L45" i="3" s="1"/>
  <c r="D47" i="1"/>
  <c r="D49" i="1"/>
  <c r="L49" i="3" s="1"/>
  <c r="D51" i="1"/>
  <c r="L51" i="3" s="1"/>
  <c r="D53" i="1"/>
  <c r="L53" i="3" s="1"/>
  <c r="D55" i="1"/>
  <c r="D57" i="1"/>
  <c r="L57" i="3" s="1"/>
  <c r="D59" i="1"/>
  <c r="L59" i="3" s="1"/>
  <c r="D61" i="1"/>
  <c r="F65" i="3"/>
  <c r="I65" i="3"/>
  <c r="E65" i="3"/>
  <c r="D65" i="3"/>
  <c r="K65" i="3"/>
  <c r="F69" i="3"/>
  <c r="I69" i="3"/>
  <c r="E69" i="3"/>
  <c r="D69" i="3"/>
  <c r="K69" i="3"/>
  <c r="F86" i="3"/>
  <c r="K86" i="3"/>
  <c r="E86" i="3"/>
  <c r="I86" i="3"/>
  <c r="D86" i="3"/>
  <c r="F90" i="3"/>
  <c r="I90" i="3"/>
  <c r="D90" i="3"/>
  <c r="K90" i="3"/>
  <c r="E90" i="3"/>
  <c r="D92" i="3"/>
  <c r="I92" i="3"/>
  <c r="K92" i="3"/>
  <c r="F92" i="3"/>
  <c r="E92" i="3"/>
  <c r="D96" i="3"/>
  <c r="E96" i="3"/>
  <c r="I96" i="3"/>
  <c r="K96" i="3"/>
  <c r="F96" i="3"/>
  <c r="D100" i="3"/>
  <c r="K100" i="3"/>
  <c r="F100" i="3"/>
  <c r="E100" i="3"/>
  <c r="I100" i="3"/>
  <c r="D104" i="3"/>
  <c r="E104" i="3"/>
  <c r="I104" i="3"/>
  <c r="K104" i="3"/>
  <c r="F104" i="3"/>
  <c r="D108" i="3"/>
  <c r="K108" i="3"/>
  <c r="F108" i="3"/>
  <c r="E108" i="3"/>
  <c r="I108" i="3"/>
  <c r="F112" i="3"/>
  <c r="K112" i="3"/>
  <c r="E112" i="3"/>
  <c r="I112" i="3"/>
  <c r="D112" i="3"/>
  <c r="F116" i="3"/>
  <c r="I116" i="3"/>
  <c r="D116" i="3"/>
  <c r="K116" i="3"/>
  <c r="E116" i="3"/>
  <c r="F120" i="3"/>
  <c r="E120" i="3"/>
  <c r="K120" i="3"/>
  <c r="D120" i="3"/>
  <c r="I120" i="3"/>
  <c r="F124" i="3"/>
  <c r="I124" i="3"/>
  <c r="D124" i="3"/>
  <c r="K124" i="3"/>
  <c r="E124" i="3"/>
  <c r="F128" i="3"/>
  <c r="K128" i="3"/>
  <c r="E128" i="3"/>
  <c r="I128" i="3"/>
  <c r="D128" i="3"/>
  <c r="F132" i="3"/>
  <c r="I132" i="3"/>
  <c r="D132" i="3"/>
  <c r="E132" i="3"/>
  <c r="K132" i="3"/>
  <c r="D136" i="3"/>
  <c r="I136" i="3"/>
  <c r="F136" i="3"/>
  <c r="K136" i="3"/>
  <c r="E136" i="3"/>
  <c r="D140" i="3"/>
  <c r="K140" i="3"/>
  <c r="F140" i="3"/>
  <c r="I140" i="3"/>
  <c r="E140" i="3"/>
  <c r="D144" i="3"/>
  <c r="E144" i="3"/>
  <c r="I144" i="3"/>
  <c r="F144" i="3"/>
  <c r="K144" i="3"/>
  <c r="P6" i="10"/>
  <c r="L6" i="10"/>
  <c r="H6" i="10"/>
  <c r="D6" i="10"/>
  <c r="R6" i="10"/>
  <c r="M6" i="10"/>
  <c r="G6" i="10"/>
  <c r="Q6" i="10"/>
  <c r="K6" i="10"/>
  <c r="F6" i="10"/>
  <c r="N6" i="10"/>
  <c r="J6" i="10"/>
  <c r="S6" i="10"/>
  <c r="I6" i="10"/>
  <c r="E6" i="10"/>
  <c r="O6" i="10"/>
  <c r="D156" i="1"/>
  <c r="L151" i="3" s="1"/>
  <c r="D158" i="1"/>
  <c r="L153" i="3" s="1"/>
  <c r="D160" i="1"/>
  <c r="L155" i="3" s="1"/>
  <c r="D162" i="1"/>
  <c r="L157" i="3" s="1"/>
  <c r="D164" i="1"/>
  <c r="L159" i="3" s="1"/>
  <c r="D166" i="1"/>
  <c r="L161" i="3" s="1"/>
  <c r="D168" i="1"/>
  <c r="L163" i="3" s="1"/>
  <c r="D170" i="1"/>
  <c r="L165" i="3" s="1"/>
  <c r="K171" i="3"/>
  <c r="E171" i="3"/>
  <c r="I171" i="3"/>
  <c r="D171" i="3"/>
  <c r="F171" i="3"/>
  <c r="I175" i="3"/>
  <c r="E175" i="3"/>
  <c r="K175" i="3"/>
  <c r="F175" i="3"/>
  <c r="D175" i="3"/>
  <c r="I179" i="3"/>
  <c r="E179" i="3"/>
  <c r="F179" i="3"/>
  <c r="D179" i="3"/>
  <c r="K179" i="3"/>
  <c r="I183" i="3"/>
  <c r="E183" i="3"/>
  <c r="K183" i="3"/>
  <c r="F183" i="3"/>
  <c r="D183" i="3"/>
  <c r="I187" i="3"/>
  <c r="E187" i="3"/>
  <c r="D187" i="3"/>
  <c r="K187" i="3"/>
  <c r="F187" i="3"/>
  <c r="I191" i="3"/>
  <c r="E191" i="3"/>
  <c r="K191" i="3"/>
  <c r="F191" i="3"/>
  <c r="D191" i="3"/>
  <c r="I195" i="3"/>
  <c r="E195" i="3"/>
  <c r="F195" i="3"/>
  <c r="D195" i="3"/>
  <c r="K195" i="3"/>
  <c r="I199" i="3"/>
  <c r="E199" i="3"/>
  <c r="K199" i="3"/>
  <c r="F199" i="3"/>
  <c r="D199" i="3"/>
  <c r="I203" i="3"/>
  <c r="E203" i="3"/>
  <c r="D203" i="3"/>
  <c r="K203" i="3"/>
  <c r="F203" i="3"/>
  <c r="I207" i="3"/>
  <c r="E207" i="3"/>
  <c r="K207" i="3"/>
  <c r="F207" i="3"/>
  <c r="D207" i="3"/>
  <c r="I211" i="3"/>
  <c r="E211" i="3"/>
  <c r="F211" i="3"/>
  <c r="D211" i="3"/>
  <c r="K211" i="3"/>
  <c r="F215" i="3"/>
  <c r="I215" i="3"/>
  <c r="D215" i="3"/>
  <c r="K215" i="3"/>
  <c r="D219" i="3"/>
  <c r="I219" i="3"/>
  <c r="F219" i="3"/>
  <c r="E219" i="3"/>
  <c r="K219" i="3"/>
  <c r="D242" i="1"/>
  <c r="L222" i="3" s="1"/>
  <c r="D244" i="1"/>
  <c r="L224" i="3" s="1"/>
  <c r="D246" i="1"/>
  <c r="L226" i="3" s="1"/>
  <c r="D248" i="1"/>
  <c r="L228" i="3" s="1"/>
  <c r="D250" i="1"/>
  <c r="L230" i="3" s="1"/>
  <c r="I2" i="3"/>
  <c r="E2" i="3"/>
  <c r="D2" i="3"/>
  <c r="K2" i="3"/>
  <c r="F2" i="3"/>
  <c r="K4" i="3"/>
  <c r="F4" i="3"/>
  <c r="I4" i="3"/>
  <c r="E4" i="3"/>
  <c r="D4" i="3"/>
  <c r="I6" i="3"/>
  <c r="E6" i="3"/>
  <c r="D6" i="3"/>
  <c r="K6" i="3"/>
  <c r="F6" i="3"/>
  <c r="K8" i="3"/>
  <c r="F8" i="3"/>
  <c r="I8" i="3"/>
  <c r="E8" i="3"/>
  <c r="D8" i="3"/>
  <c r="I10" i="3"/>
  <c r="E10" i="3"/>
  <c r="D10" i="3"/>
  <c r="K10" i="3"/>
  <c r="F10" i="3"/>
  <c r="K12" i="3"/>
  <c r="F12" i="3"/>
  <c r="I12" i="3"/>
  <c r="E12" i="3"/>
  <c r="D12" i="3"/>
  <c r="I14" i="3"/>
  <c r="E14" i="3"/>
  <c r="D14" i="3"/>
  <c r="K14" i="3"/>
  <c r="F14" i="3"/>
  <c r="K16" i="3"/>
  <c r="F16" i="3"/>
  <c r="I16" i="3"/>
  <c r="E16" i="3"/>
  <c r="D16" i="3"/>
  <c r="D18" i="3"/>
  <c r="K18" i="3"/>
  <c r="F18" i="3"/>
  <c r="I18" i="3"/>
  <c r="E18" i="3"/>
  <c r="F20" i="3"/>
  <c r="I20" i="3"/>
  <c r="E20" i="3"/>
  <c r="D20" i="3"/>
  <c r="K20" i="3"/>
  <c r="D22" i="3"/>
  <c r="K22" i="3"/>
  <c r="F22" i="3"/>
  <c r="I22" i="3"/>
  <c r="E22" i="3"/>
  <c r="F24" i="3"/>
  <c r="I24" i="3"/>
  <c r="E24" i="3"/>
  <c r="D24" i="3"/>
  <c r="K24" i="3"/>
  <c r="D26" i="3"/>
  <c r="K26" i="3"/>
  <c r="F26" i="3"/>
  <c r="I26" i="3"/>
  <c r="E26" i="3"/>
  <c r="F28" i="3"/>
  <c r="I28" i="3"/>
  <c r="E28" i="3"/>
  <c r="D28" i="3"/>
  <c r="K28" i="3"/>
  <c r="D30" i="3"/>
  <c r="K30" i="3"/>
  <c r="F30" i="3"/>
  <c r="I30" i="3"/>
  <c r="E30" i="3"/>
  <c r="F32" i="3"/>
  <c r="I32" i="3"/>
  <c r="E32" i="3"/>
  <c r="D32" i="3"/>
  <c r="K32" i="3"/>
  <c r="D34" i="3"/>
  <c r="K34" i="3"/>
  <c r="F34" i="3"/>
  <c r="I34" i="3"/>
  <c r="E34" i="3"/>
  <c r="F36" i="3"/>
  <c r="I36" i="3"/>
  <c r="E36" i="3"/>
  <c r="D36" i="3"/>
  <c r="K36" i="3"/>
  <c r="D38" i="3"/>
  <c r="K38" i="3"/>
  <c r="F38" i="3"/>
  <c r="I38" i="3"/>
  <c r="E38" i="3"/>
  <c r="K40" i="3"/>
  <c r="F40" i="3"/>
  <c r="I40" i="3"/>
  <c r="E40" i="3"/>
  <c r="D40" i="3"/>
  <c r="I42" i="3"/>
  <c r="E42" i="3"/>
  <c r="D42" i="3"/>
  <c r="K42" i="3"/>
  <c r="F42" i="3"/>
  <c r="K44" i="3"/>
  <c r="F44" i="3"/>
  <c r="I44" i="3"/>
  <c r="E44" i="3"/>
  <c r="D44" i="3"/>
  <c r="D46" i="3"/>
  <c r="K46" i="3"/>
  <c r="F46" i="3"/>
  <c r="I46" i="3"/>
  <c r="E46" i="3"/>
  <c r="I48" i="3"/>
  <c r="E48" i="3"/>
  <c r="D48" i="3"/>
  <c r="K48" i="3"/>
  <c r="F48" i="3"/>
  <c r="K50" i="3"/>
  <c r="G50" i="3"/>
  <c r="F50" i="3"/>
  <c r="H50" i="3" s="1"/>
  <c r="I50" i="3"/>
  <c r="E50" i="3"/>
  <c r="D50" i="3"/>
  <c r="D52" i="3"/>
  <c r="K52" i="3"/>
  <c r="F52" i="3"/>
  <c r="I52" i="3"/>
  <c r="E52" i="3"/>
  <c r="F54" i="3"/>
  <c r="I54" i="3"/>
  <c r="E54" i="3"/>
  <c r="D54" i="3"/>
  <c r="K54" i="3"/>
  <c r="D56" i="3"/>
  <c r="K56" i="3"/>
  <c r="F56" i="3"/>
  <c r="I56" i="3"/>
  <c r="E56" i="3"/>
  <c r="I58" i="3"/>
  <c r="E58" i="3"/>
  <c r="D58" i="3"/>
  <c r="K58" i="3"/>
  <c r="F58" i="3"/>
  <c r="I60" i="3"/>
  <c r="E60" i="3"/>
  <c r="D60" i="3"/>
  <c r="K60" i="3"/>
  <c r="F60" i="3"/>
  <c r="K62" i="3"/>
  <c r="F62" i="3"/>
  <c r="I62" i="3"/>
  <c r="E62" i="3"/>
  <c r="D62" i="3"/>
  <c r="D64" i="1"/>
  <c r="D66" i="1"/>
  <c r="L65" i="3" s="1"/>
  <c r="D68" i="1"/>
  <c r="L67" i="3" s="1"/>
  <c r="D70" i="1"/>
  <c r="L69" i="3" s="1"/>
  <c r="D72" i="1"/>
  <c r="F73" i="3"/>
  <c r="I73" i="3"/>
  <c r="E73" i="3"/>
  <c r="D73" i="3"/>
  <c r="K73" i="3"/>
  <c r="D75" i="3"/>
  <c r="K75" i="3"/>
  <c r="F75" i="3"/>
  <c r="I75" i="3"/>
  <c r="E75" i="3"/>
  <c r="F77" i="3"/>
  <c r="I77" i="3"/>
  <c r="E77" i="3"/>
  <c r="D77" i="3"/>
  <c r="K77" i="3"/>
  <c r="D79" i="3"/>
  <c r="K79" i="3"/>
  <c r="F79" i="3"/>
  <c r="I79" i="3"/>
  <c r="E79" i="3"/>
  <c r="F81" i="3"/>
  <c r="I81" i="3"/>
  <c r="E81" i="3"/>
  <c r="D81" i="3"/>
  <c r="K81" i="3"/>
  <c r="K83" i="3"/>
  <c r="F83" i="3"/>
  <c r="E83" i="3"/>
  <c r="I83" i="3"/>
  <c r="D83" i="3"/>
  <c r="I85" i="3"/>
  <c r="E85" i="3"/>
  <c r="K85" i="3"/>
  <c r="F85" i="3"/>
  <c r="D85" i="3"/>
  <c r="D89" i="1"/>
  <c r="L86" i="3" s="1"/>
  <c r="D91" i="1"/>
  <c r="L88" i="3" s="1"/>
  <c r="D93" i="1"/>
  <c r="L90" i="3" s="1"/>
  <c r="D95" i="1"/>
  <c r="L92" i="3" s="1"/>
  <c r="D97" i="1"/>
  <c r="L94" i="3" s="1"/>
  <c r="D99" i="1"/>
  <c r="L96" i="3" s="1"/>
  <c r="D101" i="1"/>
  <c r="L98" i="3" s="1"/>
  <c r="D103" i="1"/>
  <c r="L100" i="3" s="1"/>
  <c r="D105" i="1"/>
  <c r="L102" i="3" s="1"/>
  <c r="D107" i="1"/>
  <c r="L104" i="3" s="1"/>
  <c r="D109" i="1"/>
  <c r="L106" i="3" s="1"/>
  <c r="D111" i="1"/>
  <c r="L108" i="3" s="1"/>
  <c r="D113" i="1"/>
  <c r="D115" i="1"/>
  <c r="L112" i="3" s="1"/>
  <c r="D117" i="1"/>
  <c r="L114" i="3" s="1"/>
  <c r="D119" i="1"/>
  <c r="L116" i="3" s="1"/>
  <c r="D121" i="1"/>
  <c r="L118" i="3" s="1"/>
  <c r="D123" i="1"/>
  <c r="D125" i="1"/>
  <c r="D128" i="1"/>
  <c r="D130" i="1"/>
  <c r="L126" i="3" s="1"/>
  <c r="D132" i="1"/>
  <c r="L128" i="3" s="1"/>
  <c r="D134" i="1"/>
  <c r="L130" i="3" s="1"/>
  <c r="D136" i="1"/>
  <c r="L132" i="3" s="1"/>
  <c r="D138" i="1"/>
  <c r="L134" i="3" s="1"/>
  <c r="D140" i="1"/>
  <c r="D142" i="1"/>
  <c r="L138" i="3" s="1"/>
  <c r="D144" i="1"/>
  <c r="L140" i="3" s="1"/>
  <c r="D146" i="1"/>
  <c r="L142" i="3" s="1"/>
  <c r="D148" i="1"/>
  <c r="L144" i="3" s="1"/>
  <c r="D150" i="1"/>
  <c r="L146" i="3" s="1"/>
  <c r="D152" i="1"/>
  <c r="L148" i="3" s="1"/>
  <c r="F150" i="3"/>
  <c r="K150" i="3"/>
  <c r="E150" i="3"/>
  <c r="I150" i="3"/>
  <c r="D150" i="3"/>
  <c r="D152" i="3"/>
  <c r="E152" i="3"/>
  <c r="I152" i="3"/>
  <c r="K152" i="3"/>
  <c r="F152" i="3"/>
  <c r="F154" i="3"/>
  <c r="K154" i="3"/>
  <c r="I154" i="3"/>
  <c r="E154" i="3"/>
  <c r="D154" i="3"/>
  <c r="D156" i="3"/>
  <c r="K156" i="3"/>
  <c r="F156" i="3"/>
  <c r="I156" i="3"/>
  <c r="E156" i="3"/>
  <c r="F158" i="3"/>
  <c r="K158" i="3"/>
  <c r="E158" i="3"/>
  <c r="I158" i="3"/>
  <c r="D158" i="3"/>
  <c r="D160" i="3"/>
  <c r="E160" i="3"/>
  <c r="I160" i="3"/>
  <c r="F160" i="3"/>
  <c r="K160" i="3"/>
  <c r="F162" i="3"/>
  <c r="E162" i="3"/>
  <c r="D162" i="3"/>
  <c r="K162" i="3"/>
  <c r="I162" i="3"/>
  <c r="D164" i="3"/>
  <c r="K164" i="3"/>
  <c r="F164" i="3"/>
  <c r="I164" i="3"/>
  <c r="E164" i="3"/>
  <c r="F166" i="3"/>
  <c r="K166" i="3"/>
  <c r="E166" i="3"/>
  <c r="I166" i="3"/>
  <c r="D166" i="3"/>
  <c r="D173" i="1"/>
  <c r="L167" i="3" s="1"/>
  <c r="D175" i="1"/>
  <c r="L169" i="3" s="1"/>
  <c r="D177" i="1"/>
  <c r="L171" i="3" s="1"/>
  <c r="D179" i="1"/>
  <c r="L173" i="3" s="1"/>
  <c r="D181" i="1"/>
  <c r="L175" i="3" s="1"/>
  <c r="D183" i="1"/>
  <c r="L177" i="3" s="1"/>
  <c r="D185" i="1"/>
  <c r="L179" i="3" s="1"/>
  <c r="D187" i="1"/>
  <c r="L181" i="3" s="1"/>
  <c r="D189" i="1"/>
  <c r="L183" i="3" s="1"/>
  <c r="D192" i="1"/>
  <c r="L185" i="3" s="1"/>
  <c r="D194" i="1"/>
  <c r="L187" i="3" s="1"/>
  <c r="D196" i="1"/>
  <c r="L189" i="3" s="1"/>
  <c r="D198" i="1"/>
  <c r="L191" i="3" s="1"/>
  <c r="D200" i="1"/>
  <c r="L193" i="3" s="1"/>
  <c r="D203" i="1"/>
  <c r="L195" i="3" s="1"/>
  <c r="D205" i="1"/>
  <c r="L197" i="3" s="1"/>
  <c r="D207" i="1"/>
  <c r="L199" i="3" s="1"/>
  <c r="D209" i="1"/>
  <c r="L201" i="3" s="1"/>
  <c r="D211" i="1"/>
  <c r="L203" i="3" s="1"/>
  <c r="D213" i="1"/>
  <c r="L205" i="3" s="1"/>
  <c r="D215" i="1"/>
  <c r="L207" i="3" s="1"/>
  <c r="D217" i="1"/>
  <c r="L209" i="3" s="1"/>
  <c r="D219" i="1"/>
  <c r="L211" i="3" s="1"/>
  <c r="D221" i="1"/>
  <c r="L213" i="3" s="1"/>
  <c r="D223" i="1"/>
  <c r="L215" i="3" s="1"/>
  <c r="D225" i="1"/>
  <c r="L217" i="3" s="1"/>
  <c r="F220" i="3"/>
  <c r="I220" i="3"/>
  <c r="D220" i="3"/>
  <c r="K220" i="3"/>
  <c r="E220" i="3"/>
  <c r="F223" i="3"/>
  <c r="K223" i="3"/>
  <c r="E223" i="3"/>
  <c r="I223" i="3"/>
  <c r="D223" i="3"/>
  <c r="F225" i="3"/>
  <c r="K225" i="3"/>
  <c r="E225" i="3"/>
  <c r="I225" i="3"/>
  <c r="D225" i="3"/>
  <c r="D227" i="3"/>
  <c r="I227" i="3"/>
  <c r="K227" i="3"/>
  <c r="F227" i="3"/>
  <c r="E227" i="3"/>
  <c r="I229" i="3"/>
  <c r="E229" i="3"/>
  <c r="K229" i="3"/>
  <c r="F229" i="3"/>
  <c r="D229" i="3"/>
  <c r="F231" i="3"/>
  <c r="K231" i="3"/>
  <c r="E231" i="3"/>
  <c r="I231" i="3"/>
  <c r="D231" i="3"/>
  <c r="D253" i="1"/>
  <c r="L232" i="3" s="1"/>
  <c r="D255" i="1"/>
  <c r="L234" i="3" s="1"/>
  <c r="D257" i="1"/>
  <c r="L236" i="3" s="1"/>
  <c r="D259" i="1"/>
  <c r="L238" i="3" s="1"/>
  <c r="D261" i="1"/>
  <c r="L240" i="3" s="1"/>
  <c r="D263" i="1"/>
  <c r="L242" i="3" s="1"/>
  <c r="D265" i="1"/>
  <c r="L244" i="3" s="1"/>
  <c r="D267" i="1"/>
  <c r="L246" i="3" s="1"/>
  <c r="D269" i="1"/>
  <c r="L248" i="3" s="1"/>
  <c r="D271" i="1"/>
  <c r="L250" i="3" s="1"/>
  <c r="D273" i="1"/>
  <c r="L252" i="3" s="1"/>
  <c r="D275" i="1"/>
  <c r="L254" i="3" s="1"/>
  <c r="D277" i="1"/>
  <c r="L256" i="3" s="1"/>
  <c r="D279" i="1"/>
  <c r="L258" i="3" s="1"/>
  <c r="D281" i="1"/>
  <c r="L260" i="3" s="1"/>
  <c r="D283" i="1"/>
  <c r="L262" i="3" s="1"/>
  <c r="D285" i="1"/>
  <c r="L264" i="3" s="1"/>
  <c r="D287" i="1"/>
  <c r="L266" i="3" s="1"/>
  <c r="D289" i="1"/>
  <c r="L268" i="3" s="1"/>
  <c r="D291" i="1"/>
  <c r="L270" i="3" s="1"/>
  <c r="D293" i="1"/>
  <c r="L272" i="3" s="1"/>
  <c r="D295" i="1"/>
  <c r="L274" i="3" s="1"/>
  <c r="D297" i="1"/>
  <c r="L276" i="3" s="1"/>
  <c r="D299" i="1"/>
  <c r="L278" i="3" s="1"/>
  <c r="D301" i="1"/>
  <c r="L280" i="3" s="1"/>
  <c r="C283" i="3"/>
  <c r="D304" i="1"/>
  <c r="L283" i="3" s="1"/>
  <c r="I286" i="3"/>
  <c r="E286" i="3"/>
  <c r="K286" i="3"/>
  <c r="F286" i="3"/>
  <c r="D286" i="3"/>
  <c r="D309" i="1"/>
  <c r="L288" i="3" s="1"/>
  <c r="C291" i="3"/>
  <c r="D313" i="1"/>
  <c r="L291" i="3" s="1"/>
  <c r="I294" i="3"/>
  <c r="E294" i="3"/>
  <c r="D294" i="3"/>
  <c r="F294" i="3"/>
  <c r="K294" i="3"/>
  <c r="D318" i="1"/>
  <c r="L296" i="3" s="1"/>
  <c r="C299" i="3"/>
  <c r="D321" i="1"/>
  <c r="L299" i="3" s="1"/>
  <c r="K302" i="3"/>
  <c r="F302" i="3"/>
  <c r="D302" i="3"/>
  <c r="I302" i="3"/>
  <c r="E302" i="3"/>
  <c r="C305" i="3"/>
  <c r="D327" i="1"/>
  <c r="L305" i="3" s="1"/>
  <c r="C309" i="3"/>
  <c r="D331" i="1"/>
  <c r="L309" i="3" s="1"/>
  <c r="C313" i="3"/>
  <c r="D335" i="1"/>
  <c r="L313" i="3" s="1"/>
  <c r="C317" i="3"/>
  <c r="D339" i="1"/>
  <c r="L317" i="3" s="1"/>
  <c r="C321" i="3"/>
  <c r="D343" i="1"/>
  <c r="L321" i="3" s="1"/>
  <c r="C325" i="3"/>
  <c r="D347" i="1"/>
  <c r="L325" i="3" s="1"/>
  <c r="C329" i="3"/>
  <c r="D352" i="1"/>
  <c r="L329" i="3" s="1"/>
  <c r="C333" i="3"/>
  <c r="D356" i="1"/>
  <c r="L333" i="3" s="1"/>
  <c r="C337" i="3"/>
  <c r="D360" i="1"/>
  <c r="L337" i="3" s="1"/>
  <c r="C341" i="3"/>
  <c r="D364" i="1"/>
  <c r="L341" i="3" s="1"/>
  <c r="C345" i="3"/>
  <c r="D368" i="1"/>
  <c r="L345" i="3" s="1"/>
  <c r="C349" i="3"/>
  <c r="D373" i="1"/>
  <c r="L349" i="3" s="1"/>
  <c r="C353" i="3"/>
  <c r="D377" i="1"/>
  <c r="L353" i="3" s="1"/>
  <c r="C357" i="3"/>
  <c r="D381" i="1"/>
  <c r="L357" i="3" s="1"/>
  <c r="C363" i="3"/>
  <c r="D398" i="1"/>
  <c r="L363" i="3" s="1"/>
  <c r="C367" i="3"/>
  <c r="D402" i="1"/>
  <c r="L367" i="3" s="1"/>
  <c r="C371" i="3"/>
  <c r="D406" i="1"/>
  <c r="L371" i="3" s="1"/>
  <c r="C375" i="3"/>
  <c r="D410" i="1"/>
  <c r="L375" i="3" s="1"/>
  <c r="C379" i="3"/>
  <c r="D414" i="1"/>
  <c r="L379" i="3" s="1"/>
  <c r="C383" i="3"/>
  <c r="D418" i="1"/>
  <c r="L383" i="3" s="1"/>
  <c r="C387" i="3"/>
  <c r="D422" i="1"/>
  <c r="L387" i="3" s="1"/>
  <c r="C391" i="3"/>
  <c r="D426" i="1"/>
  <c r="L391" i="3" s="1"/>
  <c r="C395" i="3"/>
  <c r="D430" i="1"/>
  <c r="L395" i="3" s="1"/>
  <c r="C399" i="3"/>
  <c r="D434" i="1"/>
  <c r="L399" i="3" s="1"/>
  <c r="C403" i="3"/>
  <c r="D438" i="1"/>
  <c r="L403" i="3" s="1"/>
  <c r="C407" i="3"/>
  <c r="D442" i="1"/>
  <c r="L407" i="3" s="1"/>
  <c r="C411" i="3"/>
  <c r="D446" i="1"/>
  <c r="L411" i="3" s="1"/>
  <c r="C415" i="3"/>
  <c r="D450" i="1"/>
  <c r="L415" i="3" s="1"/>
  <c r="C419" i="3"/>
  <c r="D455" i="1"/>
  <c r="L419" i="3" s="1"/>
  <c r="C423" i="3"/>
  <c r="D459" i="1"/>
  <c r="L423" i="3" s="1"/>
  <c r="C427" i="3"/>
  <c r="D463" i="1"/>
  <c r="L427" i="3" s="1"/>
  <c r="C431" i="3"/>
  <c r="D467" i="1"/>
  <c r="L431" i="3" s="1"/>
  <c r="C435" i="3"/>
  <c r="D471" i="1"/>
  <c r="L435" i="3" s="1"/>
  <c r="C439" i="3"/>
  <c r="D475" i="1"/>
  <c r="L439" i="3" s="1"/>
  <c r="C443" i="3"/>
  <c r="D480" i="1"/>
  <c r="L443" i="3" s="1"/>
  <c r="C447" i="3"/>
  <c r="D484" i="1"/>
  <c r="L447" i="3" s="1"/>
  <c r="C451" i="3"/>
  <c r="D489" i="1"/>
  <c r="L451" i="3" s="1"/>
  <c r="C465" i="3"/>
  <c r="D505" i="1"/>
  <c r="L465" i="3" s="1"/>
  <c r="C469" i="3"/>
  <c r="D509" i="1"/>
  <c r="L469" i="3" s="1"/>
  <c r="C473" i="3"/>
  <c r="D513" i="1"/>
  <c r="L473" i="3" s="1"/>
  <c r="C477" i="3"/>
  <c r="D517" i="1"/>
  <c r="L477" i="3" s="1"/>
  <c r="C499" i="3"/>
  <c r="D545" i="1"/>
  <c r="L499" i="3" s="1"/>
  <c r="C503" i="3"/>
  <c r="D549" i="1"/>
  <c r="L503" i="3" s="1"/>
  <c r="C507" i="3"/>
  <c r="D554" i="1"/>
  <c r="L507" i="3" s="1"/>
  <c r="C511" i="3"/>
  <c r="D559" i="1"/>
  <c r="L511" i="3" s="1"/>
  <c r="C515" i="3"/>
  <c r="D563" i="1"/>
  <c r="L515" i="3" s="1"/>
  <c r="C519" i="3"/>
  <c r="D568" i="1"/>
  <c r="L519" i="3" s="1"/>
  <c r="C523" i="3"/>
  <c r="D572" i="1"/>
  <c r="L523" i="3" s="1"/>
  <c r="C527" i="3"/>
  <c r="D577" i="1"/>
  <c r="L527" i="3" s="1"/>
  <c r="C531" i="3"/>
  <c r="D581" i="1"/>
  <c r="L531" i="3" s="1"/>
  <c r="C535" i="3"/>
  <c r="D585" i="1"/>
  <c r="L535" i="3" s="1"/>
  <c r="C539" i="3"/>
  <c r="D590" i="1"/>
  <c r="L539" i="3" s="1"/>
  <c r="C543" i="3"/>
  <c r="D594" i="1"/>
  <c r="L543" i="3" s="1"/>
  <c r="C547" i="3"/>
  <c r="D599" i="1"/>
  <c r="L547" i="3" s="1"/>
  <c r="C551" i="3"/>
  <c r="D603" i="1"/>
  <c r="L551" i="3" s="1"/>
  <c r="C555" i="3"/>
  <c r="D607" i="1"/>
  <c r="L555" i="3" s="1"/>
  <c r="C559" i="3"/>
  <c r="D611" i="1"/>
  <c r="L559" i="3" s="1"/>
  <c r="C563" i="3"/>
  <c r="D615" i="1"/>
  <c r="L563" i="3" s="1"/>
  <c r="C567" i="3"/>
  <c r="D621" i="1"/>
  <c r="L567" i="3" s="1"/>
  <c r="C571" i="3"/>
  <c r="D625" i="1"/>
  <c r="L571" i="3" s="1"/>
  <c r="C575" i="3"/>
  <c r="D629" i="1"/>
  <c r="L575" i="3" s="1"/>
  <c r="C579" i="3"/>
  <c r="D633" i="1"/>
  <c r="L579" i="3" s="1"/>
  <c r="C583" i="3"/>
  <c r="D637" i="1"/>
  <c r="L583" i="3" s="1"/>
  <c r="C587" i="3"/>
  <c r="D641" i="1"/>
  <c r="L587" i="3" s="1"/>
  <c r="O589" i="3"/>
  <c r="S589" i="3" s="1"/>
  <c r="P589" i="3"/>
  <c r="U589" i="3"/>
  <c r="N589" i="3"/>
  <c r="M589" i="3"/>
  <c r="M591" i="3"/>
  <c r="P591" i="3"/>
  <c r="U591" i="3"/>
  <c r="O591" i="3"/>
  <c r="S591" i="3" s="1"/>
  <c r="N591" i="3"/>
  <c r="O593" i="3"/>
  <c r="S593" i="3" s="1"/>
  <c r="U593" i="3"/>
  <c r="N593" i="3"/>
  <c r="M593" i="3"/>
  <c r="P593" i="3"/>
  <c r="M595" i="3"/>
  <c r="N595" i="3"/>
  <c r="P595" i="3"/>
  <c r="O595" i="3"/>
  <c r="S595" i="3" s="1"/>
  <c r="U595" i="3"/>
  <c r="O597" i="3"/>
  <c r="S597" i="3" s="1"/>
  <c r="P597" i="3"/>
  <c r="U597" i="3"/>
  <c r="N597" i="3"/>
  <c r="M597" i="3"/>
  <c r="M599" i="3"/>
  <c r="P599" i="3"/>
  <c r="U599" i="3"/>
  <c r="O599" i="3"/>
  <c r="S599" i="3" s="1"/>
  <c r="N599" i="3"/>
  <c r="O601" i="3"/>
  <c r="S601" i="3" s="1"/>
  <c r="U601" i="3"/>
  <c r="N601" i="3"/>
  <c r="M601" i="3"/>
  <c r="P601" i="3"/>
  <c r="M603" i="3"/>
  <c r="N603" i="3"/>
  <c r="P603" i="3"/>
  <c r="U603" i="3"/>
  <c r="O603" i="3"/>
  <c r="S603" i="3" s="1"/>
  <c r="O605" i="3"/>
  <c r="S605" i="3" s="1"/>
  <c r="N605" i="3"/>
  <c r="P605" i="3"/>
  <c r="M605" i="3"/>
  <c r="U605" i="3"/>
  <c r="M607" i="3"/>
  <c r="U607" i="3"/>
  <c r="P607" i="3"/>
  <c r="O607" i="3"/>
  <c r="S607" i="3" s="1"/>
  <c r="N607" i="3"/>
  <c r="O609" i="3"/>
  <c r="S609" i="3" s="1"/>
  <c r="N609" i="3"/>
  <c r="P609" i="3"/>
  <c r="M609" i="3"/>
  <c r="U609" i="3"/>
  <c r="M611" i="3"/>
  <c r="U611" i="3"/>
  <c r="P611" i="3"/>
  <c r="O611" i="3"/>
  <c r="S611" i="3" s="1"/>
  <c r="N611" i="3"/>
  <c r="C615" i="3"/>
  <c r="D675" i="1"/>
  <c r="L615" i="3" s="1"/>
  <c r="C619" i="3"/>
  <c r="D679" i="1"/>
  <c r="L619" i="3" s="1"/>
  <c r="C623" i="3"/>
  <c r="D684" i="1"/>
  <c r="L623" i="3" s="1"/>
  <c r="C627" i="3"/>
  <c r="D689" i="1"/>
  <c r="L627" i="3" s="1"/>
  <c r="C631" i="3"/>
  <c r="D693" i="1"/>
  <c r="L631" i="3" s="1"/>
  <c r="C635" i="3"/>
  <c r="D698" i="1"/>
  <c r="L635" i="3" s="1"/>
  <c r="C639" i="3"/>
  <c r="D702" i="1"/>
  <c r="L639" i="3" s="1"/>
  <c r="C643" i="3"/>
  <c r="D706" i="1"/>
  <c r="L643" i="3" s="1"/>
  <c r="C647" i="3"/>
  <c r="D710" i="1"/>
  <c r="L647" i="3" s="1"/>
  <c r="C651" i="3"/>
  <c r="D714" i="1"/>
  <c r="L651" i="3" s="1"/>
  <c r="C655" i="3"/>
  <c r="D718" i="1"/>
  <c r="L655" i="3" s="1"/>
  <c r="C659" i="3"/>
  <c r="D722" i="1"/>
  <c r="L659" i="3" s="1"/>
  <c r="C663" i="3"/>
  <c r="D726" i="1"/>
  <c r="L663" i="3" s="1"/>
  <c r="C667" i="3"/>
  <c r="D730" i="1"/>
  <c r="L667" i="3" s="1"/>
  <c r="C671" i="3"/>
  <c r="D734" i="1"/>
  <c r="L671" i="3" s="1"/>
  <c r="C675" i="3"/>
  <c r="D739" i="1"/>
  <c r="L675" i="3" s="1"/>
  <c r="C679" i="3"/>
  <c r="D743" i="1"/>
  <c r="L679" i="3" s="1"/>
  <c r="C683" i="3"/>
  <c r="D747" i="1"/>
  <c r="L683" i="3" s="1"/>
  <c r="C687" i="3"/>
  <c r="D751" i="1"/>
  <c r="L687" i="3" s="1"/>
  <c r="I456" i="3"/>
  <c r="E456" i="3"/>
  <c r="D456" i="3"/>
  <c r="K456" i="3"/>
  <c r="F456" i="3"/>
  <c r="K458" i="3"/>
  <c r="F458" i="3"/>
  <c r="I458" i="3"/>
  <c r="E458" i="3"/>
  <c r="D458" i="3"/>
  <c r="I460" i="3"/>
  <c r="E460" i="3"/>
  <c r="D460" i="3"/>
  <c r="K460" i="3"/>
  <c r="F460" i="3"/>
  <c r="K462" i="3"/>
  <c r="F462" i="3"/>
  <c r="I462" i="3"/>
  <c r="E462" i="3"/>
  <c r="D462" i="3"/>
  <c r="R22" i="10"/>
  <c r="N22" i="10"/>
  <c r="J22" i="10"/>
  <c r="F22" i="10"/>
  <c r="Q22" i="10"/>
  <c r="M22" i="10"/>
  <c r="I22" i="10"/>
  <c r="E22" i="10"/>
  <c r="P22" i="10"/>
  <c r="L22" i="10"/>
  <c r="H22" i="10"/>
  <c r="D22" i="10"/>
  <c r="G22" i="10"/>
  <c r="S22" i="10"/>
  <c r="O22" i="10"/>
  <c r="K22" i="10"/>
  <c r="K479" i="3"/>
  <c r="F479" i="3"/>
  <c r="I479" i="3"/>
  <c r="E479" i="3"/>
  <c r="D479" i="3"/>
  <c r="I481" i="3"/>
  <c r="E481" i="3"/>
  <c r="D481" i="3"/>
  <c r="K481" i="3"/>
  <c r="F481" i="3"/>
  <c r="K483" i="3"/>
  <c r="F483" i="3"/>
  <c r="I483" i="3"/>
  <c r="E483" i="3"/>
  <c r="D483" i="3"/>
  <c r="I485" i="3"/>
  <c r="E485" i="3"/>
  <c r="D485" i="3"/>
  <c r="K485" i="3"/>
  <c r="F485" i="3"/>
  <c r="D487" i="3"/>
  <c r="K487" i="3"/>
  <c r="F487" i="3"/>
  <c r="I487" i="3"/>
  <c r="E487" i="3"/>
  <c r="K489" i="3"/>
  <c r="F489" i="3"/>
  <c r="I489" i="3"/>
  <c r="E489" i="3"/>
  <c r="D489" i="3"/>
  <c r="I491" i="3"/>
  <c r="E491" i="3"/>
  <c r="D491" i="3"/>
  <c r="K491" i="3"/>
  <c r="F491" i="3"/>
  <c r="K493" i="3"/>
  <c r="F493" i="3"/>
  <c r="I493" i="3"/>
  <c r="E493" i="3"/>
  <c r="D493" i="3"/>
  <c r="I495" i="3"/>
  <c r="E495" i="3"/>
  <c r="D495" i="3"/>
  <c r="K495" i="3"/>
  <c r="F495" i="3"/>
  <c r="K497" i="3"/>
  <c r="F497" i="3"/>
  <c r="I497" i="3"/>
  <c r="E497" i="3"/>
  <c r="D497" i="3"/>
  <c r="D590" i="3"/>
  <c r="I590" i="3"/>
  <c r="K590" i="3"/>
  <c r="F590" i="3"/>
  <c r="E590" i="3"/>
  <c r="F592" i="3"/>
  <c r="K592" i="3"/>
  <c r="E592" i="3"/>
  <c r="I592" i="3"/>
  <c r="D592" i="3"/>
  <c r="D594" i="3"/>
  <c r="K594" i="3"/>
  <c r="F594" i="3"/>
  <c r="E594" i="3"/>
  <c r="I594" i="3"/>
  <c r="F596" i="3"/>
  <c r="I596" i="3"/>
  <c r="D596" i="3"/>
  <c r="K596" i="3"/>
  <c r="E596" i="3"/>
  <c r="D598" i="3"/>
  <c r="I598" i="3"/>
  <c r="K598" i="3"/>
  <c r="F598" i="3"/>
  <c r="E598" i="3"/>
  <c r="F600" i="3"/>
  <c r="K600" i="3"/>
  <c r="E600" i="3"/>
  <c r="I600" i="3"/>
  <c r="D600" i="3"/>
  <c r="D602" i="3"/>
  <c r="K602" i="3"/>
  <c r="F602" i="3"/>
  <c r="E602" i="3"/>
  <c r="I602" i="3"/>
  <c r="F604" i="3"/>
  <c r="I604" i="3"/>
  <c r="D604" i="3"/>
  <c r="K604" i="3"/>
  <c r="E604" i="3"/>
  <c r="D606" i="3"/>
  <c r="K606" i="3"/>
  <c r="E606" i="3"/>
  <c r="I606" i="3"/>
  <c r="F606" i="3"/>
  <c r="F608" i="3"/>
  <c r="I608" i="3"/>
  <c r="E608" i="3"/>
  <c r="D608" i="3"/>
  <c r="K608" i="3"/>
  <c r="D610" i="3"/>
  <c r="K610" i="3"/>
  <c r="E610" i="3"/>
  <c r="I610" i="3"/>
  <c r="F610" i="3"/>
  <c r="F612" i="3"/>
  <c r="I612" i="3"/>
  <c r="E612" i="3"/>
  <c r="D612" i="3"/>
  <c r="K612" i="3"/>
  <c r="D752" i="1"/>
  <c r="L688" i="3" s="1"/>
  <c r="D754" i="1"/>
  <c r="L690" i="3" s="1"/>
  <c r="D756" i="1"/>
  <c r="L692" i="3" s="1"/>
  <c r="D758" i="1"/>
  <c r="L694" i="3" s="1"/>
  <c r="D760" i="1"/>
  <c r="L696" i="3" s="1"/>
  <c r="D762" i="1"/>
  <c r="L698" i="3" s="1"/>
  <c r="D764" i="1"/>
  <c r="L700" i="3" s="1"/>
  <c r="D766" i="1"/>
  <c r="L702" i="3" s="1"/>
  <c r="D768" i="1"/>
  <c r="L704" i="3" s="1"/>
  <c r="D770" i="1"/>
  <c r="L706" i="3" s="1"/>
  <c r="D772" i="1"/>
  <c r="L708" i="3" s="1"/>
  <c r="D774" i="1"/>
  <c r="L710" i="3" s="1"/>
  <c r="D776" i="1"/>
  <c r="L712" i="3" s="1"/>
  <c r="D778" i="1"/>
  <c r="L714" i="3" s="1"/>
  <c r="D780" i="1"/>
  <c r="L716" i="3" s="1"/>
  <c r="D782" i="1"/>
  <c r="L718" i="3" s="1"/>
  <c r="D784" i="1"/>
  <c r="L720" i="3" s="1"/>
  <c r="D786" i="1"/>
  <c r="L722" i="3" s="1"/>
  <c r="D788" i="1"/>
  <c r="L724" i="3" s="1"/>
  <c r="D791" i="1"/>
  <c r="L726" i="3" s="1"/>
  <c r="D793" i="1"/>
  <c r="L728" i="3" s="1"/>
  <c r="D795" i="1"/>
  <c r="L730" i="3" s="1"/>
  <c r="D797" i="1"/>
  <c r="L732" i="3" s="1"/>
  <c r="D799" i="1"/>
  <c r="L734" i="3" s="1"/>
  <c r="D802" i="1"/>
  <c r="L736" i="3" s="1"/>
  <c r="F689" i="3"/>
  <c r="I689" i="3"/>
  <c r="E689" i="3"/>
  <c r="D689" i="3"/>
  <c r="K689" i="3"/>
  <c r="F691" i="3"/>
  <c r="I691" i="3"/>
  <c r="D691" i="3"/>
  <c r="E691" i="3"/>
  <c r="K691" i="3"/>
  <c r="D693" i="3"/>
  <c r="I693" i="3"/>
  <c r="K693" i="3"/>
  <c r="F693" i="3"/>
  <c r="E693" i="3"/>
  <c r="F695" i="3"/>
  <c r="K695" i="3"/>
  <c r="E695" i="3"/>
  <c r="I695" i="3"/>
  <c r="D695" i="3"/>
  <c r="D697" i="3"/>
  <c r="K697" i="3"/>
  <c r="F697" i="3"/>
  <c r="E697" i="3"/>
  <c r="I697" i="3"/>
  <c r="F699" i="3"/>
  <c r="I699" i="3"/>
  <c r="D699" i="3"/>
  <c r="K699" i="3"/>
  <c r="E699" i="3"/>
  <c r="D701" i="3"/>
  <c r="I701" i="3"/>
  <c r="K701" i="3"/>
  <c r="F701" i="3"/>
  <c r="E701" i="3"/>
  <c r="F703" i="3"/>
  <c r="K703" i="3"/>
  <c r="E703" i="3"/>
  <c r="I703" i="3"/>
  <c r="D703" i="3"/>
  <c r="I705" i="3"/>
  <c r="E705" i="3"/>
  <c r="D705" i="3"/>
  <c r="F705" i="3"/>
  <c r="K705" i="3"/>
  <c r="K707" i="3"/>
  <c r="F707" i="3"/>
  <c r="D707" i="3"/>
  <c r="I707" i="3"/>
  <c r="E707" i="3"/>
  <c r="I709" i="3"/>
  <c r="E709" i="3"/>
  <c r="D709" i="3"/>
  <c r="K709" i="3"/>
  <c r="F709" i="3"/>
  <c r="I711" i="3"/>
  <c r="E711" i="3"/>
  <c r="D711" i="3"/>
  <c r="K711" i="3"/>
  <c r="F711" i="3"/>
  <c r="K713" i="3"/>
  <c r="F713" i="3"/>
  <c r="I713" i="3"/>
  <c r="E713" i="3"/>
  <c r="D713" i="3"/>
  <c r="I715" i="3"/>
  <c r="E715" i="3"/>
  <c r="D715" i="3"/>
  <c r="K715" i="3"/>
  <c r="F715" i="3"/>
  <c r="K717" i="3"/>
  <c r="F717" i="3"/>
  <c r="I717" i="3"/>
  <c r="E717" i="3"/>
  <c r="D717" i="3"/>
  <c r="I719" i="3"/>
  <c r="E719" i="3"/>
  <c r="D719" i="3"/>
  <c r="K719" i="3"/>
  <c r="F719" i="3"/>
  <c r="K721" i="3"/>
  <c r="F721" i="3"/>
  <c r="I721" i="3"/>
  <c r="E721" i="3"/>
  <c r="D721" i="3"/>
  <c r="I723" i="3"/>
  <c r="E723" i="3"/>
  <c r="D723" i="3"/>
  <c r="K723" i="3"/>
  <c r="F723" i="3"/>
  <c r="I725" i="3"/>
  <c r="E725" i="3"/>
  <c r="D725" i="3"/>
  <c r="F725" i="3"/>
  <c r="D727" i="3"/>
  <c r="F727" i="3"/>
  <c r="E727" i="3"/>
  <c r="I727" i="3"/>
  <c r="D729" i="3"/>
  <c r="F729" i="3"/>
  <c r="E729" i="3"/>
  <c r="I729" i="3"/>
  <c r="D731" i="3"/>
  <c r="F731" i="3"/>
  <c r="E731" i="3"/>
  <c r="I731" i="3"/>
  <c r="D733" i="3"/>
  <c r="F733" i="3"/>
  <c r="E733" i="3"/>
  <c r="I733" i="3"/>
  <c r="D735" i="3"/>
  <c r="F735" i="3"/>
  <c r="E735" i="3"/>
  <c r="I735" i="3"/>
  <c r="D737" i="3"/>
  <c r="C6" i="4" s="1"/>
  <c r="A6" i="4"/>
  <c r="F737" i="3"/>
  <c r="E737" i="3"/>
  <c r="E6" i="4" s="1"/>
  <c r="I737" i="3"/>
  <c r="D455" i="3"/>
  <c r="K455" i="3"/>
  <c r="F455" i="3"/>
  <c r="I455" i="3"/>
  <c r="E455" i="3"/>
  <c r="F457" i="3"/>
  <c r="I457" i="3"/>
  <c r="E457" i="3"/>
  <c r="D457" i="3"/>
  <c r="K457" i="3"/>
  <c r="D459" i="3"/>
  <c r="K459" i="3"/>
  <c r="F459" i="3"/>
  <c r="I459" i="3"/>
  <c r="E459" i="3"/>
  <c r="F461" i="3"/>
  <c r="I461" i="3"/>
  <c r="E461" i="3"/>
  <c r="D461" i="3"/>
  <c r="K461" i="3"/>
  <c r="F463" i="3"/>
  <c r="I463" i="3"/>
  <c r="E463" i="3"/>
  <c r="D463" i="3"/>
  <c r="K463" i="3"/>
  <c r="F478" i="3"/>
  <c r="I478" i="3"/>
  <c r="E478" i="3"/>
  <c r="D478" i="3"/>
  <c r="K478" i="3"/>
  <c r="D480" i="3"/>
  <c r="K480" i="3"/>
  <c r="F480" i="3"/>
  <c r="E480" i="3"/>
  <c r="I480" i="3"/>
  <c r="F482" i="3"/>
  <c r="I482" i="3"/>
  <c r="E482" i="3"/>
  <c r="D482" i="3"/>
  <c r="K482" i="3"/>
  <c r="D484" i="3"/>
  <c r="K484" i="3"/>
  <c r="F484" i="3"/>
  <c r="I484" i="3"/>
  <c r="E484" i="3"/>
  <c r="K486" i="3"/>
  <c r="F486" i="3"/>
  <c r="I486" i="3"/>
  <c r="E486" i="3"/>
  <c r="D486" i="3"/>
  <c r="F488" i="3"/>
  <c r="I488" i="3"/>
  <c r="E488" i="3"/>
  <c r="D488" i="3"/>
  <c r="K488" i="3"/>
  <c r="D490" i="3"/>
  <c r="K490" i="3"/>
  <c r="F490" i="3"/>
  <c r="I490" i="3"/>
  <c r="E490" i="3"/>
  <c r="F492" i="3"/>
  <c r="I492" i="3"/>
  <c r="E492" i="3"/>
  <c r="D492" i="3"/>
  <c r="K492" i="3"/>
  <c r="D494" i="3"/>
  <c r="K494" i="3"/>
  <c r="F494" i="3"/>
  <c r="I494" i="3"/>
  <c r="E494" i="3"/>
  <c r="F496" i="3"/>
  <c r="I496" i="3"/>
  <c r="E496" i="3"/>
  <c r="D496" i="3"/>
  <c r="K496" i="3"/>
  <c r="K589" i="3"/>
  <c r="F589" i="3"/>
  <c r="E589" i="3"/>
  <c r="I589" i="3"/>
  <c r="D589" i="3"/>
  <c r="I591" i="3"/>
  <c r="E591" i="3"/>
  <c r="K591" i="3"/>
  <c r="F591" i="3"/>
  <c r="D591" i="3"/>
  <c r="K593" i="3"/>
  <c r="I593" i="3"/>
  <c r="D593" i="3"/>
  <c r="F593" i="3"/>
  <c r="E593" i="3"/>
  <c r="I595" i="3"/>
  <c r="E595" i="3"/>
  <c r="K595" i="3"/>
  <c r="F595" i="3"/>
  <c r="D595" i="3"/>
  <c r="K597" i="3"/>
  <c r="F597" i="3"/>
  <c r="E597" i="3"/>
  <c r="I597" i="3"/>
  <c r="D597" i="3"/>
  <c r="I599" i="3"/>
  <c r="E599" i="3"/>
  <c r="K599" i="3"/>
  <c r="F599" i="3"/>
  <c r="D599" i="3"/>
  <c r="K601" i="3"/>
  <c r="I601" i="3"/>
  <c r="D601" i="3"/>
  <c r="F601" i="3"/>
  <c r="E601" i="3"/>
  <c r="I603" i="3"/>
  <c r="E603" i="3"/>
  <c r="K603" i="3"/>
  <c r="F603" i="3"/>
  <c r="D603" i="3"/>
  <c r="K605" i="3"/>
  <c r="F605" i="3"/>
  <c r="E605" i="3"/>
  <c r="D605" i="3"/>
  <c r="I605" i="3"/>
  <c r="I607" i="3"/>
  <c r="E607" i="3"/>
  <c r="D607" i="3"/>
  <c r="F607" i="3"/>
  <c r="K607" i="3"/>
  <c r="K609" i="3"/>
  <c r="F609" i="3"/>
  <c r="E609" i="3"/>
  <c r="D609" i="3"/>
  <c r="I609" i="3"/>
  <c r="I611" i="3"/>
  <c r="E611" i="3"/>
  <c r="D611" i="3"/>
  <c r="F611" i="3"/>
  <c r="K611" i="3"/>
  <c r="D753" i="1"/>
  <c r="L689" i="3" s="1"/>
  <c r="D755" i="1"/>
  <c r="L691" i="3" s="1"/>
  <c r="D757" i="1"/>
  <c r="L693" i="3" s="1"/>
  <c r="D759" i="1"/>
  <c r="L695" i="3" s="1"/>
  <c r="D761" i="1"/>
  <c r="L697" i="3" s="1"/>
  <c r="D763" i="1"/>
  <c r="L699" i="3" s="1"/>
  <c r="D765" i="1"/>
  <c r="L701" i="3" s="1"/>
  <c r="D767" i="1"/>
  <c r="L703" i="3" s="1"/>
  <c r="D769" i="1"/>
  <c r="L705" i="3" s="1"/>
  <c r="D771" i="1"/>
  <c r="L707" i="3" s="1"/>
  <c r="D773" i="1"/>
  <c r="L709" i="3" s="1"/>
  <c r="D775" i="1"/>
  <c r="L711" i="3" s="1"/>
  <c r="D777" i="1"/>
  <c r="L713" i="3" s="1"/>
  <c r="D779" i="1"/>
  <c r="L715" i="3" s="1"/>
  <c r="D781" i="1"/>
  <c r="L717" i="3" s="1"/>
  <c r="D783" i="1"/>
  <c r="L719" i="3" s="1"/>
  <c r="D785" i="1"/>
  <c r="L721" i="3" s="1"/>
  <c r="D787" i="1"/>
  <c r="L723" i="3" s="1"/>
  <c r="D789" i="1"/>
  <c r="L725" i="3" s="1"/>
  <c r="D792" i="1"/>
  <c r="L727" i="3" s="1"/>
  <c r="D794" i="1"/>
  <c r="L729" i="3" s="1"/>
  <c r="D796" i="1"/>
  <c r="L731" i="3" s="1"/>
  <c r="D798" i="1"/>
  <c r="L733" i="3" s="1"/>
  <c r="D800" i="1"/>
  <c r="L735" i="3" s="1"/>
  <c r="D803" i="1"/>
  <c r="L737" i="3" s="1"/>
  <c r="I688" i="3"/>
  <c r="E688" i="3"/>
  <c r="D688" i="3"/>
  <c r="K688" i="3"/>
  <c r="F688" i="3"/>
  <c r="K690" i="3"/>
  <c r="F690" i="3"/>
  <c r="I690" i="3"/>
  <c r="E690" i="3"/>
  <c r="D690" i="3"/>
  <c r="K692" i="3"/>
  <c r="F692" i="3"/>
  <c r="E692" i="3"/>
  <c r="I692" i="3"/>
  <c r="D692" i="3"/>
  <c r="I694" i="3"/>
  <c r="E694" i="3"/>
  <c r="K694" i="3"/>
  <c r="F694" i="3"/>
  <c r="D694" i="3"/>
  <c r="K696" i="3"/>
  <c r="I696" i="3"/>
  <c r="D696" i="3"/>
  <c r="F696" i="3"/>
  <c r="E696" i="3"/>
  <c r="I698" i="3"/>
  <c r="E698" i="3"/>
  <c r="K698" i="3"/>
  <c r="F698" i="3"/>
  <c r="D698" i="3"/>
  <c r="K700" i="3"/>
  <c r="F700" i="3"/>
  <c r="E700" i="3"/>
  <c r="I700" i="3"/>
  <c r="D700" i="3"/>
  <c r="I702" i="3"/>
  <c r="E702" i="3"/>
  <c r="K702" i="3"/>
  <c r="F702" i="3"/>
  <c r="D702" i="3"/>
  <c r="K704" i="3"/>
  <c r="I704" i="3"/>
  <c r="D704" i="3"/>
  <c r="F704" i="3"/>
  <c r="E704" i="3"/>
  <c r="F706" i="3"/>
  <c r="I706" i="3"/>
  <c r="E706" i="3"/>
  <c r="D706" i="3"/>
  <c r="K706" i="3"/>
  <c r="D708" i="3"/>
  <c r="K708" i="3"/>
  <c r="F708" i="3"/>
  <c r="E708" i="3"/>
  <c r="I708" i="3"/>
  <c r="F710" i="3"/>
  <c r="I710" i="3"/>
  <c r="E710" i="3"/>
  <c r="D710" i="3"/>
  <c r="K710" i="3"/>
  <c r="F712" i="3"/>
  <c r="I712" i="3"/>
  <c r="E712" i="3"/>
  <c r="D712" i="3"/>
  <c r="K712" i="3"/>
  <c r="D714" i="3"/>
  <c r="K714" i="3"/>
  <c r="F714" i="3"/>
  <c r="E714" i="3"/>
  <c r="I714" i="3"/>
  <c r="F716" i="3"/>
  <c r="I716" i="3"/>
  <c r="E716" i="3"/>
  <c r="D716" i="3"/>
  <c r="K716" i="3"/>
  <c r="D718" i="3"/>
  <c r="K718" i="3"/>
  <c r="F718" i="3"/>
  <c r="I718" i="3"/>
  <c r="E718" i="3"/>
  <c r="F720" i="3"/>
  <c r="I720" i="3"/>
  <c r="E720" i="3"/>
  <c r="D720" i="3"/>
  <c r="K720" i="3"/>
  <c r="D722" i="3"/>
  <c r="K722" i="3"/>
  <c r="F722" i="3"/>
  <c r="E722" i="3"/>
  <c r="I722" i="3"/>
  <c r="D724" i="3"/>
  <c r="K724" i="3"/>
  <c r="F724" i="3"/>
  <c r="I724" i="3"/>
  <c r="E724" i="3"/>
  <c r="F726" i="3"/>
  <c r="E726" i="3"/>
  <c r="D726" i="3"/>
  <c r="I726" i="3"/>
  <c r="F728" i="3"/>
  <c r="E728" i="3"/>
  <c r="D728" i="3"/>
  <c r="I728" i="3"/>
  <c r="F730" i="3"/>
  <c r="E730" i="3"/>
  <c r="D730" i="3"/>
  <c r="I730" i="3"/>
  <c r="F732" i="3"/>
  <c r="E732" i="3"/>
  <c r="D732" i="3"/>
  <c r="I732" i="3"/>
  <c r="F734" i="3"/>
  <c r="E734" i="3"/>
  <c r="D734" i="3"/>
  <c r="I734" i="3"/>
  <c r="F736" i="3"/>
  <c r="E736" i="3"/>
  <c r="D736" i="3"/>
  <c r="I736" i="3"/>
  <c r="U220" i="3"/>
  <c r="N220" i="3"/>
  <c r="O220" i="3"/>
  <c r="S220" i="3" s="1"/>
  <c r="M220" i="3"/>
  <c r="U221" i="3"/>
  <c r="N221" i="3"/>
  <c r="E454" i="3"/>
  <c r="I454" i="3"/>
  <c r="K50" i="6"/>
  <c r="K54" i="6"/>
  <c r="K58" i="6"/>
  <c r="K27" i="6"/>
  <c r="K53" i="6"/>
  <c r="K57" i="6"/>
  <c r="I109" i="4"/>
  <c r="I71" i="4"/>
  <c r="K52" i="6"/>
  <c r="K56" i="6"/>
  <c r="K51" i="6"/>
  <c r="K55" i="6"/>
  <c r="K59" i="6"/>
  <c r="W2" i="10"/>
  <c r="AA2" i="10" s="1"/>
  <c r="V2" i="10"/>
  <c r="AB2" i="10"/>
  <c r="W5" i="10"/>
  <c r="AA5" i="10" s="1"/>
  <c r="X5" i="10"/>
  <c r="AB5" i="10"/>
  <c r="V5" i="10"/>
  <c r="U2" i="10"/>
  <c r="U5" i="10"/>
  <c r="D19" i="13"/>
  <c r="J19" i="13" s="1"/>
  <c r="J16" i="13"/>
  <c r="V18" i="10"/>
  <c r="O5" i="15"/>
  <c r="O21" i="15"/>
  <c r="O37" i="15"/>
  <c r="O53" i="15"/>
  <c r="O69" i="15"/>
  <c r="O86" i="15"/>
  <c r="O102" i="15"/>
  <c r="O118" i="15"/>
  <c r="W3" i="10"/>
  <c r="AA3" i="10" s="1"/>
  <c r="X18" i="10"/>
  <c r="W19" i="10"/>
  <c r="AA19" i="10" s="1"/>
  <c r="V19" i="10"/>
  <c r="AB19" i="10"/>
  <c r="O11" i="15"/>
  <c r="O17" i="15"/>
  <c r="O27" i="15"/>
  <c r="O33" i="15"/>
  <c r="O43" i="15"/>
  <c r="O59" i="15"/>
  <c r="O65" i="15"/>
  <c r="O75" i="15"/>
  <c r="O82" i="15"/>
  <c r="O92" i="15"/>
  <c r="O98" i="15"/>
  <c r="O114" i="15"/>
  <c r="X3" i="10"/>
  <c r="O7" i="15"/>
  <c r="O23" i="15"/>
  <c r="O39" i="15"/>
  <c r="O49" i="15"/>
  <c r="O55" i="15"/>
  <c r="O71" i="15"/>
  <c r="O88" i="15"/>
  <c r="X22" i="10"/>
  <c r="AB22" i="10"/>
  <c r="O127" i="15"/>
  <c r="O128" i="15"/>
  <c r="U22" i="10"/>
  <c r="J5" i="13"/>
  <c r="J13" i="13"/>
  <c r="O141" i="15"/>
  <c r="O158" i="15"/>
  <c r="O174" i="15"/>
  <c r="O190" i="15"/>
  <c r="O207" i="15"/>
  <c r="G5" i="10"/>
  <c r="K5" i="10"/>
  <c r="O5" i="10"/>
  <c r="G18" i="10"/>
  <c r="K18" i="10"/>
  <c r="O18" i="10"/>
  <c r="G19" i="10"/>
  <c r="K19" i="10"/>
  <c r="O19" i="10"/>
  <c r="O137" i="15"/>
  <c r="O143" i="15"/>
  <c r="O154" i="15"/>
  <c r="O160" i="15"/>
  <c r="O170" i="15"/>
  <c r="O176" i="15"/>
  <c r="O186" i="15"/>
  <c r="O192" i="15"/>
  <c r="O202" i="15"/>
  <c r="O209" i="15"/>
  <c r="O216" i="15"/>
  <c r="O222" i="15"/>
  <c r="O232" i="15"/>
  <c r="O238" i="15"/>
  <c r="O248" i="15"/>
  <c r="O254" i="15"/>
  <c r="O271" i="15"/>
  <c r="O287" i="15"/>
  <c r="O303" i="15"/>
  <c r="O234" i="15"/>
  <c r="O250" i="15"/>
  <c r="O267" i="15"/>
  <c r="O283" i="15"/>
  <c r="O299" i="15"/>
  <c r="O214" i="15"/>
  <c r="O224" i="15"/>
  <c r="O230" i="15"/>
  <c r="O240" i="15"/>
  <c r="O246" i="15"/>
  <c r="O256" i="15"/>
  <c r="O262" i="15"/>
  <c r="O273" i="15"/>
  <c r="O279" i="15"/>
  <c r="O289" i="15"/>
  <c r="O295" i="15"/>
  <c r="O306" i="15"/>
  <c r="O310" i="15"/>
  <c r="O318" i="15"/>
  <c r="O322" i="15"/>
  <c r="O332" i="15"/>
  <c r="O338" i="15"/>
  <c r="O314" i="15"/>
  <c r="O324" i="15"/>
  <c r="O330" i="15"/>
  <c r="H736" i="3" l="1"/>
  <c r="G736" i="3"/>
  <c r="H732" i="3"/>
  <c r="G732" i="3"/>
  <c r="H714" i="3"/>
  <c r="G714" i="3"/>
  <c r="H710" i="3"/>
  <c r="G710" i="3"/>
  <c r="H716" i="3"/>
  <c r="G716" i="3"/>
  <c r="H702" i="3"/>
  <c r="G702" i="3"/>
  <c r="M735" i="3"/>
  <c r="P735" i="3"/>
  <c r="U735" i="3"/>
  <c r="O735" i="3"/>
  <c r="S735" i="3" s="1"/>
  <c r="N735" i="3"/>
  <c r="M711" i="3"/>
  <c r="U711" i="3"/>
  <c r="P711" i="3"/>
  <c r="O711" i="3"/>
  <c r="S711" i="3" s="1"/>
  <c r="N711" i="3"/>
  <c r="N703" i="3"/>
  <c r="P703" i="3"/>
  <c r="U703" i="3"/>
  <c r="O703" i="3"/>
  <c r="S703" i="3" s="1"/>
  <c r="M703" i="3"/>
  <c r="Z22" i="10"/>
  <c r="Y22" i="10"/>
  <c r="H718" i="3"/>
  <c r="G718" i="3"/>
  <c r="H706" i="3"/>
  <c r="G706" i="3"/>
  <c r="M733" i="3"/>
  <c r="P733" i="3"/>
  <c r="U733" i="3"/>
  <c r="O733" i="3"/>
  <c r="S733" i="3" s="1"/>
  <c r="N733" i="3"/>
  <c r="N725" i="3"/>
  <c r="M725" i="3"/>
  <c r="U725" i="3"/>
  <c r="P725" i="3"/>
  <c r="O725" i="3"/>
  <c r="S725" i="3" s="1"/>
  <c r="O717" i="3"/>
  <c r="S717" i="3" s="1"/>
  <c r="N717" i="3"/>
  <c r="M717" i="3"/>
  <c r="U717" i="3"/>
  <c r="P717" i="3"/>
  <c r="M709" i="3"/>
  <c r="U709" i="3"/>
  <c r="P709" i="3"/>
  <c r="O709" i="3"/>
  <c r="S709" i="3" s="1"/>
  <c r="N709" i="3"/>
  <c r="U701" i="3"/>
  <c r="P701" i="3"/>
  <c r="N701" i="3"/>
  <c r="M701" i="3"/>
  <c r="O701" i="3"/>
  <c r="S701" i="3" s="1"/>
  <c r="U693" i="3"/>
  <c r="P693" i="3"/>
  <c r="N693" i="3"/>
  <c r="M693" i="3"/>
  <c r="O693" i="3"/>
  <c r="S693" i="3" s="1"/>
  <c r="H611" i="3"/>
  <c r="G611" i="3"/>
  <c r="H603" i="3"/>
  <c r="G603" i="3"/>
  <c r="H595" i="3"/>
  <c r="G595" i="3"/>
  <c r="H490" i="3"/>
  <c r="G490" i="3"/>
  <c r="H478" i="3"/>
  <c r="G478" i="3"/>
  <c r="H457" i="3"/>
  <c r="G457" i="3"/>
  <c r="H737" i="3"/>
  <c r="G7" i="4" s="1"/>
  <c r="C7" i="4"/>
  <c r="G737" i="3"/>
  <c r="E7" i="4" s="1"/>
  <c r="H689" i="3"/>
  <c r="G689" i="3"/>
  <c r="O730" i="3"/>
  <c r="S730" i="3" s="1"/>
  <c r="U730" i="3"/>
  <c r="N730" i="3"/>
  <c r="M730" i="3"/>
  <c r="P730" i="3"/>
  <c r="U722" i="3"/>
  <c r="P722" i="3"/>
  <c r="O722" i="3"/>
  <c r="S722" i="3" s="1"/>
  <c r="N722" i="3"/>
  <c r="M722" i="3"/>
  <c r="U714" i="3"/>
  <c r="P714" i="3"/>
  <c r="O714" i="3"/>
  <c r="S714" i="3" s="1"/>
  <c r="N714" i="3"/>
  <c r="M714" i="3"/>
  <c r="N706" i="3"/>
  <c r="M706" i="3"/>
  <c r="P706" i="3"/>
  <c r="O706" i="3"/>
  <c r="S706" i="3" s="1"/>
  <c r="U706" i="3"/>
  <c r="M698" i="3"/>
  <c r="N698" i="3"/>
  <c r="P698" i="3"/>
  <c r="U698" i="3"/>
  <c r="O698" i="3"/>
  <c r="S698" i="3" s="1"/>
  <c r="O690" i="3"/>
  <c r="S690" i="3" s="1"/>
  <c r="N690" i="3"/>
  <c r="M690" i="3"/>
  <c r="U690" i="3"/>
  <c r="P690" i="3"/>
  <c r="H608" i="3"/>
  <c r="G608" i="3"/>
  <c r="G600" i="3"/>
  <c r="H600" i="3"/>
  <c r="G592" i="3"/>
  <c r="H592" i="3"/>
  <c r="H485" i="3"/>
  <c r="G485" i="3"/>
  <c r="G483" i="3"/>
  <c r="H483" i="3"/>
  <c r="U687" i="3"/>
  <c r="P687" i="3"/>
  <c r="O687" i="3"/>
  <c r="S687" i="3" s="1"/>
  <c r="N687" i="3"/>
  <c r="M687" i="3"/>
  <c r="U679" i="3"/>
  <c r="P679" i="3"/>
  <c r="O679" i="3"/>
  <c r="S679" i="3" s="1"/>
  <c r="N679" i="3"/>
  <c r="M679" i="3"/>
  <c r="U671" i="3"/>
  <c r="N671" i="3"/>
  <c r="M671" i="3"/>
  <c r="P671" i="3"/>
  <c r="O671" i="3"/>
  <c r="S671" i="3" s="1"/>
  <c r="N663" i="3"/>
  <c r="M663" i="3"/>
  <c r="U663" i="3"/>
  <c r="P663" i="3"/>
  <c r="O663" i="3"/>
  <c r="S663" i="3" s="1"/>
  <c r="N655" i="3"/>
  <c r="M655" i="3"/>
  <c r="U655" i="3"/>
  <c r="P655" i="3"/>
  <c r="O655" i="3"/>
  <c r="S655" i="3" s="1"/>
  <c r="N647" i="3"/>
  <c r="M647" i="3"/>
  <c r="U647" i="3"/>
  <c r="P647" i="3"/>
  <c r="O647" i="3"/>
  <c r="S647" i="3" s="1"/>
  <c r="M639" i="3"/>
  <c r="U639" i="3"/>
  <c r="P639" i="3"/>
  <c r="O639" i="3"/>
  <c r="S639" i="3" s="1"/>
  <c r="N639" i="3"/>
  <c r="M631" i="3"/>
  <c r="U631" i="3"/>
  <c r="O631" i="3"/>
  <c r="S631" i="3" s="1"/>
  <c r="N631" i="3"/>
  <c r="P631" i="3"/>
  <c r="M623" i="3"/>
  <c r="U623" i="3"/>
  <c r="P623" i="3"/>
  <c r="O623" i="3"/>
  <c r="S623" i="3" s="1"/>
  <c r="N623" i="3"/>
  <c r="M615" i="3"/>
  <c r="U615" i="3"/>
  <c r="P615" i="3"/>
  <c r="O615" i="3"/>
  <c r="S615" i="3" s="1"/>
  <c r="N615" i="3"/>
  <c r="R609" i="3"/>
  <c r="Q609" i="3"/>
  <c r="Q607" i="3"/>
  <c r="R607" i="3"/>
  <c r="R601" i="3"/>
  <c r="Q601" i="3"/>
  <c r="Q599" i="3"/>
  <c r="R599" i="3"/>
  <c r="R593" i="3"/>
  <c r="Q593" i="3"/>
  <c r="Q591" i="3"/>
  <c r="R591" i="3"/>
  <c r="M583" i="3"/>
  <c r="P583" i="3"/>
  <c r="U583" i="3"/>
  <c r="O583" i="3"/>
  <c r="S583" i="3" s="1"/>
  <c r="N583" i="3"/>
  <c r="N575" i="3"/>
  <c r="M575" i="3"/>
  <c r="U575" i="3"/>
  <c r="P575" i="3"/>
  <c r="O575" i="3"/>
  <c r="S575" i="3" s="1"/>
  <c r="N567" i="3"/>
  <c r="U567" i="3"/>
  <c r="P567" i="3"/>
  <c r="M567" i="3"/>
  <c r="O567" i="3"/>
  <c r="S567" i="3" s="1"/>
  <c r="O559" i="3"/>
  <c r="S559" i="3" s="1"/>
  <c r="M559" i="3"/>
  <c r="N559" i="3"/>
  <c r="U559" i="3"/>
  <c r="P559" i="3"/>
  <c r="O551" i="3"/>
  <c r="S551" i="3" s="1"/>
  <c r="M551" i="3"/>
  <c r="N551" i="3"/>
  <c r="U551" i="3"/>
  <c r="P551" i="3"/>
  <c r="M543" i="3"/>
  <c r="U543" i="3"/>
  <c r="P543" i="3"/>
  <c r="O543" i="3"/>
  <c r="S543" i="3" s="1"/>
  <c r="N543" i="3"/>
  <c r="M535" i="3"/>
  <c r="U535" i="3"/>
  <c r="P535" i="3"/>
  <c r="O535" i="3"/>
  <c r="S535" i="3" s="1"/>
  <c r="N535" i="3"/>
  <c r="M527" i="3"/>
  <c r="U527" i="3"/>
  <c r="P527" i="3"/>
  <c r="O527" i="3"/>
  <c r="S527" i="3" s="1"/>
  <c r="N527" i="3"/>
  <c r="M519" i="3"/>
  <c r="U519" i="3"/>
  <c r="P519" i="3"/>
  <c r="O519" i="3"/>
  <c r="S519" i="3" s="1"/>
  <c r="N519" i="3"/>
  <c r="M511" i="3"/>
  <c r="U511" i="3"/>
  <c r="P511" i="3"/>
  <c r="O511" i="3"/>
  <c r="S511" i="3" s="1"/>
  <c r="N511" i="3"/>
  <c r="M503" i="3"/>
  <c r="U503" i="3"/>
  <c r="P503" i="3"/>
  <c r="O503" i="3"/>
  <c r="S503" i="3" s="1"/>
  <c r="N503" i="3"/>
  <c r="M477" i="3"/>
  <c r="U477" i="3"/>
  <c r="P477" i="3"/>
  <c r="O477" i="3"/>
  <c r="S477" i="3" s="1"/>
  <c r="N477" i="3"/>
  <c r="M469" i="3"/>
  <c r="U469" i="3"/>
  <c r="P469" i="3"/>
  <c r="O469" i="3"/>
  <c r="S469" i="3" s="1"/>
  <c r="N469" i="3"/>
  <c r="U451" i="3"/>
  <c r="P451" i="3"/>
  <c r="O451" i="3"/>
  <c r="S451" i="3" s="1"/>
  <c r="N451" i="3"/>
  <c r="M451" i="3"/>
  <c r="N443" i="3"/>
  <c r="U443" i="3"/>
  <c r="P443" i="3"/>
  <c r="O443" i="3"/>
  <c r="S443" i="3" s="1"/>
  <c r="M443" i="3"/>
  <c r="N435" i="3"/>
  <c r="U435" i="3"/>
  <c r="P435" i="3"/>
  <c r="O435" i="3"/>
  <c r="S435" i="3" s="1"/>
  <c r="M435" i="3"/>
  <c r="N427" i="3"/>
  <c r="U427" i="3"/>
  <c r="P427" i="3"/>
  <c r="O427" i="3"/>
  <c r="S427" i="3" s="1"/>
  <c r="M427" i="3"/>
  <c r="M419" i="3"/>
  <c r="O419" i="3"/>
  <c r="S419" i="3" s="1"/>
  <c r="N419" i="3"/>
  <c r="P419" i="3"/>
  <c r="U419" i="3"/>
  <c r="U411" i="3"/>
  <c r="P411" i="3"/>
  <c r="N411" i="3"/>
  <c r="M411" i="3"/>
  <c r="O411" i="3"/>
  <c r="S411" i="3" s="1"/>
  <c r="U403" i="3"/>
  <c r="P403" i="3"/>
  <c r="N403" i="3"/>
  <c r="M403" i="3"/>
  <c r="O403" i="3"/>
  <c r="S403" i="3" s="1"/>
  <c r="U395" i="3"/>
  <c r="P395" i="3"/>
  <c r="N395" i="3"/>
  <c r="M395" i="3"/>
  <c r="O395" i="3"/>
  <c r="S395" i="3" s="1"/>
  <c r="O387" i="3"/>
  <c r="S387" i="3" s="1"/>
  <c r="M387" i="3"/>
  <c r="U387" i="3"/>
  <c r="P387" i="3"/>
  <c r="N387" i="3"/>
  <c r="O379" i="3"/>
  <c r="S379" i="3" s="1"/>
  <c r="M379" i="3"/>
  <c r="U379" i="3"/>
  <c r="P379" i="3"/>
  <c r="N379" i="3"/>
  <c r="O371" i="3"/>
  <c r="S371" i="3" s="1"/>
  <c r="M371" i="3"/>
  <c r="U371" i="3"/>
  <c r="P371" i="3"/>
  <c r="N371" i="3"/>
  <c r="O363" i="3"/>
  <c r="S363" i="3" s="1"/>
  <c r="P363" i="3"/>
  <c r="N363" i="3"/>
  <c r="M363" i="3"/>
  <c r="U363" i="3"/>
  <c r="M353" i="3"/>
  <c r="N353" i="3"/>
  <c r="U353" i="3"/>
  <c r="P353" i="3"/>
  <c r="O353" i="3"/>
  <c r="S353" i="3" s="1"/>
  <c r="U345" i="3"/>
  <c r="P345" i="3"/>
  <c r="M345" i="3"/>
  <c r="N345" i="3"/>
  <c r="O345" i="3"/>
  <c r="S345" i="3" s="1"/>
  <c r="U337" i="3"/>
  <c r="P337" i="3"/>
  <c r="M337" i="3"/>
  <c r="O337" i="3"/>
  <c r="S337" i="3" s="1"/>
  <c r="N337" i="3"/>
  <c r="U329" i="3"/>
  <c r="P329" i="3"/>
  <c r="M329" i="3"/>
  <c r="N329" i="3"/>
  <c r="O329" i="3"/>
  <c r="S329" i="3" s="1"/>
  <c r="U321" i="3"/>
  <c r="P321" i="3"/>
  <c r="M321" i="3"/>
  <c r="O321" i="3"/>
  <c r="S321" i="3" s="1"/>
  <c r="N321" i="3"/>
  <c r="U313" i="3"/>
  <c r="P313" i="3"/>
  <c r="M313" i="3"/>
  <c r="N313" i="3"/>
  <c r="O313" i="3"/>
  <c r="S313" i="3" s="1"/>
  <c r="N305" i="3"/>
  <c r="M305" i="3"/>
  <c r="P305" i="3"/>
  <c r="O305" i="3"/>
  <c r="S305" i="3" s="1"/>
  <c r="U305" i="3"/>
  <c r="F299" i="3"/>
  <c r="I299" i="3"/>
  <c r="E299" i="3"/>
  <c r="D299" i="3"/>
  <c r="K299" i="3"/>
  <c r="F291" i="3"/>
  <c r="I291" i="3"/>
  <c r="E291" i="3"/>
  <c r="D291" i="3"/>
  <c r="K291" i="3"/>
  <c r="F283" i="3"/>
  <c r="I283" i="3"/>
  <c r="D283" i="3"/>
  <c r="K283" i="3"/>
  <c r="E283" i="3"/>
  <c r="M274" i="3"/>
  <c r="N274" i="3"/>
  <c r="P274" i="3"/>
  <c r="U274" i="3"/>
  <c r="O274" i="3"/>
  <c r="S274" i="3" s="1"/>
  <c r="M266" i="3"/>
  <c r="N266" i="3"/>
  <c r="P266" i="3"/>
  <c r="O266" i="3"/>
  <c r="S266" i="3" s="1"/>
  <c r="U266" i="3"/>
  <c r="M258" i="3"/>
  <c r="N258" i="3"/>
  <c r="P258" i="3"/>
  <c r="U258" i="3"/>
  <c r="O258" i="3"/>
  <c r="S258" i="3" s="1"/>
  <c r="M250" i="3"/>
  <c r="N250" i="3"/>
  <c r="P250" i="3"/>
  <c r="U250" i="3"/>
  <c r="O250" i="3"/>
  <c r="S250" i="3" s="1"/>
  <c r="M242" i="3"/>
  <c r="N242" i="3"/>
  <c r="P242" i="3"/>
  <c r="U242" i="3"/>
  <c r="O242" i="3"/>
  <c r="S242" i="3" s="1"/>
  <c r="M234" i="3"/>
  <c r="N234" i="3"/>
  <c r="P234" i="3"/>
  <c r="U234" i="3"/>
  <c r="O234" i="3"/>
  <c r="S234" i="3" s="1"/>
  <c r="H229" i="3"/>
  <c r="G229" i="3"/>
  <c r="P217" i="3"/>
  <c r="U217" i="3"/>
  <c r="M217" i="3"/>
  <c r="N217" i="3"/>
  <c r="O217" i="3"/>
  <c r="S217" i="3" s="1"/>
  <c r="O209" i="3"/>
  <c r="S209" i="3" s="1"/>
  <c r="U209" i="3"/>
  <c r="N209" i="3"/>
  <c r="M209" i="3"/>
  <c r="P209" i="3"/>
  <c r="O201" i="3"/>
  <c r="S201" i="3" s="1"/>
  <c r="U201" i="3"/>
  <c r="N201" i="3"/>
  <c r="M201" i="3"/>
  <c r="P201" i="3"/>
  <c r="O193" i="3"/>
  <c r="S193" i="3" s="1"/>
  <c r="U193" i="3"/>
  <c r="N193" i="3"/>
  <c r="M193" i="3"/>
  <c r="P193" i="3"/>
  <c r="O185" i="3"/>
  <c r="S185" i="3" s="1"/>
  <c r="U185" i="3"/>
  <c r="N185" i="3"/>
  <c r="M185" i="3"/>
  <c r="P185" i="3"/>
  <c r="O177" i="3"/>
  <c r="S177" i="3" s="1"/>
  <c r="U177" i="3"/>
  <c r="N177" i="3"/>
  <c r="M177" i="3"/>
  <c r="P177" i="3"/>
  <c r="M169" i="3"/>
  <c r="P169" i="3"/>
  <c r="N169" i="3"/>
  <c r="U169" i="3"/>
  <c r="O169" i="3"/>
  <c r="S169" i="3" s="1"/>
  <c r="H162" i="3"/>
  <c r="G162" i="3"/>
  <c r="H154" i="3"/>
  <c r="G154" i="3"/>
  <c r="N146" i="3"/>
  <c r="M146" i="3"/>
  <c r="P146" i="3"/>
  <c r="O146" i="3"/>
  <c r="S146" i="3" s="1"/>
  <c r="U146" i="3"/>
  <c r="N138" i="3"/>
  <c r="M138" i="3"/>
  <c r="U138" i="3"/>
  <c r="P138" i="3"/>
  <c r="O138" i="3"/>
  <c r="S138" i="3" s="1"/>
  <c r="U130" i="3"/>
  <c r="P130" i="3"/>
  <c r="O130" i="3"/>
  <c r="S130" i="3" s="1"/>
  <c r="N130" i="3"/>
  <c r="M130" i="3"/>
  <c r="J71" i="6"/>
  <c r="K71" i="6" s="1"/>
  <c r="L122" i="3"/>
  <c r="U114" i="3"/>
  <c r="P114" i="3"/>
  <c r="O114" i="3"/>
  <c r="S114" i="3" s="1"/>
  <c r="N114" i="3"/>
  <c r="M114" i="3"/>
  <c r="N106" i="3"/>
  <c r="M106" i="3"/>
  <c r="P106" i="3"/>
  <c r="U106" i="3"/>
  <c r="O106" i="3"/>
  <c r="S106" i="3" s="1"/>
  <c r="N98" i="3"/>
  <c r="M98" i="3"/>
  <c r="P98" i="3"/>
  <c r="U98" i="3"/>
  <c r="O98" i="3"/>
  <c r="S98" i="3" s="1"/>
  <c r="N90" i="3"/>
  <c r="U90" i="3"/>
  <c r="O90" i="3"/>
  <c r="S90" i="3" s="1"/>
  <c r="M90" i="3"/>
  <c r="P90" i="3"/>
  <c r="H85" i="3"/>
  <c r="G85" i="3"/>
  <c r="H79" i="3"/>
  <c r="G79" i="3"/>
  <c r="U67" i="3"/>
  <c r="P67" i="3"/>
  <c r="O67" i="3"/>
  <c r="S67" i="3" s="1"/>
  <c r="N67" i="3"/>
  <c r="M67" i="3"/>
  <c r="H60" i="3"/>
  <c r="G60" i="3"/>
  <c r="H56" i="3"/>
  <c r="G56" i="3"/>
  <c r="G44" i="3"/>
  <c r="H44" i="3"/>
  <c r="H34" i="3"/>
  <c r="G34" i="3"/>
  <c r="H26" i="3"/>
  <c r="G26" i="3"/>
  <c r="H18" i="3"/>
  <c r="G18" i="3"/>
  <c r="H14" i="3"/>
  <c r="G14" i="3"/>
  <c r="G12" i="3"/>
  <c r="H12" i="3"/>
  <c r="H6" i="3"/>
  <c r="G6" i="3"/>
  <c r="G4" i="3"/>
  <c r="H4" i="3"/>
  <c r="U228" i="3"/>
  <c r="P228" i="3"/>
  <c r="N228" i="3"/>
  <c r="M228" i="3"/>
  <c r="O228" i="3"/>
  <c r="S228" i="3" s="1"/>
  <c r="H215" i="3"/>
  <c r="G215" i="3"/>
  <c r="M165" i="3"/>
  <c r="U165" i="3"/>
  <c r="O165" i="3"/>
  <c r="S165" i="3" s="1"/>
  <c r="N165" i="3"/>
  <c r="P165" i="3"/>
  <c r="M157" i="3"/>
  <c r="U157" i="3"/>
  <c r="O157" i="3"/>
  <c r="S157" i="3" s="1"/>
  <c r="N157" i="3"/>
  <c r="P157" i="3"/>
  <c r="H136" i="3"/>
  <c r="G136" i="3"/>
  <c r="G128" i="3"/>
  <c r="H128" i="3"/>
  <c r="G112" i="3"/>
  <c r="H112" i="3"/>
  <c r="H96" i="3"/>
  <c r="G96" i="3"/>
  <c r="H69" i="3"/>
  <c r="G69" i="3"/>
  <c r="U57" i="3"/>
  <c r="M57" i="3"/>
  <c r="P57" i="3"/>
  <c r="O57" i="3"/>
  <c r="S57" i="3" s="1"/>
  <c r="N57" i="3"/>
  <c r="N49" i="3"/>
  <c r="M49" i="3"/>
  <c r="U49" i="3"/>
  <c r="P49" i="3"/>
  <c r="O49" i="3"/>
  <c r="S49" i="3" s="1"/>
  <c r="J13" i="6"/>
  <c r="K13" i="6" s="1"/>
  <c r="L37" i="3"/>
  <c r="J7" i="6"/>
  <c r="K7" i="6" s="1"/>
  <c r="L25" i="3"/>
  <c r="U9" i="3"/>
  <c r="P9" i="3"/>
  <c r="O9" i="3"/>
  <c r="S9" i="3" s="1"/>
  <c r="N9" i="3"/>
  <c r="M9" i="3"/>
  <c r="R269" i="3"/>
  <c r="Q269" i="3"/>
  <c r="Q265" i="3"/>
  <c r="R265" i="3"/>
  <c r="Q241" i="3"/>
  <c r="R241" i="3"/>
  <c r="H222" i="3"/>
  <c r="G222" i="3"/>
  <c r="R176" i="3"/>
  <c r="Q176" i="3"/>
  <c r="K75" i="6"/>
  <c r="M111" i="3"/>
  <c r="P111" i="3"/>
  <c r="U111" i="3"/>
  <c r="O111" i="3"/>
  <c r="S111" i="3" s="1"/>
  <c r="N111" i="3"/>
  <c r="Q91" i="3"/>
  <c r="R91" i="3"/>
  <c r="H61" i="3"/>
  <c r="G61" i="3"/>
  <c r="H47" i="3"/>
  <c r="G47" i="3"/>
  <c r="K686" i="3"/>
  <c r="F686" i="3"/>
  <c r="I686" i="3"/>
  <c r="E686" i="3"/>
  <c r="D686" i="3"/>
  <c r="K678" i="3"/>
  <c r="F678" i="3"/>
  <c r="I678" i="3"/>
  <c r="E678" i="3"/>
  <c r="D678" i="3"/>
  <c r="K670" i="3"/>
  <c r="F670" i="3"/>
  <c r="I670" i="3"/>
  <c r="E670" i="3"/>
  <c r="D670" i="3"/>
  <c r="I662" i="3"/>
  <c r="E662" i="3"/>
  <c r="D662" i="3"/>
  <c r="K662" i="3"/>
  <c r="F662" i="3"/>
  <c r="I654" i="3"/>
  <c r="E654" i="3"/>
  <c r="D654" i="3"/>
  <c r="K654" i="3"/>
  <c r="F654" i="3"/>
  <c r="I646" i="3"/>
  <c r="E646" i="3"/>
  <c r="D646" i="3"/>
  <c r="K646" i="3"/>
  <c r="F646" i="3"/>
  <c r="D638" i="3"/>
  <c r="K638" i="3"/>
  <c r="F638" i="3"/>
  <c r="I638" i="3"/>
  <c r="E638" i="3"/>
  <c r="D630" i="3"/>
  <c r="K630" i="3"/>
  <c r="E630" i="3"/>
  <c r="I630" i="3"/>
  <c r="F630" i="3"/>
  <c r="D622" i="3"/>
  <c r="K622" i="3"/>
  <c r="E622" i="3"/>
  <c r="I622" i="3"/>
  <c r="F622" i="3"/>
  <c r="D614" i="3"/>
  <c r="K614" i="3"/>
  <c r="E614" i="3"/>
  <c r="I614" i="3"/>
  <c r="F614" i="3"/>
  <c r="D582" i="3"/>
  <c r="I582" i="3"/>
  <c r="K582" i="3"/>
  <c r="F582" i="3"/>
  <c r="E582" i="3"/>
  <c r="I574" i="3"/>
  <c r="E574" i="3"/>
  <c r="D574" i="3"/>
  <c r="K574" i="3"/>
  <c r="F574" i="3"/>
  <c r="I566" i="3"/>
  <c r="E566" i="3"/>
  <c r="K566" i="3"/>
  <c r="F566" i="3"/>
  <c r="D566" i="3"/>
  <c r="F558" i="3"/>
  <c r="D558" i="3"/>
  <c r="I558" i="3"/>
  <c r="E558" i="3"/>
  <c r="K558" i="3"/>
  <c r="F550" i="3"/>
  <c r="D550" i="3"/>
  <c r="I550" i="3"/>
  <c r="E550" i="3"/>
  <c r="K550" i="3"/>
  <c r="D542" i="3"/>
  <c r="K542" i="3"/>
  <c r="F542" i="3"/>
  <c r="I542" i="3"/>
  <c r="E542" i="3"/>
  <c r="D534" i="3"/>
  <c r="K534" i="3"/>
  <c r="F534" i="3"/>
  <c r="I534" i="3"/>
  <c r="E534" i="3"/>
  <c r="D526" i="3"/>
  <c r="K526" i="3"/>
  <c r="F526" i="3"/>
  <c r="I526" i="3"/>
  <c r="E526" i="3"/>
  <c r="D518" i="3"/>
  <c r="K518" i="3"/>
  <c r="F518" i="3"/>
  <c r="I518" i="3"/>
  <c r="E518" i="3"/>
  <c r="D510" i="3"/>
  <c r="K510" i="3"/>
  <c r="F510" i="3"/>
  <c r="I510" i="3"/>
  <c r="E510" i="3"/>
  <c r="D502" i="3"/>
  <c r="K502" i="3"/>
  <c r="F502" i="3"/>
  <c r="I502" i="3"/>
  <c r="E502" i="3"/>
  <c r="R494" i="3"/>
  <c r="Q494" i="3"/>
  <c r="R492" i="3"/>
  <c r="Q492" i="3"/>
  <c r="D472" i="3"/>
  <c r="K472" i="3"/>
  <c r="F472" i="3"/>
  <c r="E472" i="3"/>
  <c r="I472" i="3"/>
  <c r="K464" i="3"/>
  <c r="F464" i="3"/>
  <c r="I464" i="3"/>
  <c r="E464" i="3"/>
  <c r="D464" i="3"/>
  <c r="Q456" i="3"/>
  <c r="R456" i="3"/>
  <c r="M446" i="3"/>
  <c r="O446" i="3"/>
  <c r="S446" i="3" s="1"/>
  <c r="P446" i="3"/>
  <c r="U446" i="3"/>
  <c r="N446" i="3"/>
  <c r="M438" i="3"/>
  <c r="O438" i="3"/>
  <c r="S438" i="3" s="1"/>
  <c r="P438" i="3"/>
  <c r="U438" i="3"/>
  <c r="N438" i="3"/>
  <c r="M430" i="3"/>
  <c r="O430" i="3"/>
  <c r="S430" i="3" s="1"/>
  <c r="P430" i="3"/>
  <c r="U430" i="3"/>
  <c r="N430" i="3"/>
  <c r="U422" i="3"/>
  <c r="P422" i="3"/>
  <c r="N422" i="3"/>
  <c r="M422" i="3"/>
  <c r="O422" i="3"/>
  <c r="S422" i="3" s="1"/>
  <c r="N414" i="3"/>
  <c r="M414" i="3"/>
  <c r="P414" i="3"/>
  <c r="O414" i="3"/>
  <c r="S414" i="3" s="1"/>
  <c r="U414" i="3"/>
  <c r="O406" i="3"/>
  <c r="S406" i="3" s="1"/>
  <c r="M406" i="3"/>
  <c r="P406" i="3"/>
  <c r="N406" i="3"/>
  <c r="U406" i="3"/>
  <c r="O398" i="3"/>
  <c r="S398" i="3" s="1"/>
  <c r="M398" i="3"/>
  <c r="R398" i="3" s="1"/>
  <c r="P398" i="3"/>
  <c r="N398" i="3"/>
  <c r="U398" i="3"/>
  <c r="O390" i="3"/>
  <c r="S390" i="3" s="1"/>
  <c r="M390" i="3"/>
  <c r="P390" i="3"/>
  <c r="N390" i="3"/>
  <c r="U390" i="3"/>
  <c r="N382" i="3"/>
  <c r="U382" i="3"/>
  <c r="P382" i="3"/>
  <c r="O382" i="3"/>
  <c r="S382" i="3" s="1"/>
  <c r="M382" i="3"/>
  <c r="N374" i="3"/>
  <c r="U374" i="3"/>
  <c r="P374" i="3"/>
  <c r="O374" i="3"/>
  <c r="S374" i="3" s="1"/>
  <c r="M374" i="3"/>
  <c r="N366" i="3"/>
  <c r="P366" i="3"/>
  <c r="U366" i="3"/>
  <c r="O366" i="3"/>
  <c r="S366" i="3" s="1"/>
  <c r="M366" i="3"/>
  <c r="U360" i="3"/>
  <c r="P360" i="3"/>
  <c r="O360" i="3"/>
  <c r="S360" i="3" s="1"/>
  <c r="N360" i="3"/>
  <c r="M360" i="3"/>
  <c r="U352" i="3"/>
  <c r="P352" i="3"/>
  <c r="O352" i="3"/>
  <c r="S352" i="3" s="1"/>
  <c r="N352" i="3"/>
  <c r="M352" i="3"/>
  <c r="O344" i="3"/>
  <c r="S344" i="3" s="1"/>
  <c r="P344" i="3"/>
  <c r="U344" i="3"/>
  <c r="N344" i="3"/>
  <c r="M344" i="3"/>
  <c r="O336" i="3"/>
  <c r="S336" i="3" s="1"/>
  <c r="P336" i="3"/>
  <c r="U336" i="3"/>
  <c r="N336" i="3"/>
  <c r="M336" i="3"/>
  <c r="O328" i="3"/>
  <c r="S328" i="3" s="1"/>
  <c r="P328" i="3"/>
  <c r="U328" i="3"/>
  <c r="N328" i="3"/>
  <c r="M328" i="3"/>
  <c r="O320" i="3"/>
  <c r="S320" i="3" s="1"/>
  <c r="P320" i="3"/>
  <c r="U320" i="3"/>
  <c r="N320" i="3"/>
  <c r="M320" i="3"/>
  <c r="O312" i="3"/>
  <c r="S312" i="3" s="1"/>
  <c r="P312" i="3"/>
  <c r="U312" i="3"/>
  <c r="N312" i="3"/>
  <c r="M312" i="3"/>
  <c r="M304" i="3"/>
  <c r="U304" i="3"/>
  <c r="P304" i="3"/>
  <c r="N304" i="3"/>
  <c r="O304" i="3"/>
  <c r="S304" i="3" s="1"/>
  <c r="M298" i="3"/>
  <c r="U298" i="3"/>
  <c r="P298" i="3"/>
  <c r="N298" i="3"/>
  <c r="O298" i="3"/>
  <c r="S298" i="3" s="1"/>
  <c r="G296" i="3"/>
  <c r="H296" i="3"/>
  <c r="M290" i="3"/>
  <c r="U290" i="3"/>
  <c r="P290" i="3"/>
  <c r="N290" i="3"/>
  <c r="O290" i="3"/>
  <c r="S290" i="3" s="1"/>
  <c r="M282" i="3"/>
  <c r="N282" i="3"/>
  <c r="P282" i="3"/>
  <c r="O282" i="3"/>
  <c r="S282" i="3" s="1"/>
  <c r="U282" i="3"/>
  <c r="H217" i="3"/>
  <c r="G217" i="3"/>
  <c r="G205" i="3"/>
  <c r="H205" i="3"/>
  <c r="G189" i="3"/>
  <c r="H189" i="3"/>
  <c r="G173" i="3"/>
  <c r="H173" i="3"/>
  <c r="H134" i="3"/>
  <c r="G134" i="3"/>
  <c r="H118" i="3"/>
  <c r="G118" i="3"/>
  <c r="H102" i="3"/>
  <c r="G102" i="3"/>
  <c r="U84" i="3"/>
  <c r="P84" i="3"/>
  <c r="N84" i="3"/>
  <c r="M84" i="3"/>
  <c r="O84" i="3"/>
  <c r="S84" i="3" s="1"/>
  <c r="M76" i="3"/>
  <c r="U76" i="3"/>
  <c r="P76" i="3"/>
  <c r="O76" i="3"/>
  <c r="S76" i="3" s="1"/>
  <c r="N76" i="3"/>
  <c r="J3" i="6"/>
  <c r="K3" i="6" s="1"/>
  <c r="L33" i="3"/>
  <c r="N15" i="3"/>
  <c r="M15" i="3"/>
  <c r="U15" i="3"/>
  <c r="P15" i="3"/>
  <c r="O15" i="3"/>
  <c r="S15" i="3" s="1"/>
  <c r="R263" i="3"/>
  <c r="Q263" i="3"/>
  <c r="R237" i="3"/>
  <c r="Q237" i="3"/>
  <c r="Q233" i="3"/>
  <c r="R233" i="3"/>
  <c r="Q194" i="3"/>
  <c r="R194" i="3"/>
  <c r="Q131" i="3"/>
  <c r="R131" i="3"/>
  <c r="Q109" i="3"/>
  <c r="R109" i="3"/>
  <c r="R87" i="3"/>
  <c r="Q87" i="3"/>
  <c r="M64" i="3"/>
  <c r="U64" i="3"/>
  <c r="P64" i="3"/>
  <c r="O64" i="3"/>
  <c r="S64" i="3" s="1"/>
  <c r="N64" i="3"/>
  <c r="H3" i="3"/>
  <c r="G3" i="3"/>
  <c r="F681" i="3"/>
  <c r="I681" i="3"/>
  <c r="E681" i="3"/>
  <c r="D681" i="3"/>
  <c r="K681" i="3"/>
  <c r="F673" i="3"/>
  <c r="I673" i="3"/>
  <c r="E673" i="3"/>
  <c r="D673" i="3"/>
  <c r="K673" i="3"/>
  <c r="D665" i="3"/>
  <c r="K665" i="3"/>
  <c r="F665" i="3"/>
  <c r="I665" i="3"/>
  <c r="E665" i="3"/>
  <c r="D657" i="3"/>
  <c r="K657" i="3"/>
  <c r="F657" i="3"/>
  <c r="I657" i="3"/>
  <c r="E657" i="3"/>
  <c r="D649" i="3"/>
  <c r="K649" i="3"/>
  <c r="F649" i="3"/>
  <c r="I649" i="3"/>
  <c r="E649" i="3"/>
  <c r="K641" i="3"/>
  <c r="F641" i="3"/>
  <c r="E641" i="3"/>
  <c r="I641" i="3"/>
  <c r="D641" i="3"/>
  <c r="K633" i="3"/>
  <c r="F633" i="3"/>
  <c r="E633" i="3"/>
  <c r="D633" i="3"/>
  <c r="I633" i="3"/>
  <c r="K625" i="3"/>
  <c r="F625" i="3"/>
  <c r="E625" i="3"/>
  <c r="D625" i="3"/>
  <c r="I625" i="3"/>
  <c r="K617" i="3"/>
  <c r="F617" i="3"/>
  <c r="E617" i="3"/>
  <c r="D617" i="3"/>
  <c r="I617" i="3"/>
  <c r="R608" i="3"/>
  <c r="Q608" i="3"/>
  <c r="R604" i="3"/>
  <c r="Q604" i="3"/>
  <c r="Q602" i="3"/>
  <c r="R602" i="3"/>
  <c r="R596" i="3"/>
  <c r="Q596" i="3"/>
  <c r="Q594" i="3"/>
  <c r="R594" i="3"/>
  <c r="K585" i="3"/>
  <c r="I585" i="3"/>
  <c r="D585" i="3"/>
  <c r="F585" i="3"/>
  <c r="E585" i="3"/>
  <c r="D577" i="3"/>
  <c r="K577" i="3"/>
  <c r="F577" i="3"/>
  <c r="I577" i="3"/>
  <c r="E577" i="3"/>
  <c r="D569" i="3"/>
  <c r="F569" i="3"/>
  <c r="E569" i="3"/>
  <c r="K569" i="3"/>
  <c r="I569" i="3"/>
  <c r="I561" i="3"/>
  <c r="E561" i="3"/>
  <c r="K561" i="3"/>
  <c r="F561" i="3"/>
  <c r="D561" i="3"/>
  <c r="I553" i="3"/>
  <c r="E553" i="3"/>
  <c r="K553" i="3"/>
  <c r="F553" i="3"/>
  <c r="D553" i="3"/>
  <c r="I545" i="3"/>
  <c r="E545" i="3"/>
  <c r="K545" i="3"/>
  <c r="F545" i="3"/>
  <c r="D545" i="3"/>
  <c r="K537" i="3"/>
  <c r="F537" i="3"/>
  <c r="I537" i="3"/>
  <c r="E537" i="3"/>
  <c r="D537" i="3"/>
  <c r="K529" i="3"/>
  <c r="F529" i="3"/>
  <c r="I529" i="3"/>
  <c r="E529" i="3"/>
  <c r="D529" i="3"/>
  <c r="K521" i="3"/>
  <c r="F521" i="3"/>
  <c r="I521" i="3"/>
  <c r="E521" i="3"/>
  <c r="D521" i="3"/>
  <c r="K513" i="3"/>
  <c r="F513" i="3"/>
  <c r="I513" i="3"/>
  <c r="E513" i="3"/>
  <c r="D513" i="3"/>
  <c r="K505" i="3"/>
  <c r="F505" i="3"/>
  <c r="I505" i="3"/>
  <c r="E505" i="3"/>
  <c r="D505" i="3"/>
  <c r="K475" i="3"/>
  <c r="F475" i="3"/>
  <c r="I475" i="3"/>
  <c r="E475" i="3"/>
  <c r="D475" i="3"/>
  <c r="K467" i="3"/>
  <c r="F467" i="3"/>
  <c r="I467" i="3"/>
  <c r="E467" i="3"/>
  <c r="D467" i="3"/>
  <c r="F449" i="3"/>
  <c r="D449" i="3"/>
  <c r="E449" i="3"/>
  <c r="I449" i="3"/>
  <c r="K449" i="3"/>
  <c r="D441" i="3"/>
  <c r="F441" i="3"/>
  <c r="K441" i="3"/>
  <c r="I441" i="3"/>
  <c r="E441" i="3"/>
  <c r="D433" i="3"/>
  <c r="F433" i="3"/>
  <c r="K433" i="3"/>
  <c r="I433" i="3"/>
  <c r="E433" i="3"/>
  <c r="D425" i="3"/>
  <c r="F425" i="3"/>
  <c r="K425" i="3"/>
  <c r="I425" i="3"/>
  <c r="E425" i="3"/>
  <c r="I417" i="3"/>
  <c r="E417" i="3"/>
  <c r="D417" i="3"/>
  <c r="F417" i="3"/>
  <c r="K417" i="3"/>
  <c r="F409" i="3"/>
  <c r="D409" i="3"/>
  <c r="E409" i="3"/>
  <c r="K409" i="3"/>
  <c r="I409" i="3"/>
  <c r="F401" i="3"/>
  <c r="D401" i="3"/>
  <c r="E401" i="3"/>
  <c r="K401" i="3"/>
  <c r="I401" i="3"/>
  <c r="F393" i="3"/>
  <c r="D393" i="3"/>
  <c r="E393" i="3"/>
  <c r="K393" i="3"/>
  <c r="I393" i="3"/>
  <c r="I385" i="3"/>
  <c r="E385" i="3"/>
  <c r="K385" i="3"/>
  <c r="D385" i="3"/>
  <c r="F385" i="3"/>
  <c r="I377" i="3"/>
  <c r="E377" i="3"/>
  <c r="K377" i="3"/>
  <c r="D377" i="3"/>
  <c r="F377" i="3"/>
  <c r="I369" i="3"/>
  <c r="E369" i="3"/>
  <c r="K369" i="3"/>
  <c r="D369" i="3"/>
  <c r="F369" i="3"/>
  <c r="I361" i="3"/>
  <c r="E361" i="3"/>
  <c r="D361" i="3"/>
  <c r="K361" i="3"/>
  <c r="F361" i="3"/>
  <c r="K355" i="3"/>
  <c r="F355" i="3"/>
  <c r="E355" i="3"/>
  <c r="I355" i="3"/>
  <c r="D355" i="3"/>
  <c r="F347" i="3"/>
  <c r="K347" i="3"/>
  <c r="E347" i="3"/>
  <c r="I347" i="3"/>
  <c r="D347" i="3"/>
  <c r="F339" i="3"/>
  <c r="K339" i="3"/>
  <c r="E339" i="3"/>
  <c r="I339" i="3"/>
  <c r="D339" i="3"/>
  <c r="F331" i="3"/>
  <c r="K331" i="3"/>
  <c r="E331" i="3"/>
  <c r="I331" i="3"/>
  <c r="D331" i="3"/>
  <c r="F323" i="3"/>
  <c r="K323" i="3"/>
  <c r="E323" i="3"/>
  <c r="I323" i="3"/>
  <c r="D323" i="3"/>
  <c r="F315" i="3"/>
  <c r="K315" i="3"/>
  <c r="E315" i="3"/>
  <c r="I315" i="3"/>
  <c r="D315" i="3"/>
  <c r="D307" i="3"/>
  <c r="K307" i="3"/>
  <c r="I307" i="3"/>
  <c r="F307" i="3"/>
  <c r="E307" i="3"/>
  <c r="R275" i="3"/>
  <c r="Q275" i="3"/>
  <c r="Q273" i="3"/>
  <c r="R273" i="3"/>
  <c r="R255" i="3"/>
  <c r="Q255" i="3"/>
  <c r="H230" i="3"/>
  <c r="G230" i="3"/>
  <c r="R192" i="3"/>
  <c r="Q192" i="3"/>
  <c r="R139" i="3"/>
  <c r="Q139" i="3"/>
  <c r="R107" i="3"/>
  <c r="Q107" i="3"/>
  <c r="R95" i="3"/>
  <c r="Q95" i="3"/>
  <c r="H80" i="3"/>
  <c r="G80" i="3"/>
  <c r="G78" i="3"/>
  <c r="H78" i="3"/>
  <c r="K45" i="6"/>
  <c r="G55" i="3"/>
  <c r="H55" i="3"/>
  <c r="H39" i="3"/>
  <c r="G39" i="3"/>
  <c r="I680" i="3"/>
  <c r="E680" i="3"/>
  <c r="D680" i="3"/>
  <c r="K680" i="3"/>
  <c r="F680" i="3"/>
  <c r="I672" i="3"/>
  <c r="E672" i="3"/>
  <c r="D672" i="3"/>
  <c r="K672" i="3"/>
  <c r="F672" i="3"/>
  <c r="K664" i="3"/>
  <c r="F664" i="3"/>
  <c r="I664" i="3"/>
  <c r="E664" i="3"/>
  <c r="D664" i="3"/>
  <c r="K656" i="3"/>
  <c r="F656" i="3"/>
  <c r="I656" i="3"/>
  <c r="E656" i="3"/>
  <c r="D656" i="3"/>
  <c r="K648" i="3"/>
  <c r="F648" i="3"/>
  <c r="I648" i="3"/>
  <c r="E648" i="3"/>
  <c r="D648" i="3"/>
  <c r="F640" i="3"/>
  <c r="I640" i="3"/>
  <c r="E640" i="3"/>
  <c r="D640" i="3"/>
  <c r="K640" i="3"/>
  <c r="F632" i="3"/>
  <c r="K632" i="3"/>
  <c r="E632" i="3"/>
  <c r="I632" i="3"/>
  <c r="D632" i="3"/>
  <c r="F624" i="3"/>
  <c r="I624" i="3"/>
  <c r="E624" i="3"/>
  <c r="D624" i="3"/>
  <c r="K624" i="3"/>
  <c r="F616" i="3"/>
  <c r="I616" i="3"/>
  <c r="E616" i="3"/>
  <c r="D616" i="3"/>
  <c r="K616" i="3"/>
  <c r="F584" i="3"/>
  <c r="K584" i="3"/>
  <c r="E584" i="3"/>
  <c r="I584" i="3"/>
  <c r="D584" i="3"/>
  <c r="K576" i="3"/>
  <c r="F576" i="3"/>
  <c r="I576" i="3"/>
  <c r="E576" i="3"/>
  <c r="D576" i="3"/>
  <c r="K568" i="3"/>
  <c r="I568" i="3"/>
  <c r="E568" i="3"/>
  <c r="F568" i="3"/>
  <c r="D568" i="3"/>
  <c r="D560" i="3"/>
  <c r="F560" i="3"/>
  <c r="I560" i="3"/>
  <c r="E560" i="3"/>
  <c r="K560" i="3"/>
  <c r="D552" i="3"/>
  <c r="F552" i="3"/>
  <c r="I552" i="3"/>
  <c r="E552" i="3"/>
  <c r="K552" i="3"/>
  <c r="F544" i="3"/>
  <c r="I544" i="3"/>
  <c r="E544" i="3"/>
  <c r="D544" i="3"/>
  <c r="K544" i="3"/>
  <c r="F536" i="3"/>
  <c r="I536" i="3"/>
  <c r="E536" i="3"/>
  <c r="D536" i="3"/>
  <c r="K536" i="3"/>
  <c r="F528" i="3"/>
  <c r="I528" i="3"/>
  <c r="E528" i="3"/>
  <c r="D528" i="3"/>
  <c r="K528" i="3"/>
  <c r="F520" i="3"/>
  <c r="I520" i="3"/>
  <c r="E520" i="3"/>
  <c r="D520" i="3"/>
  <c r="K520" i="3"/>
  <c r="F512" i="3"/>
  <c r="I512" i="3"/>
  <c r="E512" i="3"/>
  <c r="D512" i="3"/>
  <c r="K512" i="3"/>
  <c r="F504" i="3"/>
  <c r="I504" i="3"/>
  <c r="E504" i="3"/>
  <c r="D504" i="3"/>
  <c r="K504" i="3"/>
  <c r="Q495" i="3"/>
  <c r="R495" i="3"/>
  <c r="R487" i="3"/>
  <c r="Q487" i="3"/>
  <c r="R483" i="3"/>
  <c r="Q483" i="3"/>
  <c r="F470" i="3"/>
  <c r="I470" i="3"/>
  <c r="E470" i="3"/>
  <c r="D470" i="3"/>
  <c r="K470" i="3"/>
  <c r="M452" i="3"/>
  <c r="U452" i="3"/>
  <c r="P452" i="3"/>
  <c r="O452" i="3"/>
  <c r="S452" i="3" s="1"/>
  <c r="N452" i="3"/>
  <c r="O444" i="3"/>
  <c r="S444" i="3" s="1"/>
  <c r="M444" i="3"/>
  <c r="P444" i="3"/>
  <c r="U444" i="3"/>
  <c r="N444" i="3"/>
  <c r="O436" i="3"/>
  <c r="S436" i="3" s="1"/>
  <c r="M436" i="3"/>
  <c r="P436" i="3"/>
  <c r="U436" i="3"/>
  <c r="N436" i="3"/>
  <c r="O428" i="3"/>
  <c r="S428" i="3" s="1"/>
  <c r="M428" i="3"/>
  <c r="P428" i="3"/>
  <c r="U428" i="3"/>
  <c r="N428" i="3"/>
  <c r="N420" i="3"/>
  <c r="U420" i="3"/>
  <c r="P420" i="3"/>
  <c r="M420" i="3"/>
  <c r="O420" i="3"/>
  <c r="S420" i="3" s="1"/>
  <c r="M412" i="3"/>
  <c r="O412" i="3"/>
  <c r="S412" i="3" s="1"/>
  <c r="P412" i="3"/>
  <c r="N412" i="3"/>
  <c r="U412" i="3"/>
  <c r="M404" i="3"/>
  <c r="O404" i="3"/>
  <c r="S404" i="3" s="1"/>
  <c r="P404" i="3"/>
  <c r="N404" i="3"/>
  <c r="U404" i="3"/>
  <c r="M396" i="3"/>
  <c r="R396" i="3" s="1"/>
  <c r="O396" i="3"/>
  <c r="S396" i="3" s="1"/>
  <c r="P396" i="3"/>
  <c r="N396" i="3"/>
  <c r="U396" i="3"/>
  <c r="U388" i="3"/>
  <c r="P388" i="3"/>
  <c r="N388" i="3"/>
  <c r="O388" i="3"/>
  <c r="S388" i="3" s="1"/>
  <c r="M388" i="3"/>
  <c r="U380" i="3"/>
  <c r="P380" i="3"/>
  <c r="N380" i="3"/>
  <c r="O380" i="3"/>
  <c r="S380" i="3" s="1"/>
  <c r="M380" i="3"/>
  <c r="U372" i="3"/>
  <c r="P372" i="3"/>
  <c r="N372" i="3"/>
  <c r="O372" i="3"/>
  <c r="S372" i="3" s="1"/>
  <c r="M372" i="3"/>
  <c r="U364" i="3"/>
  <c r="P364" i="3"/>
  <c r="N364" i="3"/>
  <c r="M364" i="3"/>
  <c r="O364" i="3"/>
  <c r="S364" i="3" s="1"/>
  <c r="N354" i="3"/>
  <c r="U354" i="3"/>
  <c r="O354" i="3"/>
  <c r="S354" i="3" s="1"/>
  <c r="M354" i="3"/>
  <c r="P354" i="3"/>
  <c r="M346" i="3"/>
  <c r="U346" i="3"/>
  <c r="O346" i="3"/>
  <c r="S346" i="3" s="1"/>
  <c r="N346" i="3"/>
  <c r="P346" i="3"/>
  <c r="M338" i="3"/>
  <c r="U338" i="3"/>
  <c r="O338" i="3"/>
  <c r="S338" i="3" s="1"/>
  <c r="N338" i="3"/>
  <c r="P338" i="3"/>
  <c r="M330" i="3"/>
  <c r="U330" i="3"/>
  <c r="O330" i="3"/>
  <c r="S330" i="3" s="1"/>
  <c r="N330" i="3"/>
  <c r="P330" i="3"/>
  <c r="M322" i="3"/>
  <c r="U322" i="3"/>
  <c r="O322" i="3"/>
  <c r="S322" i="3" s="1"/>
  <c r="N322" i="3"/>
  <c r="P322" i="3"/>
  <c r="M314" i="3"/>
  <c r="U314" i="3"/>
  <c r="O314" i="3"/>
  <c r="S314" i="3" s="1"/>
  <c r="N314" i="3"/>
  <c r="P314" i="3"/>
  <c r="O306" i="3"/>
  <c r="S306" i="3" s="1"/>
  <c r="N306" i="3"/>
  <c r="U306" i="3"/>
  <c r="P306" i="3"/>
  <c r="M306" i="3"/>
  <c r="U297" i="3"/>
  <c r="P297" i="3"/>
  <c r="O297" i="3"/>
  <c r="S297" i="3" s="1"/>
  <c r="N297" i="3"/>
  <c r="M297" i="3"/>
  <c r="U289" i="3"/>
  <c r="P289" i="3"/>
  <c r="O289" i="3"/>
  <c r="S289" i="3" s="1"/>
  <c r="N289" i="3"/>
  <c r="M289" i="3"/>
  <c r="U281" i="3"/>
  <c r="P281" i="3"/>
  <c r="O281" i="3"/>
  <c r="S281" i="3" s="1"/>
  <c r="N281" i="3"/>
  <c r="M281" i="3"/>
  <c r="H277" i="3"/>
  <c r="G277" i="3"/>
  <c r="H275" i="3"/>
  <c r="G275" i="3"/>
  <c r="H269" i="3"/>
  <c r="G269" i="3"/>
  <c r="H267" i="3"/>
  <c r="G267" i="3"/>
  <c r="H261" i="3"/>
  <c r="G261" i="3"/>
  <c r="H259" i="3"/>
  <c r="G259" i="3"/>
  <c r="H253" i="3"/>
  <c r="G253" i="3"/>
  <c r="H251" i="3"/>
  <c r="G251" i="3"/>
  <c r="H245" i="3"/>
  <c r="G245" i="3"/>
  <c r="H243" i="3"/>
  <c r="G243" i="3"/>
  <c r="H237" i="3"/>
  <c r="G237" i="3"/>
  <c r="H235" i="3"/>
  <c r="G235" i="3"/>
  <c r="G216" i="3"/>
  <c r="H216" i="3"/>
  <c r="H206" i="3"/>
  <c r="G206" i="3"/>
  <c r="H190" i="3"/>
  <c r="G190" i="3"/>
  <c r="H174" i="3"/>
  <c r="G174" i="3"/>
  <c r="H170" i="3"/>
  <c r="G170" i="3"/>
  <c r="G147" i="3"/>
  <c r="H147" i="3"/>
  <c r="H141" i="3"/>
  <c r="G141" i="3"/>
  <c r="G139" i="3"/>
  <c r="H139" i="3"/>
  <c r="H131" i="3"/>
  <c r="G131" i="3"/>
  <c r="G107" i="3"/>
  <c r="H107" i="3"/>
  <c r="G99" i="3"/>
  <c r="H99" i="3"/>
  <c r="H93" i="3"/>
  <c r="G93" i="3"/>
  <c r="Q83" i="3"/>
  <c r="R83" i="3"/>
  <c r="K47" i="6"/>
  <c r="H68" i="3"/>
  <c r="G68" i="3"/>
  <c r="G66" i="3"/>
  <c r="H66" i="3"/>
  <c r="Q60" i="3"/>
  <c r="R60" i="3"/>
  <c r="M48" i="3"/>
  <c r="U48" i="3"/>
  <c r="P48" i="3"/>
  <c r="O48" i="3"/>
  <c r="S48" i="3" s="1"/>
  <c r="N48" i="3"/>
  <c r="O44" i="3"/>
  <c r="S44" i="3" s="1"/>
  <c r="N44" i="3"/>
  <c r="U44" i="3"/>
  <c r="M44" i="3"/>
  <c r="P44" i="3"/>
  <c r="O40" i="3"/>
  <c r="S40" i="3" s="1"/>
  <c r="N40" i="3"/>
  <c r="M40" i="3"/>
  <c r="U40" i="3"/>
  <c r="P40" i="3"/>
  <c r="K15" i="6"/>
  <c r="K16" i="6"/>
  <c r="R26" i="3"/>
  <c r="Q26" i="3"/>
  <c r="N20" i="3"/>
  <c r="M20" i="3"/>
  <c r="U20" i="3"/>
  <c r="P20" i="3"/>
  <c r="O20" i="3"/>
  <c r="S20" i="3" s="1"/>
  <c r="R12" i="3"/>
  <c r="Q12" i="3"/>
  <c r="R4" i="3"/>
  <c r="Q4" i="3"/>
  <c r="N4" i="2"/>
  <c r="N12" i="2"/>
  <c r="N20" i="2"/>
  <c r="N28" i="2"/>
  <c r="N36" i="2"/>
  <c r="N44" i="2"/>
  <c r="N52" i="2"/>
  <c r="N60" i="2"/>
  <c r="N68" i="2"/>
  <c r="N76" i="2"/>
  <c r="N84" i="2"/>
  <c r="N177" i="2"/>
  <c r="N185" i="2"/>
  <c r="N193" i="2"/>
  <c r="N201" i="2"/>
  <c r="N209" i="2"/>
  <c r="N217" i="2"/>
  <c r="N225" i="2"/>
  <c r="N233" i="2"/>
  <c r="N260" i="2"/>
  <c r="N499" i="2"/>
  <c r="N507" i="2"/>
  <c r="N515" i="2"/>
  <c r="N523" i="2"/>
  <c r="N531" i="2"/>
  <c r="N539" i="2"/>
  <c r="N547" i="2"/>
  <c r="N555" i="2"/>
  <c r="N563" i="2"/>
  <c r="N571" i="2"/>
  <c r="N579" i="2"/>
  <c r="N587" i="2"/>
  <c r="N595" i="2"/>
  <c r="N603" i="2"/>
  <c r="N611" i="2"/>
  <c r="N658" i="2"/>
  <c r="N666" i="2"/>
  <c r="N674" i="2"/>
  <c r="N682" i="2"/>
  <c r="N690" i="2"/>
  <c r="N698" i="2"/>
  <c r="N706" i="2"/>
  <c r="N714" i="2"/>
  <c r="N722" i="2"/>
  <c r="N760" i="2"/>
  <c r="N768" i="2"/>
  <c r="N95" i="2"/>
  <c r="N103" i="2"/>
  <c r="N111" i="2"/>
  <c r="N119" i="2"/>
  <c r="N127" i="2"/>
  <c r="N135" i="2"/>
  <c r="N143" i="2"/>
  <c r="N151" i="2"/>
  <c r="N159" i="2"/>
  <c r="N167" i="2"/>
  <c r="N175" i="2"/>
  <c r="N249" i="2"/>
  <c r="N261" i="2"/>
  <c r="N269" i="2"/>
  <c r="N277" i="2"/>
  <c r="N285" i="2"/>
  <c r="N293" i="2"/>
  <c r="N301" i="2"/>
  <c r="N309" i="2"/>
  <c r="N317" i="2"/>
  <c r="N325" i="2"/>
  <c r="N333" i="2"/>
  <c r="N341" i="2"/>
  <c r="N349" i="2"/>
  <c r="N357" i="2"/>
  <c r="N365" i="2"/>
  <c r="N373" i="2"/>
  <c r="N381" i="2"/>
  <c r="N389" i="2"/>
  <c r="N397" i="2"/>
  <c r="N405" i="2"/>
  <c r="N413" i="2"/>
  <c r="N421" i="2"/>
  <c r="N429" i="2"/>
  <c r="N437" i="2"/>
  <c r="N445" i="2"/>
  <c r="N453" i="2"/>
  <c r="N461" i="2"/>
  <c r="N469" i="2"/>
  <c r="N477" i="2"/>
  <c r="N485" i="2"/>
  <c r="N614" i="2"/>
  <c r="N622" i="2"/>
  <c r="N630" i="2"/>
  <c r="N638" i="2"/>
  <c r="N646" i="2"/>
  <c r="N723" i="2"/>
  <c r="N732" i="2"/>
  <c r="N740" i="2"/>
  <c r="N748" i="2"/>
  <c r="N773" i="2"/>
  <c r="N781" i="2"/>
  <c r="N789" i="2"/>
  <c r="N5" i="2"/>
  <c r="N13" i="2"/>
  <c r="N21" i="2"/>
  <c r="N29" i="2"/>
  <c r="N37" i="2"/>
  <c r="N45" i="2"/>
  <c r="N53" i="2"/>
  <c r="N61" i="2"/>
  <c r="N69" i="2"/>
  <c r="N77" i="2"/>
  <c r="N85" i="2"/>
  <c r="N180" i="2"/>
  <c r="N188" i="2"/>
  <c r="N196" i="2"/>
  <c r="N204" i="2"/>
  <c r="N212" i="2"/>
  <c r="N220" i="2"/>
  <c r="N228" i="2"/>
  <c r="N236" i="2"/>
  <c r="N255" i="2"/>
  <c r="N498" i="2"/>
  <c r="N506" i="2"/>
  <c r="N514" i="2"/>
  <c r="N522" i="2"/>
  <c r="N530" i="2"/>
  <c r="N538" i="2"/>
  <c r="N546" i="2"/>
  <c r="N554" i="2"/>
  <c r="N562" i="2"/>
  <c r="N570" i="2"/>
  <c r="N578" i="2"/>
  <c r="N586" i="2"/>
  <c r="N594" i="2"/>
  <c r="N602" i="2"/>
  <c r="N610" i="2"/>
  <c r="N659" i="2"/>
  <c r="N667" i="2"/>
  <c r="N675" i="2"/>
  <c r="N683" i="2"/>
  <c r="N691" i="2"/>
  <c r="N699" i="2"/>
  <c r="N707" i="2"/>
  <c r="N715" i="2"/>
  <c r="N755" i="2"/>
  <c r="N763" i="2"/>
  <c r="N771" i="2"/>
  <c r="N96" i="2"/>
  <c r="N104" i="2"/>
  <c r="N112" i="2"/>
  <c r="N120" i="2"/>
  <c r="N128" i="2"/>
  <c r="N136" i="2"/>
  <c r="N144" i="2"/>
  <c r="N152" i="2"/>
  <c r="N160" i="2"/>
  <c r="N168" i="2"/>
  <c r="N176" i="2"/>
  <c r="N246" i="2"/>
  <c r="N256" i="2"/>
  <c r="N266" i="2"/>
  <c r="N274" i="2"/>
  <c r="N282" i="2"/>
  <c r="N290" i="2"/>
  <c r="N298" i="2"/>
  <c r="N306" i="2"/>
  <c r="N314" i="2"/>
  <c r="N322" i="2"/>
  <c r="N330" i="2"/>
  <c r="N338" i="2"/>
  <c r="N346" i="2"/>
  <c r="N354" i="2"/>
  <c r="N362" i="2"/>
  <c r="N370" i="2"/>
  <c r="N378" i="2"/>
  <c r="N386" i="2"/>
  <c r="N394" i="2"/>
  <c r="N402" i="2"/>
  <c r="N410" i="2"/>
  <c r="N418" i="2"/>
  <c r="N426" i="2"/>
  <c r="N434" i="2"/>
  <c r="N442" i="2"/>
  <c r="N450" i="2"/>
  <c r="N458" i="2"/>
  <c r="N466" i="2"/>
  <c r="N474" i="2"/>
  <c r="N482" i="2"/>
  <c r="N490" i="2"/>
  <c r="N619" i="2"/>
  <c r="N627" i="2"/>
  <c r="N635" i="2"/>
  <c r="N643" i="2"/>
  <c r="N651" i="2"/>
  <c r="N729" i="2"/>
  <c r="N737" i="2"/>
  <c r="N745" i="2"/>
  <c r="N753" i="2"/>
  <c r="N778" i="2"/>
  <c r="N786" i="2"/>
  <c r="N794" i="2"/>
  <c r="K100" i="6"/>
  <c r="K64" i="6"/>
  <c r="K77" i="6"/>
  <c r="K80" i="6"/>
  <c r="K88" i="6"/>
  <c r="K96" i="6"/>
  <c r="Q141" i="3"/>
  <c r="R141" i="3"/>
  <c r="K66" i="6"/>
  <c r="Q68" i="3"/>
  <c r="R68" i="3"/>
  <c r="H11" i="3"/>
  <c r="G11" i="3"/>
  <c r="H728" i="3"/>
  <c r="G728" i="3"/>
  <c r="H722" i="3"/>
  <c r="G722" i="3"/>
  <c r="G700" i="3"/>
  <c r="H700" i="3"/>
  <c r="M729" i="3"/>
  <c r="P729" i="3"/>
  <c r="U729" i="3"/>
  <c r="O729" i="3"/>
  <c r="S729" i="3" s="1"/>
  <c r="N729" i="3"/>
  <c r="O721" i="3"/>
  <c r="S721" i="3" s="1"/>
  <c r="N721" i="3"/>
  <c r="M721" i="3"/>
  <c r="U721" i="3"/>
  <c r="P721" i="3"/>
  <c r="M705" i="3"/>
  <c r="U705" i="3"/>
  <c r="P705" i="3"/>
  <c r="N705" i="3"/>
  <c r="O705" i="3"/>
  <c r="S705" i="3" s="1"/>
  <c r="U697" i="3"/>
  <c r="P697" i="3"/>
  <c r="O697" i="3"/>
  <c r="S697" i="3" s="1"/>
  <c r="N697" i="3"/>
  <c r="M697" i="3"/>
  <c r="Z5" i="10"/>
  <c r="Y5" i="10"/>
  <c r="H724" i="3"/>
  <c r="G724" i="3"/>
  <c r="H720" i="3"/>
  <c r="G720" i="3"/>
  <c r="H712" i="3"/>
  <c r="G712" i="3"/>
  <c r="H708" i="3"/>
  <c r="G708" i="3"/>
  <c r="H698" i="3"/>
  <c r="G698" i="3"/>
  <c r="H688" i="3"/>
  <c r="G688" i="3"/>
  <c r="M731" i="3"/>
  <c r="P731" i="3"/>
  <c r="U731" i="3"/>
  <c r="O731" i="3"/>
  <c r="S731" i="3" s="1"/>
  <c r="N731" i="3"/>
  <c r="M723" i="3"/>
  <c r="P723" i="3"/>
  <c r="O723" i="3"/>
  <c r="S723" i="3" s="1"/>
  <c r="U723" i="3"/>
  <c r="N723" i="3"/>
  <c r="M715" i="3"/>
  <c r="U715" i="3"/>
  <c r="P715" i="3"/>
  <c r="O715" i="3"/>
  <c r="S715" i="3" s="1"/>
  <c r="N715" i="3"/>
  <c r="O707" i="3"/>
  <c r="S707" i="3" s="1"/>
  <c r="N707" i="3"/>
  <c r="M707" i="3"/>
  <c r="U707" i="3"/>
  <c r="P707" i="3"/>
  <c r="N699" i="3"/>
  <c r="U699" i="3"/>
  <c r="O699" i="3"/>
  <c r="S699" i="3" s="1"/>
  <c r="M699" i="3"/>
  <c r="P699" i="3"/>
  <c r="N691" i="3"/>
  <c r="U691" i="3"/>
  <c r="O691" i="3"/>
  <c r="S691" i="3" s="1"/>
  <c r="M691" i="3"/>
  <c r="P691" i="3"/>
  <c r="G605" i="3"/>
  <c r="H605" i="3"/>
  <c r="G601" i="3"/>
  <c r="H601" i="3"/>
  <c r="G597" i="3"/>
  <c r="H597" i="3"/>
  <c r="G593" i="3"/>
  <c r="H593" i="3"/>
  <c r="G589" i="3"/>
  <c r="H589" i="3"/>
  <c r="H492" i="3"/>
  <c r="G492" i="3"/>
  <c r="H480" i="3"/>
  <c r="G480" i="3"/>
  <c r="H463" i="3"/>
  <c r="G463" i="3"/>
  <c r="H459" i="3"/>
  <c r="G459" i="3"/>
  <c r="F129" i="4"/>
  <c r="F52" i="4"/>
  <c r="H735" i="3"/>
  <c r="G735" i="3"/>
  <c r="H733" i="3"/>
  <c r="G733" i="3"/>
  <c r="H731" i="3"/>
  <c r="G731" i="3"/>
  <c r="H729" i="3"/>
  <c r="G729" i="3"/>
  <c r="H727" i="3"/>
  <c r="G727" i="3"/>
  <c r="H719" i="3"/>
  <c r="G719" i="3"/>
  <c r="G717" i="3"/>
  <c r="H717" i="3"/>
  <c r="H711" i="3"/>
  <c r="G711" i="3"/>
  <c r="H705" i="3"/>
  <c r="G705" i="3"/>
  <c r="G703" i="3"/>
  <c r="H703" i="3"/>
  <c r="G695" i="3"/>
  <c r="H695" i="3"/>
  <c r="O736" i="3"/>
  <c r="S736" i="3" s="1"/>
  <c r="U736" i="3"/>
  <c r="N736" i="3"/>
  <c r="M736" i="3"/>
  <c r="P736" i="3"/>
  <c r="O728" i="3"/>
  <c r="S728" i="3" s="1"/>
  <c r="U728" i="3"/>
  <c r="N728" i="3"/>
  <c r="M728" i="3"/>
  <c r="P728" i="3"/>
  <c r="N720" i="3"/>
  <c r="M720" i="3"/>
  <c r="U720" i="3"/>
  <c r="P720" i="3"/>
  <c r="O720" i="3"/>
  <c r="S720" i="3" s="1"/>
  <c r="N712" i="3"/>
  <c r="M712" i="3"/>
  <c r="U712" i="3"/>
  <c r="P712" i="3"/>
  <c r="O712" i="3"/>
  <c r="S712" i="3" s="1"/>
  <c r="U704" i="3"/>
  <c r="P704" i="3"/>
  <c r="O704" i="3"/>
  <c r="S704" i="3" s="1"/>
  <c r="N704" i="3"/>
  <c r="M704" i="3"/>
  <c r="O696" i="3"/>
  <c r="S696" i="3" s="1"/>
  <c r="U696" i="3"/>
  <c r="N696" i="3"/>
  <c r="M696" i="3"/>
  <c r="P696" i="3"/>
  <c r="M688" i="3"/>
  <c r="U688" i="3"/>
  <c r="P688" i="3"/>
  <c r="O688" i="3"/>
  <c r="S688" i="3" s="1"/>
  <c r="N688" i="3"/>
  <c r="H606" i="3"/>
  <c r="G606" i="3"/>
  <c r="H602" i="3"/>
  <c r="G602" i="3"/>
  <c r="H594" i="3"/>
  <c r="G594" i="3"/>
  <c r="G497" i="3"/>
  <c r="H497" i="3"/>
  <c r="H491" i="3"/>
  <c r="G491" i="3"/>
  <c r="G489" i="3"/>
  <c r="H489" i="3"/>
  <c r="H487" i="3"/>
  <c r="G487" i="3"/>
  <c r="H460" i="3"/>
  <c r="G460" i="3"/>
  <c r="G458" i="3"/>
  <c r="H458" i="3"/>
  <c r="D687" i="3"/>
  <c r="K687" i="3"/>
  <c r="F687" i="3"/>
  <c r="I687" i="3"/>
  <c r="E687" i="3"/>
  <c r="D679" i="3"/>
  <c r="K679" i="3"/>
  <c r="F679" i="3"/>
  <c r="I679" i="3"/>
  <c r="E679" i="3"/>
  <c r="F671" i="3"/>
  <c r="I671" i="3"/>
  <c r="E671" i="3"/>
  <c r="D671" i="3"/>
  <c r="K671" i="3"/>
  <c r="F663" i="3"/>
  <c r="I663" i="3"/>
  <c r="E663" i="3"/>
  <c r="D663" i="3"/>
  <c r="K663" i="3"/>
  <c r="F655" i="3"/>
  <c r="I655" i="3"/>
  <c r="E655" i="3"/>
  <c r="D655" i="3"/>
  <c r="K655" i="3"/>
  <c r="F647" i="3"/>
  <c r="I647" i="3"/>
  <c r="E647" i="3"/>
  <c r="D647" i="3"/>
  <c r="K647" i="3"/>
  <c r="I639" i="3"/>
  <c r="E639" i="3"/>
  <c r="D639" i="3"/>
  <c r="K639" i="3"/>
  <c r="F639" i="3"/>
  <c r="I631" i="3"/>
  <c r="E631" i="3"/>
  <c r="D631" i="3"/>
  <c r="F631" i="3"/>
  <c r="K631" i="3"/>
  <c r="I623" i="3"/>
  <c r="E623" i="3"/>
  <c r="D623" i="3"/>
  <c r="F623" i="3"/>
  <c r="K623" i="3"/>
  <c r="I615" i="3"/>
  <c r="E615" i="3"/>
  <c r="D615" i="3"/>
  <c r="F615" i="3"/>
  <c r="K615" i="3"/>
  <c r="Q597" i="3"/>
  <c r="R597" i="3"/>
  <c r="Q589" i="3"/>
  <c r="R589" i="3"/>
  <c r="I583" i="3"/>
  <c r="E583" i="3"/>
  <c r="K583" i="3"/>
  <c r="F583" i="3"/>
  <c r="D583" i="3"/>
  <c r="F575" i="3"/>
  <c r="I575" i="3"/>
  <c r="E575" i="3"/>
  <c r="D575" i="3"/>
  <c r="K575" i="3"/>
  <c r="F567" i="3"/>
  <c r="D567" i="3"/>
  <c r="E567" i="3"/>
  <c r="K567" i="3"/>
  <c r="I567" i="3"/>
  <c r="K559" i="3"/>
  <c r="I559" i="3"/>
  <c r="E559" i="3"/>
  <c r="F559" i="3"/>
  <c r="D559" i="3"/>
  <c r="K551" i="3"/>
  <c r="I551" i="3"/>
  <c r="E551" i="3"/>
  <c r="F551" i="3"/>
  <c r="D551" i="3"/>
  <c r="I543" i="3"/>
  <c r="E543" i="3"/>
  <c r="D543" i="3"/>
  <c r="K543" i="3"/>
  <c r="F543" i="3"/>
  <c r="I535" i="3"/>
  <c r="E535" i="3"/>
  <c r="D535" i="3"/>
  <c r="K535" i="3"/>
  <c r="F535" i="3"/>
  <c r="I527" i="3"/>
  <c r="E527" i="3"/>
  <c r="D527" i="3"/>
  <c r="K527" i="3"/>
  <c r="F527" i="3"/>
  <c r="I519" i="3"/>
  <c r="E519" i="3"/>
  <c r="D519" i="3"/>
  <c r="K519" i="3"/>
  <c r="F519" i="3"/>
  <c r="I511" i="3"/>
  <c r="E511" i="3"/>
  <c r="D511" i="3"/>
  <c r="K511" i="3"/>
  <c r="F511" i="3"/>
  <c r="I503" i="3"/>
  <c r="E503" i="3"/>
  <c r="D503" i="3"/>
  <c r="K503" i="3"/>
  <c r="F503" i="3"/>
  <c r="I477" i="3"/>
  <c r="E477" i="3"/>
  <c r="D477" i="3"/>
  <c r="K477" i="3"/>
  <c r="F477" i="3"/>
  <c r="I469" i="3"/>
  <c r="E469" i="3"/>
  <c r="D469" i="3"/>
  <c r="K469" i="3"/>
  <c r="F469" i="3"/>
  <c r="D451" i="3"/>
  <c r="K451" i="3"/>
  <c r="F451" i="3"/>
  <c r="I451" i="3"/>
  <c r="E451" i="3"/>
  <c r="F443" i="3"/>
  <c r="D443" i="3"/>
  <c r="K443" i="3"/>
  <c r="I443" i="3"/>
  <c r="E443" i="3"/>
  <c r="F435" i="3"/>
  <c r="D435" i="3"/>
  <c r="K435" i="3"/>
  <c r="I435" i="3"/>
  <c r="E435" i="3"/>
  <c r="F427" i="3"/>
  <c r="D427" i="3"/>
  <c r="K427" i="3"/>
  <c r="I427" i="3"/>
  <c r="E427" i="3"/>
  <c r="I419" i="3"/>
  <c r="E419" i="3"/>
  <c r="K419" i="3"/>
  <c r="F419" i="3"/>
  <c r="D419" i="3"/>
  <c r="D411" i="3"/>
  <c r="F411" i="3"/>
  <c r="E411" i="3"/>
  <c r="K411" i="3"/>
  <c r="I411" i="3"/>
  <c r="D403" i="3"/>
  <c r="F403" i="3"/>
  <c r="E403" i="3"/>
  <c r="K403" i="3"/>
  <c r="I403" i="3"/>
  <c r="D395" i="3"/>
  <c r="F395" i="3"/>
  <c r="E395" i="3"/>
  <c r="K395" i="3"/>
  <c r="I395" i="3"/>
  <c r="K387" i="3"/>
  <c r="I387" i="3"/>
  <c r="E387" i="3"/>
  <c r="D387" i="3"/>
  <c r="F387" i="3"/>
  <c r="K379" i="3"/>
  <c r="I379" i="3"/>
  <c r="E379" i="3"/>
  <c r="D379" i="3"/>
  <c r="F379" i="3"/>
  <c r="K371" i="3"/>
  <c r="I371" i="3"/>
  <c r="E371" i="3"/>
  <c r="D371" i="3"/>
  <c r="F371" i="3"/>
  <c r="K363" i="3"/>
  <c r="F363" i="3"/>
  <c r="E363" i="3"/>
  <c r="D363" i="3"/>
  <c r="I363" i="3"/>
  <c r="I353" i="3"/>
  <c r="E353" i="3"/>
  <c r="F353" i="3"/>
  <c r="D353" i="3"/>
  <c r="K353" i="3"/>
  <c r="D345" i="3"/>
  <c r="K345" i="3"/>
  <c r="F345" i="3"/>
  <c r="I345" i="3"/>
  <c r="E345" i="3"/>
  <c r="D337" i="3"/>
  <c r="K337" i="3"/>
  <c r="F337" i="3"/>
  <c r="I337" i="3"/>
  <c r="E337" i="3"/>
  <c r="D329" i="3"/>
  <c r="K329" i="3"/>
  <c r="F329" i="3"/>
  <c r="I329" i="3"/>
  <c r="E329" i="3"/>
  <c r="D321" i="3"/>
  <c r="K321" i="3"/>
  <c r="F321" i="3"/>
  <c r="I321" i="3"/>
  <c r="E321" i="3"/>
  <c r="D313" i="3"/>
  <c r="K313" i="3"/>
  <c r="F313" i="3"/>
  <c r="I313" i="3"/>
  <c r="E313" i="3"/>
  <c r="F305" i="3"/>
  <c r="I305" i="3"/>
  <c r="E305" i="3"/>
  <c r="D305" i="3"/>
  <c r="K305" i="3"/>
  <c r="G302" i="3"/>
  <c r="H302" i="3"/>
  <c r="O296" i="3"/>
  <c r="S296" i="3" s="1"/>
  <c r="N296" i="3"/>
  <c r="U296" i="3"/>
  <c r="P296" i="3"/>
  <c r="M296" i="3"/>
  <c r="O288" i="3"/>
  <c r="S288" i="3" s="1"/>
  <c r="U288" i="3"/>
  <c r="N288" i="3"/>
  <c r="M288" i="3"/>
  <c r="P288" i="3"/>
  <c r="O280" i="3"/>
  <c r="S280" i="3" s="1"/>
  <c r="U280" i="3"/>
  <c r="N280" i="3"/>
  <c r="M280" i="3"/>
  <c r="P280" i="3"/>
  <c r="O272" i="3"/>
  <c r="S272" i="3" s="1"/>
  <c r="U272" i="3"/>
  <c r="N272" i="3"/>
  <c r="M272" i="3"/>
  <c r="P272" i="3"/>
  <c r="O264" i="3"/>
  <c r="S264" i="3" s="1"/>
  <c r="U264" i="3"/>
  <c r="N264" i="3"/>
  <c r="M264" i="3"/>
  <c r="P264" i="3"/>
  <c r="O256" i="3"/>
  <c r="S256" i="3" s="1"/>
  <c r="U256" i="3"/>
  <c r="N256" i="3"/>
  <c r="M256" i="3"/>
  <c r="P256" i="3"/>
  <c r="O248" i="3"/>
  <c r="S248" i="3" s="1"/>
  <c r="U248" i="3"/>
  <c r="N248" i="3"/>
  <c r="M248" i="3"/>
  <c r="P248" i="3"/>
  <c r="O240" i="3"/>
  <c r="S240" i="3" s="1"/>
  <c r="U240" i="3"/>
  <c r="N240" i="3"/>
  <c r="M240" i="3"/>
  <c r="P240" i="3"/>
  <c r="O232" i="3"/>
  <c r="S232" i="3" s="1"/>
  <c r="U232" i="3"/>
  <c r="N232" i="3"/>
  <c r="M232" i="3"/>
  <c r="P232" i="3"/>
  <c r="H227" i="3"/>
  <c r="G227" i="3"/>
  <c r="H225" i="3"/>
  <c r="G225" i="3"/>
  <c r="N215" i="3"/>
  <c r="U215" i="3"/>
  <c r="O215" i="3"/>
  <c r="S215" i="3" s="1"/>
  <c r="M215" i="3"/>
  <c r="P215" i="3"/>
  <c r="M207" i="3"/>
  <c r="P207" i="3"/>
  <c r="U207" i="3"/>
  <c r="O207" i="3"/>
  <c r="S207" i="3" s="1"/>
  <c r="N207" i="3"/>
  <c r="M199" i="3"/>
  <c r="P199" i="3"/>
  <c r="U199" i="3"/>
  <c r="O199" i="3"/>
  <c r="S199" i="3" s="1"/>
  <c r="N199" i="3"/>
  <c r="M191" i="3"/>
  <c r="P191" i="3"/>
  <c r="U191" i="3"/>
  <c r="O191" i="3"/>
  <c r="S191" i="3" s="1"/>
  <c r="N191" i="3"/>
  <c r="M183" i="3"/>
  <c r="P183" i="3"/>
  <c r="U183" i="3"/>
  <c r="O183" i="3"/>
  <c r="S183" i="3" s="1"/>
  <c r="N183" i="3"/>
  <c r="M175" i="3"/>
  <c r="P175" i="3"/>
  <c r="U175" i="3"/>
  <c r="O175" i="3"/>
  <c r="S175" i="3" s="1"/>
  <c r="N175" i="3"/>
  <c r="O167" i="3"/>
  <c r="S167" i="3" s="1"/>
  <c r="M167" i="3"/>
  <c r="U167" i="3"/>
  <c r="P167" i="3"/>
  <c r="N167" i="3"/>
  <c r="H164" i="3"/>
  <c r="G164" i="3"/>
  <c r="H156" i="3"/>
  <c r="G156" i="3"/>
  <c r="H152" i="3"/>
  <c r="G152" i="3"/>
  <c r="U144" i="3"/>
  <c r="P144" i="3"/>
  <c r="O144" i="3"/>
  <c r="S144" i="3" s="1"/>
  <c r="N144" i="3"/>
  <c r="M144" i="3"/>
  <c r="J74" i="6"/>
  <c r="K74" i="6" s="1"/>
  <c r="L136" i="3"/>
  <c r="N128" i="3"/>
  <c r="P128" i="3"/>
  <c r="M128" i="3"/>
  <c r="U128" i="3"/>
  <c r="O128" i="3"/>
  <c r="S128" i="3" s="1"/>
  <c r="J67" i="6"/>
  <c r="K67" i="6" s="1"/>
  <c r="L120" i="3"/>
  <c r="N112" i="3"/>
  <c r="P112" i="3"/>
  <c r="U112" i="3"/>
  <c r="O112" i="3"/>
  <c r="S112" i="3" s="1"/>
  <c r="M112" i="3"/>
  <c r="U104" i="3"/>
  <c r="P104" i="3"/>
  <c r="O104" i="3"/>
  <c r="S104" i="3" s="1"/>
  <c r="N104" i="3"/>
  <c r="M104" i="3"/>
  <c r="U96" i="3"/>
  <c r="P96" i="3"/>
  <c r="O96" i="3"/>
  <c r="S96" i="3" s="1"/>
  <c r="N96" i="3"/>
  <c r="M96" i="3"/>
  <c r="U88" i="3"/>
  <c r="P88" i="3"/>
  <c r="O88" i="3"/>
  <c r="S88" i="3" s="1"/>
  <c r="N88" i="3"/>
  <c r="M88" i="3"/>
  <c r="H81" i="3"/>
  <c r="G81" i="3"/>
  <c r="H73" i="3"/>
  <c r="G73" i="3"/>
  <c r="N65" i="3"/>
  <c r="M65" i="3"/>
  <c r="U65" i="3"/>
  <c r="P65" i="3"/>
  <c r="O65" i="3"/>
  <c r="S65" i="3" s="1"/>
  <c r="H58" i="3"/>
  <c r="G58" i="3"/>
  <c r="H36" i="3"/>
  <c r="G36" i="3"/>
  <c r="H28" i="3"/>
  <c r="G28" i="3"/>
  <c r="H20" i="3"/>
  <c r="G20" i="3"/>
  <c r="M226" i="3"/>
  <c r="O226" i="3"/>
  <c r="S226" i="3" s="1"/>
  <c r="N226" i="3"/>
  <c r="U226" i="3"/>
  <c r="P226" i="3"/>
  <c r="H199" i="3"/>
  <c r="G199" i="3"/>
  <c r="H183" i="3"/>
  <c r="G183" i="3"/>
  <c r="O163" i="3"/>
  <c r="S163" i="3" s="1"/>
  <c r="P163" i="3"/>
  <c r="U163" i="3"/>
  <c r="N163" i="3"/>
  <c r="M163" i="3"/>
  <c r="O155" i="3"/>
  <c r="S155" i="3" s="1"/>
  <c r="P155" i="3"/>
  <c r="U155" i="3"/>
  <c r="N155" i="3"/>
  <c r="M155" i="3"/>
  <c r="H144" i="3"/>
  <c r="G144" i="3"/>
  <c r="H124" i="3"/>
  <c r="G124" i="3"/>
  <c r="H100" i="3"/>
  <c r="G100" i="3"/>
  <c r="H65" i="3"/>
  <c r="G65" i="3"/>
  <c r="J36" i="6"/>
  <c r="K36" i="6" s="1"/>
  <c r="L55" i="3"/>
  <c r="J26" i="6"/>
  <c r="K26" i="6" s="1"/>
  <c r="L47" i="3"/>
  <c r="J19" i="6"/>
  <c r="K19" i="6" s="1"/>
  <c r="L35" i="3"/>
  <c r="J11" i="6"/>
  <c r="K11" i="6" s="1"/>
  <c r="L21" i="3"/>
  <c r="N7" i="3"/>
  <c r="M7" i="3"/>
  <c r="U7" i="3"/>
  <c r="P7" i="3"/>
  <c r="O7" i="3"/>
  <c r="S7" i="3" s="1"/>
  <c r="G224" i="3"/>
  <c r="H224" i="3"/>
  <c r="R200" i="3"/>
  <c r="Q200" i="3"/>
  <c r="R196" i="3"/>
  <c r="Q196" i="3"/>
  <c r="H165" i="3"/>
  <c r="G165" i="3"/>
  <c r="G159" i="3"/>
  <c r="H159" i="3"/>
  <c r="Q149" i="3"/>
  <c r="R149" i="3"/>
  <c r="O125" i="3"/>
  <c r="S125" i="3" s="1"/>
  <c r="P125" i="3"/>
  <c r="M125" i="3"/>
  <c r="U125" i="3"/>
  <c r="N125" i="3"/>
  <c r="K61" i="6"/>
  <c r="R103" i="3"/>
  <c r="Q103" i="3"/>
  <c r="H72" i="3"/>
  <c r="G72" i="3"/>
  <c r="H43" i="3"/>
  <c r="G43" i="3"/>
  <c r="G37" i="3"/>
  <c r="H37" i="3"/>
  <c r="H15" i="3"/>
  <c r="G15" i="3"/>
  <c r="O682" i="3"/>
  <c r="S682" i="3" s="1"/>
  <c r="N682" i="3"/>
  <c r="M682" i="3"/>
  <c r="P682" i="3"/>
  <c r="U682" i="3"/>
  <c r="O674" i="3"/>
  <c r="S674" i="3" s="1"/>
  <c r="N674" i="3"/>
  <c r="M674" i="3"/>
  <c r="U674" i="3"/>
  <c r="P674" i="3"/>
  <c r="M666" i="3"/>
  <c r="U666" i="3"/>
  <c r="P666" i="3"/>
  <c r="O666" i="3"/>
  <c r="S666" i="3" s="1"/>
  <c r="N666" i="3"/>
  <c r="M658" i="3"/>
  <c r="U658" i="3"/>
  <c r="P658" i="3"/>
  <c r="O658" i="3"/>
  <c r="S658" i="3" s="1"/>
  <c r="N658" i="3"/>
  <c r="M650" i="3"/>
  <c r="U650" i="3"/>
  <c r="P650" i="3"/>
  <c r="O650" i="3"/>
  <c r="S650" i="3" s="1"/>
  <c r="N650" i="3"/>
  <c r="U642" i="3"/>
  <c r="P642" i="3"/>
  <c r="O642" i="3"/>
  <c r="S642" i="3" s="1"/>
  <c r="M642" i="3"/>
  <c r="N642" i="3"/>
  <c r="U634" i="3"/>
  <c r="P634" i="3"/>
  <c r="O634" i="3"/>
  <c r="S634" i="3" s="1"/>
  <c r="N634" i="3"/>
  <c r="M634" i="3"/>
  <c r="U626" i="3"/>
  <c r="P626" i="3"/>
  <c r="O626" i="3"/>
  <c r="S626" i="3" s="1"/>
  <c r="M626" i="3"/>
  <c r="N626" i="3"/>
  <c r="U618" i="3"/>
  <c r="P618" i="3"/>
  <c r="O618" i="3"/>
  <c r="S618" i="3" s="1"/>
  <c r="M618" i="3"/>
  <c r="N618" i="3"/>
  <c r="U586" i="3"/>
  <c r="P586" i="3"/>
  <c r="O586" i="3"/>
  <c r="S586" i="3" s="1"/>
  <c r="N586" i="3"/>
  <c r="M586" i="3"/>
  <c r="U578" i="3"/>
  <c r="P578" i="3"/>
  <c r="O578" i="3"/>
  <c r="S578" i="3" s="1"/>
  <c r="N578" i="3"/>
  <c r="M578" i="3"/>
  <c r="M570" i="3"/>
  <c r="O570" i="3"/>
  <c r="S570" i="3" s="1"/>
  <c r="P570" i="3"/>
  <c r="N570" i="3"/>
  <c r="U570" i="3"/>
  <c r="N562" i="3"/>
  <c r="U562" i="3"/>
  <c r="P562" i="3"/>
  <c r="O562" i="3"/>
  <c r="S562" i="3" s="1"/>
  <c r="M562" i="3"/>
  <c r="N554" i="3"/>
  <c r="U554" i="3"/>
  <c r="P554" i="3"/>
  <c r="O554" i="3"/>
  <c r="S554" i="3" s="1"/>
  <c r="M554" i="3"/>
  <c r="N546" i="3"/>
  <c r="M546" i="3"/>
  <c r="P546" i="3"/>
  <c r="U546" i="3"/>
  <c r="O546" i="3"/>
  <c r="S546" i="3" s="1"/>
  <c r="U538" i="3"/>
  <c r="P538" i="3"/>
  <c r="O538" i="3"/>
  <c r="S538" i="3" s="1"/>
  <c r="N538" i="3"/>
  <c r="M538" i="3"/>
  <c r="U530" i="3"/>
  <c r="P530" i="3"/>
  <c r="O530" i="3"/>
  <c r="S530" i="3" s="1"/>
  <c r="N530" i="3"/>
  <c r="M530" i="3"/>
  <c r="U522" i="3"/>
  <c r="P522" i="3"/>
  <c r="O522" i="3"/>
  <c r="S522" i="3" s="1"/>
  <c r="N522" i="3"/>
  <c r="M522" i="3"/>
  <c r="U514" i="3"/>
  <c r="P514" i="3"/>
  <c r="O514" i="3"/>
  <c r="S514" i="3" s="1"/>
  <c r="N514" i="3"/>
  <c r="M514" i="3"/>
  <c r="U506" i="3"/>
  <c r="P506" i="3"/>
  <c r="O506" i="3"/>
  <c r="S506" i="3" s="1"/>
  <c r="N506" i="3"/>
  <c r="M506" i="3"/>
  <c r="U498" i="3"/>
  <c r="P498" i="3"/>
  <c r="O498" i="3"/>
  <c r="S498" i="3" s="1"/>
  <c r="N498" i="3"/>
  <c r="M498" i="3"/>
  <c r="R484" i="3"/>
  <c r="Q484" i="3"/>
  <c r="R482" i="3"/>
  <c r="Q482" i="3"/>
  <c r="U476" i="3"/>
  <c r="P476" i="3"/>
  <c r="O476" i="3"/>
  <c r="S476" i="3" s="1"/>
  <c r="N476" i="3"/>
  <c r="M476" i="3"/>
  <c r="U468" i="3"/>
  <c r="P468" i="3"/>
  <c r="O468" i="3"/>
  <c r="S468" i="3" s="1"/>
  <c r="N468" i="3"/>
  <c r="M468" i="3"/>
  <c r="R458" i="3"/>
  <c r="Q458" i="3"/>
  <c r="I446" i="3"/>
  <c r="E446" i="3"/>
  <c r="K446" i="3"/>
  <c r="D446" i="3"/>
  <c r="F446" i="3"/>
  <c r="I438" i="3"/>
  <c r="E438" i="3"/>
  <c r="K438" i="3"/>
  <c r="D438" i="3"/>
  <c r="F438" i="3"/>
  <c r="I430" i="3"/>
  <c r="E430" i="3"/>
  <c r="K430" i="3"/>
  <c r="D430" i="3"/>
  <c r="F430" i="3"/>
  <c r="D422" i="3"/>
  <c r="F422" i="3"/>
  <c r="E422" i="3"/>
  <c r="I422" i="3"/>
  <c r="K422" i="3"/>
  <c r="F414" i="3"/>
  <c r="K414" i="3"/>
  <c r="E414" i="3"/>
  <c r="D414" i="3"/>
  <c r="I414" i="3"/>
  <c r="K406" i="3"/>
  <c r="I406" i="3"/>
  <c r="E406" i="3"/>
  <c r="F406" i="3"/>
  <c r="D406" i="3"/>
  <c r="K398" i="3"/>
  <c r="I398" i="3"/>
  <c r="E398" i="3"/>
  <c r="F398" i="3"/>
  <c r="D398" i="3"/>
  <c r="K390" i="3"/>
  <c r="I390" i="3"/>
  <c r="E390" i="3"/>
  <c r="F390" i="3"/>
  <c r="D390" i="3"/>
  <c r="F382" i="3"/>
  <c r="D382" i="3"/>
  <c r="E382" i="3"/>
  <c r="K382" i="3"/>
  <c r="I382" i="3"/>
  <c r="F374" i="3"/>
  <c r="D374" i="3"/>
  <c r="E374" i="3"/>
  <c r="K374" i="3"/>
  <c r="I374" i="3"/>
  <c r="F366" i="3"/>
  <c r="K366" i="3"/>
  <c r="E366" i="3"/>
  <c r="I366" i="3"/>
  <c r="D366" i="3"/>
  <c r="D360" i="3"/>
  <c r="K360" i="3"/>
  <c r="F360" i="3"/>
  <c r="E360" i="3"/>
  <c r="I360" i="3"/>
  <c r="D352" i="3"/>
  <c r="K352" i="3"/>
  <c r="F352" i="3"/>
  <c r="E352" i="3"/>
  <c r="I352" i="3"/>
  <c r="K344" i="3"/>
  <c r="E344" i="3"/>
  <c r="I344" i="3"/>
  <c r="D344" i="3"/>
  <c r="F344" i="3"/>
  <c r="K336" i="3"/>
  <c r="E336" i="3"/>
  <c r="I336" i="3"/>
  <c r="D336" i="3"/>
  <c r="F336" i="3"/>
  <c r="K328" i="3"/>
  <c r="E328" i="3"/>
  <c r="I328" i="3"/>
  <c r="D328" i="3"/>
  <c r="F328" i="3"/>
  <c r="K320" i="3"/>
  <c r="E320" i="3"/>
  <c r="I320" i="3"/>
  <c r="D320" i="3"/>
  <c r="F320" i="3"/>
  <c r="K312" i="3"/>
  <c r="E312" i="3"/>
  <c r="I312" i="3"/>
  <c r="D312" i="3"/>
  <c r="F312" i="3"/>
  <c r="I304" i="3"/>
  <c r="E304" i="3"/>
  <c r="D304" i="3"/>
  <c r="F304" i="3"/>
  <c r="K304" i="3"/>
  <c r="H274" i="3"/>
  <c r="G274" i="3"/>
  <c r="H266" i="3"/>
  <c r="G266" i="3"/>
  <c r="H258" i="3"/>
  <c r="G258" i="3"/>
  <c r="H250" i="3"/>
  <c r="G250" i="3"/>
  <c r="H242" i="3"/>
  <c r="G242" i="3"/>
  <c r="H234" i="3"/>
  <c r="G234" i="3"/>
  <c r="G209" i="3"/>
  <c r="H209" i="3"/>
  <c r="G193" i="3"/>
  <c r="H193" i="3"/>
  <c r="G177" i="3"/>
  <c r="H177" i="3"/>
  <c r="H146" i="3"/>
  <c r="G146" i="3"/>
  <c r="H122" i="3"/>
  <c r="G122" i="3"/>
  <c r="H98" i="3"/>
  <c r="G98" i="3"/>
  <c r="H88" i="3"/>
  <c r="G88" i="3"/>
  <c r="N82" i="3"/>
  <c r="U82" i="3"/>
  <c r="O82" i="3"/>
  <c r="S82" i="3" s="1"/>
  <c r="M82" i="3"/>
  <c r="P82" i="3"/>
  <c r="O74" i="3"/>
  <c r="S74" i="3" s="1"/>
  <c r="N74" i="3"/>
  <c r="M74" i="3"/>
  <c r="U74" i="3"/>
  <c r="P74" i="3"/>
  <c r="H71" i="3"/>
  <c r="G71" i="3"/>
  <c r="J20" i="6"/>
  <c r="K20" i="6" s="1"/>
  <c r="L29" i="3"/>
  <c r="N11" i="3"/>
  <c r="M11" i="3"/>
  <c r="U11" i="3"/>
  <c r="P11" i="3"/>
  <c r="O11" i="3"/>
  <c r="S11" i="3" s="1"/>
  <c r="R184" i="3"/>
  <c r="Q184" i="3"/>
  <c r="R174" i="3"/>
  <c r="Q174" i="3"/>
  <c r="R168" i="3"/>
  <c r="Q168" i="3"/>
  <c r="R143" i="3"/>
  <c r="Q143" i="3"/>
  <c r="Q127" i="3"/>
  <c r="R127" i="3"/>
  <c r="Q101" i="3"/>
  <c r="R101" i="3"/>
  <c r="K30" i="6"/>
  <c r="H41" i="3"/>
  <c r="G41" i="3"/>
  <c r="H27" i="3"/>
  <c r="G27" i="3"/>
  <c r="H9" i="3"/>
  <c r="G9" i="3"/>
  <c r="N685" i="3"/>
  <c r="M685" i="3"/>
  <c r="U685" i="3"/>
  <c r="P685" i="3"/>
  <c r="O685" i="3"/>
  <c r="S685" i="3" s="1"/>
  <c r="N677" i="3"/>
  <c r="M677" i="3"/>
  <c r="U677" i="3"/>
  <c r="P677" i="3"/>
  <c r="O677" i="3"/>
  <c r="S677" i="3" s="1"/>
  <c r="N669" i="3"/>
  <c r="M669" i="3"/>
  <c r="U669" i="3"/>
  <c r="P669" i="3"/>
  <c r="O669" i="3"/>
  <c r="S669" i="3" s="1"/>
  <c r="U661" i="3"/>
  <c r="P661" i="3"/>
  <c r="O661" i="3"/>
  <c r="S661" i="3" s="1"/>
  <c r="N661" i="3"/>
  <c r="M661" i="3"/>
  <c r="U653" i="3"/>
  <c r="P653" i="3"/>
  <c r="O653" i="3"/>
  <c r="S653" i="3" s="1"/>
  <c r="N653" i="3"/>
  <c r="M653" i="3"/>
  <c r="U645" i="3"/>
  <c r="P645" i="3"/>
  <c r="O645" i="3"/>
  <c r="S645" i="3" s="1"/>
  <c r="N645" i="3"/>
  <c r="M645" i="3"/>
  <c r="O637" i="3"/>
  <c r="S637" i="3" s="1"/>
  <c r="P637" i="3"/>
  <c r="U637" i="3"/>
  <c r="N637" i="3"/>
  <c r="M637" i="3"/>
  <c r="O629" i="3"/>
  <c r="S629" i="3" s="1"/>
  <c r="N629" i="3"/>
  <c r="P629" i="3"/>
  <c r="M629" i="3"/>
  <c r="U629" i="3"/>
  <c r="O621" i="3"/>
  <c r="S621" i="3" s="1"/>
  <c r="N621" i="3"/>
  <c r="P621" i="3"/>
  <c r="M621" i="3"/>
  <c r="U621" i="3"/>
  <c r="O613" i="3"/>
  <c r="S613" i="3" s="1"/>
  <c r="N613" i="3"/>
  <c r="P613" i="3"/>
  <c r="M613" i="3"/>
  <c r="U613" i="3"/>
  <c r="R610" i="3"/>
  <c r="Q610" i="3"/>
  <c r="R600" i="3"/>
  <c r="Q600" i="3"/>
  <c r="R592" i="3"/>
  <c r="Q592" i="3"/>
  <c r="O581" i="3"/>
  <c r="S581" i="3" s="1"/>
  <c r="P581" i="3"/>
  <c r="U581" i="3"/>
  <c r="N581" i="3"/>
  <c r="M581" i="3"/>
  <c r="U573" i="3"/>
  <c r="P573" i="3"/>
  <c r="O573" i="3"/>
  <c r="S573" i="3" s="1"/>
  <c r="N573" i="3"/>
  <c r="M573" i="3"/>
  <c r="U565" i="3"/>
  <c r="M565" i="3"/>
  <c r="O565" i="3"/>
  <c r="S565" i="3" s="1"/>
  <c r="N565" i="3"/>
  <c r="P565" i="3"/>
  <c r="M557" i="3"/>
  <c r="O557" i="3"/>
  <c r="S557" i="3" s="1"/>
  <c r="N557" i="3"/>
  <c r="U557" i="3"/>
  <c r="P557" i="3"/>
  <c r="M549" i="3"/>
  <c r="O549" i="3"/>
  <c r="S549" i="3" s="1"/>
  <c r="N549" i="3"/>
  <c r="U549" i="3"/>
  <c r="P549" i="3"/>
  <c r="O541" i="3"/>
  <c r="S541" i="3" s="1"/>
  <c r="N541" i="3"/>
  <c r="M541" i="3"/>
  <c r="P541" i="3"/>
  <c r="U541" i="3"/>
  <c r="O533" i="3"/>
  <c r="S533" i="3" s="1"/>
  <c r="N533" i="3"/>
  <c r="M533" i="3"/>
  <c r="P533" i="3"/>
  <c r="U533" i="3"/>
  <c r="O525" i="3"/>
  <c r="S525" i="3" s="1"/>
  <c r="N525" i="3"/>
  <c r="M525" i="3"/>
  <c r="P525" i="3"/>
  <c r="U525" i="3"/>
  <c r="O517" i="3"/>
  <c r="S517" i="3" s="1"/>
  <c r="N517" i="3"/>
  <c r="M517" i="3"/>
  <c r="P517" i="3"/>
  <c r="U517" i="3"/>
  <c r="O509" i="3"/>
  <c r="S509" i="3" s="1"/>
  <c r="N509" i="3"/>
  <c r="M509" i="3"/>
  <c r="P509" i="3"/>
  <c r="U509" i="3"/>
  <c r="O501" i="3"/>
  <c r="S501" i="3" s="1"/>
  <c r="N501" i="3"/>
  <c r="M501" i="3"/>
  <c r="P501" i="3"/>
  <c r="U501" i="3"/>
  <c r="O471" i="3"/>
  <c r="S471" i="3" s="1"/>
  <c r="N471" i="3"/>
  <c r="M471" i="3"/>
  <c r="U471" i="3"/>
  <c r="P471" i="3"/>
  <c r="N453" i="3"/>
  <c r="M453" i="3"/>
  <c r="U453" i="3"/>
  <c r="P453" i="3"/>
  <c r="O453" i="3"/>
  <c r="S453" i="3" s="1"/>
  <c r="U445" i="3"/>
  <c r="P445" i="3"/>
  <c r="N445" i="3"/>
  <c r="O445" i="3"/>
  <c r="S445" i="3" s="1"/>
  <c r="M445" i="3"/>
  <c r="U437" i="3"/>
  <c r="P437" i="3"/>
  <c r="N437" i="3"/>
  <c r="O437" i="3"/>
  <c r="S437" i="3" s="1"/>
  <c r="M437" i="3"/>
  <c r="U429" i="3"/>
  <c r="P429" i="3"/>
  <c r="N429" i="3"/>
  <c r="O429" i="3"/>
  <c r="S429" i="3" s="1"/>
  <c r="M429" i="3"/>
  <c r="O421" i="3"/>
  <c r="S421" i="3" s="1"/>
  <c r="M421" i="3"/>
  <c r="N421" i="3"/>
  <c r="P421" i="3"/>
  <c r="U421" i="3"/>
  <c r="M413" i="3"/>
  <c r="U413" i="3"/>
  <c r="O413" i="3"/>
  <c r="S413" i="3" s="1"/>
  <c r="P413" i="3"/>
  <c r="N413" i="3"/>
  <c r="N405" i="3"/>
  <c r="U405" i="3"/>
  <c r="P405" i="3"/>
  <c r="M405" i="3"/>
  <c r="O405" i="3"/>
  <c r="S405" i="3" s="1"/>
  <c r="N397" i="3"/>
  <c r="U397" i="3"/>
  <c r="P397" i="3"/>
  <c r="M397" i="3"/>
  <c r="R397" i="3" s="1"/>
  <c r="O397" i="3"/>
  <c r="S397" i="3" s="1"/>
  <c r="M389" i="3"/>
  <c r="U389" i="3"/>
  <c r="O389" i="3"/>
  <c r="S389" i="3" s="1"/>
  <c r="P389" i="3"/>
  <c r="N389" i="3"/>
  <c r="M381" i="3"/>
  <c r="O381" i="3"/>
  <c r="S381" i="3" s="1"/>
  <c r="U381" i="3"/>
  <c r="P381" i="3"/>
  <c r="N381" i="3"/>
  <c r="M373" i="3"/>
  <c r="O373" i="3"/>
  <c r="S373" i="3" s="1"/>
  <c r="U373" i="3"/>
  <c r="P373" i="3"/>
  <c r="N373" i="3"/>
  <c r="M365" i="3"/>
  <c r="P365" i="3"/>
  <c r="U365" i="3"/>
  <c r="O365" i="3"/>
  <c r="S365" i="3" s="1"/>
  <c r="N365" i="3"/>
  <c r="O359" i="3"/>
  <c r="S359" i="3" s="1"/>
  <c r="U359" i="3"/>
  <c r="N359" i="3"/>
  <c r="M359" i="3"/>
  <c r="P359" i="3"/>
  <c r="O351" i="3"/>
  <c r="S351" i="3" s="1"/>
  <c r="U351" i="3"/>
  <c r="N351" i="3"/>
  <c r="M351" i="3"/>
  <c r="P351" i="3"/>
  <c r="N343" i="3"/>
  <c r="M343" i="3"/>
  <c r="U343" i="3"/>
  <c r="P343" i="3"/>
  <c r="O343" i="3"/>
  <c r="S343" i="3" s="1"/>
  <c r="N335" i="3"/>
  <c r="M335" i="3"/>
  <c r="P335" i="3"/>
  <c r="O335" i="3"/>
  <c r="S335" i="3" s="1"/>
  <c r="U335" i="3"/>
  <c r="N327" i="3"/>
  <c r="M327" i="3"/>
  <c r="U327" i="3"/>
  <c r="P327" i="3"/>
  <c r="O327" i="3"/>
  <c r="S327" i="3" s="1"/>
  <c r="N319" i="3"/>
  <c r="M319" i="3"/>
  <c r="P319" i="3"/>
  <c r="O319" i="3"/>
  <c r="S319" i="3" s="1"/>
  <c r="U319" i="3"/>
  <c r="N311" i="3"/>
  <c r="M311" i="3"/>
  <c r="U311" i="3"/>
  <c r="P311" i="3"/>
  <c r="O311" i="3"/>
  <c r="S311" i="3" s="1"/>
  <c r="U303" i="3"/>
  <c r="P303" i="3"/>
  <c r="O303" i="3"/>
  <c r="S303" i="3" s="1"/>
  <c r="N303" i="3"/>
  <c r="M303" i="3"/>
  <c r="H298" i="3"/>
  <c r="G298" i="3"/>
  <c r="N295" i="3"/>
  <c r="M295" i="3"/>
  <c r="P295" i="3"/>
  <c r="O295" i="3"/>
  <c r="S295" i="3" s="1"/>
  <c r="U295" i="3"/>
  <c r="H290" i="3"/>
  <c r="G290" i="3"/>
  <c r="N287" i="3"/>
  <c r="P287" i="3"/>
  <c r="U287" i="3"/>
  <c r="O287" i="3"/>
  <c r="S287" i="3" s="1"/>
  <c r="M287" i="3"/>
  <c r="H282" i="3"/>
  <c r="G282" i="3"/>
  <c r="R279" i="3"/>
  <c r="Q279" i="3"/>
  <c r="H228" i="3"/>
  <c r="G228" i="3"/>
  <c r="H226" i="3"/>
  <c r="G226" i="3"/>
  <c r="R206" i="3"/>
  <c r="Q206" i="3"/>
  <c r="R182" i="3"/>
  <c r="Q182" i="3"/>
  <c r="Q178" i="3"/>
  <c r="R178" i="3"/>
  <c r="G161" i="3"/>
  <c r="H161" i="3"/>
  <c r="M123" i="3"/>
  <c r="N123" i="3"/>
  <c r="U123" i="3"/>
  <c r="P123" i="3"/>
  <c r="O123" i="3"/>
  <c r="S123" i="3" s="1"/>
  <c r="G51" i="3"/>
  <c r="H51" i="3"/>
  <c r="H31" i="3"/>
  <c r="G31" i="3"/>
  <c r="H13" i="3"/>
  <c r="G13" i="3"/>
  <c r="M684" i="3"/>
  <c r="U684" i="3"/>
  <c r="P684" i="3"/>
  <c r="O684" i="3"/>
  <c r="S684" i="3" s="1"/>
  <c r="N684" i="3"/>
  <c r="M676" i="3"/>
  <c r="U676" i="3"/>
  <c r="P676" i="3"/>
  <c r="O676" i="3"/>
  <c r="S676" i="3" s="1"/>
  <c r="N676" i="3"/>
  <c r="M668" i="3"/>
  <c r="U668" i="3"/>
  <c r="P668" i="3"/>
  <c r="O668" i="3"/>
  <c r="S668" i="3" s="1"/>
  <c r="N668" i="3"/>
  <c r="O660" i="3"/>
  <c r="S660" i="3" s="1"/>
  <c r="N660" i="3"/>
  <c r="M660" i="3"/>
  <c r="U660" i="3"/>
  <c r="P660" i="3"/>
  <c r="O652" i="3"/>
  <c r="S652" i="3" s="1"/>
  <c r="N652" i="3"/>
  <c r="M652" i="3"/>
  <c r="U652" i="3"/>
  <c r="P652" i="3"/>
  <c r="O644" i="3"/>
  <c r="S644" i="3" s="1"/>
  <c r="N644" i="3"/>
  <c r="M644" i="3"/>
  <c r="U644" i="3"/>
  <c r="P644" i="3"/>
  <c r="N636" i="3"/>
  <c r="M636" i="3"/>
  <c r="P636" i="3"/>
  <c r="O636" i="3"/>
  <c r="S636" i="3" s="1"/>
  <c r="U636" i="3"/>
  <c r="N628" i="3"/>
  <c r="M628" i="3"/>
  <c r="U628" i="3"/>
  <c r="P628" i="3"/>
  <c r="O628" i="3"/>
  <c r="S628" i="3" s="1"/>
  <c r="N620" i="3"/>
  <c r="M620" i="3"/>
  <c r="U620" i="3"/>
  <c r="P620" i="3"/>
  <c r="O620" i="3"/>
  <c r="S620" i="3" s="1"/>
  <c r="N588" i="3"/>
  <c r="U588" i="3"/>
  <c r="O588" i="3"/>
  <c r="S588" i="3" s="1"/>
  <c r="M588" i="3"/>
  <c r="P588" i="3"/>
  <c r="N580" i="3"/>
  <c r="U580" i="3"/>
  <c r="O580" i="3"/>
  <c r="S580" i="3" s="1"/>
  <c r="M580" i="3"/>
  <c r="P580" i="3"/>
  <c r="O572" i="3"/>
  <c r="S572" i="3" s="1"/>
  <c r="M572" i="3"/>
  <c r="P572" i="3"/>
  <c r="N572" i="3"/>
  <c r="U572" i="3"/>
  <c r="U564" i="3"/>
  <c r="P564" i="3"/>
  <c r="N564" i="3"/>
  <c r="O564" i="3"/>
  <c r="S564" i="3" s="1"/>
  <c r="M564" i="3"/>
  <c r="U556" i="3"/>
  <c r="P556" i="3"/>
  <c r="N556" i="3"/>
  <c r="O556" i="3"/>
  <c r="S556" i="3" s="1"/>
  <c r="M556" i="3"/>
  <c r="U548" i="3"/>
  <c r="P548" i="3"/>
  <c r="N548" i="3"/>
  <c r="O548" i="3"/>
  <c r="S548" i="3" s="1"/>
  <c r="M548" i="3"/>
  <c r="N540" i="3"/>
  <c r="M540" i="3"/>
  <c r="U540" i="3"/>
  <c r="P540" i="3"/>
  <c r="O540" i="3"/>
  <c r="S540" i="3" s="1"/>
  <c r="N532" i="3"/>
  <c r="M532" i="3"/>
  <c r="U532" i="3"/>
  <c r="P532" i="3"/>
  <c r="O532" i="3"/>
  <c r="S532" i="3" s="1"/>
  <c r="N524" i="3"/>
  <c r="M524" i="3"/>
  <c r="U524" i="3"/>
  <c r="P524" i="3"/>
  <c r="O524" i="3"/>
  <c r="S524" i="3" s="1"/>
  <c r="N516" i="3"/>
  <c r="M516" i="3"/>
  <c r="U516" i="3"/>
  <c r="P516" i="3"/>
  <c r="O516" i="3"/>
  <c r="S516" i="3" s="1"/>
  <c r="N508" i="3"/>
  <c r="M508" i="3"/>
  <c r="U508" i="3"/>
  <c r="P508" i="3"/>
  <c r="O508" i="3"/>
  <c r="S508" i="3" s="1"/>
  <c r="N500" i="3"/>
  <c r="M500" i="3"/>
  <c r="U500" i="3"/>
  <c r="P500" i="3"/>
  <c r="O500" i="3"/>
  <c r="S500" i="3" s="1"/>
  <c r="R497" i="3"/>
  <c r="Q497" i="3"/>
  <c r="R489" i="3"/>
  <c r="Q489" i="3"/>
  <c r="Q485" i="3"/>
  <c r="R485" i="3"/>
  <c r="N474" i="3"/>
  <c r="M474" i="3"/>
  <c r="U474" i="3"/>
  <c r="P474" i="3"/>
  <c r="O474" i="3"/>
  <c r="S474" i="3" s="1"/>
  <c r="N466" i="3"/>
  <c r="M466" i="3"/>
  <c r="U466" i="3"/>
  <c r="P466" i="3"/>
  <c r="O466" i="3"/>
  <c r="S466" i="3" s="1"/>
  <c r="R459" i="3"/>
  <c r="Q459" i="3"/>
  <c r="R457" i="3"/>
  <c r="Q457" i="3"/>
  <c r="I452" i="3"/>
  <c r="E452" i="3"/>
  <c r="D452" i="3"/>
  <c r="K452" i="3"/>
  <c r="F452" i="3"/>
  <c r="K444" i="3"/>
  <c r="I444" i="3"/>
  <c r="E444" i="3"/>
  <c r="D444" i="3"/>
  <c r="F444" i="3"/>
  <c r="K436" i="3"/>
  <c r="I436" i="3"/>
  <c r="E436" i="3"/>
  <c r="D436" i="3"/>
  <c r="F436" i="3"/>
  <c r="K428" i="3"/>
  <c r="I428" i="3"/>
  <c r="E428" i="3"/>
  <c r="D428" i="3"/>
  <c r="F428" i="3"/>
  <c r="F420" i="3"/>
  <c r="D420" i="3"/>
  <c r="E420" i="3"/>
  <c r="I420" i="3"/>
  <c r="K420" i="3"/>
  <c r="I412" i="3"/>
  <c r="E412" i="3"/>
  <c r="K412" i="3"/>
  <c r="F412" i="3"/>
  <c r="D412" i="3"/>
  <c r="I404" i="3"/>
  <c r="E404" i="3"/>
  <c r="K404" i="3"/>
  <c r="F404" i="3"/>
  <c r="D404" i="3"/>
  <c r="I396" i="3"/>
  <c r="E396" i="3"/>
  <c r="K396" i="3"/>
  <c r="F396" i="3"/>
  <c r="D396" i="3"/>
  <c r="D388" i="3"/>
  <c r="F388" i="3"/>
  <c r="E388" i="3"/>
  <c r="K388" i="3"/>
  <c r="I388" i="3"/>
  <c r="D380" i="3"/>
  <c r="F380" i="3"/>
  <c r="E380" i="3"/>
  <c r="K380" i="3"/>
  <c r="I380" i="3"/>
  <c r="D372" i="3"/>
  <c r="F372" i="3"/>
  <c r="E372" i="3"/>
  <c r="K372" i="3"/>
  <c r="I372" i="3"/>
  <c r="D364" i="3"/>
  <c r="I364" i="3"/>
  <c r="F364" i="3"/>
  <c r="E364" i="3"/>
  <c r="K364" i="3"/>
  <c r="F354" i="3"/>
  <c r="I354" i="3"/>
  <c r="D354" i="3"/>
  <c r="K354" i="3"/>
  <c r="E354" i="3"/>
  <c r="I346" i="3"/>
  <c r="E346" i="3"/>
  <c r="D346" i="3"/>
  <c r="F346" i="3"/>
  <c r="K346" i="3"/>
  <c r="I338" i="3"/>
  <c r="E338" i="3"/>
  <c r="D338" i="3"/>
  <c r="K338" i="3"/>
  <c r="F338" i="3"/>
  <c r="I330" i="3"/>
  <c r="E330" i="3"/>
  <c r="D330" i="3"/>
  <c r="F330" i="3"/>
  <c r="K330" i="3"/>
  <c r="I322" i="3"/>
  <c r="E322" i="3"/>
  <c r="D322" i="3"/>
  <c r="K322" i="3"/>
  <c r="F322" i="3"/>
  <c r="I314" i="3"/>
  <c r="E314" i="3"/>
  <c r="D314" i="3"/>
  <c r="F314" i="3"/>
  <c r="K314" i="3"/>
  <c r="K306" i="3"/>
  <c r="F306" i="3"/>
  <c r="D306" i="3"/>
  <c r="I306" i="3"/>
  <c r="E306" i="3"/>
  <c r="D297" i="3"/>
  <c r="K297" i="3"/>
  <c r="I297" i="3"/>
  <c r="F297" i="3"/>
  <c r="E297" i="3"/>
  <c r="D289" i="3"/>
  <c r="K289" i="3"/>
  <c r="I289" i="3"/>
  <c r="F289" i="3"/>
  <c r="E289" i="3"/>
  <c r="D281" i="3"/>
  <c r="K281" i="3"/>
  <c r="F281" i="3"/>
  <c r="E281" i="3"/>
  <c r="I281" i="3"/>
  <c r="G208" i="3"/>
  <c r="H208" i="3"/>
  <c r="G200" i="3"/>
  <c r="H200" i="3"/>
  <c r="G192" i="3"/>
  <c r="H192" i="3"/>
  <c r="G184" i="3"/>
  <c r="H184" i="3"/>
  <c r="G176" i="3"/>
  <c r="H176" i="3"/>
  <c r="H172" i="3"/>
  <c r="G172" i="3"/>
  <c r="H168" i="3"/>
  <c r="G168" i="3"/>
  <c r="R164" i="3"/>
  <c r="Q164" i="3"/>
  <c r="R160" i="3"/>
  <c r="Q160" i="3"/>
  <c r="R156" i="3"/>
  <c r="Q156" i="3"/>
  <c r="R152" i="3"/>
  <c r="Q152" i="3"/>
  <c r="G143" i="3"/>
  <c r="H143" i="3"/>
  <c r="G135" i="3"/>
  <c r="H135" i="3"/>
  <c r="H115" i="3"/>
  <c r="G115" i="3"/>
  <c r="G103" i="3"/>
  <c r="H103" i="3"/>
  <c r="G95" i="3"/>
  <c r="H95" i="3"/>
  <c r="R79" i="3"/>
  <c r="Q79" i="3"/>
  <c r="R77" i="3"/>
  <c r="Q77" i="3"/>
  <c r="N73" i="3"/>
  <c r="M73" i="3"/>
  <c r="U73" i="3"/>
  <c r="P73" i="3"/>
  <c r="O73" i="3"/>
  <c r="S73" i="3" s="1"/>
  <c r="R62" i="3"/>
  <c r="Q62" i="3"/>
  <c r="M58" i="3"/>
  <c r="P58" i="3"/>
  <c r="O58" i="3"/>
  <c r="S58" i="3" s="1"/>
  <c r="U58" i="3"/>
  <c r="N58" i="3"/>
  <c r="R52" i="3"/>
  <c r="Q52" i="3"/>
  <c r="K24" i="6"/>
  <c r="K9" i="6"/>
  <c r="K23" i="6"/>
  <c r="U34" i="3"/>
  <c r="P34" i="3"/>
  <c r="O34" i="3"/>
  <c r="S34" i="3" s="1"/>
  <c r="N34" i="3"/>
  <c r="M34" i="3"/>
  <c r="R30" i="3"/>
  <c r="Q30" i="3"/>
  <c r="N24" i="3"/>
  <c r="M24" i="3"/>
  <c r="U24" i="3"/>
  <c r="P24" i="3"/>
  <c r="O24" i="3"/>
  <c r="S24" i="3" s="1"/>
  <c r="K12" i="6"/>
  <c r="Q14" i="3"/>
  <c r="R14" i="3"/>
  <c r="Q6" i="3"/>
  <c r="R6" i="3"/>
  <c r="N6" i="2"/>
  <c r="N14" i="2"/>
  <c r="N22" i="2"/>
  <c r="N30" i="2"/>
  <c r="N38" i="2"/>
  <c r="N46" i="2"/>
  <c r="N54" i="2"/>
  <c r="N62" i="2"/>
  <c r="N70" i="2"/>
  <c r="N78" i="2"/>
  <c r="N86" i="2"/>
  <c r="N179" i="2"/>
  <c r="N187" i="2"/>
  <c r="N195" i="2"/>
  <c r="N203" i="2"/>
  <c r="N211" i="2"/>
  <c r="N227" i="2"/>
  <c r="N235" i="2"/>
  <c r="N493" i="2"/>
  <c r="N501" i="2"/>
  <c r="N509" i="2"/>
  <c r="N517" i="2"/>
  <c r="N525" i="2"/>
  <c r="N533" i="2"/>
  <c r="N541" i="2"/>
  <c r="N549" i="2"/>
  <c r="N557" i="2"/>
  <c r="N565" i="2"/>
  <c r="N573" i="2"/>
  <c r="N581" i="2"/>
  <c r="N589" i="2"/>
  <c r="N597" i="2"/>
  <c r="N605" i="2"/>
  <c r="N613" i="2"/>
  <c r="N660" i="2"/>
  <c r="N668" i="2"/>
  <c r="N676" i="2"/>
  <c r="N684" i="2"/>
  <c r="N692" i="2"/>
  <c r="N700" i="2"/>
  <c r="N708" i="2"/>
  <c r="N716" i="2"/>
  <c r="N727" i="2"/>
  <c r="N762" i="2"/>
  <c r="N770" i="2"/>
  <c r="N97" i="2"/>
  <c r="N105" i="2"/>
  <c r="N113" i="2"/>
  <c r="N121" i="2"/>
  <c r="N129" i="2"/>
  <c r="N137" i="2"/>
  <c r="N145" i="2"/>
  <c r="N153" i="2"/>
  <c r="N161" i="2"/>
  <c r="N169" i="2"/>
  <c r="N242" i="2"/>
  <c r="N251" i="2"/>
  <c r="N263" i="2"/>
  <c r="N271" i="2"/>
  <c r="N279" i="2"/>
  <c r="N287" i="2"/>
  <c r="N295" i="2"/>
  <c r="N303" i="2"/>
  <c r="N311" i="2"/>
  <c r="N319" i="2"/>
  <c r="N327" i="2"/>
  <c r="N335" i="2"/>
  <c r="N343" i="2"/>
  <c r="N351" i="2"/>
  <c r="N359" i="2"/>
  <c r="N367" i="2"/>
  <c r="N375" i="2"/>
  <c r="N383" i="2"/>
  <c r="N391" i="2"/>
  <c r="N399" i="2"/>
  <c r="N407" i="2"/>
  <c r="N415" i="2"/>
  <c r="N423" i="2"/>
  <c r="N431" i="2"/>
  <c r="N439" i="2"/>
  <c r="N447" i="2"/>
  <c r="N455" i="2"/>
  <c r="N463" i="2"/>
  <c r="N471" i="2"/>
  <c r="N479" i="2"/>
  <c r="N487" i="2"/>
  <c r="N616" i="2"/>
  <c r="N624" i="2"/>
  <c r="N632" i="2"/>
  <c r="N640" i="2"/>
  <c r="N648" i="2"/>
  <c r="N725" i="2"/>
  <c r="N734" i="2"/>
  <c r="N742" i="2"/>
  <c r="N750" i="2"/>
  <c r="N775" i="2"/>
  <c r="N783" i="2"/>
  <c r="N791" i="2"/>
  <c r="N7" i="2"/>
  <c r="N15" i="2"/>
  <c r="N23" i="2"/>
  <c r="N31" i="2"/>
  <c r="N39" i="2"/>
  <c r="N47" i="2"/>
  <c r="N55" i="2"/>
  <c r="N63" i="2"/>
  <c r="N71" i="2"/>
  <c r="N79" i="2"/>
  <c r="N87" i="2"/>
  <c r="N182" i="2"/>
  <c r="N190" i="2"/>
  <c r="N198" i="2"/>
  <c r="N206" i="2"/>
  <c r="N214" i="2"/>
  <c r="N222" i="2"/>
  <c r="N230" i="2"/>
  <c r="N239" i="2"/>
  <c r="N258" i="2"/>
  <c r="N500" i="2"/>
  <c r="N508" i="2"/>
  <c r="N516" i="2"/>
  <c r="N524" i="2"/>
  <c r="N532" i="2"/>
  <c r="N540" i="2"/>
  <c r="N548" i="2"/>
  <c r="N556" i="2"/>
  <c r="N564" i="2"/>
  <c r="N572" i="2"/>
  <c r="N580" i="2"/>
  <c r="N588" i="2"/>
  <c r="N596" i="2"/>
  <c r="N604" i="2"/>
  <c r="N612" i="2"/>
  <c r="N661" i="2"/>
  <c r="N669" i="2"/>
  <c r="N677" i="2"/>
  <c r="N685" i="2"/>
  <c r="N693" i="2"/>
  <c r="N701" i="2"/>
  <c r="N709" i="2"/>
  <c r="N717" i="2"/>
  <c r="N757" i="2"/>
  <c r="N765" i="2"/>
  <c r="O2" i="3"/>
  <c r="S2" i="3" s="1"/>
  <c r="U2" i="3"/>
  <c r="P2" i="3"/>
  <c r="N98" i="2"/>
  <c r="N106" i="2"/>
  <c r="N114" i="2"/>
  <c r="N122" i="2"/>
  <c r="N130" i="2"/>
  <c r="N138" i="2"/>
  <c r="N146" i="2"/>
  <c r="N154" i="2"/>
  <c r="N162" i="2"/>
  <c r="N170" i="2"/>
  <c r="N237" i="2"/>
  <c r="N248" i="2"/>
  <c r="N259" i="2"/>
  <c r="N268" i="2"/>
  <c r="N276" i="2"/>
  <c r="N284" i="2"/>
  <c r="N292" i="2"/>
  <c r="N300" i="2"/>
  <c r="N308" i="2"/>
  <c r="N316" i="2"/>
  <c r="N324" i="2"/>
  <c r="N332" i="2"/>
  <c r="N340" i="2"/>
  <c r="N348" i="2"/>
  <c r="N356" i="2"/>
  <c r="N364" i="2"/>
  <c r="N372" i="2"/>
  <c r="N380" i="2"/>
  <c r="N388" i="2"/>
  <c r="N396" i="2"/>
  <c r="N404" i="2"/>
  <c r="N412" i="2"/>
  <c r="N420" i="2"/>
  <c r="N428" i="2"/>
  <c r="N436" i="2"/>
  <c r="N444" i="2"/>
  <c r="N452" i="2"/>
  <c r="N460" i="2"/>
  <c r="N468" i="2"/>
  <c r="N476" i="2"/>
  <c r="N484" i="2"/>
  <c r="N492" i="2"/>
  <c r="N621" i="2"/>
  <c r="N629" i="2"/>
  <c r="N637" i="2"/>
  <c r="N645" i="2"/>
  <c r="N653" i="2"/>
  <c r="N731" i="2"/>
  <c r="N739" i="2"/>
  <c r="N747" i="2"/>
  <c r="N772" i="2"/>
  <c r="N780" i="2"/>
  <c r="N788" i="2"/>
  <c r="K76" i="6"/>
  <c r="K81" i="6"/>
  <c r="K79" i="6"/>
  <c r="K85" i="6"/>
  <c r="K82" i="6"/>
  <c r="K90" i="6"/>
  <c r="K99" i="6"/>
  <c r="H35" i="3"/>
  <c r="G35" i="3"/>
  <c r="G25" i="3"/>
  <c r="H25" i="3"/>
  <c r="H17" i="3"/>
  <c r="G17" i="3"/>
  <c r="Z19" i="10"/>
  <c r="Y19" i="10"/>
  <c r="Z2" i="10"/>
  <c r="Y2" i="10"/>
  <c r="H734" i="3"/>
  <c r="G734" i="3"/>
  <c r="N689" i="3"/>
  <c r="M689" i="3"/>
  <c r="U689" i="3"/>
  <c r="P689" i="3"/>
  <c r="O689" i="3"/>
  <c r="S689" i="3" s="1"/>
  <c r="H607" i="3"/>
  <c r="G607" i="3"/>
  <c r="H599" i="3"/>
  <c r="G599" i="3"/>
  <c r="H591" i="3"/>
  <c r="G591" i="3"/>
  <c r="H494" i="3"/>
  <c r="G494" i="3"/>
  <c r="H482" i="3"/>
  <c r="G482" i="3"/>
  <c r="H461" i="3"/>
  <c r="G461" i="3"/>
  <c r="F131" i="4"/>
  <c r="F54" i="4"/>
  <c r="H709" i="3"/>
  <c r="G709" i="3"/>
  <c r="G707" i="3"/>
  <c r="H707" i="3"/>
  <c r="H697" i="3"/>
  <c r="G697" i="3"/>
  <c r="O734" i="3"/>
  <c r="S734" i="3" s="1"/>
  <c r="U734" i="3"/>
  <c r="N734" i="3"/>
  <c r="M734" i="3"/>
  <c r="P734" i="3"/>
  <c r="O726" i="3"/>
  <c r="S726" i="3" s="1"/>
  <c r="U726" i="3"/>
  <c r="N726" i="3"/>
  <c r="M726" i="3"/>
  <c r="P726" i="3"/>
  <c r="U718" i="3"/>
  <c r="P718" i="3"/>
  <c r="O718" i="3"/>
  <c r="S718" i="3" s="1"/>
  <c r="N718" i="3"/>
  <c r="M718" i="3"/>
  <c r="U710" i="3"/>
  <c r="N710" i="3"/>
  <c r="M710" i="3"/>
  <c r="P710" i="3"/>
  <c r="O710" i="3"/>
  <c r="S710" i="3" s="1"/>
  <c r="M702" i="3"/>
  <c r="P702" i="3"/>
  <c r="U702" i="3"/>
  <c r="O702" i="3"/>
  <c r="S702" i="3" s="1"/>
  <c r="N702" i="3"/>
  <c r="M694" i="3"/>
  <c r="P694" i="3"/>
  <c r="U694" i="3"/>
  <c r="O694" i="3"/>
  <c r="S694" i="3" s="1"/>
  <c r="N694" i="3"/>
  <c r="H612" i="3"/>
  <c r="G612" i="3"/>
  <c r="H604" i="3"/>
  <c r="G604" i="3"/>
  <c r="H598" i="3"/>
  <c r="G598" i="3"/>
  <c r="H596" i="3"/>
  <c r="G596" i="3"/>
  <c r="H590" i="3"/>
  <c r="G590" i="3"/>
  <c r="H481" i="3"/>
  <c r="G481" i="3"/>
  <c r="G479" i="3"/>
  <c r="H479" i="3"/>
  <c r="U683" i="3"/>
  <c r="P683" i="3"/>
  <c r="O683" i="3"/>
  <c r="S683" i="3" s="1"/>
  <c r="N683" i="3"/>
  <c r="M683" i="3"/>
  <c r="U675" i="3"/>
  <c r="P675" i="3"/>
  <c r="O675" i="3"/>
  <c r="S675" i="3" s="1"/>
  <c r="N675" i="3"/>
  <c r="M675" i="3"/>
  <c r="U667" i="3"/>
  <c r="N667" i="3"/>
  <c r="M667" i="3"/>
  <c r="P667" i="3"/>
  <c r="O667" i="3"/>
  <c r="S667" i="3" s="1"/>
  <c r="N659" i="3"/>
  <c r="M659" i="3"/>
  <c r="U659" i="3"/>
  <c r="P659" i="3"/>
  <c r="O659" i="3"/>
  <c r="S659" i="3" s="1"/>
  <c r="N651" i="3"/>
  <c r="M651" i="3"/>
  <c r="U651" i="3"/>
  <c r="P651" i="3"/>
  <c r="O651" i="3"/>
  <c r="S651" i="3" s="1"/>
  <c r="M643" i="3"/>
  <c r="U643" i="3"/>
  <c r="P643" i="3"/>
  <c r="O643" i="3"/>
  <c r="S643" i="3" s="1"/>
  <c r="N643" i="3"/>
  <c r="M635" i="3"/>
  <c r="P635" i="3"/>
  <c r="O635" i="3"/>
  <c r="S635" i="3" s="1"/>
  <c r="N635" i="3"/>
  <c r="U635" i="3"/>
  <c r="M627" i="3"/>
  <c r="U627" i="3"/>
  <c r="P627" i="3"/>
  <c r="O627" i="3"/>
  <c r="S627" i="3" s="1"/>
  <c r="N627" i="3"/>
  <c r="M619" i="3"/>
  <c r="U619" i="3"/>
  <c r="P619" i="3"/>
  <c r="O619" i="3"/>
  <c r="S619" i="3" s="1"/>
  <c r="N619" i="3"/>
  <c r="Q611" i="3"/>
  <c r="R611" i="3"/>
  <c r="R605" i="3"/>
  <c r="Q605" i="3"/>
  <c r="Q603" i="3"/>
  <c r="R603" i="3"/>
  <c r="Q595" i="3"/>
  <c r="R595" i="3"/>
  <c r="M587" i="3"/>
  <c r="N587" i="3"/>
  <c r="P587" i="3"/>
  <c r="U587" i="3"/>
  <c r="O587" i="3"/>
  <c r="S587" i="3" s="1"/>
  <c r="M579" i="3"/>
  <c r="N579" i="3"/>
  <c r="P579" i="3"/>
  <c r="O579" i="3"/>
  <c r="S579" i="3" s="1"/>
  <c r="U579" i="3"/>
  <c r="N571" i="3"/>
  <c r="U571" i="3"/>
  <c r="P571" i="3"/>
  <c r="M571" i="3"/>
  <c r="O571" i="3"/>
  <c r="S571" i="3" s="1"/>
  <c r="O563" i="3"/>
  <c r="S563" i="3" s="1"/>
  <c r="M563" i="3"/>
  <c r="N563" i="3"/>
  <c r="U563" i="3"/>
  <c r="P563" i="3"/>
  <c r="O555" i="3"/>
  <c r="S555" i="3" s="1"/>
  <c r="M555" i="3"/>
  <c r="N555" i="3"/>
  <c r="U555" i="3"/>
  <c r="P555" i="3"/>
  <c r="O547" i="3"/>
  <c r="S547" i="3" s="1"/>
  <c r="M547" i="3"/>
  <c r="N547" i="3"/>
  <c r="U547" i="3"/>
  <c r="P547" i="3"/>
  <c r="M539" i="3"/>
  <c r="U539" i="3"/>
  <c r="P539" i="3"/>
  <c r="O539" i="3"/>
  <c r="S539" i="3" s="1"/>
  <c r="N539" i="3"/>
  <c r="M531" i="3"/>
  <c r="U531" i="3"/>
  <c r="P531" i="3"/>
  <c r="O531" i="3"/>
  <c r="S531" i="3" s="1"/>
  <c r="N531" i="3"/>
  <c r="M523" i="3"/>
  <c r="U523" i="3"/>
  <c r="P523" i="3"/>
  <c r="O523" i="3"/>
  <c r="S523" i="3" s="1"/>
  <c r="N523" i="3"/>
  <c r="M515" i="3"/>
  <c r="U515" i="3"/>
  <c r="P515" i="3"/>
  <c r="O515" i="3"/>
  <c r="S515" i="3" s="1"/>
  <c r="N515" i="3"/>
  <c r="M507" i="3"/>
  <c r="U507" i="3"/>
  <c r="P507" i="3"/>
  <c r="O507" i="3"/>
  <c r="S507" i="3" s="1"/>
  <c r="N507" i="3"/>
  <c r="M499" i="3"/>
  <c r="U499" i="3"/>
  <c r="P499" i="3"/>
  <c r="O499" i="3"/>
  <c r="S499" i="3" s="1"/>
  <c r="N499" i="3"/>
  <c r="M473" i="3"/>
  <c r="U473" i="3"/>
  <c r="P473" i="3"/>
  <c r="O473" i="3"/>
  <c r="S473" i="3" s="1"/>
  <c r="N473" i="3"/>
  <c r="M465" i="3"/>
  <c r="U465" i="3"/>
  <c r="P465" i="3"/>
  <c r="O465" i="3"/>
  <c r="S465" i="3" s="1"/>
  <c r="N465" i="3"/>
  <c r="N447" i="3"/>
  <c r="U447" i="3"/>
  <c r="P447" i="3"/>
  <c r="O447" i="3"/>
  <c r="S447" i="3" s="1"/>
  <c r="M447" i="3"/>
  <c r="N439" i="3"/>
  <c r="U439" i="3"/>
  <c r="P439" i="3"/>
  <c r="O439" i="3"/>
  <c r="S439" i="3" s="1"/>
  <c r="M439" i="3"/>
  <c r="N431" i="3"/>
  <c r="U431" i="3"/>
  <c r="P431" i="3"/>
  <c r="O431" i="3"/>
  <c r="S431" i="3" s="1"/>
  <c r="M431" i="3"/>
  <c r="M423" i="3"/>
  <c r="R423" i="3" s="1"/>
  <c r="U423" i="3"/>
  <c r="O423" i="3"/>
  <c r="S423" i="3" s="1"/>
  <c r="N423" i="3"/>
  <c r="P423" i="3"/>
  <c r="O415" i="3"/>
  <c r="S415" i="3" s="1"/>
  <c r="P415" i="3"/>
  <c r="M415" i="3"/>
  <c r="N415" i="3"/>
  <c r="U415" i="3"/>
  <c r="U407" i="3"/>
  <c r="P407" i="3"/>
  <c r="N407" i="3"/>
  <c r="M407" i="3"/>
  <c r="O407" i="3"/>
  <c r="S407" i="3" s="1"/>
  <c r="U399" i="3"/>
  <c r="P399" i="3"/>
  <c r="N399" i="3"/>
  <c r="M399" i="3"/>
  <c r="O399" i="3"/>
  <c r="S399" i="3" s="1"/>
  <c r="U391" i="3"/>
  <c r="P391" i="3"/>
  <c r="N391" i="3"/>
  <c r="M391" i="3"/>
  <c r="O391" i="3"/>
  <c r="S391" i="3" s="1"/>
  <c r="O383" i="3"/>
  <c r="S383" i="3" s="1"/>
  <c r="M383" i="3"/>
  <c r="U383" i="3"/>
  <c r="P383" i="3"/>
  <c r="N383" i="3"/>
  <c r="O375" i="3"/>
  <c r="S375" i="3" s="1"/>
  <c r="M375" i="3"/>
  <c r="U375" i="3"/>
  <c r="P375" i="3"/>
  <c r="N375" i="3"/>
  <c r="O367" i="3"/>
  <c r="S367" i="3" s="1"/>
  <c r="U367" i="3"/>
  <c r="N367" i="3"/>
  <c r="M367" i="3"/>
  <c r="P367" i="3"/>
  <c r="M357" i="3"/>
  <c r="P357" i="3"/>
  <c r="U357" i="3"/>
  <c r="O357" i="3"/>
  <c r="S357" i="3" s="1"/>
  <c r="N357" i="3"/>
  <c r="M349" i="3"/>
  <c r="P349" i="3"/>
  <c r="U349" i="3"/>
  <c r="O349" i="3"/>
  <c r="S349" i="3" s="1"/>
  <c r="N349" i="3"/>
  <c r="U341" i="3"/>
  <c r="P341" i="3"/>
  <c r="O341" i="3"/>
  <c r="S341" i="3" s="1"/>
  <c r="N341" i="3"/>
  <c r="M341" i="3"/>
  <c r="U333" i="3"/>
  <c r="P333" i="3"/>
  <c r="O333" i="3"/>
  <c r="S333" i="3" s="1"/>
  <c r="N333" i="3"/>
  <c r="M333" i="3"/>
  <c r="U325" i="3"/>
  <c r="P325" i="3"/>
  <c r="O325" i="3"/>
  <c r="S325" i="3" s="1"/>
  <c r="N325" i="3"/>
  <c r="M325" i="3"/>
  <c r="U317" i="3"/>
  <c r="P317" i="3"/>
  <c r="O317" i="3"/>
  <c r="S317" i="3" s="1"/>
  <c r="N317" i="3"/>
  <c r="M317" i="3"/>
  <c r="N309" i="3"/>
  <c r="M309" i="3"/>
  <c r="P309" i="3"/>
  <c r="O309" i="3"/>
  <c r="S309" i="3" s="1"/>
  <c r="U309" i="3"/>
  <c r="M278" i="3"/>
  <c r="P278" i="3"/>
  <c r="U278" i="3"/>
  <c r="O278" i="3"/>
  <c r="S278" i="3" s="1"/>
  <c r="N278" i="3"/>
  <c r="M270" i="3"/>
  <c r="P270" i="3"/>
  <c r="U270" i="3"/>
  <c r="O270" i="3"/>
  <c r="S270" i="3" s="1"/>
  <c r="N270" i="3"/>
  <c r="M262" i="3"/>
  <c r="P262" i="3"/>
  <c r="U262" i="3"/>
  <c r="O262" i="3"/>
  <c r="S262" i="3" s="1"/>
  <c r="N262" i="3"/>
  <c r="M254" i="3"/>
  <c r="P254" i="3"/>
  <c r="U254" i="3"/>
  <c r="O254" i="3"/>
  <c r="S254" i="3" s="1"/>
  <c r="N254" i="3"/>
  <c r="M246" i="3"/>
  <c r="P246" i="3"/>
  <c r="U246" i="3"/>
  <c r="O246" i="3"/>
  <c r="S246" i="3" s="1"/>
  <c r="N246" i="3"/>
  <c r="M238" i="3"/>
  <c r="P238" i="3"/>
  <c r="U238" i="3"/>
  <c r="O238" i="3"/>
  <c r="S238" i="3" s="1"/>
  <c r="N238" i="3"/>
  <c r="G231" i="3"/>
  <c r="H231" i="3"/>
  <c r="H223" i="3"/>
  <c r="G223" i="3"/>
  <c r="O213" i="3"/>
  <c r="S213" i="3" s="1"/>
  <c r="P213" i="3"/>
  <c r="M213" i="3"/>
  <c r="U213" i="3"/>
  <c r="N213" i="3"/>
  <c r="O205" i="3"/>
  <c r="S205" i="3" s="1"/>
  <c r="P205" i="3"/>
  <c r="N205" i="3"/>
  <c r="M205" i="3"/>
  <c r="U205" i="3"/>
  <c r="O197" i="3"/>
  <c r="S197" i="3" s="1"/>
  <c r="P197" i="3"/>
  <c r="M197" i="3"/>
  <c r="U197" i="3"/>
  <c r="N197" i="3"/>
  <c r="O189" i="3"/>
  <c r="S189" i="3" s="1"/>
  <c r="P189" i="3"/>
  <c r="N189" i="3"/>
  <c r="M189" i="3"/>
  <c r="U189" i="3"/>
  <c r="O181" i="3"/>
  <c r="S181" i="3" s="1"/>
  <c r="P181" i="3"/>
  <c r="M181" i="3"/>
  <c r="U181" i="3"/>
  <c r="N181" i="3"/>
  <c r="O173" i="3"/>
  <c r="S173" i="3" s="1"/>
  <c r="P173" i="3"/>
  <c r="N173" i="3"/>
  <c r="M173" i="3"/>
  <c r="U173" i="3"/>
  <c r="H166" i="3"/>
  <c r="G166" i="3"/>
  <c r="H160" i="3"/>
  <c r="G160" i="3"/>
  <c r="G158" i="3"/>
  <c r="H158" i="3"/>
  <c r="H150" i="3"/>
  <c r="G150" i="3"/>
  <c r="N142" i="3"/>
  <c r="P142" i="3"/>
  <c r="U142" i="3"/>
  <c r="O142" i="3"/>
  <c r="S142" i="3" s="1"/>
  <c r="M142" i="3"/>
  <c r="N134" i="3"/>
  <c r="U134" i="3"/>
  <c r="O134" i="3"/>
  <c r="S134" i="3" s="1"/>
  <c r="P134" i="3"/>
  <c r="M134" i="3"/>
  <c r="U126" i="3"/>
  <c r="P126" i="3"/>
  <c r="N126" i="3"/>
  <c r="M126" i="3"/>
  <c r="O126" i="3"/>
  <c r="S126" i="3" s="1"/>
  <c r="U118" i="3"/>
  <c r="P118" i="3"/>
  <c r="N118" i="3"/>
  <c r="O118" i="3"/>
  <c r="S118" i="3" s="1"/>
  <c r="M118" i="3"/>
  <c r="J62" i="6"/>
  <c r="K62" i="6" s="1"/>
  <c r="L110" i="3"/>
  <c r="N102" i="3"/>
  <c r="P102" i="3"/>
  <c r="U102" i="3"/>
  <c r="O102" i="3"/>
  <c r="S102" i="3" s="1"/>
  <c r="M102" i="3"/>
  <c r="N94" i="3"/>
  <c r="P94" i="3"/>
  <c r="U94" i="3"/>
  <c r="O94" i="3"/>
  <c r="S94" i="3" s="1"/>
  <c r="M94" i="3"/>
  <c r="N86" i="3"/>
  <c r="P86" i="3"/>
  <c r="U86" i="3"/>
  <c r="O86" i="3"/>
  <c r="S86" i="3" s="1"/>
  <c r="M86" i="3"/>
  <c r="H75" i="3"/>
  <c r="G75" i="3"/>
  <c r="J44" i="6"/>
  <c r="K44" i="6" s="1"/>
  <c r="L71" i="3"/>
  <c r="J41" i="6"/>
  <c r="K41" i="6" s="1"/>
  <c r="L63" i="3"/>
  <c r="G62" i="3"/>
  <c r="H62" i="3"/>
  <c r="H52" i="3"/>
  <c r="G52" i="3"/>
  <c r="H46" i="3"/>
  <c r="G46" i="3"/>
  <c r="H42" i="3"/>
  <c r="G42" i="3"/>
  <c r="G40" i="3"/>
  <c r="H40" i="3"/>
  <c r="H38" i="3"/>
  <c r="G38" i="3"/>
  <c r="H30" i="3"/>
  <c r="G30" i="3"/>
  <c r="H22" i="3"/>
  <c r="G22" i="3"/>
  <c r="G16" i="3"/>
  <c r="H16" i="3"/>
  <c r="H10" i="3"/>
  <c r="G10" i="3"/>
  <c r="G8" i="3"/>
  <c r="H8" i="3"/>
  <c r="H2" i="3"/>
  <c r="G2" i="3"/>
  <c r="O224" i="3"/>
  <c r="S224" i="3" s="1"/>
  <c r="U224" i="3"/>
  <c r="M224" i="3"/>
  <c r="P224" i="3"/>
  <c r="N224" i="3"/>
  <c r="H219" i="3"/>
  <c r="G219" i="3"/>
  <c r="M161" i="3"/>
  <c r="P161" i="3"/>
  <c r="O161" i="3"/>
  <c r="S161" i="3" s="1"/>
  <c r="N161" i="3"/>
  <c r="U161" i="3"/>
  <c r="M153" i="3"/>
  <c r="P153" i="3"/>
  <c r="N153" i="3"/>
  <c r="U153" i="3"/>
  <c r="O153" i="3"/>
  <c r="S153" i="3" s="1"/>
  <c r="G120" i="3"/>
  <c r="H120" i="3"/>
  <c r="H104" i="3"/>
  <c r="G104" i="3"/>
  <c r="H92" i="3"/>
  <c r="G92" i="3"/>
  <c r="H90" i="3"/>
  <c r="G90" i="3"/>
  <c r="J40" i="6"/>
  <c r="K40" i="6" s="1"/>
  <c r="L61" i="3"/>
  <c r="M53" i="3"/>
  <c r="U53" i="3"/>
  <c r="P53" i="3"/>
  <c r="O53" i="3"/>
  <c r="S53" i="3" s="1"/>
  <c r="N53" i="3"/>
  <c r="O45" i="3"/>
  <c r="S45" i="3" s="1"/>
  <c r="N45" i="3"/>
  <c r="M45" i="3"/>
  <c r="U45" i="3"/>
  <c r="P45" i="3"/>
  <c r="J29" i="6"/>
  <c r="K29" i="6" s="1"/>
  <c r="L31" i="3"/>
  <c r="J8" i="6"/>
  <c r="K8" i="6" s="1"/>
  <c r="L17" i="3"/>
  <c r="N3" i="3"/>
  <c r="M3" i="3"/>
  <c r="U3" i="3"/>
  <c r="P3" i="3"/>
  <c r="O3" i="3"/>
  <c r="S3" i="3" s="1"/>
  <c r="R259" i="3"/>
  <c r="Q259" i="3"/>
  <c r="Q249" i="3"/>
  <c r="R249" i="3"/>
  <c r="R235" i="3"/>
  <c r="Q235" i="3"/>
  <c r="R212" i="3"/>
  <c r="Q212" i="3"/>
  <c r="Q210" i="3"/>
  <c r="R210" i="3"/>
  <c r="R188" i="3"/>
  <c r="Q188" i="3"/>
  <c r="Q145" i="3"/>
  <c r="R145" i="3"/>
  <c r="K72" i="6"/>
  <c r="O66" i="3"/>
  <c r="S66" i="3" s="1"/>
  <c r="N66" i="3"/>
  <c r="M66" i="3"/>
  <c r="U66" i="3"/>
  <c r="P66" i="3"/>
  <c r="H57" i="3"/>
  <c r="G57" i="3"/>
  <c r="G29" i="3"/>
  <c r="H29" i="3"/>
  <c r="H7" i="3"/>
  <c r="G7" i="3"/>
  <c r="K682" i="3"/>
  <c r="F682" i="3"/>
  <c r="I682" i="3"/>
  <c r="E682" i="3"/>
  <c r="D682" i="3"/>
  <c r="K674" i="3"/>
  <c r="F674" i="3"/>
  <c r="I674" i="3"/>
  <c r="E674" i="3"/>
  <c r="D674" i="3"/>
  <c r="I666" i="3"/>
  <c r="E666" i="3"/>
  <c r="D666" i="3"/>
  <c r="K666" i="3"/>
  <c r="F666" i="3"/>
  <c r="I658" i="3"/>
  <c r="E658" i="3"/>
  <c r="D658" i="3"/>
  <c r="K658" i="3"/>
  <c r="F658" i="3"/>
  <c r="I650" i="3"/>
  <c r="E650" i="3"/>
  <c r="D650" i="3"/>
  <c r="K650" i="3"/>
  <c r="F650" i="3"/>
  <c r="D642" i="3"/>
  <c r="K642" i="3"/>
  <c r="E642" i="3"/>
  <c r="I642" i="3"/>
  <c r="F642" i="3"/>
  <c r="D634" i="3"/>
  <c r="E634" i="3"/>
  <c r="I634" i="3"/>
  <c r="F634" i="3"/>
  <c r="K634" i="3"/>
  <c r="D626" i="3"/>
  <c r="K626" i="3"/>
  <c r="E626" i="3"/>
  <c r="I626" i="3"/>
  <c r="F626" i="3"/>
  <c r="D618" i="3"/>
  <c r="K618" i="3"/>
  <c r="E618" i="3"/>
  <c r="I618" i="3"/>
  <c r="F618" i="3"/>
  <c r="D586" i="3"/>
  <c r="K586" i="3"/>
  <c r="F586" i="3"/>
  <c r="E586" i="3"/>
  <c r="I586" i="3"/>
  <c r="D578" i="3"/>
  <c r="K578" i="3"/>
  <c r="F578" i="3"/>
  <c r="E578" i="3"/>
  <c r="I578" i="3"/>
  <c r="I570" i="3"/>
  <c r="E570" i="3"/>
  <c r="K570" i="3"/>
  <c r="F570" i="3"/>
  <c r="D570" i="3"/>
  <c r="F562" i="3"/>
  <c r="D562" i="3"/>
  <c r="I562" i="3"/>
  <c r="E562" i="3"/>
  <c r="K562" i="3"/>
  <c r="F554" i="3"/>
  <c r="D554" i="3"/>
  <c r="I554" i="3"/>
  <c r="E554" i="3"/>
  <c r="K554" i="3"/>
  <c r="F546" i="3"/>
  <c r="K546" i="3"/>
  <c r="E546" i="3"/>
  <c r="I546" i="3"/>
  <c r="D546" i="3"/>
  <c r="D538" i="3"/>
  <c r="K538" i="3"/>
  <c r="F538" i="3"/>
  <c r="I538" i="3"/>
  <c r="E538" i="3"/>
  <c r="D530" i="3"/>
  <c r="K530" i="3"/>
  <c r="F530" i="3"/>
  <c r="I530" i="3"/>
  <c r="E530" i="3"/>
  <c r="D522" i="3"/>
  <c r="K522" i="3"/>
  <c r="F522" i="3"/>
  <c r="I522" i="3"/>
  <c r="E522" i="3"/>
  <c r="D514" i="3"/>
  <c r="K514" i="3"/>
  <c r="F514" i="3"/>
  <c r="I514" i="3"/>
  <c r="E514" i="3"/>
  <c r="D506" i="3"/>
  <c r="K506" i="3"/>
  <c r="F506" i="3"/>
  <c r="I506" i="3"/>
  <c r="E506" i="3"/>
  <c r="D498" i="3"/>
  <c r="K498" i="3"/>
  <c r="F498" i="3"/>
  <c r="I498" i="3"/>
  <c r="E498" i="3"/>
  <c r="R496" i="3"/>
  <c r="Q496" i="3"/>
  <c r="R490" i="3"/>
  <c r="Q490" i="3"/>
  <c r="R488" i="3"/>
  <c r="Q488" i="3"/>
  <c r="R486" i="3"/>
  <c r="Q486" i="3"/>
  <c r="D476" i="3"/>
  <c r="K476" i="3"/>
  <c r="F476" i="3"/>
  <c r="I476" i="3"/>
  <c r="E476" i="3"/>
  <c r="D468" i="3"/>
  <c r="K468" i="3"/>
  <c r="F468" i="3"/>
  <c r="I468" i="3"/>
  <c r="E468" i="3"/>
  <c r="Q460" i="3"/>
  <c r="R460" i="3"/>
  <c r="O450" i="3"/>
  <c r="S450" i="3" s="1"/>
  <c r="N450" i="3"/>
  <c r="M450" i="3"/>
  <c r="P450" i="3"/>
  <c r="U450" i="3"/>
  <c r="M442" i="3"/>
  <c r="O442" i="3"/>
  <c r="S442" i="3" s="1"/>
  <c r="P442" i="3"/>
  <c r="U442" i="3"/>
  <c r="N442" i="3"/>
  <c r="M434" i="3"/>
  <c r="O434" i="3"/>
  <c r="S434" i="3" s="1"/>
  <c r="P434" i="3"/>
  <c r="U434" i="3"/>
  <c r="N434" i="3"/>
  <c r="M426" i="3"/>
  <c r="O426" i="3"/>
  <c r="S426" i="3" s="1"/>
  <c r="P426" i="3"/>
  <c r="U426" i="3"/>
  <c r="N426" i="3"/>
  <c r="U418" i="3"/>
  <c r="P418" i="3"/>
  <c r="N418" i="3"/>
  <c r="M418" i="3"/>
  <c r="O418" i="3"/>
  <c r="S418" i="3" s="1"/>
  <c r="O410" i="3"/>
  <c r="S410" i="3" s="1"/>
  <c r="M410" i="3"/>
  <c r="P410" i="3"/>
  <c r="N410" i="3"/>
  <c r="U410" i="3"/>
  <c r="O402" i="3"/>
  <c r="S402" i="3" s="1"/>
  <c r="M402" i="3"/>
  <c r="P402" i="3"/>
  <c r="N402" i="3"/>
  <c r="U402" i="3"/>
  <c r="O394" i="3"/>
  <c r="S394" i="3" s="1"/>
  <c r="M394" i="3"/>
  <c r="P394" i="3"/>
  <c r="N394" i="3"/>
  <c r="U394" i="3"/>
  <c r="N386" i="3"/>
  <c r="U386" i="3"/>
  <c r="P386" i="3"/>
  <c r="O386" i="3"/>
  <c r="S386" i="3" s="1"/>
  <c r="M386" i="3"/>
  <c r="N378" i="3"/>
  <c r="U378" i="3"/>
  <c r="P378" i="3"/>
  <c r="O378" i="3"/>
  <c r="S378" i="3" s="1"/>
  <c r="M378" i="3"/>
  <c r="N370" i="3"/>
  <c r="U370" i="3"/>
  <c r="P370" i="3"/>
  <c r="O370" i="3"/>
  <c r="S370" i="3" s="1"/>
  <c r="M370" i="3"/>
  <c r="N362" i="3"/>
  <c r="U362" i="3"/>
  <c r="O362" i="3"/>
  <c r="S362" i="3" s="1"/>
  <c r="M362" i="3"/>
  <c r="P362" i="3"/>
  <c r="U356" i="3"/>
  <c r="P356" i="3"/>
  <c r="N356" i="3"/>
  <c r="M356" i="3"/>
  <c r="O356" i="3"/>
  <c r="S356" i="3" s="1"/>
  <c r="U348" i="3"/>
  <c r="P348" i="3"/>
  <c r="N348" i="3"/>
  <c r="M348" i="3"/>
  <c r="O348" i="3"/>
  <c r="S348" i="3" s="1"/>
  <c r="O340" i="3"/>
  <c r="S340" i="3" s="1"/>
  <c r="M340" i="3"/>
  <c r="U340" i="3"/>
  <c r="P340" i="3"/>
  <c r="N340" i="3"/>
  <c r="O332" i="3"/>
  <c r="S332" i="3" s="1"/>
  <c r="M332" i="3"/>
  <c r="P332" i="3"/>
  <c r="N332" i="3"/>
  <c r="U332" i="3"/>
  <c r="O324" i="3"/>
  <c r="S324" i="3" s="1"/>
  <c r="M324" i="3"/>
  <c r="U324" i="3"/>
  <c r="P324" i="3"/>
  <c r="N324" i="3"/>
  <c r="O316" i="3"/>
  <c r="S316" i="3" s="1"/>
  <c r="M316" i="3"/>
  <c r="P316" i="3"/>
  <c r="N316" i="3"/>
  <c r="U316" i="3"/>
  <c r="M308" i="3"/>
  <c r="U308" i="3"/>
  <c r="P308" i="3"/>
  <c r="N308" i="3"/>
  <c r="O308" i="3"/>
  <c r="S308" i="3" s="1"/>
  <c r="N301" i="3"/>
  <c r="M301" i="3"/>
  <c r="P301" i="3"/>
  <c r="O301" i="3"/>
  <c r="S301" i="3" s="1"/>
  <c r="U301" i="3"/>
  <c r="U293" i="3"/>
  <c r="P293" i="3"/>
  <c r="O293" i="3"/>
  <c r="S293" i="3" s="1"/>
  <c r="N293" i="3"/>
  <c r="M293" i="3"/>
  <c r="G288" i="3"/>
  <c r="H288" i="3"/>
  <c r="U285" i="3"/>
  <c r="P285" i="3"/>
  <c r="N285" i="3"/>
  <c r="M285" i="3"/>
  <c r="O285" i="3"/>
  <c r="S285" i="3" s="1"/>
  <c r="G280" i="3"/>
  <c r="H280" i="3"/>
  <c r="G276" i="3"/>
  <c r="H276" i="3"/>
  <c r="G272" i="3"/>
  <c r="H272" i="3"/>
  <c r="G268" i="3"/>
  <c r="H268" i="3"/>
  <c r="G264" i="3"/>
  <c r="H264" i="3"/>
  <c r="G260" i="3"/>
  <c r="H260" i="3"/>
  <c r="G256" i="3"/>
  <c r="H256" i="3"/>
  <c r="G252" i="3"/>
  <c r="H252" i="3"/>
  <c r="G248" i="3"/>
  <c r="H248" i="3"/>
  <c r="G244" i="3"/>
  <c r="H244" i="3"/>
  <c r="G240" i="3"/>
  <c r="H240" i="3"/>
  <c r="G236" i="3"/>
  <c r="H236" i="3"/>
  <c r="G232" i="3"/>
  <c r="H232" i="3"/>
  <c r="G213" i="3"/>
  <c r="H213" i="3"/>
  <c r="G197" i="3"/>
  <c r="H197" i="3"/>
  <c r="G181" i="3"/>
  <c r="H181" i="3"/>
  <c r="G167" i="3"/>
  <c r="H167" i="3"/>
  <c r="H148" i="3"/>
  <c r="G148" i="3"/>
  <c r="G142" i="3"/>
  <c r="H142" i="3"/>
  <c r="H94" i="3"/>
  <c r="G94" i="3"/>
  <c r="M80" i="3"/>
  <c r="U80" i="3"/>
  <c r="P80" i="3"/>
  <c r="O80" i="3"/>
  <c r="S80" i="3" s="1"/>
  <c r="N80" i="3"/>
  <c r="M72" i="3"/>
  <c r="U72" i="3"/>
  <c r="P72" i="3"/>
  <c r="O72" i="3"/>
  <c r="S72" i="3" s="1"/>
  <c r="N72" i="3"/>
  <c r="H67" i="3"/>
  <c r="G67" i="3"/>
  <c r="N43" i="3"/>
  <c r="M43" i="3"/>
  <c r="U43" i="3"/>
  <c r="P43" i="3"/>
  <c r="O43" i="3"/>
  <c r="S43" i="3" s="1"/>
  <c r="J6" i="6"/>
  <c r="K6" i="6" s="1"/>
  <c r="L23" i="3"/>
  <c r="U5" i="3"/>
  <c r="P5" i="3"/>
  <c r="O5" i="3"/>
  <c r="S5" i="3" s="1"/>
  <c r="N5" i="3"/>
  <c r="M5" i="3"/>
  <c r="R253" i="3"/>
  <c r="Q253" i="3"/>
  <c r="Q218" i="3"/>
  <c r="R218" i="3"/>
  <c r="R190" i="3"/>
  <c r="Q190" i="3"/>
  <c r="Q186" i="3"/>
  <c r="R186" i="3"/>
  <c r="M115" i="3"/>
  <c r="N115" i="3"/>
  <c r="P115" i="3"/>
  <c r="U115" i="3"/>
  <c r="O115" i="3"/>
  <c r="S115" i="3" s="1"/>
  <c r="Q97" i="3"/>
  <c r="R97" i="3"/>
  <c r="H49" i="3"/>
  <c r="G49" i="3"/>
  <c r="H19" i="3"/>
  <c r="G19" i="3"/>
  <c r="F685" i="3"/>
  <c r="I685" i="3"/>
  <c r="E685" i="3"/>
  <c r="D685" i="3"/>
  <c r="K685" i="3"/>
  <c r="F677" i="3"/>
  <c r="I677" i="3"/>
  <c r="E677" i="3"/>
  <c r="D677" i="3"/>
  <c r="K677" i="3"/>
  <c r="F669" i="3"/>
  <c r="I669" i="3"/>
  <c r="E669" i="3"/>
  <c r="D669" i="3"/>
  <c r="K669" i="3"/>
  <c r="D661" i="3"/>
  <c r="K661" i="3"/>
  <c r="F661" i="3"/>
  <c r="I661" i="3"/>
  <c r="E661" i="3"/>
  <c r="D653" i="3"/>
  <c r="K653" i="3"/>
  <c r="F653" i="3"/>
  <c r="I653" i="3"/>
  <c r="E653" i="3"/>
  <c r="D645" i="3"/>
  <c r="K645" i="3"/>
  <c r="F645" i="3"/>
  <c r="I645" i="3"/>
  <c r="E645" i="3"/>
  <c r="K637" i="3"/>
  <c r="E637" i="3"/>
  <c r="I637" i="3"/>
  <c r="D637" i="3"/>
  <c r="F637" i="3"/>
  <c r="K629" i="3"/>
  <c r="F629" i="3"/>
  <c r="E629" i="3"/>
  <c r="D629" i="3"/>
  <c r="I629" i="3"/>
  <c r="K621" i="3"/>
  <c r="F621" i="3"/>
  <c r="E621" i="3"/>
  <c r="D621" i="3"/>
  <c r="I621" i="3"/>
  <c r="K613" i="3"/>
  <c r="F613" i="3"/>
  <c r="E613" i="3"/>
  <c r="D613" i="3"/>
  <c r="I613" i="3"/>
  <c r="R612" i="3"/>
  <c r="Q612" i="3"/>
  <c r="K581" i="3"/>
  <c r="F581" i="3"/>
  <c r="E581" i="3"/>
  <c r="I581" i="3"/>
  <c r="D581" i="3"/>
  <c r="D573" i="3"/>
  <c r="K573" i="3"/>
  <c r="F573" i="3"/>
  <c r="I573" i="3"/>
  <c r="E573" i="3"/>
  <c r="I565" i="3"/>
  <c r="E565" i="3"/>
  <c r="K565" i="3"/>
  <c r="F565" i="3"/>
  <c r="D565" i="3"/>
  <c r="I557" i="3"/>
  <c r="E557" i="3"/>
  <c r="K557" i="3"/>
  <c r="F557" i="3"/>
  <c r="D557" i="3"/>
  <c r="I549" i="3"/>
  <c r="E549" i="3"/>
  <c r="K549" i="3"/>
  <c r="F549" i="3"/>
  <c r="D549" i="3"/>
  <c r="K541" i="3"/>
  <c r="F541" i="3"/>
  <c r="I541" i="3"/>
  <c r="E541" i="3"/>
  <c r="D541" i="3"/>
  <c r="K533" i="3"/>
  <c r="F533" i="3"/>
  <c r="I533" i="3"/>
  <c r="E533" i="3"/>
  <c r="D533" i="3"/>
  <c r="K525" i="3"/>
  <c r="F525" i="3"/>
  <c r="I525" i="3"/>
  <c r="E525" i="3"/>
  <c r="D525" i="3"/>
  <c r="K517" i="3"/>
  <c r="F517" i="3"/>
  <c r="I517" i="3"/>
  <c r="E517" i="3"/>
  <c r="D517" i="3"/>
  <c r="K509" i="3"/>
  <c r="F509" i="3"/>
  <c r="I509" i="3"/>
  <c r="E509" i="3"/>
  <c r="D509" i="3"/>
  <c r="K501" i="3"/>
  <c r="F501" i="3"/>
  <c r="I501" i="3"/>
  <c r="E501" i="3"/>
  <c r="D501" i="3"/>
  <c r="K471" i="3"/>
  <c r="F471" i="3"/>
  <c r="I471" i="3"/>
  <c r="E471" i="3"/>
  <c r="D471" i="3"/>
  <c r="F453" i="3"/>
  <c r="I453" i="3"/>
  <c r="E453" i="3"/>
  <c r="D453" i="3"/>
  <c r="K453" i="3"/>
  <c r="D445" i="3"/>
  <c r="F445" i="3"/>
  <c r="K445" i="3"/>
  <c r="I445" i="3"/>
  <c r="E445" i="3"/>
  <c r="D437" i="3"/>
  <c r="F437" i="3"/>
  <c r="K437" i="3"/>
  <c r="I437" i="3"/>
  <c r="E437" i="3"/>
  <c r="D429" i="3"/>
  <c r="F429" i="3"/>
  <c r="K429" i="3"/>
  <c r="I429" i="3"/>
  <c r="E429" i="3"/>
  <c r="K421" i="3"/>
  <c r="I421" i="3"/>
  <c r="E421" i="3"/>
  <c r="F421" i="3"/>
  <c r="D421" i="3"/>
  <c r="I413" i="3"/>
  <c r="E413" i="3"/>
  <c r="D413" i="3"/>
  <c r="F413" i="3"/>
  <c r="K413" i="3"/>
  <c r="F405" i="3"/>
  <c r="D405" i="3"/>
  <c r="E405" i="3"/>
  <c r="K405" i="3"/>
  <c r="I405" i="3"/>
  <c r="F397" i="3"/>
  <c r="D397" i="3"/>
  <c r="E397" i="3"/>
  <c r="K397" i="3"/>
  <c r="I397" i="3"/>
  <c r="I389" i="3"/>
  <c r="E389" i="3"/>
  <c r="K389" i="3"/>
  <c r="D389" i="3"/>
  <c r="F389" i="3"/>
  <c r="I381" i="3"/>
  <c r="E381" i="3"/>
  <c r="K381" i="3"/>
  <c r="D381" i="3"/>
  <c r="F381" i="3"/>
  <c r="I373" i="3"/>
  <c r="E373" i="3"/>
  <c r="K373" i="3"/>
  <c r="D373" i="3"/>
  <c r="F373" i="3"/>
  <c r="I365" i="3"/>
  <c r="E365" i="3"/>
  <c r="K365" i="3"/>
  <c r="F365" i="3"/>
  <c r="D365" i="3"/>
  <c r="K359" i="3"/>
  <c r="I359" i="3"/>
  <c r="D359" i="3"/>
  <c r="F359" i="3"/>
  <c r="E359" i="3"/>
  <c r="K351" i="3"/>
  <c r="I351" i="3"/>
  <c r="D351" i="3"/>
  <c r="F351" i="3"/>
  <c r="E351" i="3"/>
  <c r="F343" i="3"/>
  <c r="K343" i="3"/>
  <c r="I343" i="3"/>
  <c r="E343" i="3"/>
  <c r="D343" i="3"/>
  <c r="F335" i="3"/>
  <c r="E335" i="3"/>
  <c r="D335" i="3"/>
  <c r="K335" i="3"/>
  <c r="I335" i="3"/>
  <c r="F327" i="3"/>
  <c r="K327" i="3"/>
  <c r="I327" i="3"/>
  <c r="E327" i="3"/>
  <c r="D327" i="3"/>
  <c r="F319" i="3"/>
  <c r="E319" i="3"/>
  <c r="D319" i="3"/>
  <c r="K319" i="3"/>
  <c r="I319" i="3"/>
  <c r="F311" i="3"/>
  <c r="K311" i="3"/>
  <c r="I311" i="3"/>
  <c r="E311" i="3"/>
  <c r="D311" i="3"/>
  <c r="D303" i="3"/>
  <c r="K303" i="3"/>
  <c r="I303" i="3"/>
  <c r="F303" i="3"/>
  <c r="E303" i="3"/>
  <c r="F295" i="3"/>
  <c r="I295" i="3"/>
  <c r="E295" i="3"/>
  <c r="D295" i="3"/>
  <c r="K295" i="3"/>
  <c r="F287" i="3"/>
  <c r="K287" i="3"/>
  <c r="E287" i="3"/>
  <c r="I287" i="3"/>
  <c r="D287" i="3"/>
  <c r="R267" i="3"/>
  <c r="Q267" i="3"/>
  <c r="R251" i="3"/>
  <c r="Q251" i="3"/>
  <c r="R204" i="3"/>
  <c r="Q204" i="3"/>
  <c r="H157" i="3"/>
  <c r="G157" i="3"/>
  <c r="K70" i="6"/>
  <c r="H76" i="3"/>
  <c r="G76" i="3"/>
  <c r="G45" i="3"/>
  <c r="H45" i="3"/>
  <c r="H23" i="3"/>
  <c r="G23" i="3"/>
  <c r="H5" i="3"/>
  <c r="G5" i="3"/>
  <c r="I684" i="3"/>
  <c r="E684" i="3"/>
  <c r="D684" i="3"/>
  <c r="K684" i="3"/>
  <c r="F684" i="3"/>
  <c r="I676" i="3"/>
  <c r="E676" i="3"/>
  <c r="D676" i="3"/>
  <c r="K676" i="3"/>
  <c r="F676" i="3"/>
  <c r="I668" i="3"/>
  <c r="E668" i="3"/>
  <c r="D668" i="3"/>
  <c r="K668" i="3"/>
  <c r="F668" i="3"/>
  <c r="K660" i="3"/>
  <c r="F660" i="3"/>
  <c r="I660" i="3"/>
  <c r="E660" i="3"/>
  <c r="D660" i="3"/>
  <c r="K652" i="3"/>
  <c r="F652" i="3"/>
  <c r="I652" i="3"/>
  <c r="E652" i="3"/>
  <c r="D652" i="3"/>
  <c r="K644" i="3"/>
  <c r="F644" i="3"/>
  <c r="I644" i="3"/>
  <c r="E644" i="3"/>
  <c r="D644" i="3"/>
  <c r="F636" i="3"/>
  <c r="E636" i="3"/>
  <c r="D636" i="3"/>
  <c r="K636" i="3"/>
  <c r="I636" i="3"/>
  <c r="F628" i="3"/>
  <c r="I628" i="3"/>
  <c r="E628" i="3"/>
  <c r="D628" i="3"/>
  <c r="K628" i="3"/>
  <c r="F620" i="3"/>
  <c r="I620" i="3"/>
  <c r="E620" i="3"/>
  <c r="D620" i="3"/>
  <c r="K620" i="3"/>
  <c r="F588" i="3"/>
  <c r="I588" i="3"/>
  <c r="D588" i="3"/>
  <c r="K588" i="3"/>
  <c r="E588" i="3"/>
  <c r="F580" i="3"/>
  <c r="I580" i="3"/>
  <c r="D580" i="3"/>
  <c r="K580" i="3"/>
  <c r="E580" i="3"/>
  <c r="K572" i="3"/>
  <c r="I572" i="3"/>
  <c r="E572" i="3"/>
  <c r="F572" i="3"/>
  <c r="D572" i="3"/>
  <c r="D564" i="3"/>
  <c r="F564" i="3"/>
  <c r="I564" i="3"/>
  <c r="E564" i="3"/>
  <c r="K564" i="3"/>
  <c r="D556" i="3"/>
  <c r="F556" i="3"/>
  <c r="I556" i="3"/>
  <c r="E556" i="3"/>
  <c r="K556" i="3"/>
  <c r="D548" i="3"/>
  <c r="F548" i="3"/>
  <c r="I548" i="3"/>
  <c r="E548" i="3"/>
  <c r="K548" i="3"/>
  <c r="F540" i="3"/>
  <c r="I540" i="3"/>
  <c r="E540" i="3"/>
  <c r="D540" i="3"/>
  <c r="K540" i="3"/>
  <c r="F532" i="3"/>
  <c r="I532" i="3"/>
  <c r="E532" i="3"/>
  <c r="D532" i="3"/>
  <c r="K532" i="3"/>
  <c r="F524" i="3"/>
  <c r="I524" i="3"/>
  <c r="E524" i="3"/>
  <c r="D524" i="3"/>
  <c r="K524" i="3"/>
  <c r="F516" i="3"/>
  <c r="I516" i="3"/>
  <c r="E516" i="3"/>
  <c r="D516" i="3"/>
  <c r="K516" i="3"/>
  <c r="F508" i="3"/>
  <c r="I508" i="3"/>
  <c r="E508" i="3"/>
  <c r="D508" i="3"/>
  <c r="K508" i="3"/>
  <c r="F500" i="3"/>
  <c r="I500" i="3"/>
  <c r="E500" i="3"/>
  <c r="D500" i="3"/>
  <c r="K500" i="3"/>
  <c r="Q491" i="3"/>
  <c r="R491" i="3"/>
  <c r="R479" i="3"/>
  <c r="Q479" i="3"/>
  <c r="F474" i="3"/>
  <c r="I474" i="3"/>
  <c r="E474" i="3"/>
  <c r="D474" i="3"/>
  <c r="K474" i="3"/>
  <c r="F466" i="3"/>
  <c r="I466" i="3"/>
  <c r="E466" i="3"/>
  <c r="D466" i="3"/>
  <c r="K466" i="3"/>
  <c r="R463" i="3"/>
  <c r="Q463" i="3"/>
  <c r="O448" i="3"/>
  <c r="S448" i="3" s="1"/>
  <c r="M448" i="3"/>
  <c r="P448" i="3"/>
  <c r="N448" i="3"/>
  <c r="U448" i="3"/>
  <c r="O440" i="3"/>
  <c r="S440" i="3" s="1"/>
  <c r="M440" i="3"/>
  <c r="P440" i="3"/>
  <c r="U440" i="3"/>
  <c r="N440" i="3"/>
  <c r="O432" i="3"/>
  <c r="S432" i="3" s="1"/>
  <c r="M432" i="3"/>
  <c r="P432" i="3"/>
  <c r="U432" i="3"/>
  <c r="N432" i="3"/>
  <c r="O424" i="3"/>
  <c r="S424" i="3" s="1"/>
  <c r="M424" i="3"/>
  <c r="P424" i="3"/>
  <c r="U424" i="3"/>
  <c r="N424" i="3"/>
  <c r="U416" i="3"/>
  <c r="P416" i="3"/>
  <c r="M416" i="3"/>
  <c r="O416" i="3"/>
  <c r="S416" i="3" s="1"/>
  <c r="N416" i="3"/>
  <c r="M408" i="3"/>
  <c r="O408" i="3"/>
  <c r="S408" i="3" s="1"/>
  <c r="P408" i="3"/>
  <c r="N408" i="3"/>
  <c r="U408" i="3"/>
  <c r="M400" i="3"/>
  <c r="O400" i="3"/>
  <c r="S400" i="3" s="1"/>
  <c r="P400" i="3"/>
  <c r="N400" i="3"/>
  <c r="U400" i="3"/>
  <c r="M392" i="3"/>
  <c r="O392" i="3"/>
  <c r="S392" i="3" s="1"/>
  <c r="P392" i="3"/>
  <c r="N392" i="3"/>
  <c r="U392" i="3"/>
  <c r="U384" i="3"/>
  <c r="P384" i="3"/>
  <c r="N384" i="3"/>
  <c r="O384" i="3"/>
  <c r="S384" i="3" s="1"/>
  <c r="M384" i="3"/>
  <c r="U376" i="3"/>
  <c r="P376" i="3"/>
  <c r="N376" i="3"/>
  <c r="O376" i="3"/>
  <c r="S376" i="3" s="1"/>
  <c r="M376" i="3"/>
  <c r="U368" i="3"/>
  <c r="P368" i="3"/>
  <c r="N368" i="3"/>
  <c r="O368" i="3"/>
  <c r="S368" i="3" s="1"/>
  <c r="M368" i="3"/>
  <c r="N358" i="3"/>
  <c r="P358" i="3"/>
  <c r="M358" i="3"/>
  <c r="U358" i="3"/>
  <c r="O358" i="3"/>
  <c r="S358" i="3" s="1"/>
  <c r="N350" i="3"/>
  <c r="P350" i="3"/>
  <c r="O350" i="3"/>
  <c r="S350" i="3" s="1"/>
  <c r="M350" i="3"/>
  <c r="U350" i="3"/>
  <c r="M342" i="3"/>
  <c r="P342" i="3"/>
  <c r="N342" i="3"/>
  <c r="U342" i="3"/>
  <c r="O342" i="3"/>
  <c r="S342" i="3" s="1"/>
  <c r="M334" i="3"/>
  <c r="P334" i="3"/>
  <c r="O334" i="3"/>
  <c r="S334" i="3" s="1"/>
  <c r="N334" i="3"/>
  <c r="U334" i="3"/>
  <c r="M326" i="3"/>
  <c r="P326" i="3"/>
  <c r="N326" i="3"/>
  <c r="U326" i="3"/>
  <c r="O326" i="3"/>
  <c r="S326" i="3" s="1"/>
  <c r="M318" i="3"/>
  <c r="P318" i="3"/>
  <c r="O318" i="3"/>
  <c r="S318" i="3" s="1"/>
  <c r="N318" i="3"/>
  <c r="U318" i="3"/>
  <c r="M310" i="3"/>
  <c r="P310" i="3"/>
  <c r="N310" i="3"/>
  <c r="U310" i="3"/>
  <c r="O310" i="3"/>
  <c r="S310" i="3" s="1"/>
  <c r="O302" i="3"/>
  <c r="S302" i="3" s="1"/>
  <c r="N302" i="3"/>
  <c r="U302" i="3"/>
  <c r="P302" i="3"/>
  <c r="M302" i="3"/>
  <c r="G300" i="3"/>
  <c r="H300" i="3"/>
  <c r="M294" i="3"/>
  <c r="U294" i="3"/>
  <c r="P294" i="3"/>
  <c r="N294" i="3"/>
  <c r="O294" i="3"/>
  <c r="S294" i="3" s="1"/>
  <c r="G292" i="3"/>
  <c r="H292" i="3"/>
  <c r="M286" i="3"/>
  <c r="P286" i="3"/>
  <c r="U286" i="3"/>
  <c r="O286" i="3"/>
  <c r="S286" i="3" s="1"/>
  <c r="N286" i="3"/>
  <c r="G284" i="3"/>
  <c r="H284" i="3"/>
  <c r="G279" i="3"/>
  <c r="H279" i="3"/>
  <c r="G271" i="3"/>
  <c r="H271" i="3"/>
  <c r="G263" i="3"/>
  <c r="H263" i="3"/>
  <c r="G255" i="3"/>
  <c r="H255" i="3"/>
  <c r="G247" i="3"/>
  <c r="H247" i="3"/>
  <c r="G239" i="3"/>
  <c r="H239" i="3"/>
  <c r="R231" i="3"/>
  <c r="Q231" i="3"/>
  <c r="R223" i="3"/>
  <c r="Q223" i="3"/>
  <c r="H214" i="3"/>
  <c r="G214" i="3"/>
  <c r="H210" i="3"/>
  <c r="G210" i="3"/>
  <c r="H202" i="3"/>
  <c r="G202" i="3"/>
  <c r="H194" i="3"/>
  <c r="G194" i="3"/>
  <c r="H186" i="3"/>
  <c r="G186" i="3"/>
  <c r="H178" i="3"/>
  <c r="G178" i="3"/>
  <c r="R166" i="3"/>
  <c r="Q166" i="3"/>
  <c r="R158" i="3"/>
  <c r="Q158" i="3"/>
  <c r="R150" i="3"/>
  <c r="Q150" i="3"/>
  <c r="G145" i="3"/>
  <c r="H145" i="3"/>
  <c r="G137" i="3"/>
  <c r="H137" i="3"/>
  <c r="G133" i="3"/>
  <c r="H133" i="3"/>
  <c r="G129" i="3"/>
  <c r="H129" i="3"/>
  <c r="G125" i="3"/>
  <c r="H125" i="3"/>
  <c r="H123" i="3"/>
  <c r="G123" i="3"/>
  <c r="G121" i="3"/>
  <c r="H121" i="3"/>
  <c r="G117" i="3"/>
  <c r="H117" i="3"/>
  <c r="G113" i="3"/>
  <c r="H113" i="3"/>
  <c r="G109" i="3"/>
  <c r="H109" i="3"/>
  <c r="G105" i="3"/>
  <c r="H105" i="3"/>
  <c r="G97" i="3"/>
  <c r="H97" i="3"/>
  <c r="H89" i="3"/>
  <c r="G89" i="3"/>
  <c r="K46" i="6"/>
  <c r="G70" i="3"/>
  <c r="H70" i="3"/>
  <c r="H64" i="3"/>
  <c r="G64" i="3"/>
  <c r="K35" i="6"/>
  <c r="O50" i="3"/>
  <c r="S50" i="3" s="1"/>
  <c r="N50" i="3"/>
  <c r="U50" i="3"/>
  <c r="M50" i="3"/>
  <c r="P50" i="3"/>
  <c r="U46" i="3"/>
  <c r="P46" i="3"/>
  <c r="O46" i="3"/>
  <c r="S46" i="3" s="1"/>
  <c r="N46" i="3"/>
  <c r="M46" i="3"/>
  <c r="M42" i="3"/>
  <c r="U42" i="3"/>
  <c r="P42" i="3"/>
  <c r="O42" i="3"/>
  <c r="S42" i="3" s="1"/>
  <c r="N42" i="3"/>
  <c r="R38" i="3"/>
  <c r="T38" i="3"/>
  <c r="Q38" i="3"/>
  <c r="K17" i="6"/>
  <c r="N28" i="3"/>
  <c r="M28" i="3"/>
  <c r="U28" i="3"/>
  <c r="P28" i="3"/>
  <c r="O28" i="3"/>
  <c r="S28" i="3" s="1"/>
  <c r="K4" i="6"/>
  <c r="U18" i="3"/>
  <c r="P18" i="3"/>
  <c r="O18" i="3"/>
  <c r="S18" i="3" s="1"/>
  <c r="N18" i="3"/>
  <c r="M18" i="3"/>
  <c r="R16" i="3"/>
  <c r="Q16" i="3"/>
  <c r="R8" i="3"/>
  <c r="Q8" i="3"/>
  <c r="N8" i="2"/>
  <c r="N16" i="2"/>
  <c r="N24" i="2"/>
  <c r="N32" i="2"/>
  <c r="N40" i="2"/>
  <c r="N48" i="2"/>
  <c r="N56" i="2"/>
  <c r="N64" i="2"/>
  <c r="N72" i="2"/>
  <c r="N80" i="2"/>
  <c r="N88" i="2"/>
  <c r="N181" i="2"/>
  <c r="N189" i="2"/>
  <c r="N197" i="2"/>
  <c r="N205" i="2"/>
  <c r="N213" i="2"/>
  <c r="N221" i="2"/>
  <c r="N229" i="2"/>
  <c r="N238" i="2"/>
  <c r="N495" i="2"/>
  <c r="N503" i="2"/>
  <c r="N511" i="2"/>
  <c r="N519" i="2"/>
  <c r="N527" i="2"/>
  <c r="N535" i="2"/>
  <c r="N543" i="2"/>
  <c r="N551" i="2"/>
  <c r="N559" i="2"/>
  <c r="N567" i="2"/>
  <c r="N575" i="2"/>
  <c r="N583" i="2"/>
  <c r="N591" i="2"/>
  <c r="N599" i="2"/>
  <c r="N607" i="2"/>
  <c r="N654" i="2"/>
  <c r="N662" i="2"/>
  <c r="N670" i="2"/>
  <c r="N678" i="2"/>
  <c r="N686" i="2"/>
  <c r="N694" i="2"/>
  <c r="N702" i="2"/>
  <c r="N710" i="2"/>
  <c r="N718" i="2"/>
  <c r="N756" i="2"/>
  <c r="N764" i="2"/>
  <c r="N91" i="2"/>
  <c r="N99" i="2"/>
  <c r="N107" i="2"/>
  <c r="N115" i="2"/>
  <c r="N123" i="2"/>
  <c r="N131" i="2"/>
  <c r="N139" i="2"/>
  <c r="N147" i="2"/>
  <c r="N155" i="2"/>
  <c r="N163" i="2"/>
  <c r="N171" i="2"/>
  <c r="N245" i="2"/>
  <c r="N254" i="2"/>
  <c r="N265" i="2"/>
  <c r="N273" i="2"/>
  <c r="N281" i="2"/>
  <c r="N289" i="2"/>
  <c r="N297" i="2"/>
  <c r="N305" i="2"/>
  <c r="N313" i="2"/>
  <c r="N321" i="2"/>
  <c r="N329" i="2"/>
  <c r="N337" i="2"/>
  <c r="N345" i="2"/>
  <c r="N353" i="2"/>
  <c r="N361" i="2"/>
  <c r="N369" i="2"/>
  <c r="N377" i="2"/>
  <c r="N385" i="2"/>
  <c r="N393" i="2"/>
  <c r="N401" i="2"/>
  <c r="N409" i="2"/>
  <c r="N417" i="2"/>
  <c r="N425" i="2"/>
  <c r="N433" i="2"/>
  <c r="N441" i="2"/>
  <c r="N449" i="2"/>
  <c r="N457" i="2"/>
  <c r="N465" i="2"/>
  <c r="N473" i="2"/>
  <c r="N481" i="2"/>
  <c r="N489" i="2"/>
  <c r="N618" i="2"/>
  <c r="N626" i="2"/>
  <c r="N634" i="2"/>
  <c r="N642" i="2"/>
  <c r="N650" i="2"/>
  <c r="N728" i="2"/>
  <c r="N736" i="2"/>
  <c r="N744" i="2"/>
  <c r="N752" i="2"/>
  <c r="N777" i="2"/>
  <c r="N785" i="2"/>
  <c r="N793" i="2"/>
  <c r="N9" i="2"/>
  <c r="N17" i="2"/>
  <c r="N25" i="2"/>
  <c r="N33" i="2"/>
  <c r="N41" i="2"/>
  <c r="N49" i="2"/>
  <c r="N57" i="2"/>
  <c r="N65" i="2"/>
  <c r="N73" i="2"/>
  <c r="N81" i="2"/>
  <c r="N89" i="2"/>
  <c r="N184" i="2"/>
  <c r="N192" i="2"/>
  <c r="N200" i="2"/>
  <c r="N208" i="2"/>
  <c r="N216" i="2"/>
  <c r="N224" i="2"/>
  <c r="N232" i="2"/>
  <c r="N243" i="2"/>
  <c r="N494" i="2"/>
  <c r="N502" i="2"/>
  <c r="N510" i="2"/>
  <c r="N518" i="2"/>
  <c r="N526" i="2"/>
  <c r="N534" i="2"/>
  <c r="N542" i="2"/>
  <c r="N550" i="2"/>
  <c r="N558" i="2"/>
  <c r="N566" i="2"/>
  <c r="N574" i="2"/>
  <c r="N582" i="2"/>
  <c r="N590" i="2"/>
  <c r="N598" i="2"/>
  <c r="N606" i="2"/>
  <c r="N655" i="2"/>
  <c r="N663" i="2"/>
  <c r="N671" i="2"/>
  <c r="N679" i="2"/>
  <c r="N687" i="2"/>
  <c r="N695" i="2"/>
  <c r="N703" i="2"/>
  <c r="N711" i="2"/>
  <c r="N719" i="2"/>
  <c r="N759" i="2"/>
  <c r="N767" i="2"/>
  <c r="N92" i="2"/>
  <c r="N100" i="2"/>
  <c r="N108" i="2"/>
  <c r="N116" i="2"/>
  <c r="N124" i="2"/>
  <c r="N132" i="2"/>
  <c r="N140" i="2"/>
  <c r="N148" i="2"/>
  <c r="N156" i="2"/>
  <c r="N164" i="2"/>
  <c r="N172" i="2"/>
  <c r="N240" i="2"/>
  <c r="N250" i="2"/>
  <c r="N262" i="2"/>
  <c r="N270" i="2"/>
  <c r="N278" i="2"/>
  <c r="N286" i="2"/>
  <c r="N294" i="2"/>
  <c r="N302" i="2"/>
  <c r="N310" i="2"/>
  <c r="N318" i="2"/>
  <c r="N326" i="2"/>
  <c r="N334" i="2"/>
  <c r="N342" i="2"/>
  <c r="N350" i="2"/>
  <c r="N358" i="2"/>
  <c r="N366" i="2"/>
  <c r="N374" i="2"/>
  <c r="N382" i="2"/>
  <c r="N390" i="2"/>
  <c r="N398" i="2"/>
  <c r="N406" i="2"/>
  <c r="N414" i="2"/>
  <c r="N422" i="2"/>
  <c r="N430" i="2"/>
  <c r="N438" i="2"/>
  <c r="N446" i="2"/>
  <c r="N454" i="2"/>
  <c r="N462" i="2"/>
  <c r="N470" i="2"/>
  <c r="N478" i="2"/>
  <c r="N486" i="2"/>
  <c r="N615" i="2"/>
  <c r="N623" i="2"/>
  <c r="N631" i="2"/>
  <c r="N639" i="2"/>
  <c r="N647" i="2"/>
  <c r="N724" i="2"/>
  <c r="N733" i="2"/>
  <c r="N741" i="2"/>
  <c r="N749" i="2"/>
  <c r="N774" i="2"/>
  <c r="N782" i="2"/>
  <c r="N790" i="2"/>
  <c r="K83" i="6"/>
  <c r="K89" i="6"/>
  <c r="K87" i="6"/>
  <c r="K93" i="6"/>
  <c r="K84" i="6"/>
  <c r="K92" i="6"/>
  <c r="K48" i="6"/>
  <c r="R113" i="3"/>
  <c r="Q113" i="3"/>
  <c r="Q105" i="3"/>
  <c r="R105" i="3"/>
  <c r="Q89" i="3"/>
  <c r="R89" i="3"/>
  <c r="G74" i="3"/>
  <c r="H74" i="3"/>
  <c r="Y3" i="10"/>
  <c r="Z3" i="10"/>
  <c r="H730" i="3"/>
  <c r="G730" i="3"/>
  <c r="H726" i="3"/>
  <c r="G726" i="3"/>
  <c r="G704" i="3"/>
  <c r="H704" i="3"/>
  <c r="G696" i="3"/>
  <c r="H696" i="3"/>
  <c r="G692" i="3"/>
  <c r="H692" i="3"/>
  <c r="M737" i="3"/>
  <c r="P737" i="3"/>
  <c r="B79" i="4" s="1"/>
  <c r="B112" i="4" s="1"/>
  <c r="E79" i="4"/>
  <c r="F112" i="4" s="1"/>
  <c r="U737" i="3"/>
  <c r="A3" i="4" s="1"/>
  <c r="O737" i="3"/>
  <c r="N737" i="3"/>
  <c r="B122" i="4" s="1"/>
  <c r="O713" i="3"/>
  <c r="S713" i="3" s="1"/>
  <c r="N713" i="3"/>
  <c r="M713" i="3"/>
  <c r="U713" i="3"/>
  <c r="P713" i="3"/>
  <c r="H694" i="3"/>
  <c r="G694" i="3"/>
  <c r="G690" i="3"/>
  <c r="H690" i="3"/>
  <c r="M727" i="3"/>
  <c r="P727" i="3"/>
  <c r="U727" i="3"/>
  <c r="O727" i="3"/>
  <c r="S727" i="3" s="1"/>
  <c r="N727" i="3"/>
  <c r="M719" i="3"/>
  <c r="U719" i="3"/>
  <c r="P719" i="3"/>
  <c r="O719" i="3"/>
  <c r="S719" i="3" s="1"/>
  <c r="N719" i="3"/>
  <c r="N695" i="3"/>
  <c r="P695" i="3"/>
  <c r="U695" i="3"/>
  <c r="O695" i="3"/>
  <c r="S695" i="3" s="1"/>
  <c r="M695" i="3"/>
  <c r="G609" i="3"/>
  <c r="H609" i="3"/>
  <c r="H496" i="3"/>
  <c r="G496" i="3"/>
  <c r="H488" i="3"/>
  <c r="G488" i="3"/>
  <c r="G486" i="3"/>
  <c r="H486" i="3"/>
  <c r="H484" i="3"/>
  <c r="G484" i="3"/>
  <c r="H455" i="3"/>
  <c r="G455" i="3"/>
  <c r="H725" i="3"/>
  <c r="G725" i="3"/>
  <c r="H723" i="3"/>
  <c r="G723" i="3"/>
  <c r="G721" i="3"/>
  <c r="H721" i="3"/>
  <c r="H715" i="3"/>
  <c r="G715" i="3"/>
  <c r="G713" i="3"/>
  <c r="H713" i="3"/>
  <c r="H701" i="3"/>
  <c r="G701" i="3"/>
  <c r="H699" i="3"/>
  <c r="G699" i="3"/>
  <c r="H693" i="3"/>
  <c r="G693" i="3"/>
  <c r="H691" i="3"/>
  <c r="G691" i="3"/>
  <c r="O732" i="3"/>
  <c r="S732" i="3" s="1"/>
  <c r="U732" i="3"/>
  <c r="N732" i="3"/>
  <c r="M732" i="3"/>
  <c r="P732" i="3"/>
  <c r="U724" i="3"/>
  <c r="P724" i="3"/>
  <c r="O724" i="3"/>
  <c r="S724" i="3" s="1"/>
  <c r="N724" i="3"/>
  <c r="M724" i="3"/>
  <c r="N716" i="3"/>
  <c r="M716" i="3"/>
  <c r="U716" i="3"/>
  <c r="P716" i="3"/>
  <c r="O716" i="3"/>
  <c r="S716" i="3" s="1"/>
  <c r="U708" i="3"/>
  <c r="P708" i="3"/>
  <c r="O708" i="3"/>
  <c r="S708" i="3" s="1"/>
  <c r="N708" i="3"/>
  <c r="M708" i="3"/>
  <c r="O700" i="3"/>
  <c r="S700" i="3" s="1"/>
  <c r="P700" i="3"/>
  <c r="U700" i="3"/>
  <c r="N700" i="3"/>
  <c r="M700" i="3"/>
  <c r="O692" i="3"/>
  <c r="S692" i="3" s="1"/>
  <c r="P692" i="3"/>
  <c r="U692" i="3"/>
  <c r="N692" i="3"/>
  <c r="M692" i="3"/>
  <c r="H610" i="3"/>
  <c r="G610" i="3"/>
  <c r="H495" i="3"/>
  <c r="G495" i="3"/>
  <c r="G493" i="3"/>
  <c r="H493" i="3"/>
  <c r="G462" i="3"/>
  <c r="H462" i="3"/>
  <c r="H456" i="3"/>
  <c r="G456" i="3"/>
  <c r="D683" i="3"/>
  <c r="K683" i="3"/>
  <c r="F683" i="3"/>
  <c r="E683" i="3"/>
  <c r="I683" i="3"/>
  <c r="D675" i="3"/>
  <c r="K675" i="3"/>
  <c r="F675" i="3"/>
  <c r="E675" i="3"/>
  <c r="I675" i="3"/>
  <c r="F667" i="3"/>
  <c r="I667" i="3"/>
  <c r="E667" i="3"/>
  <c r="D667" i="3"/>
  <c r="K667" i="3"/>
  <c r="F659" i="3"/>
  <c r="I659" i="3"/>
  <c r="E659" i="3"/>
  <c r="D659" i="3"/>
  <c r="K659" i="3"/>
  <c r="F651" i="3"/>
  <c r="I651" i="3"/>
  <c r="E651" i="3"/>
  <c r="D651" i="3"/>
  <c r="K651" i="3"/>
  <c r="I643" i="3"/>
  <c r="E643" i="3"/>
  <c r="D643" i="3"/>
  <c r="K643" i="3"/>
  <c r="F643" i="3"/>
  <c r="I635" i="3"/>
  <c r="E635" i="3"/>
  <c r="K635" i="3"/>
  <c r="F635" i="3"/>
  <c r="D635" i="3"/>
  <c r="I627" i="3"/>
  <c r="E627" i="3"/>
  <c r="D627" i="3"/>
  <c r="F627" i="3"/>
  <c r="K627" i="3"/>
  <c r="I619" i="3"/>
  <c r="E619" i="3"/>
  <c r="D619" i="3"/>
  <c r="F619" i="3"/>
  <c r="K619" i="3"/>
  <c r="I587" i="3"/>
  <c r="E587" i="3"/>
  <c r="K587" i="3"/>
  <c r="F587" i="3"/>
  <c r="D587" i="3"/>
  <c r="I579" i="3"/>
  <c r="E579" i="3"/>
  <c r="K579" i="3"/>
  <c r="F579" i="3"/>
  <c r="D579" i="3"/>
  <c r="F571" i="3"/>
  <c r="D571" i="3"/>
  <c r="E571" i="3"/>
  <c r="K571" i="3"/>
  <c r="I571" i="3"/>
  <c r="K563" i="3"/>
  <c r="I563" i="3"/>
  <c r="E563" i="3"/>
  <c r="F563" i="3"/>
  <c r="D563" i="3"/>
  <c r="K555" i="3"/>
  <c r="I555" i="3"/>
  <c r="E555" i="3"/>
  <c r="F555" i="3"/>
  <c r="D555" i="3"/>
  <c r="K547" i="3"/>
  <c r="I547" i="3"/>
  <c r="E547" i="3"/>
  <c r="F547" i="3"/>
  <c r="D547" i="3"/>
  <c r="I539" i="3"/>
  <c r="E539" i="3"/>
  <c r="D539" i="3"/>
  <c r="K539" i="3"/>
  <c r="F539" i="3"/>
  <c r="I531" i="3"/>
  <c r="E531" i="3"/>
  <c r="D531" i="3"/>
  <c r="K531" i="3"/>
  <c r="F531" i="3"/>
  <c r="I523" i="3"/>
  <c r="E523" i="3"/>
  <c r="D523" i="3"/>
  <c r="K523" i="3"/>
  <c r="F523" i="3"/>
  <c r="I515" i="3"/>
  <c r="E515" i="3"/>
  <c r="D515" i="3"/>
  <c r="K515" i="3"/>
  <c r="F515" i="3"/>
  <c r="I507" i="3"/>
  <c r="E507" i="3"/>
  <c r="D507" i="3"/>
  <c r="K507" i="3"/>
  <c r="F507" i="3"/>
  <c r="I499" i="3"/>
  <c r="E499" i="3"/>
  <c r="D499" i="3"/>
  <c r="K499" i="3"/>
  <c r="F499" i="3"/>
  <c r="I473" i="3"/>
  <c r="E473" i="3"/>
  <c r="D473" i="3"/>
  <c r="K473" i="3"/>
  <c r="F473" i="3"/>
  <c r="I465" i="3"/>
  <c r="E465" i="3"/>
  <c r="D465" i="3"/>
  <c r="K465" i="3"/>
  <c r="F465" i="3"/>
  <c r="F447" i="3"/>
  <c r="D447" i="3"/>
  <c r="K447" i="3"/>
  <c r="I447" i="3"/>
  <c r="E447" i="3"/>
  <c r="F439" i="3"/>
  <c r="D439" i="3"/>
  <c r="K439" i="3"/>
  <c r="I439" i="3"/>
  <c r="E439" i="3"/>
  <c r="F431" i="3"/>
  <c r="D431" i="3"/>
  <c r="K431" i="3"/>
  <c r="I431" i="3"/>
  <c r="E431" i="3"/>
  <c r="I423" i="3"/>
  <c r="E423" i="3"/>
  <c r="K423" i="3"/>
  <c r="F423" i="3"/>
  <c r="D423" i="3"/>
  <c r="K415" i="3"/>
  <c r="E415" i="3"/>
  <c r="F415" i="3"/>
  <c r="D415" i="3"/>
  <c r="I415" i="3"/>
  <c r="D407" i="3"/>
  <c r="F407" i="3"/>
  <c r="E407" i="3"/>
  <c r="K407" i="3"/>
  <c r="I407" i="3"/>
  <c r="D399" i="3"/>
  <c r="F399" i="3"/>
  <c r="E399" i="3"/>
  <c r="K399" i="3"/>
  <c r="I399" i="3"/>
  <c r="D391" i="3"/>
  <c r="F391" i="3"/>
  <c r="E391" i="3"/>
  <c r="K391" i="3"/>
  <c r="I391" i="3"/>
  <c r="K383" i="3"/>
  <c r="I383" i="3"/>
  <c r="E383" i="3"/>
  <c r="D383" i="3"/>
  <c r="F383" i="3"/>
  <c r="K375" i="3"/>
  <c r="I375" i="3"/>
  <c r="E375" i="3"/>
  <c r="D375" i="3"/>
  <c r="F375" i="3"/>
  <c r="K367" i="3"/>
  <c r="I367" i="3"/>
  <c r="D367" i="3"/>
  <c r="F367" i="3"/>
  <c r="E367" i="3"/>
  <c r="I357" i="3"/>
  <c r="E357" i="3"/>
  <c r="K357" i="3"/>
  <c r="F357" i="3"/>
  <c r="D357" i="3"/>
  <c r="I349" i="3"/>
  <c r="E349" i="3"/>
  <c r="K349" i="3"/>
  <c r="F349" i="3"/>
  <c r="D349" i="3"/>
  <c r="D341" i="3"/>
  <c r="E341" i="3"/>
  <c r="I341" i="3"/>
  <c r="K341" i="3"/>
  <c r="F341" i="3"/>
  <c r="D333" i="3"/>
  <c r="E333" i="3"/>
  <c r="I333" i="3"/>
  <c r="F333" i="3"/>
  <c r="K333" i="3"/>
  <c r="D325" i="3"/>
  <c r="E325" i="3"/>
  <c r="I325" i="3"/>
  <c r="K325" i="3"/>
  <c r="F325" i="3"/>
  <c r="D317" i="3"/>
  <c r="E317" i="3"/>
  <c r="I317" i="3"/>
  <c r="F317" i="3"/>
  <c r="K317" i="3"/>
  <c r="F309" i="3"/>
  <c r="I309" i="3"/>
  <c r="E309" i="3"/>
  <c r="D309" i="3"/>
  <c r="K309" i="3"/>
  <c r="N299" i="3"/>
  <c r="M299" i="3"/>
  <c r="P299" i="3"/>
  <c r="O299" i="3"/>
  <c r="S299" i="3" s="1"/>
  <c r="U299" i="3"/>
  <c r="H294" i="3"/>
  <c r="G294" i="3"/>
  <c r="N291" i="3"/>
  <c r="M291" i="3"/>
  <c r="P291" i="3"/>
  <c r="O291" i="3"/>
  <c r="S291" i="3" s="1"/>
  <c r="U291" i="3"/>
  <c r="H286" i="3"/>
  <c r="G286" i="3"/>
  <c r="N283" i="3"/>
  <c r="U283" i="3"/>
  <c r="O283" i="3"/>
  <c r="S283" i="3" s="1"/>
  <c r="M283" i="3"/>
  <c r="P283" i="3"/>
  <c r="O276" i="3"/>
  <c r="S276" i="3" s="1"/>
  <c r="P276" i="3"/>
  <c r="U276" i="3"/>
  <c r="N276" i="3"/>
  <c r="M276" i="3"/>
  <c r="O268" i="3"/>
  <c r="S268" i="3" s="1"/>
  <c r="P268" i="3"/>
  <c r="U268" i="3"/>
  <c r="N268" i="3"/>
  <c r="M268" i="3"/>
  <c r="O260" i="3"/>
  <c r="S260" i="3" s="1"/>
  <c r="P260" i="3"/>
  <c r="U260" i="3"/>
  <c r="N260" i="3"/>
  <c r="M260" i="3"/>
  <c r="O252" i="3"/>
  <c r="S252" i="3" s="1"/>
  <c r="P252" i="3"/>
  <c r="U252" i="3"/>
  <c r="N252" i="3"/>
  <c r="M252" i="3"/>
  <c r="O244" i="3"/>
  <c r="S244" i="3" s="1"/>
  <c r="P244" i="3"/>
  <c r="U244" i="3"/>
  <c r="N244" i="3"/>
  <c r="M244" i="3"/>
  <c r="O236" i="3"/>
  <c r="S236" i="3" s="1"/>
  <c r="P236" i="3"/>
  <c r="U236" i="3"/>
  <c r="N236" i="3"/>
  <c r="M236" i="3"/>
  <c r="H220" i="3"/>
  <c r="G220" i="3"/>
  <c r="M211" i="3"/>
  <c r="N211" i="3"/>
  <c r="U211" i="3"/>
  <c r="P211" i="3"/>
  <c r="O211" i="3"/>
  <c r="S211" i="3" s="1"/>
  <c r="M203" i="3"/>
  <c r="N203" i="3"/>
  <c r="O203" i="3"/>
  <c r="S203" i="3" s="1"/>
  <c r="U203" i="3"/>
  <c r="P203" i="3"/>
  <c r="M195" i="3"/>
  <c r="N195" i="3"/>
  <c r="U195" i="3"/>
  <c r="P195" i="3"/>
  <c r="O195" i="3"/>
  <c r="S195" i="3" s="1"/>
  <c r="M187" i="3"/>
  <c r="N187" i="3"/>
  <c r="O187" i="3"/>
  <c r="S187" i="3" s="1"/>
  <c r="U187" i="3"/>
  <c r="P187" i="3"/>
  <c r="M179" i="3"/>
  <c r="N179" i="3"/>
  <c r="U179" i="3"/>
  <c r="P179" i="3"/>
  <c r="O179" i="3"/>
  <c r="S179" i="3" s="1"/>
  <c r="O171" i="3"/>
  <c r="S171" i="3" s="1"/>
  <c r="P171" i="3"/>
  <c r="U171" i="3"/>
  <c r="N171" i="3"/>
  <c r="M171" i="3"/>
  <c r="U148" i="3"/>
  <c r="P148" i="3"/>
  <c r="M148" i="3"/>
  <c r="O148" i="3"/>
  <c r="S148" i="3" s="1"/>
  <c r="N148" i="3"/>
  <c r="U140" i="3"/>
  <c r="P140" i="3"/>
  <c r="M140" i="3"/>
  <c r="N140" i="3"/>
  <c r="O140" i="3"/>
  <c r="S140" i="3" s="1"/>
  <c r="N132" i="3"/>
  <c r="U132" i="3"/>
  <c r="O132" i="3"/>
  <c r="S132" i="3" s="1"/>
  <c r="M132" i="3"/>
  <c r="P132" i="3"/>
  <c r="J73" i="6"/>
  <c r="K73" i="6" s="1"/>
  <c r="L124" i="3"/>
  <c r="N116" i="3"/>
  <c r="U116" i="3"/>
  <c r="O116" i="3"/>
  <c r="S116" i="3" s="1"/>
  <c r="M116" i="3"/>
  <c r="P116" i="3"/>
  <c r="P108" i="3"/>
  <c r="U108" i="3"/>
  <c r="M108" i="3"/>
  <c r="O108" i="3"/>
  <c r="S108" i="3" s="1"/>
  <c r="N108" i="3"/>
  <c r="U100" i="3"/>
  <c r="P100" i="3"/>
  <c r="M100" i="3"/>
  <c r="O100" i="3"/>
  <c r="S100" i="3" s="1"/>
  <c r="N100" i="3"/>
  <c r="U92" i="3"/>
  <c r="P92" i="3"/>
  <c r="N92" i="3"/>
  <c r="M92" i="3"/>
  <c r="O92" i="3"/>
  <c r="S92" i="3" s="1"/>
  <c r="G83" i="3"/>
  <c r="H83" i="3"/>
  <c r="H77" i="3"/>
  <c r="G77" i="3"/>
  <c r="N69" i="3"/>
  <c r="M69" i="3"/>
  <c r="U69" i="3"/>
  <c r="P69" i="3"/>
  <c r="O69" i="3"/>
  <c r="S69" i="3" s="1"/>
  <c r="H54" i="3"/>
  <c r="G54" i="3"/>
  <c r="H48" i="3"/>
  <c r="G48" i="3"/>
  <c r="H32" i="3"/>
  <c r="G32" i="3"/>
  <c r="H24" i="3"/>
  <c r="G24" i="3"/>
  <c r="M230" i="3"/>
  <c r="P230" i="3"/>
  <c r="U230" i="3"/>
  <c r="O230" i="3"/>
  <c r="S230" i="3" s="1"/>
  <c r="N230" i="3"/>
  <c r="P222" i="3"/>
  <c r="U222" i="3"/>
  <c r="N222" i="3"/>
  <c r="M222" i="3"/>
  <c r="R222" i="3" s="1"/>
  <c r="O222" i="3"/>
  <c r="S222" i="3" s="1"/>
  <c r="H211" i="3"/>
  <c r="G211" i="3"/>
  <c r="H207" i="3"/>
  <c r="G207" i="3"/>
  <c r="H203" i="3"/>
  <c r="G203" i="3"/>
  <c r="H195" i="3"/>
  <c r="G195" i="3"/>
  <c r="H191" i="3"/>
  <c r="G191" i="3"/>
  <c r="H187" i="3"/>
  <c r="G187" i="3"/>
  <c r="H179" i="3"/>
  <c r="G179" i="3"/>
  <c r="H175" i="3"/>
  <c r="G175" i="3"/>
  <c r="G171" i="3"/>
  <c r="H171" i="3"/>
  <c r="O159" i="3"/>
  <c r="S159" i="3" s="1"/>
  <c r="M159" i="3"/>
  <c r="P159" i="3"/>
  <c r="N159" i="3"/>
  <c r="U159" i="3"/>
  <c r="O151" i="3"/>
  <c r="S151" i="3" s="1"/>
  <c r="M151" i="3"/>
  <c r="U151" i="3"/>
  <c r="P151" i="3"/>
  <c r="N151" i="3"/>
  <c r="H140" i="3"/>
  <c r="G140" i="3"/>
  <c r="H132" i="3"/>
  <c r="G132" i="3"/>
  <c r="H116" i="3"/>
  <c r="G116" i="3"/>
  <c r="H108" i="3"/>
  <c r="G108" i="3"/>
  <c r="G86" i="3"/>
  <c r="H86" i="3"/>
  <c r="U59" i="3"/>
  <c r="P59" i="3"/>
  <c r="O59" i="3"/>
  <c r="S59" i="3" s="1"/>
  <c r="N59" i="3"/>
  <c r="M59" i="3"/>
  <c r="O51" i="3"/>
  <c r="S51" i="3" s="1"/>
  <c r="N51" i="3"/>
  <c r="M51" i="3"/>
  <c r="U51" i="3"/>
  <c r="P51" i="3"/>
  <c r="U41" i="3"/>
  <c r="P41" i="3"/>
  <c r="O41" i="3"/>
  <c r="S41" i="3" s="1"/>
  <c r="N41" i="3"/>
  <c r="M41" i="3"/>
  <c r="J5" i="6"/>
  <c r="K5" i="6" s="1"/>
  <c r="L27" i="3"/>
  <c r="U13" i="3"/>
  <c r="P13" i="3"/>
  <c r="O13" i="3"/>
  <c r="S13" i="3" s="1"/>
  <c r="N13" i="3"/>
  <c r="M13" i="3"/>
  <c r="R247" i="3"/>
  <c r="Q247" i="3"/>
  <c r="R180" i="3"/>
  <c r="Q180" i="3"/>
  <c r="R170" i="3"/>
  <c r="Q170" i="3"/>
  <c r="G155" i="3"/>
  <c r="H155" i="3"/>
  <c r="G151" i="3"/>
  <c r="H151" i="3"/>
  <c r="O135" i="3"/>
  <c r="S135" i="3" s="1"/>
  <c r="P135" i="3"/>
  <c r="U135" i="3"/>
  <c r="N135" i="3"/>
  <c r="M135" i="3"/>
  <c r="R121" i="3"/>
  <c r="Q121" i="3"/>
  <c r="R99" i="3"/>
  <c r="Q99" i="3"/>
  <c r="K43" i="6"/>
  <c r="H59" i="3"/>
  <c r="G59" i="3"/>
  <c r="H53" i="3"/>
  <c r="G53" i="3"/>
  <c r="G21" i="3"/>
  <c r="H21" i="3"/>
  <c r="O686" i="3"/>
  <c r="S686" i="3" s="1"/>
  <c r="N686" i="3"/>
  <c r="M686" i="3"/>
  <c r="U686" i="3"/>
  <c r="P686" i="3"/>
  <c r="O678" i="3"/>
  <c r="S678" i="3" s="1"/>
  <c r="N678" i="3"/>
  <c r="M678" i="3"/>
  <c r="U678" i="3"/>
  <c r="P678" i="3"/>
  <c r="O670" i="3"/>
  <c r="S670" i="3" s="1"/>
  <c r="U670" i="3"/>
  <c r="N670" i="3"/>
  <c r="M670" i="3"/>
  <c r="P670" i="3"/>
  <c r="M662" i="3"/>
  <c r="U662" i="3"/>
  <c r="P662" i="3"/>
  <c r="O662" i="3"/>
  <c r="S662" i="3" s="1"/>
  <c r="N662" i="3"/>
  <c r="M654" i="3"/>
  <c r="U654" i="3"/>
  <c r="P654" i="3"/>
  <c r="O654" i="3"/>
  <c r="S654" i="3" s="1"/>
  <c r="N654" i="3"/>
  <c r="M646" i="3"/>
  <c r="U646" i="3"/>
  <c r="P646" i="3"/>
  <c r="O646" i="3"/>
  <c r="S646" i="3" s="1"/>
  <c r="N646" i="3"/>
  <c r="U638" i="3"/>
  <c r="P638" i="3"/>
  <c r="M638" i="3"/>
  <c r="O638" i="3"/>
  <c r="S638" i="3" s="1"/>
  <c r="N638" i="3"/>
  <c r="U630" i="3"/>
  <c r="P630" i="3"/>
  <c r="M630" i="3"/>
  <c r="N630" i="3"/>
  <c r="O630" i="3"/>
  <c r="S630" i="3" s="1"/>
  <c r="U622" i="3"/>
  <c r="P622" i="3"/>
  <c r="O622" i="3"/>
  <c r="S622" i="3" s="1"/>
  <c r="M622" i="3"/>
  <c r="N622" i="3"/>
  <c r="U614" i="3"/>
  <c r="P614" i="3"/>
  <c r="O614" i="3"/>
  <c r="S614" i="3" s="1"/>
  <c r="M614" i="3"/>
  <c r="N614" i="3"/>
  <c r="U582" i="3"/>
  <c r="P582" i="3"/>
  <c r="N582" i="3"/>
  <c r="M582" i="3"/>
  <c r="O582" i="3"/>
  <c r="S582" i="3" s="1"/>
  <c r="M574" i="3"/>
  <c r="U574" i="3"/>
  <c r="P574" i="3"/>
  <c r="O574" i="3"/>
  <c r="S574" i="3" s="1"/>
  <c r="N574" i="3"/>
  <c r="M566" i="3"/>
  <c r="O566" i="3"/>
  <c r="S566" i="3" s="1"/>
  <c r="P566" i="3"/>
  <c r="N566" i="3"/>
  <c r="U566" i="3"/>
  <c r="N558" i="3"/>
  <c r="U558" i="3"/>
  <c r="P558" i="3"/>
  <c r="O558" i="3"/>
  <c r="S558" i="3" s="1"/>
  <c r="M558" i="3"/>
  <c r="N550" i="3"/>
  <c r="U550" i="3"/>
  <c r="P550" i="3"/>
  <c r="O550" i="3"/>
  <c r="S550" i="3" s="1"/>
  <c r="M550" i="3"/>
  <c r="U542" i="3"/>
  <c r="P542" i="3"/>
  <c r="O542" i="3"/>
  <c r="S542" i="3" s="1"/>
  <c r="N542" i="3"/>
  <c r="M542" i="3"/>
  <c r="U534" i="3"/>
  <c r="P534" i="3"/>
  <c r="O534" i="3"/>
  <c r="S534" i="3" s="1"/>
  <c r="N534" i="3"/>
  <c r="M534" i="3"/>
  <c r="U526" i="3"/>
  <c r="P526" i="3"/>
  <c r="O526" i="3"/>
  <c r="S526" i="3" s="1"/>
  <c r="N526" i="3"/>
  <c r="M526" i="3"/>
  <c r="U518" i="3"/>
  <c r="P518" i="3"/>
  <c r="O518" i="3"/>
  <c r="S518" i="3" s="1"/>
  <c r="N518" i="3"/>
  <c r="M518" i="3"/>
  <c r="U510" i="3"/>
  <c r="P510" i="3"/>
  <c r="O510" i="3"/>
  <c r="S510" i="3" s="1"/>
  <c r="N510" i="3"/>
  <c r="M510" i="3"/>
  <c r="U502" i="3"/>
  <c r="P502" i="3"/>
  <c r="O502" i="3"/>
  <c r="S502" i="3" s="1"/>
  <c r="N502" i="3"/>
  <c r="M502" i="3"/>
  <c r="R480" i="3"/>
  <c r="Q480" i="3"/>
  <c r="R478" i="3"/>
  <c r="Q478" i="3"/>
  <c r="U472" i="3"/>
  <c r="P472" i="3"/>
  <c r="O472" i="3"/>
  <c r="S472" i="3" s="1"/>
  <c r="N472" i="3"/>
  <c r="M472" i="3"/>
  <c r="U464" i="3"/>
  <c r="O464" i="3"/>
  <c r="S464" i="3" s="1"/>
  <c r="N464" i="3"/>
  <c r="M464" i="3"/>
  <c r="R464" i="3" s="1"/>
  <c r="P464" i="3"/>
  <c r="R454" i="3"/>
  <c r="Q454" i="3"/>
  <c r="K450" i="3"/>
  <c r="F450" i="3"/>
  <c r="I450" i="3"/>
  <c r="E450" i="3"/>
  <c r="D450" i="3"/>
  <c r="I442" i="3"/>
  <c r="E442" i="3"/>
  <c r="K442" i="3"/>
  <c r="D442" i="3"/>
  <c r="F442" i="3"/>
  <c r="I434" i="3"/>
  <c r="E434" i="3"/>
  <c r="K434" i="3"/>
  <c r="D434" i="3"/>
  <c r="F434" i="3"/>
  <c r="I426" i="3"/>
  <c r="E426" i="3"/>
  <c r="K426" i="3"/>
  <c r="D426" i="3"/>
  <c r="F426" i="3"/>
  <c r="F418" i="3"/>
  <c r="E418" i="3"/>
  <c r="I418" i="3"/>
  <c r="D418" i="3"/>
  <c r="K418" i="3"/>
  <c r="K410" i="3"/>
  <c r="I410" i="3"/>
  <c r="E410" i="3"/>
  <c r="F410" i="3"/>
  <c r="D410" i="3"/>
  <c r="K402" i="3"/>
  <c r="I402" i="3"/>
  <c r="E402" i="3"/>
  <c r="F402" i="3"/>
  <c r="D402" i="3"/>
  <c r="K394" i="3"/>
  <c r="I394" i="3"/>
  <c r="E394" i="3"/>
  <c r="F394" i="3"/>
  <c r="D394" i="3"/>
  <c r="F386" i="3"/>
  <c r="D386" i="3"/>
  <c r="E386" i="3"/>
  <c r="K386" i="3"/>
  <c r="I386" i="3"/>
  <c r="F378" i="3"/>
  <c r="D378" i="3"/>
  <c r="E378" i="3"/>
  <c r="K378" i="3"/>
  <c r="I378" i="3"/>
  <c r="F370" i="3"/>
  <c r="D370" i="3"/>
  <c r="E370" i="3"/>
  <c r="K370" i="3"/>
  <c r="I370" i="3"/>
  <c r="F362" i="3"/>
  <c r="I362" i="3"/>
  <c r="D362" i="3"/>
  <c r="E362" i="3"/>
  <c r="K362" i="3"/>
  <c r="D356" i="3"/>
  <c r="I356" i="3"/>
  <c r="K356" i="3"/>
  <c r="F356" i="3"/>
  <c r="E356" i="3"/>
  <c r="D348" i="3"/>
  <c r="I348" i="3"/>
  <c r="F348" i="3"/>
  <c r="E348" i="3"/>
  <c r="K348" i="3"/>
  <c r="K340" i="3"/>
  <c r="F340" i="3"/>
  <c r="I340" i="3"/>
  <c r="E340" i="3"/>
  <c r="D340" i="3"/>
  <c r="K332" i="3"/>
  <c r="F332" i="3"/>
  <c r="E332" i="3"/>
  <c r="D332" i="3"/>
  <c r="I332" i="3"/>
  <c r="K324" i="3"/>
  <c r="F324" i="3"/>
  <c r="I324" i="3"/>
  <c r="E324" i="3"/>
  <c r="D324" i="3"/>
  <c r="K316" i="3"/>
  <c r="F316" i="3"/>
  <c r="E316" i="3"/>
  <c r="D316" i="3"/>
  <c r="I316" i="3"/>
  <c r="I308" i="3"/>
  <c r="E308" i="3"/>
  <c r="D308" i="3"/>
  <c r="F308" i="3"/>
  <c r="K308" i="3"/>
  <c r="F301" i="3"/>
  <c r="I301" i="3"/>
  <c r="E301" i="3"/>
  <c r="D301" i="3"/>
  <c r="K301" i="3"/>
  <c r="D293" i="3"/>
  <c r="K293" i="3"/>
  <c r="I293" i="3"/>
  <c r="F293" i="3"/>
  <c r="E293" i="3"/>
  <c r="D285" i="3"/>
  <c r="I285" i="3"/>
  <c r="K285" i="3"/>
  <c r="F285" i="3"/>
  <c r="E285" i="3"/>
  <c r="H278" i="3"/>
  <c r="G278" i="3"/>
  <c r="H270" i="3"/>
  <c r="G270" i="3"/>
  <c r="H262" i="3"/>
  <c r="G262" i="3"/>
  <c r="H254" i="3"/>
  <c r="G254" i="3"/>
  <c r="H246" i="3"/>
  <c r="G246" i="3"/>
  <c r="H238" i="3"/>
  <c r="G238" i="3"/>
  <c r="G201" i="3"/>
  <c r="H201" i="3"/>
  <c r="G185" i="3"/>
  <c r="H185" i="3"/>
  <c r="G169" i="3"/>
  <c r="H169" i="3"/>
  <c r="H138" i="3"/>
  <c r="G138" i="3"/>
  <c r="H130" i="3"/>
  <c r="G130" i="3"/>
  <c r="H126" i="3"/>
  <c r="G126" i="3"/>
  <c r="H114" i="3"/>
  <c r="G114" i="3"/>
  <c r="H110" i="3"/>
  <c r="G110" i="3"/>
  <c r="H106" i="3"/>
  <c r="G106" i="3"/>
  <c r="O78" i="3"/>
  <c r="S78" i="3" s="1"/>
  <c r="N78" i="3"/>
  <c r="M78" i="3"/>
  <c r="U78" i="3"/>
  <c r="P78" i="3"/>
  <c r="H63" i="3"/>
  <c r="G63" i="3"/>
  <c r="J18" i="6"/>
  <c r="K18" i="6" s="1"/>
  <c r="L39" i="3"/>
  <c r="J10" i="6"/>
  <c r="K10" i="6" s="1"/>
  <c r="L19" i="3"/>
  <c r="R271" i="3"/>
  <c r="Q271" i="3"/>
  <c r="R243" i="3"/>
  <c r="Q243" i="3"/>
  <c r="R208" i="3"/>
  <c r="Q208" i="3"/>
  <c r="Q202" i="3"/>
  <c r="R202" i="3"/>
  <c r="Q137" i="3"/>
  <c r="R137" i="3"/>
  <c r="K60" i="6"/>
  <c r="G33" i="3"/>
  <c r="H33" i="3"/>
  <c r="N681" i="3"/>
  <c r="M681" i="3"/>
  <c r="U681" i="3"/>
  <c r="P681" i="3"/>
  <c r="O681" i="3"/>
  <c r="S681" i="3" s="1"/>
  <c r="N673" i="3"/>
  <c r="M673" i="3"/>
  <c r="U673" i="3"/>
  <c r="P673" i="3"/>
  <c r="O673" i="3"/>
  <c r="S673" i="3" s="1"/>
  <c r="U665" i="3"/>
  <c r="P665" i="3"/>
  <c r="O665" i="3"/>
  <c r="S665" i="3" s="1"/>
  <c r="N665" i="3"/>
  <c r="M665" i="3"/>
  <c r="U657" i="3"/>
  <c r="P657" i="3"/>
  <c r="O657" i="3"/>
  <c r="S657" i="3" s="1"/>
  <c r="N657" i="3"/>
  <c r="M657" i="3"/>
  <c r="U649" i="3"/>
  <c r="P649" i="3"/>
  <c r="O649" i="3"/>
  <c r="S649" i="3" s="1"/>
  <c r="N649" i="3"/>
  <c r="M649" i="3"/>
  <c r="O641" i="3"/>
  <c r="S641" i="3" s="1"/>
  <c r="N641" i="3"/>
  <c r="P641" i="3"/>
  <c r="M641" i="3"/>
  <c r="U641" i="3"/>
  <c r="O633" i="3"/>
  <c r="S633" i="3" s="1"/>
  <c r="M633" i="3"/>
  <c r="P633" i="3"/>
  <c r="N633" i="3"/>
  <c r="U633" i="3"/>
  <c r="O625" i="3"/>
  <c r="S625" i="3" s="1"/>
  <c r="N625" i="3"/>
  <c r="P625" i="3"/>
  <c r="M625" i="3"/>
  <c r="U625" i="3"/>
  <c r="O617" i="3"/>
  <c r="S617" i="3" s="1"/>
  <c r="N617" i="3"/>
  <c r="P617" i="3"/>
  <c r="M617" i="3"/>
  <c r="U617" i="3"/>
  <c r="R606" i="3"/>
  <c r="Q606" i="3"/>
  <c r="R598" i="3"/>
  <c r="Q598" i="3"/>
  <c r="R590" i="3"/>
  <c r="Q590" i="3"/>
  <c r="O585" i="3"/>
  <c r="S585" i="3" s="1"/>
  <c r="U585" i="3"/>
  <c r="N585" i="3"/>
  <c r="M585" i="3"/>
  <c r="P585" i="3"/>
  <c r="U577" i="3"/>
  <c r="P577" i="3"/>
  <c r="O577" i="3"/>
  <c r="S577" i="3" s="1"/>
  <c r="N577" i="3"/>
  <c r="M577" i="3"/>
  <c r="U569" i="3"/>
  <c r="P569" i="3"/>
  <c r="N569" i="3"/>
  <c r="M569" i="3"/>
  <c r="O569" i="3"/>
  <c r="S569" i="3" s="1"/>
  <c r="M561" i="3"/>
  <c r="O561" i="3"/>
  <c r="S561" i="3" s="1"/>
  <c r="N561" i="3"/>
  <c r="U561" i="3"/>
  <c r="P561" i="3"/>
  <c r="M553" i="3"/>
  <c r="O553" i="3"/>
  <c r="S553" i="3" s="1"/>
  <c r="N553" i="3"/>
  <c r="U553" i="3"/>
  <c r="P553" i="3"/>
  <c r="M545" i="3"/>
  <c r="P545" i="3"/>
  <c r="U545" i="3"/>
  <c r="O545" i="3"/>
  <c r="S545" i="3" s="1"/>
  <c r="N545" i="3"/>
  <c r="O537" i="3"/>
  <c r="S537" i="3" s="1"/>
  <c r="N537" i="3"/>
  <c r="M537" i="3"/>
  <c r="U537" i="3"/>
  <c r="P537" i="3"/>
  <c r="O529" i="3"/>
  <c r="S529" i="3" s="1"/>
  <c r="N529" i="3"/>
  <c r="M529" i="3"/>
  <c r="U529" i="3"/>
  <c r="P529" i="3"/>
  <c r="O521" i="3"/>
  <c r="S521" i="3" s="1"/>
  <c r="N521" i="3"/>
  <c r="M521" i="3"/>
  <c r="U521" i="3"/>
  <c r="P521" i="3"/>
  <c r="O513" i="3"/>
  <c r="S513" i="3" s="1"/>
  <c r="N513" i="3"/>
  <c r="M513" i="3"/>
  <c r="U513" i="3"/>
  <c r="P513" i="3"/>
  <c r="O505" i="3"/>
  <c r="S505" i="3" s="1"/>
  <c r="N505" i="3"/>
  <c r="M505" i="3"/>
  <c r="U505" i="3"/>
  <c r="P505" i="3"/>
  <c r="O475" i="3"/>
  <c r="S475" i="3" s="1"/>
  <c r="N475" i="3"/>
  <c r="M475" i="3"/>
  <c r="U475" i="3"/>
  <c r="P475" i="3"/>
  <c r="O467" i="3"/>
  <c r="S467" i="3" s="1"/>
  <c r="N467" i="3"/>
  <c r="M467" i="3"/>
  <c r="U467" i="3"/>
  <c r="P467" i="3"/>
  <c r="N449" i="3"/>
  <c r="U449" i="3"/>
  <c r="P449" i="3"/>
  <c r="M449" i="3"/>
  <c r="O449" i="3"/>
  <c r="S449" i="3" s="1"/>
  <c r="U441" i="3"/>
  <c r="P441" i="3"/>
  <c r="N441" i="3"/>
  <c r="O441" i="3"/>
  <c r="S441" i="3" s="1"/>
  <c r="M441" i="3"/>
  <c r="U433" i="3"/>
  <c r="P433" i="3"/>
  <c r="N433" i="3"/>
  <c r="O433" i="3"/>
  <c r="S433" i="3" s="1"/>
  <c r="M433" i="3"/>
  <c r="U425" i="3"/>
  <c r="P425" i="3"/>
  <c r="N425" i="3"/>
  <c r="O425" i="3"/>
  <c r="S425" i="3" s="1"/>
  <c r="M425" i="3"/>
  <c r="M417" i="3"/>
  <c r="U417" i="3"/>
  <c r="O417" i="3"/>
  <c r="S417" i="3" s="1"/>
  <c r="P417" i="3"/>
  <c r="N417" i="3"/>
  <c r="N409" i="3"/>
  <c r="U409" i="3"/>
  <c r="P409" i="3"/>
  <c r="M409" i="3"/>
  <c r="O409" i="3"/>
  <c r="S409" i="3" s="1"/>
  <c r="N401" i="3"/>
  <c r="U401" i="3"/>
  <c r="P401" i="3"/>
  <c r="M401" i="3"/>
  <c r="O401" i="3"/>
  <c r="S401" i="3" s="1"/>
  <c r="N393" i="3"/>
  <c r="U393" i="3"/>
  <c r="P393" i="3"/>
  <c r="M393" i="3"/>
  <c r="O393" i="3"/>
  <c r="S393" i="3" s="1"/>
  <c r="M385" i="3"/>
  <c r="O385" i="3"/>
  <c r="S385" i="3" s="1"/>
  <c r="U385" i="3"/>
  <c r="P385" i="3"/>
  <c r="N385" i="3"/>
  <c r="M377" i="3"/>
  <c r="O377" i="3"/>
  <c r="S377" i="3" s="1"/>
  <c r="U377" i="3"/>
  <c r="P377" i="3"/>
  <c r="N377" i="3"/>
  <c r="M369" i="3"/>
  <c r="O369" i="3"/>
  <c r="S369" i="3" s="1"/>
  <c r="U369" i="3"/>
  <c r="P369" i="3"/>
  <c r="N369" i="3"/>
  <c r="M361" i="3"/>
  <c r="N361" i="3"/>
  <c r="O361" i="3"/>
  <c r="S361" i="3" s="1"/>
  <c r="U361" i="3"/>
  <c r="P361" i="3"/>
  <c r="O355" i="3"/>
  <c r="S355" i="3" s="1"/>
  <c r="P355" i="3"/>
  <c r="M355" i="3"/>
  <c r="U355" i="3"/>
  <c r="N355" i="3"/>
  <c r="N347" i="3"/>
  <c r="P347" i="3"/>
  <c r="O347" i="3"/>
  <c r="S347" i="3" s="1"/>
  <c r="M347" i="3"/>
  <c r="R347" i="3" s="1"/>
  <c r="U347" i="3"/>
  <c r="N339" i="3"/>
  <c r="P339" i="3"/>
  <c r="U339" i="3"/>
  <c r="O339" i="3"/>
  <c r="S339" i="3" s="1"/>
  <c r="M339" i="3"/>
  <c r="N331" i="3"/>
  <c r="P331" i="3"/>
  <c r="U331" i="3"/>
  <c r="O331" i="3"/>
  <c r="S331" i="3" s="1"/>
  <c r="M331" i="3"/>
  <c r="N323" i="3"/>
  <c r="P323" i="3"/>
  <c r="U323" i="3"/>
  <c r="O323" i="3"/>
  <c r="S323" i="3" s="1"/>
  <c r="M323" i="3"/>
  <c r="N315" i="3"/>
  <c r="P315" i="3"/>
  <c r="U315" i="3"/>
  <c r="O315" i="3"/>
  <c r="S315" i="3" s="1"/>
  <c r="M315" i="3"/>
  <c r="U307" i="3"/>
  <c r="P307" i="3"/>
  <c r="O307" i="3"/>
  <c r="S307" i="3" s="1"/>
  <c r="N307" i="3"/>
  <c r="M307" i="3"/>
  <c r="R292" i="3"/>
  <c r="Q292" i="3"/>
  <c r="Q284" i="3"/>
  <c r="R284" i="3"/>
  <c r="R277" i="3"/>
  <c r="Q277" i="3"/>
  <c r="R261" i="3"/>
  <c r="Q261" i="3"/>
  <c r="Q257" i="3"/>
  <c r="R257" i="3"/>
  <c r="R245" i="3"/>
  <c r="Q245" i="3"/>
  <c r="R239" i="3"/>
  <c r="Q239" i="3"/>
  <c r="R198" i="3"/>
  <c r="Q198" i="3"/>
  <c r="G163" i="3"/>
  <c r="H163" i="3"/>
  <c r="G153" i="3"/>
  <c r="H153" i="3"/>
  <c r="R147" i="3"/>
  <c r="Q147" i="3"/>
  <c r="Q117" i="3"/>
  <c r="R117" i="3"/>
  <c r="H84" i="3"/>
  <c r="G84" i="3"/>
  <c r="H82" i="3"/>
  <c r="G82" i="3"/>
  <c r="O70" i="3"/>
  <c r="S70" i="3" s="1"/>
  <c r="N70" i="3"/>
  <c r="M70" i="3"/>
  <c r="U70" i="3"/>
  <c r="P70" i="3"/>
  <c r="M680" i="3"/>
  <c r="U680" i="3"/>
  <c r="P680" i="3"/>
  <c r="O680" i="3"/>
  <c r="S680" i="3" s="1"/>
  <c r="N680" i="3"/>
  <c r="M672" i="3"/>
  <c r="U672" i="3"/>
  <c r="P672" i="3"/>
  <c r="O672" i="3"/>
  <c r="S672" i="3" s="1"/>
  <c r="N672" i="3"/>
  <c r="O664" i="3"/>
  <c r="S664" i="3" s="1"/>
  <c r="N664" i="3"/>
  <c r="M664" i="3"/>
  <c r="P664" i="3"/>
  <c r="U664" i="3"/>
  <c r="O656" i="3"/>
  <c r="S656" i="3" s="1"/>
  <c r="N656" i="3"/>
  <c r="M656" i="3"/>
  <c r="P656" i="3"/>
  <c r="U656" i="3"/>
  <c r="O648" i="3"/>
  <c r="S648" i="3" s="1"/>
  <c r="N648" i="3"/>
  <c r="M648" i="3"/>
  <c r="P648" i="3"/>
  <c r="U648" i="3"/>
  <c r="N640" i="3"/>
  <c r="M640" i="3"/>
  <c r="U640" i="3"/>
  <c r="P640" i="3"/>
  <c r="O640" i="3"/>
  <c r="S640" i="3" s="1"/>
  <c r="N632" i="3"/>
  <c r="P632" i="3"/>
  <c r="U632" i="3"/>
  <c r="O632" i="3"/>
  <c r="S632" i="3" s="1"/>
  <c r="M632" i="3"/>
  <c r="N624" i="3"/>
  <c r="M624" i="3"/>
  <c r="U624" i="3"/>
  <c r="P624" i="3"/>
  <c r="O624" i="3"/>
  <c r="S624" i="3" s="1"/>
  <c r="N616" i="3"/>
  <c r="M616" i="3"/>
  <c r="U616" i="3"/>
  <c r="P616" i="3"/>
  <c r="O616" i="3"/>
  <c r="S616" i="3" s="1"/>
  <c r="N584" i="3"/>
  <c r="P584" i="3"/>
  <c r="U584" i="3"/>
  <c r="O584" i="3"/>
  <c r="S584" i="3" s="1"/>
  <c r="M584" i="3"/>
  <c r="O576" i="3"/>
  <c r="S576" i="3" s="1"/>
  <c r="N576" i="3"/>
  <c r="M576" i="3"/>
  <c r="U576" i="3"/>
  <c r="P576" i="3"/>
  <c r="O568" i="3"/>
  <c r="S568" i="3" s="1"/>
  <c r="M568" i="3"/>
  <c r="P568" i="3"/>
  <c r="N568" i="3"/>
  <c r="U568" i="3"/>
  <c r="U560" i="3"/>
  <c r="P560" i="3"/>
  <c r="N560" i="3"/>
  <c r="O560" i="3"/>
  <c r="S560" i="3" s="1"/>
  <c r="M560" i="3"/>
  <c r="U552" i="3"/>
  <c r="P552" i="3"/>
  <c r="N552" i="3"/>
  <c r="O552" i="3"/>
  <c r="S552" i="3" s="1"/>
  <c r="M552" i="3"/>
  <c r="U544" i="3"/>
  <c r="P544" i="3"/>
  <c r="O544" i="3"/>
  <c r="S544" i="3" s="1"/>
  <c r="N544" i="3"/>
  <c r="M544" i="3"/>
  <c r="N536" i="3"/>
  <c r="M536" i="3"/>
  <c r="U536" i="3"/>
  <c r="P536" i="3"/>
  <c r="O536" i="3"/>
  <c r="S536" i="3" s="1"/>
  <c r="N528" i="3"/>
  <c r="M528" i="3"/>
  <c r="U528" i="3"/>
  <c r="P528" i="3"/>
  <c r="O528" i="3"/>
  <c r="S528" i="3" s="1"/>
  <c r="N520" i="3"/>
  <c r="M520" i="3"/>
  <c r="U520" i="3"/>
  <c r="P520" i="3"/>
  <c r="O520" i="3"/>
  <c r="S520" i="3" s="1"/>
  <c r="N512" i="3"/>
  <c r="M512" i="3"/>
  <c r="U512" i="3"/>
  <c r="P512" i="3"/>
  <c r="O512" i="3"/>
  <c r="S512" i="3" s="1"/>
  <c r="N504" i="3"/>
  <c r="M504" i="3"/>
  <c r="U504" i="3"/>
  <c r="P504" i="3"/>
  <c r="O504" i="3"/>
  <c r="S504" i="3" s="1"/>
  <c r="R493" i="3"/>
  <c r="Q493" i="3"/>
  <c r="Q481" i="3"/>
  <c r="R481" i="3"/>
  <c r="N470" i="3"/>
  <c r="M470" i="3"/>
  <c r="U470" i="3"/>
  <c r="P470" i="3"/>
  <c r="O470" i="3"/>
  <c r="S470" i="3" s="1"/>
  <c r="R461" i="3"/>
  <c r="Q461" i="3"/>
  <c r="R455" i="3"/>
  <c r="Q455" i="3"/>
  <c r="K448" i="3"/>
  <c r="I448" i="3"/>
  <c r="E448" i="3"/>
  <c r="D448" i="3"/>
  <c r="F448" i="3"/>
  <c r="K440" i="3"/>
  <c r="I440" i="3"/>
  <c r="E440" i="3"/>
  <c r="D440" i="3"/>
  <c r="F440" i="3"/>
  <c r="K432" i="3"/>
  <c r="I432" i="3"/>
  <c r="E432" i="3"/>
  <c r="D432" i="3"/>
  <c r="F432" i="3"/>
  <c r="K424" i="3"/>
  <c r="I424" i="3"/>
  <c r="E424" i="3"/>
  <c r="D424" i="3"/>
  <c r="F424" i="3"/>
  <c r="D416" i="3"/>
  <c r="E416" i="3"/>
  <c r="F416" i="3"/>
  <c r="K416" i="3"/>
  <c r="I416" i="3"/>
  <c r="I408" i="3"/>
  <c r="E408" i="3"/>
  <c r="K408" i="3"/>
  <c r="F408" i="3"/>
  <c r="D408" i="3"/>
  <c r="I400" i="3"/>
  <c r="E400" i="3"/>
  <c r="K400" i="3"/>
  <c r="F400" i="3"/>
  <c r="D400" i="3"/>
  <c r="I392" i="3"/>
  <c r="E392" i="3"/>
  <c r="K392" i="3"/>
  <c r="F392" i="3"/>
  <c r="D392" i="3"/>
  <c r="D384" i="3"/>
  <c r="F384" i="3"/>
  <c r="E384" i="3"/>
  <c r="K384" i="3"/>
  <c r="I384" i="3"/>
  <c r="D376" i="3"/>
  <c r="F376" i="3"/>
  <c r="E376" i="3"/>
  <c r="K376" i="3"/>
  <c r="I376" i="3"/>
  <c r="D368" i="3"/>
  <c r="F368" i="3"/>
  <c r="E368" i="3"/>
  <c r="K368" i="3"/>
  <c r="I368" i="3"/>
  <c r="F358" i="3"/>
  <c r="K358" i="3"/>
  <c r="E358" i="3"/>
  <c r="I358" i="3"/>
  <c r="D358" i="3"/>
  <c r="F350" i="3"/>
  <c r="K350" i="3"/>
  <c r="E350" i="3"/>
  <c r="D350" i="3"/>
  <c r="I350" i="3"/>
  <c r="I342" i="3"/>
  <c r="E342" i="3"/>
  <c r="K342" i="3"/>
  <c r="F342" i="3"/>
  <c r="D342" i="3"/>
  <c r="I334" i="3"/>
  <c r="E334" i="3"/>
  <c r="K334" i="3"/>
  <c r="F334" i="3"/>
  <c r="D334" i="3"/>
  <c r="I326" i="3"/>
  <c r="E326" i="3"/>
  <c r="K326" i="3"/>
  <c r="F326" i="3"/>
  <c r="D326" i="3"/>
  <c r="I318" i="3"/>
  <c r="E318" i="3"/>
  <c r="K318" i="3"/>
  <c r="F318" i="3"/>
  <c r="D318" i="3"/>
  <c r="I310" i="3"/>
  <c r="K310" i="3"/>
  <c r="F310" i="3"/>
  <c r="D310" i="3"/>
  <c r="E310" i="3"/>
  <c r="H273" i="3"/>
  <c r="G273" i="3"/>
  <c r="H265" i="3"/>
  <c r="G265" i="3"/>
  <c r="H257" i="3"/>
  <c r="G257" i="3"/>
  <c r="H249" i="3"/>
  <c r="G249" i="3"/>
  <c r="H241" i="3"/>
  <c r="G241" i="3"/>
  <c r="H233" i="3"/>
  <c r="G233" i="3"/>
  <c r="H221" i="3"/>
  <c r="G221" i="3"/>
  <c r="G218" i="3"/>
  <c r="H218" i="3"/>
  <c r="H212" i="3"/>
  <c r="G212" i="3"/>
  <c r="H204" i="3"/>
  <c r="G204" i="3"/>
  <c r="H198" i="3"/>
  <c r="G198" i="3"/>
  <c r="H196" i="3"/>
  <c r="G196" i="3"/>
  <c r="H188" i="3"/>
  <c r="G188" i="3"/>
  <c r="H182" i="3"/>
  <c r="G182" i="3"/>
  <c r="H180" i="3"/>
  <c r="G180" i="3"/>
  <c r="R162" i="3"/>
  <c r="Q162" i="3"/>
  <c r="R154" i="3"/>
  <c r="Q154" i="3"/>
  <c r="H149" i="3"/>
  <c r="G149" i="3"/>
  <c r="H127" i="3"/>
  <c r="G127" i="3"/>
  <c r="G119" i="3"/>
  <c r="H119" i="3"/>
  <c r="H111" i="3"/>
  <c r="G111" i="3"/>
  <c r="H101" i="3"/>
  <c r="G101" i="3"/>
  <c r="G91" i="3"/>
  <c r="H91" i="3"/>
  <c r="G87" i="3"/>
  <c r="H87" i="3"/>
  <c r="Q85" i="3"/>
  <c r="R85" i="3"/>
  <c r="R81" i="3"/>
  <c r="Q81" i="3"/>
  <c r="U75" i="3"/>
  <c r="P75" i="3"/>
  <c r="O75" i="3"/>
  <c r="S75" i="3" s="1"/>
  <c r="N75" i="3"/>
  <c r="M75" i="3"/>
  <c r="R56" i="3"/>
  <c r="Q56" i="3"/>
  <c r="R54" i="3"/>
  <c r="Q54" i="3"/>
  <c r="K32" i="6"/>
  <c r="K22" i="6"/>
  <c r="K31" i="6"/>
  <c r="N36" i="3"/>
  <c r="M36" i="3"/>
  <c r="U36" i="3"/>
  <c r="P36" i="3"/>
  <c r="O36" i="3"/>
  <c r="S36" i="3" s="1"/>
  <c r="N32" i="3"/>
  <c r="M32" i="3"/>
  <c r="U32" i="3"/>
  <c r="P32" i="3"/>
  <c r="O32" i="3"/>
  <c r="S32" i="3" s="1"/>
  <c r="K21" i="6"/>
  <c r="R22" i="3"/>
  <c r="Q22" i="3"/>
  <c r="K2" i="6"/>
  <c r="Q10" i="3"/>
  <c r="R10" i="3"/>
  <c r="N2" i="2"/>
  <c r="N10" i="2"/>
  <c r="N18" i="2"/>
  <c r="N26" i="2"/>
  <c r="N34" i="2"/>
  <c r="N42" i="2"/>
  <c r="N50" i="2"/>
  <c r="N58" i="2"/>
  <c r="N66" i="2"/>
  <c r="N74" i="2"/>
  <c r="N82" i="2"/>
  <c r="N90" i="2"/>
  <c r="N183" i="2"/>
  <c r="N191" i="2"/>
  <c r="N199" i="2"/>
  <c r="N207" i="2"/>
  <c r="N215" i="2"/>
  <c r="N223" i="2"/>
  <c r="N231" i="2"/>
  <c r="N241" i="2"/>
  <c r="N497" i="2"/>
  <c r="N505" i="2"/>
  <c r="N513" i="2"/>
  <c r="N521" i="2"/>
  <c r="N529" i="2"/>
  <c r="N537" i="2"/>
  <c r="N545" i="2"/>
  <c r="N553" i="2"/>
  <c r="N561" i="2"/>
  <c r="N569" i="2"/>
  <c r="N577" i="2"/>
  <c r="N585" i="2"/>
  <c r="N593" i="2"/>
  <c r="N601" i="2"/>
  <c r="N609" i="2"/>
  <c r="N656" i="2"/>
  <c r="N664" i="2"/>
  <c r="N672" i="2"/>
  <c r="N680" i="2"/>
  <c r="N688" i="2"/>
  <c r="N696" i="2"/>
  <c r="N704" i="2"/>
  <c r="N712" i="2"/>
  <c r="N720" i="2"/>
  <c r="N758" i="2"/>
  <c r="N766" i="2"/>
  <c r="N93" i="2"/>
  <c r="N101" i="2"/>
  <c r="N109" i="2"/>
  <c r="N117" i="2"/>
  <c r="N125" i="2"/>
  <c r="N133" i="2"/>
  <c r="N141" i="2"/>
  <c r="N149" i="2"/>
  <c r="N157" i="2"/>
  <c r="N165" i="2"/>
  <c r="N173" i="2"/>
  <c r="N247" i="2"/>
  <c r="N257" i="2"/>
  <c r="N267" i="2"/>
  <c r="N275" i="2"/>
  <c r="N283" i="2"/>
  <c r="N291" i="2"/>
  <c r="N299" i="2"/>
  <c r="N307" i="2"/>
  <c r="N315" i="2"/>
  <c r="N323" i="2"/>
  <c r="N331" i="2"/>
  <c r="N339" i="2"/>
  <c r="N347" i="2"/>
  <c r="N355" i="2"/>
  <c r="N363" i="2"/>
  <c r="N371" i="2"/>
  <c r="N379" i="2"/>
  <c r="N387" i="2"/>
  <c r="N395" i="2"/>
  <c r="N403" i="2"/>
  <c r="N411" i="2"/>
  <c r="N419" i="2"/>
  <c r="N427" i="2"/>
  <c r="N435" i="2"/>
  <c r="N443" i="2"/>
  <c r="N451" i="2"/>
  <c r="N459" i="2"/>
  <c r="N467" i="2"/>
  <c r="N475" i="2"/>
  <c r="N483" i="2"/>
  <c r="N491" i="2"/>
  <c r="N620" i="2"/>
  <c r="N628" i="2"/>
  <c r="N636" i="2"/>
  <c r="N644" i="2"/>
  <c r="N652" i="2"/>
  <c r="N730" i="2"/>
  <c r="N738" i="2"/>
  <c r="N746" i="2"/>
  <c r="N754" i="2"/>
  <c r="N779" i="2"/>
  <c r="N787" i="2"/>
  <c r="N3" i="2"/>
  <c r="N11" i="2"/>
  <c r="N19" i="2"/>
  <c r="N27" i="2"/>
  <c r="N35" i="2"/>
  <c r="N43" i="2"/>
  <c r="N51" i="2"/>
  <c r="N59" i="2"/>
  <c r="N67" i="2"/>
  <c r="N75" i="2"/>
  <c r="N83" i="2"/>
  <c r="N178" i="2"/>
  <c r="N186" i="2"/>
  <c r="N194" i="2"/>
  <c r="N202" i="2"/>
  <c r="N210" i="2"/>
  <c r="N218" i="2"/>
  <c r="N226" i="2"/>
  <c r="N234" i="2"/>
  <c r="N252" i="2"/>
  <c r="N496" i="2"/>
  <c r="N504" i="2"/>
  <c r="N512" i="2"/>
  <c r="N520" i="2"/>
  <c r="N528" i="2"/>
  <c r="N536" i="2"/>
  <c r="N544" i="2"/>
  <c r="N552" i="2"/>
  <c r="N560" i="2"/>
  <c r="N568" i="2"/>
  <c r="N576" i="2"/>
  <c r="N584" i="2"/>
  <c r="N592" i="2"/>
  <c r="N600" i="2"/>
  <c r="N608" i="2"/>
  <c r="N657" i="2"/>
  <c r="N665" i="2"/>
  <c r="N673" i="2"/>
  <c r="N681" i="2"/>
  <c r="N689" i="2"/>
  <c r="N697" i="2"/>
  <c r="N705" i="2"/>
  <c r="N713" i="2"/>
  <c r="N721" i="2"/>
  <c r="N761" i="2"/>
  <c r="N769" i="2"/>
  <c r="N94" i="2"/>
  <c r="N102" i="2"/>
  <c r="N110" i="2"/>
  <c r="N118" i="2"/>
  <c r="N126" i="2"/>
  <c r="N134" i="2"/>
  <c r="N142" i="2"/>
  <c r="N150" i="2"/>
  <c r="N158" i="2"/>
  <c r="N166" i="2"/>
  <c r="N174" i="2"/>
  <c r="N244" i="2"/>
  <c r="N253" i="2"/>
  <c r="N264" i="2"/>
  <c r="N272" i="2"/>
  <c r="N280" i="2"/>
  <c r="N288" i="2"/>
  <c r="N296" i="2"/>
  <c r="N304" i="2"/>
  <c r="N312" i="2"/>
  <c r="N320" i="2"/>
  <c r="N328" i="2"/>
  <c r="N336" i="2"/>
  <c r="N344" i="2"/>
  <c r="N352" i="2"/>
  <c r="N360" i="2"/>
  <c r="N368" i="2"/>
  <c r="N376" i="2"/>
  <c r="N384" i="2"/>
  <c r="N392" i="2"/>
  <c r="N400" i="2"/>
  <c r="N408" i="2"/>
  <c r="N416" i="2"/>
  <c r="N424" i="2"/>
  <c r="N432" i="2"/>
  <c r="N440" i="2"/>
  <c r="N448" i="2"/>
  <c r="N456" i="2"/>
  <c r="N464" i="2"/>
  <c r="N472" i="2"/>
  <c r="N480" i="2"/>
  <c r="N488" i="2"/>
  <c r="N617" i="2"/>
  <c r="N625" i="2"/>
  <c r="N633" i="2"/>
  <c r="N641" i="2"/>
  <c r="N649" i="2"/>
  <c r="N726" i="2"/>
  <c r="N735" i="2"/>
  <c r="N743" i="2"/>
  <c r="N751" i="2"/>
  <c r="N776" i="2"/>
  <c r="N784" i="2"/>
  <c r="N792" i="2"/>
  <c r="K91" i="6"/>
  <c r="K97" i="6"/>
  <c r="K95" i="6"/>
  <c r="K78" i="6"/>
  <c r="K86" i="6"/>
  <c r="K94" i="6"/>
  <c r="K98" i="6"/>
  <c r="R129" i="3"/>
  <c r="Q129" i="3"/>
  <c r="M119" i="3"/>
  <c r="P119" i="3"/>
  <c r="U119" i="3"/>
  <c r="N119" i="3"/>
  <c r="O119" i="3"/>
  <c r="S119" i="3" s="1"/>
  <c r="Z4" i="10"/>
  <c r="Y4" i="10"/>
  <c r="G400" i="3" l="1"/>
  <c r="H400" i="3"/>
  <c r="R632" i="3"/>
  <c r="Q632" i="3"/>
  <c r="R640" i="3"/>
  <c r="Q640" i="3"/>
  <c r="R648" i="3"/>
  <c r="Q648" i="3"/>
  <c r="Q307" i="3"/>
  <c r="R307" i="3"/>
  <c r="R339" i="3"/>
  <c r="Q339" i="3"/>
  <c r="Q355" i="3"/>
  <c r="R355" i="3"/>
  <c r="Q369" i="3"/>
  <c r="R369" i="3"/>
  <c r="Q396" i="3"/>
  <c r="R393" i="3"/>
  <c r="R433" i="3"/>
  <c r="Q433" i="3"/>
  <c r="R513" i="3"/>
  <c r="Q513" i="3"/>
  <c r="Q561" i="3"/>
  <c r="R561" i="3"/>
  <c r="R585" i="3"/>
  <c r="Q585" i="3"/>
  <c r="R625" i="3"/>
  <c r="Q625" i="3"/>
  <c r="R665" i="3"/>
  <c r="Q665" i="3"/>
  <c r="R673" i="3"/>
  <c r="Q673" i="3"/>
  <c r="M19" i="3"/>
  <c r="U19" i="3"/>
  <c r="P19" i="3"/>
  <c r="O19" i="3"/>
  <c r="S19" i="3" s="1"/>
  <c r="N19" i="3"/>
  <c r="R78" i="3"/>
  <c r="Q78" i="3"/>
  <c r="G316" i="3"/>
  <c r="H316" i="3"/>
  <c r="H370" i="3"/>
  <c r="G370" i="3"/>
  <c r="G394" i="3"/>
  <c r="H394" i="3"/>
  <c r="G434" i="3"/>
  <c r="H434" i="3"/>
  <c r="R510" i="3"/>
  <c r="Q510" i="3"/>
  <c r="R542" i="3"/>
  <c r="Q542" i="3"/>
  <c r="Q574" i="3"/>
  <c r="R574" i="3"/>
  <c r="R622" i="3"/>
  <c r="Q622" i="3"/>
  <c r="Q662" i="3"/>
  <c r="R662" i="3"/>
  <c r="R678" i="3"/>
  <c r="Q678" i="3"/>
  <c r="R51" i="3"/>
  <c r="Q51" i="3"/>
  <c r="R100" i="3"/>
  <c r="Q100" i="3"/>
  <c r="R132" i="3"/>
  <c r="Q132" i="3"/>
  <c r="Q187" i="3"/>
  <c r="R187" i="3"/>
  <c r="Q252" i="3"/>
  <c r="R252" i="3"/>
  <c r="G383" i="3"/>
  <c r="H383" i="3"/>
  <c r="H391" i="3"/>
  <c r="G391" i="3"/>
  <c r="H447" i="3"/>
  <c r="G447" i="3"/>
  <c r="H507" i="3"/>
  <c r="G507" i="3"/>
  <c r="H539" i="3"/>
  <c r="G539" i="3"/>
  <c r="G563" i="3"/>
  <c r="H563" i="3"/>
  <c r="H571" i="3"/>
  <c r="G571" i="3"/>
  <c r="H619" i="3"/>
  <c r="G619" i="3"/>
  <c r="H659" i="3"/>
  <c r="G659" i="3"/>
  <c r="H675" i="3"/>
  <c r="G675" i="3"/>
  <c r="R708" i="3"/>
  <c r="Q708" i="3"/>
  <c r="R716" i="3"/>
  <c r="Q716" i="3"/>
  <c r="R732" i="3"/>
  <c r="Q732" i="3"/>
  <c r="Q727" i="3"/>
  <c r="R727" i="3"/>
  <c r="A109" i="4"/>
  <c r="A71" i="4"/>
  <c r="Q42" i="3"/>
  <c r="R42" i="3"/>
  <c r="Q326" i="3"/>
  <c r="R326" i="3"/>
  <c r="R350" i="3"/>
  <c r="Q350" i="3"/>
  <c r="R392" i="3"/>
  <c r="Q395" i="3"/>
  <c r="Q432" i="3"/>
  <c r="R432" i="3"/>
  <c r="H500" i="3"/>
  <c r="G500" i="3"/>
  <c r="H532" i="3"/>
  <c r="G532" i="3"/>
  <c r="H620" i="3"/>
  <c r="G620" i="3"/>
  <c r="G660" i="3"/>
  <c r="H660" i="3"/>
  <c r="H684" i="3"/>
  <c r="G684" i="3"/>
  <c r="H335" i="3"/>
  <c r="G335" i="3"/>
  <c r="G359" i="3"/>
  <c r="H359" i="3"/>
  <c r="H397" i="3"/>
  <c r="G397" i="3"/>
  <c r="G421" i="3"/>
  <c r="H421" i="3"/>
  <c r="H437" i="3"/>
  <c r="G437" i="3"/>
  <c r="G501" i="3"/>
  <c r="H501" i="3"/>
  <c r="G533" i="3"/>
  <c r="H533" i="3"/>
  <c r="G549" i="3"/>
  <c r="H549" i="3"/>
  <c r="H573" i="3"/>
  <c r="G573" i="3"/>
  <c r="H645" i="3"/>
  <c r="G645" i="3"/>
  <c r="M23" i="3"/>
  <c r="U23" i="3"/>
  <c r="P23" i="3"/>
  <c r="O23" i="3"/>
  <c r="S23" i="3" s="1"/>
  <c r="N23" i="3"/>
  <c r="R285" i="3"/>
  <c r="Q285" i="3"/>
  <c r="Q308" i="3"/>
  <c r="R308" i="3"/>
  <c r="R316" i="3"/>
  <c r="Q316" i="3"/>
  <c r="R362" i="3"/>
  <c r="Q362" i="3"/>
  <c r="R370" i="3"/>
  <c r="Q370" i="3"/>
  <c r="Q410" i="3"/>
  <c r="R410" i="3"/>
  <c r="Q434" i="3"/>
  <c r="R434" i="3"/>
  <c r="R450" i="3"/>
  <c r="Q450" i="3"/>
  <c r="H476" i="3"/>
  <c r="G476" i="3"/>
  <c r="H522" i="3"/>
  <c r="G522" i="3"/>
  <c r="H586" i="3"/>
  <c r="G586" i="3"/>
  <c r="H626" i="3"/>
  <c r="G626" i="3"/>
  <c r="H658" i="3"/>
  <c r="G658" i="3"/>
  <c r="R66" i="3"/>
  <c r="Q66" i="3"/>
  <c r="Q53" i="3"/>
  <c r="R53" i="3"/>
  <c r="Q161" i="3"/>
  <c r="R161" i="3"/>
  <c r="U63" i="3"/>
  <c r="P63" i="3"/>
  <c r="O63" i="3"/>
  <c r="S63" i="3" s="1"/>
  <c r="N63" i="3"/>
  <c r="M63" i="3"/>
  <c r="R102" i="3"/>
  <c r="Q102" i="3"/>
  <c r="Q173" i="3"/>
  <c r="R173" i="3"/>
  <c r="Q197" i="3"/>
  <c r="R197" i="3"/>
  <c r="Q205" i="3"/>
  <c r="R205" i="3"/>
  <c r="Q262" i="3"/>
  <c r="R262" i="3"/>
  <c r="R317" i="3"/>
  <c r="Q317" i="3"/>
  <c r="Q349" i="3"/>
  <c r="R349" i="3"/>
  <c r="R407" i="3"/>
  <c r="Q407" i="3"/>
  <c r="R447" i="3"/>
  <c r="Q447" i="3"/>
  <c r="Q507" i="3"/>
  <c r="R507" i="3"/>
  <c r="Q539" i="3"/>
  <c r="R539" i="3"/>
  <c r="Q547" i="3"/>
  <c r="R547" i="3"/>
  <c r="Q627" i="3"/>
  <c r="R627" i="3"/>
  <c r="R734" i="3"/>
  <c r="Q734" i="3"/>
  <c r="H297" i="3"/>
  <c r="G297" i="3"/>
  <c r="H330" i="3"/>
  <c r="G330" i="3"/>
  <c r="H338" i="3"/>
  <c r="G338" i="3"/>
  <c r="H380" i="3"/>
  <c r="G380" i="3"/>
  <c r="G396" i="3"/>
  <c r="H396" i="3"/>
  <c r="G436" i="3"/>
  <c r="H436" i="3"/>
  <c r="R516" i="3"/>
  <c r="Q516" i="3"/>
  <c r="R636" i="3"/>
  <c r="Q636" i="3"/>
  <c r="R644" i="3"/>
  <c r="Q644" i="3"/>
  <c r="R335" i="3"/>
  <c r="Q335" i="3"/>
  <c r="R351" i="3"/>
  <c r="Q351" i="3"/>
  <c r="Q392" i="3"/>
  <c r="R389" i="3"/>
  <c r="R501" i="3"/>
  <c r="Q501" i="3"/>
  <c r="R533" i="3"/>
  <c r="Q533" i="3"/>
  <c r="Q549" i="3"/>
  <c r="R549" i="3"/>
  <c r="Q581" i="3"/>
  <c r="R581" i="3"/>
  <c r="R613" i="3"/>
  <c r="Q613" i="3"/>
  <c r="R653" i="3"/>
  <c r="Q653" i="3"/>
  <c r="G328" i="3"/>
  <c r="H328" i="3"/>
  <c r="R498" i="3"/>
  <c r="Q498" i="3"/>
  <c r="R530" i="3"/>
  <c r="Q530" i="3"/>
  <c r="R562" i="3"/>
  <c r="Q562" i="3"/>
  <c r="R642" i="3"/>
  <c r="Q642" i="3"/>
  <c r="Q650" i="3"/>
  <c r="R650" i="3"/>
  <c r="R7" i="3"/>
  <c r="Q7" i="3"/>
  <c r="M35" i="3"/>
  <c r="U35" i="3"/>
  <c r="P35" i="3"/>
  <c r="O35" i="3"/>
  <c r="S35" i="3" s="1"/>
  <c r="N35" i="3"/>
  <c r="O55" i="3"/>
  <c r="S55" i="3" s="1"/>
  <c r="N55" i="3"/>
  <c r="M55" i="3"/>
  <c r="U55" i="3"/>
  <c r="P55" i="3"/>
  <c r="R65" i="3"/>
  <c r="Q65" i="3"/>
  <c r="R104" i="3"/>
  <c r="Q104" i="3"/>
  <c r="Q183" i="3"/>
  <c r="R183" i="3"/>
  <c r="R248" i="3"/>
  <c r="Q248" i="3"/>
  <c r="R280" i="3"/>
  <c r="Q280" i="3"/>
  <c r="H305" i="3"/>
  <c r="G305" i="3"/>
  <c r="H321" i="3"/>
  <c r="G321" i="3"/>
  <c r="H353" i="3"/>
  <c r="G353" i="3"/>
  <c r="G371" i="3"/>
  <c r="H371" i="3"/>
  <c r="H411" i="3"/>
  <c r="G411" i="3"/>
  <c r="H435" i="3"/>
  <c r="G435" i="3"/>
  <c r="H451" i="3"/>
  <c r="G451" i="3"/>
  <c r="H477" i="3"/>
  <c r="G477" i="3"/>
  <c r="H527" i="3"/>
  <c r="G527" i="3"/>
  <c r="G551" i="3"/>
  <c r="H551" i="3"/>
  <c r="H583" i="3"/>
  <c r="G583" i="3"/>
  <c r="H647" i="3"/>
  <c r="G647" i="3"/>
  <c r="Q688" i="3"/>
  <c r="R688" i="3"/>
  <c r="Q715" i="3"/>
  <c r="R715" i="3"/>
  <c r="Q729" i="3"/>
  <c r="R729" i="3"/>
  <c r="Q281" i="3"/>
  <c r="R281" i="3"/>
  <c r="Q314" i="3"/>
  <c r="R314" i="3"/>
  <c r="Q346" i="3"/>
  <c r="R346" i="3"/>
  <c r="R380" i="3"/>
  <c r="Q380" i="3"/>
  <c r="Q412" i="3"/>
  <c r="R412" i="3"/>
  <c r="H528" i="3"/>
  <c r="G528" i="3"/>
  <c r="H616" i="3"/>
  <c r="G616" i="3"/>
  <c r="G656" i="3"/>
  <c r="H656" i="3"/>
  <c r="H680" i="3"/>
  <c r="G680" i="3"/>
  <c r="H323" i="3"/>
  <c r="G323" i="3"/>
  <c r="G385" i="3"/>
  <c r="H385" i="3"/>
  <c r="H425" i="3"/>
  <c r="G425" i="3"/>
  <c r="H449" i="3"/>
  <c r="G449" i="3"/>
  <c r="G467" i="3"/>
  <c r="H467" i="3"/>
  <c r="G521" i="3"/>
  <c r="H521" i="3"/>
  <c r="G625" i="3"/>
  <c r="H625" i="3"/>
  <c r="H665" i="3"/>
  <c r="G665" i="3"/>
  <c r="H681" i="3"/>
  <c r="G681" i="3"/>
  <c r="R320" i="3"/>
  <c r="Q320" i="3"/>
  <c r="Q352" i="3"/>
  <c r="R352" i="3"/>
  <c r="R382" i="3"/>
  <c r="Q382" i="3"/>
  <c r="R390" i="3"/>
  <c r="Q393" i="3"/>
  <c r="Q446" i="3"/>
  <c r="R446" i="3"/>
  <c r="H510" i="3"/>
  <c r="G510" i="3"/>
  <c r="H542" i="3"/>
  <c r="G542" i="3"/>
  <c r="H558" i="3"/>
  <c r="G558" i="3"/>
  <c r="H582" i="3"/>
  <c r="G582" i="3"/>
  <c r="H614" i="3"/>
  <c r="G614" i="3"/>
  <c r="H646" i="3"/>
  <c r="G646" i="3"/>
  <c r="G686" i="3"/>
  <c r="H686" i="3"/>
  <c r="Q111" i="3"/>
  <c r="R111" i="3"/>
  <c r="R9" i="3"/>
  <c r="Q9" i="3"/>
  <c r="R49" i="3"/>
  <c r="Q49" i="3"/>
  <c r="R90" i="3"/>
  <c r="Q90" i="3"/>
  <c r="R106" i="3"/>
  <c r="Q106" i="3"/>
  <c r="Q169" i="3"/>
  <c r="R169" i="3"/>
  <c r="R193" i="3"/>
  <c r="Q193" i="3"/>
  <c r="Q258" i="3"/>
  <c r="R258" i="3"/>
  <c r="H291" i="3"/>
  <c r="G291" i="3"/>
  <c r="R337" i="3"/>
  <c r="Q337" i="3"/>
  <c r="Q353" i="3"/>
  <c r="R353" i="3"/>
  <c r="R411" i="3"/>
  <c r="Q411" i="3"/>
  <c r="Q419" i="3"/>
  <c r="R419" i="3"/>
  <c r="R451" i="3"/>
  <c r="Q451" i="3"/>
  <c r="Q511" i="3"/>
  <c r="R511" i="3"/>
  <c r="Q543" i="3"/>
  <c r="R543" i="3"/>
  <c r="Q551" i="3"/>
  <c r="R551" i="3"/>
  <c r="R567" i="3"/>
  <c r="Q567" i="3"/>
  <c r="Q631" i="3"/>
  <c r="R631" i="3"/>
  <c r="R690" i="3"/>
  <c r="Q690" i="3"/>
  <c r="R730" i="3"/>
  <c r="Q730" i="3"/>
  <c r="R725" i="3"/>
  <c r="Q725" i="3"/>
  <c r="H384" i="3"/>
  <c r="G384" i="3"/>
  <c r="G440" i="3"/>
  <c r="H440" i="3"/>
  <c r="G342" i="3"/>
  <c r="H342" i="3"/>
  <c r="G408" i="3"/>
  <c r="H408" i="3"/>
  <c r="R528" i="3"/>
  <c r="Q528" i="3"/>
  <c r="R616" i="3"/>
  <c r="Q616" i="3"/>
  <c r="R315" i="3"/>
  <c r="Q315" i="3"/>
  <c r="Q377" i="3"/>
  <c r="R377" i="3"/>
  <c r="R441" i="3"/>
  <c r="Q441" i="3"/>
  <c r="R467" i="3"/>
  <c r="Q467" i="3"/>
  <c r="G324" i="3"/>
  <c r="H324" i="3"/>
  <c r="H378" i="3"/>
  <c r="G378" i="3"/>
  <c r="G402" i="3"/>
  <c r="H402" i="3"/>
  <c r="G442" i="3"/>
  <c r="H442" i="3"/>
  <c r="G450" i="3"/>
  <c r="H450" i="3"/>
  <c r="R518" i="3"/>
  <c r="Q518" i="3"/>
  <c r="R550" i="3"/>
  <c r="Q550" i="3"/>
  <c r="R686" i="3"/>
  <c r="Q686" i="3"/>
  <c r="R41" i="3"/>
  <c r="Q41" i="3"/>
  <c r="R151" i="3"/>
  <c r="Q151" i="3"/>
  <c r="R116" i="3"/>
  <c r="Q116" i="3"/>
  <c r="N124" i="3"/>
  <c r="U124" i="3"/>
  <c r="O124" i="3"/>
  <c r="S124" i="3" s="1"/>
  <c r="M124" i="3"/>
  <c r="P124" i="3"/>
  <c r="Q195" i="3"/>
  <c r="R195" i="3"/>
  <c r="Q260" i="3"/>
  <c r="R260" i="3"/>
  <c r="R283" i="3"/>
  <c r="Q283" i="3"/>
  <c r="R299" i="3"/>
  <c r="Q299" i="3"/>
  <c r="H317" i="3"/>
  <c r="G317" i="3"/>
  <c r="H325" i="3"/>
  <c r="G325" i="3"/>
  <c r="H349" i="3"/>
  <c r="G349" i="3"/>
  <c r="H399" i="3"/>
  <c r="G399" i="3"/>
  <c r="H465" i="3"/>
  <c r="G465" i="3"/>
  <c r="H515" i="3"/>
  <c r="G515" i="3"/>
  <c r="H627" i="3"/>
  <c r="G627" i="3"/>
  <c r="H667" i="3"/>
  <c r="G667" i="3"/>
  <c r="H683" i="3"/>
  <c r="G683" i="3"/>
  <c r="R18" i="3"/>
  <c r="Q18" i="3"/>
  <c r="R46" i="3"/>
  <c r="Q46" i="3"/>
  <c r="R302" i="3"/>
  <c r="Q302" i="3"/>
  <c r="Q334" i="3"/>
  <c r="R334" i="3"/>
  <c r="R368" i="3"/>
  <c r="Q368" i="3"/>
  <c r="Q400" i="3"/>
  <c r="R400" i="3"/>
  <c r="R416" i="3"/>
  <c r="Q416" i="3"/>
  <c r="Q440" i="3"/>
  <c r="R440" i="3"/>
  <c r="H508" i="3"/>
  <c r="G508" i="3"/>
  <c r="H540" i="3"/>
  <c r="G540" i="3"/>
  <c r="H548" i="3"/>
  <c r="G548" i="3"/>
  <c r="H628" i="3"/>
  <c r="G628" i="3"/>
  <c r="H303" i="3"/>
  <c r="G303" i="3"/>
  <c r="H311" i="3"/>
  <c r="G311" i="3"/>
  <c r="H343" i="3"/>
  <c r="G343" i="3"/>
  <c r="H365" i="3"/>
  <c r="G365" i="3"/>
  <c r="G373" i="3"/>
  <c r="H373" i="3"/>
  <c r="H405" i="3"/>
  <c r="G405" i="3"/>
  <c r="H445" i="3"/>
  <c r="G445" i="3"/>
  <c r="G509" i="3"/>
  <c r="H509" i="3"/>
  <c r="G541" i="3"/>
  <c r="H541" i="3"/>
  <c r="G557" i="3"/>
  <c r="H557" i="3"/>
  <c r="G613" i="3"/>
  <c r="H613" i="3"/>
  <c r="G637" i="3"/>
  <c r="H637" i="3"/>
  <c r="H653" i="3"/>
  <c r="G653" i="3"/>
  <c r="H669" i="3"/>
  <c r="G669" i="3"/>
  <c r="R43" i="3"/>
  <c r="Q43" i="3"/>
  <c r="Q72" i="3"/>
  <c r="R72" i="3"/>
  <c r="R324" i="3"/>
  <c r="Q324" i="3"/>
  <c r="R378" i="3"/>
  <c r="Q378" i="3"/>
  <c r="Q442" i="3"/>
  <c r="R442" i="3"/>
  <c r="H498" i="3"/>
  <c r="G498" i="3"/>
  <c r="H530" i="3"/>
  <c r="G530" i="3"/>
  <c r="H546" i="3"/>
  <c r="G546" i="3"/>
  <c r="G570" i="3"/>
  <c r="H570" i="3"/>
  <c r="H666" i="3"/>
  <c r="G666" i="3"/>
  <c r="G674" i="3"/>
  <c r="H674" i="3"/>
  <c r="R3" i="3"/>
  <c r="Q3" i="3"/>
  <c r="M31" i="3"/>
  <c r="U31" i="3"/>
  <c r="P31" i="3"/>
  <c r="O31" i="3"/>
  <c r="S31" i="3" s="1"/>
  <c r="N31" i="3"/>
  <c r="R45" i="3"/>
  <c r="Q45" i="3"/>
  <c r="N61" i="3"/>
  <c r="M61" i="3"/>
  <c r="U61" i="3"/>
  <c r="P61" i="3"/>
  <c r="O61" i="3"/>
  <c r="S61" i="3" s="1"/>
  <c r="U110" i="3"/>
  <c r="P110" i="3"/>
  <c r="N110" i="3"/>
  <c r="M110" i="3"/>
  <c r="O110" i="3"/>
  <c r="S110" i="3" s="1"/>
  <c r="R126" i="3"/>
  <c r="Q126" i="3"/>
  <c r="R134" i="3"/>
  <c r="Q134" i="3"/>
  <c r="Q238" i="3"/>
  <c r="R238" i="3"/>
  <c r="Q270" i="3"/>
  <c r="R270" i="3"/>
  <c r="R325" i="3"/>
  <c r="Q325" i="3"/>
  <c r="Q357" i="3"/>
  <c r="R357" i="3"/>
  <c r="Q465" i="3"/>
  <c r="R465" i="3"/>
  <c r="Q515" i="3"/>
  <c r="R515" i="3"/>
  <c r="Q555" i="3"/>
  <c r="R555" i="3"/>
  <c r="R571" i="3"/>
  <c r="Q571" i="3"/>
  <c r="Q579" i="3"/>
  <c r="R579" i="3"/>
  <c r="Q635" i="3"/>
  <c r="R635" i="3"/>
  <c r="R718" i="3"/>
  <c r="Q718" i="3"/>
  <c r="H364" i="3"/>
  <c r="G364" i="3"/>
  <c r="H388" i="3"/>
  <c r="G388" i="3"/>
  <c r="G404" i="3"/>
  <c r="H404" i="3"/>
  <c r="G444" i="3"/>
  <c r="H444" i="3"/>
  <c r="R524" i="3"/>
  <c r="Q524" i="3"/>
  <c r="R548" i="3"/>
  <c r="Q548" i="3"/>
  <c r="R652" i="3"/>
  <c r="Q652" i="3"/>
  <c r="Q668" i="3"/>
  <c r="R668" i="3"/>
  <c r="R295" i="3"/>
  <c r="Q295" i="3"/>
  <c r="Q303" i="3"/>
  <c r="R303" i="3"/>
  <c r="R311" i="3"/>
  <c r="Q311" i="3"/>
  <c r="R343" i="3"/>
  <c r="Q343" i="3"/>
  <c r="R359" i="3"/>
  <c r="Q359" i="3"/>
  <c r="Q365" i="3"/>
  <c r="R365" i="3"/>
  <c r="R429" i="3"/>
  <c r="Q429" i="3"/>
  <c r="R509" i="3"/>
  <c r="Q509" i="3"/>
  <c r="R541" i="3"/>
  <c r="Q541" i="3"/>
  <c r="Q557" i="3"/>
  <c r="R557" i="3"/>
  <c r="Q565" i="3"/>
  <c r="R565" i="3"/>
  <c r="R621" i="3"/>
  <c r="Q621" i="3"/>
  <c r="R661" i="3"/>
  <c r="Q661" i="3"/>
  <c r="R669" i="3"/>
  <c r="Q669" i="3"/>
  <c r="O29" i="3"/>
  <c r="S29" i="3" s="1"/>
  <c r="N29" i="3"/>
  <c r="M29" i="3"/>
  <c r="U29" i="3"/>
  <c r="P29" i="3"/>
  <c r="G336" i="3"/>
  <c r="H336" i="3"/>
  <c r="H352" i="3"/>
  <c r="G352" i="3"/>
  <c r="G366" i="3"/>
  <c r="H366" i="3"/>
  <c r="G390" i="3"/>
  <c r="H390" i="3"/>
  <c r="G430" i="3"/>
  <c r="H430" i="3"/>
  <c r="R506" i="3"/>
  <c r="Q506" i="3"/>
  <c r="R538" i="3"/>
  <c r="Q538" i="3"/>
  <c r="R546" i="3"/>
  <c r="Q546" i="3"/>
  <c r="Q570" i="3"/>
  <c r="R570" i="3"/>
  <c r="R618" i="3"/>
  <c r="Q618" i="3"/>
  <c r="Q658" i="3"/>
  <c r="R658" i="3"/>
  <c r="R674" i="3"/>
  <c r="Q674" i="3"/>
  <c r="R112" i="3"/>
  <c r="Q112" i="3"/>
  <c r="U136" i="3"/>
  <c r="P136" i="3"/>
  <c r="O136" i="3"/>
  <c r="S136" i="3" s="1"/>
  <c r="N136" i="3"/>
  <c r="M136" i="3"/>
  <c r="R167" i="3"/>
  <c r="Q167" i="3"/>
  <c r="Q191" i="3"/>
  <c r="R191" i="3"/>
  <c r="R215" i="3"/>
  <c r="Q215" i="3"/>
  <c r="R256" i="3"/>
  <c r="Q256" i="3"/>
  <c r="R288" i="3"/>
  <c r="Q288" i="3"/>
  <c r="R296" i="3"/>
  <c r="Q296" i="3"/>
  <c r="H329" i="3"/>
  <c r="G329" i="3"/>
  <c r="G379" i="3"/>
  <c r="H379" i="3"/>
  <c r="H443" i="3"/>
  <c r="G443" i="3"/>
  <c r="H503" i="3"/>
  <c r="G503" i="3"/>
  <c r="H535" i="3"/>
  <c r="G535" i="3"/>
  <c r="G559" i="3"/>
  <c r="H559" i="3"/>
  <c r="H567" i="3"/>
  <c r="G567" i="3"/>
  <c r="H615" i="3"/>
  <c r="G615" i="3"/>
  <c r="H655" i="3"/>
  <c r="G655" i="3"/>
  <c r="E74" i="4"/>
  <c r="F140" i="4"/>
  <c r="F63" i="4"/>
  <c r="R707" i="3"/>
  <c r="Q707" i="3"/>
  <c r="Q697" i="3"/>
  <c r="R697" i="3"/>
  <c r="R721" i="3"/>
  <c r="Q721" i="3"/>
  <c r="Q289" i="3"/>
  <c r="R289" i="3"/>
  <c r="Q322" i="3"/>
  <c r="R322" i="3"/>
  <c r="R388" i="3"/>
  <c r="Q391" i="3"/>
  <c r="Q388" i="3"/>
  <c r="Q428" i="3"/>
  <c r="R428" i="3"/>
  <c r="Q452" i="3"/>
  <c r="R452" i="3"/>
  <c r="H504" i="3"/>
  <c r="G504" i="3"/>
  <c r="H536" i="3"/>
  <c r="G536" i="3"/>
  <c r="G576" i="3"/>
  <c r="H576" i="3"/>
  <c r="H624" i="3"/>
  <c r="G624" i="3"/>
  <c r="G664" i="3"/>
  <c r="H664" i="3"/>
  <c r="G331" i="3"/>
  <c r="H331" i="3"/>
  <c r="H361" i="3"/>
  <c r="G361" i="3"/>
  <c r="H393" i="3"/>
  <c r="G393" i="3"/>
  <c r="G417" i="3"/>
  <c r="H417" i="3"/>
  <c r="H433" i="3"/>
  <c r="G433" i="3"/>
  <c r="G475" i="3"/>
  <c r="H475" i="3"/>
  <c r="G529" i="3"/>
  <c r="H529" i="3"/>
  <c r="G545" i="3"/>
  <c r="H545" i="3"/>
  <c r="G633" i="3"/>
  <c r="H633" i="3"/>
  <c r="R15" i="3"/>
  <c r="Q15" i="3"/>
  <c r="Q76" i="3"/>
  <c r="R76" i="3"/>
  <c r="Q282" i="3"/>
  <c r="R282" i="3"/>
  <c r="Q298" i="3"/>
  <c r="R298" i="3"/>
  <c r="R328" i="3"/>
  <c r="Q328" i="3"/>
  <c r="Q360" i="3"/>
  <c r="R360" i="3"/>
  <c r="H518" i="3"/>
  <c r="G518" i="3"/>
  <c r="H622" i="3"/>
  <c r="G622" i="3"/>
  <c r="H638" i="3"/>
  <c r="G638" i="3"/>
  <c r="H654" i="3"/>
  <c r="G654" i="3"/>
  <c r="O25" i="3"/>
  <c r="S25" i="3" s="1"/>
  <c r="N25" i="3"/>
  <c r="M25" i="3"/>
  <c r="U25" i="3"/>
  <c r="P25" i="3"/>
  <c r="Q57" i="3"/>
  <c r="T57" i="3"/>
  <c r="R57" i="3"/>
  <c r="Q157" i="3"/>
  <c r="R157" i="3"/>
  <c r="Q130" i="3"/>
  <c r="R130" i="3"/>
  <c r="R138" i="3"/>
  <c r="Q138" i="3"/>
  <c r="R201" i="3"/>
  <c r="Q201" i="3"/>
  <c r="Q234" i="3"/>
  <c r="R234" i="3"/>
  <c r="Q266" i="3"/>
  <c r="R266" i="3"/>
  <c r="H299" i="3"/>
  <c r="G299" i="3"/>
  <c r="R305" i="3"/>
  <c r="Q305" i="3"/>
  <c r="R313" i="3"/>
  <c r="Q313" i="3"/>
  <c r="R345" i="3"/>
  <c r="Q345" i="3"/>
  <c r="Q371" i="3"/>
  <c r="R371" i="3"/>
  <c r="R427" i="3"/>
  <c r="Q427" i="3"/>
  <c r="Q469" i="3"/>
  <c r="R469" i="3"/>
  <c r="Q519" i="3"/>
  <c r="R519" i="3"/>
  <c r="Q559" i="3"/>
  <c r="R559" i="3"/>
  <c r="Q583" i="3"/>
  <c r="R583" i="3"/>
  <c r="Q639" i="3"/>
  <c r="R639" i="3"/>
  <c r="R647" i="3"/>
  <c r="Q647" i="3"/>
  <c r="R714" i="3"/>
  <c r="Q714" i="3"/>
  <c r="R703" i="3"/>
  <c r="Q703" i="3"/>
  <c r="R520" i="3"/>
  <c r="Q520" i="3"/>
  <c r="R32" i="3"/>
  <c r="Q32" i="3"/>
  <c r="G448" i="3"/>
  <c r="H448" i="3"/>
  <c r="R470" i="3"/>
  <c r="Q470" i="3"/>
  <c r="R552" i="3"/>
  <c r="Q552" i="3"/>
  <c r="R584" i="3"/>
  <c r="Q584" i="3"/>
  <c r="R656" i="3"/>
  <c r="Q656" i="3"/>
  <c r="R70" i="3"/>
  <c r="Q70" i="3"/>
  <c r="R681" i="3"/>
  <c r="Q681" i="3"/>
  <c r="H308" i="3"/>
  <c r="G308" i="3"/>
  <c r="R36" i="3"/>
  <c r="Q36" i="3"/>
  <c r="G310" i="3"/>
  <c r="H310" i="3"/>
  <c r="H368" i="3"/>
  <c r="G368" i="3"/>
  <c r="G424" i="3"/>
  <c r="H424" i="3"/>
  <c r="R536" i="3"/>
  <c r="Q536" i="3"/>
  <c r="R560" i="3"/>
  <c r="Q560" i="3"/>
  <c r="Q568" i="3"/>
  <c r="R568" i="3"/>
  <c r="R576" i="3"/>
  <c r="Q576" i="3"/>
  <c r="R624" i="3"/>
  <c r="Q624" i="3"/>
  <c r="R664" i="3"/>
  <c r="Q664" i="3"/>
  <c r="Q680" i="3"/>
  <c r="R680" i="3"/>
  <c r="R323" i="3"/>
  <c r="Q323" i="3"/>
  <c r="Q385" i="3"/>
  <c r="R385" i="3"/>
  <c r="R409" i="3"/>
  <c r="Q409" i="3"/>
  <c r="Q417" i="3"/>
  <c r="R417" i="3"/>
  <c r="R475" i="3"/>
  <c r="Q475" i="3"/>
  <c r="R529" i="3"/>
  <c r="Q529" i="3"/>
  <c r="Q545" i="3"/>
  <c r="R545" i="3"/>
  <c r="R569" i="3"/>
  <c r="Q569" i="3"/>
  <c r="R577" i="3"/>
  <c r="Q577" i="3"/>
  <c r="R641" i="3"/>
  <c r="Q641" i="3"/>
  <c r="R649" i="3"/>
  <c r="Q649" i="3"/>
  <c r="N39" i="3"/>
  <c r="M39" i="3"/>
  <c r="U39" i="3"/>
  <c r="P39" i="3"/>
  <c r="O39" i="3"/>
  <c r="S39" i="3" s="1"/>
  <c r="H285" i="3"/>
  <c r="G285" i="3"/>
  <c r="G332" i="3"/>
  <c r="H332" i="3"/>
  <c r="H386" i="3"/>
  <c r="G386" i="3"/>
  <c r="G410" i="3"/>
  <c r="H410" i="3"/>
  <c r="H418" i="3"/>
  <c r="G418" i="3"/>
  <c r="R472" i="3"/>
  <c r="Q472" i="3"/>
  <c r="R526" i="3"/>
  <c r="Q526" i="3"/>
  <c r="R558" i="3"/>
  <c r="Q558" i="3"/>
  <c r="R582" i="3"/>
  <c r="Q582" i="3"/>
  <c r="R630" i="3"/>
  <c r="Q630" i="3"/>
  <c r="Q646" i="3"/>
  <c r="R646" i="3"/>
  <c r="R13" i="3"/>
  <c r="Q13" i="3"/>
  <c r="R159" i="3"/>
  <c r="Q159" i="3"/>
  <c r="R92" i="3"/>
  <c r="Q92" i="3"/>
  <c r="R140" i="3"/>
  <c r="Q140" i="3"/>
  <c r="R171" i="3"/>
  <c r="Q171" i="3"/>
  <c r="Q203" i="3"/>
  <c r="R203" i="3"/>
  <c r="Q236" i="3"/>
  <c r="R236" i="3"/>
  <c r="Q268" i="3"/>
  <c r="R268" i="3"/>
  <c r="R291" i="3"/>
  <c r="Q291" i="3"/>
  <c r="H357" i="3"/>
  <c r="G357" i="3"/>
  <c r="H407" i="3"/>
  <c r="G407" i="3"/>
  <c r="G415" i="3"/>
  <c r="H415" i="3"/>
  <c r="G423" i="3"/>
  <c r="H423" i="3"/>
  <c r="H431" i="3"/>
  <c r="G431" i="3"/>
  <c r="H473" i="3"/>
  <c r="G473" i="3"/>
  <c r="H523" i="3"/>
  <c r="G523" i="3"/>
  <c r="G547" i="3"/>
  <c r="H547" i="3"/>
  <c r="H579" i="3"/>
  <c r="G579" i="3"/>
  <c r="G635" i="3"/>
  <c r="H635" i="3"/>
  <c r="H643" i="3"/>
  <c r="G643" i="3"/>
  <c r="Q692" i="3"/>
  <c r="R692" i="3"/>
  <c r="R724" i="3"/>
  <c r="Q724" i="3"/>
  <c r="R695" i="3"/>
  <c r="Q695" i="3"/>
  <c r="R28" i="3"/>
  <c r="Q28" i="3"/>
  <c r="Q294" i="3"/>
  <c r="R294" i="3"/>
  <c r="Q310" i="3"/>
  <c r="R310" i="3"/>
  <c r="Q342" i="3"/>
  <c r="R342" i="3"/>
  <c r="R358" i="3"/>
  <c r="Q358" i="3"/>
  <c r="R376" i="3"/>
  <c r="Q376" i="3"/>
  <c r="Q408" i="3"/>
  <c r="R408" i="3"/>
  <c r="H466" i="3"/>
  <c r="G466" i="3"/>
  <c r="H516" i="3"/>
  <c r="G516" i="3"/>
  <c r="H556" i="3"/>
  <c r="G556" i="3"/>
  <c r="G572" i="3"/>
  <c r="H572" i="3"/>
  <c r="H580" i="3"/>
  <c r="G580" i="3"/>
  <c r="H636" i="3"/>
  <c r="G636" i="3"/>
  <c r="G644" i="3"/>
  <c r="H644" i="3"/>
  <c r="H668" i="3"/>
  <c r="G668" i="3"/>
  <c r="G287" i="3"/>
  <c r="H287" i="3"/>
  <c r="H319" i="3"/>
  <c r="G319" i="3"/>
  <c r="G381" i="3"/>
  <c r="H381" i="3"/>
  <c r="G517" i="3"/>
  <c r="H517" i="3"/>
  <c r="G565" i="3"/>
  <c r="H565" i="3"/>
  <c r="G581" i="3"/>
  <c r="H581" i="3"/>
  <c r="G621" i="3"/>
  <c r="H621" i="3"/>
  <c r="H661" i="3"/>
  <c r="G661" i="3"/>
  <c r="H677" i="3"/>
  <c r="G677" i="3"/>
  <c r="Q115" i="3"/>
  <c r="R115" i="3"/>
  <c r="Q80" i="3"/>
  <c r="R80" i="3"/>
  <c r="Q293" i="3"/>
  <c r="R293" i="3"/>
  <c r="R301" i="3"/>
  <c r="Q301" i="3"/>
  <c r="R332" i="3"/>
  <c r="Q332" i="3"/>
  <c r="R348" i="3"/>
  <c r="Q348" i="3"/>
  <c r="R386" i="3"/>
  <c r="Q386" i="3"/>
  <c r="R394" i="3"/>
  <c r="Q397" i="3"/>
  <c r="H506" i="3"/>
  <c r="G506" i="3"/>
  <c r="H538" i="3"/>
  <c r="G538" i="3"/>
  <c r="H554" i="3"/>
  <c r="G554" i="3"/>
  <c r="H634" i="3"/>
  <c r="G634" i="3"/>
  <c r="H642" i="3"/>
  <c r="G642" i="3"/>
  <c r="G682" i="3"/>
  <c r="H682" i="3"/>
  <c r="U71" i="3"/>
  <c r="P71" i="3"/>
  <c r="O71" i="3"/>
  <c r="S71" i="3" s="1"/>
  <c r="N71" i="3"/>
  <c r="M71" i="3"/>
  <c r="R86" i="3"/>
  <c r="Q86" i="3"/>
  <c r="R142" i="3"/>
  <c r="Q142" i="3"/>
  <c r="Q181" i="3"/>
  <c r="R181" i="3"/>
  <c r="Q189" i="3"/>
  <c r="R189" i="3"/>
  <c r="Q246" i="3"/>
  <c r="R246" i="3"/>
  <c r="Q278" i="3"/>
  <c r="R278" i="3"/>
  <c r="R309" i="3"/>
  <c r="Q309" i="3"/>
  <c r="R333" i="3"/>
  <c r="Q333" i="3"/>
  <c r="Q375" i="3"/>
  <c r="R375" i="3"/>
  <c r="Q394" i="3"/>
  <c r="R391" i="3"/>
  <c r="R415" i="3"/>
  <c r="Q415" i="3"/>
  <c r="R431" i="3"/>
  <c r="Q431" i="3"/>
  <c r="Q473" i="3"/>
  <c r="R473" i="3"/>
  <c r="Q523" i="3"/>
  <c r="R523" i="3"/>
  <c r="Q563" i="3"/>
  <c r="R563" i="3"/>
  <c r="Q587" i="3"/>
  <c r="R587" i="3"/>
  <c r="Q643" i="3"/>
  <c r="R643" i="3"/>
  <c r="R651" i="3"/>
  <c r="Q651" i="3"/>
  <c r="R675" i="3"/>
  <c r="Q675" i="3"/>
  <c r="Q694" i="3"/>
  <c r="R694" i="3"/>
  <c r="H314" i="3"/>
  <c r="G314" i="3"/>
  <c r="H322" i="3"/>
  <c r="G322" i="3"/>
  <c r="H346" i="3"/>
  <c r="G346" i="3"/>
  <c r="H354" i="3"/>
  <c r="G354" i="3"/>
  <c r="G412" i="3"/>
  <c r="H412" i="3"/>
  <c r="H420" i="3"/>
  <c r="G420" i="3"/>
  <c r="H452" i="3"/>
  <c r="G452" i="3"/>
  <c r="R466" i="3"/>
  <c r="Q466" i="3"/>
  <c r="R500" i="3"/>
  <c r="Q500" i="3"/>
  <c r="R532" i="3"/>
  <c r="Q532" i="3"/>
  <c r="R556" i="3"/>
  <c r="Q556" i="3"/>
  <c r="R580" i="3"/>
  <c r="Q580" i="3"/>
  <c r="R620" i="3"/>
  <c r="Q620" i="3"/>
  <c r="R660" i="3"/>
  <c r="Q660" i="3"/>
  <c r="Q676" i="3"/>
  <c r="R676" i="3"/>
  <c r="Q123" i="3"/>
  <c r="R123" i="3"/>
  <c r="R319" i="3"/>
  <c r="Q319" i="3"/>
  <c r="Q373" i="3"/>
  <c r="R373" i="3"/>
  <c r="R437" i="3"/>
  <c r="Q437" i="3"/>
  <c r="R517" i="3"/>
  <c r="Q517" i="3"/>
  <c r="R629" i="3"/>
  <c r="Q629" i="3"/>
  <c r="R637" i="3"/>
  <c r="Q637" i="3"/>
  <c r="R677" i="3"/>
  <c r="Q677" i="3"/>
  <c r="H304" i="3"/>
  <c r="G304" i="3"/>
  <c r="G312" i="3"/>
  <c r="H312" i="3"/>
  <c r="G344" i="3"/>
  <c r="H344" i="3"/>
  <c r="H360" i="3"/>
  <c r="G360" i="3"/>
  <c r="H374" i="3"/>
  <c r="G374" i="3"/>
  <c r="G398" i="3"/>
  <c r="H398" i="3"/>
  <c r="G438" i="3"/>
  <c r="H438" i="3"/>
  <c r="R468" i="3"/>
  <c r="Q468" i="3"/>
  <c r="R514" i="3"/>
  <c r="Q514" i="3"/>
  <c r="Q578" i="3"/>
  <c r="R578" i="3"/>
  <c r="R626" i="3"/>
  <c r="Q626" i="3"/>
  <c r="R634" i="3"/>
  <c r="Q634" i="3"/>
  <c r="Q666" i="3"/>
  <c r="R666" i="3"/>
  <c r="R682" i="3"/>
  <c r="Q682" i="3"/>
  <c r="Q125" i="3"/>
  <c r="R125" i="3"/>
  <c r="O21" i="3"/>
  <c r="S21" i="3" s="1"/>
  <c r="N21" i="3"/>
  <c r="M21" i="3"/>
  <c r="U21" i="3"/>
  <c r="P21" i="3"/>
  <c r="U47" i="3"/>
  <c r="M47" i="3"/>
  <c r="P47" i="3"/>
  <c r="O47" i="3"/>
  <c r="S47" i="3" s="1"/>
  <c r="N47" i="3"/>
  <c r="R155" i="3"/>
  <c r="Q155" i="3"/>
  <c r="Q88" i="3"/>
  <c r="R88" i="3"/>
  <c r="N120" i="3"/>
  <c r="U120" i="3"/>
  <c r="M120" i="3"/>
  <c r="P120" i="3"/>
  <c r="O120" i="3"/>
  <c r="S120" i="3" s="1"/>
  <c r="R128" i="3"/>
  <c r="Q128" i="3"/>
  <c r="Q199" i="3"/>
  <c r="R199" i="3"/>
  <c r="R232" i="3"/>
  <c r="Q232" i="3"/>
  <c r="R264" i="3"/>
  <c r="Q264" i="3"/>
  <c r="H337" i="3"/>
  <c r="G337" i="3"/>
  <c r="G363" i="3"/>
  <c r="H363" i="3"/>
  <c r="G387" i="3"/>
  <c r="H387" i="3"/>
  <c r="H395" i="3"/>
  <c r="G395" i="3"/>
  <c r="H511" i="3"/>
  <c r="G511" i="3"/>
  <c r="H543" i="3"/>
  <c r="G543" i="3"/>
  <c r="H575" i="3"/>
  <c r="G575" i="3"/>
  <c r="H623" i="3"/>
  <c r="G623" i="3"/>
  <c r="H663" i="3"/>
  <c r="G663" i="3"/>
  <c r="H679" i="3"/>
  <c r="G679" i="3"/>
  <c r="R696" i="3"/>
  <c r="Q696" i="3"/>
  <c r="Q704" i="3"/>
  <c r="R704" i="3"/>
  <c r="R712" i="3"/>
  <c r="Q712" i="3"/>
  <c r="R728" i="3"/>
  <c r="Q728" i="3"/>
  <c r="R691" i="3"/>
  <c r="Q691" i="3"/>
  <c r="Q731" i="3"/>
  <c r="R731" i="3"/>
  <c r="Q705" i="3"/>
  <c r="R705" i="3"/>
  <c r="R20" i="3"/>
  <c r="Q20" i="3"/>
  <c r="R40" i="3"/>
  <c r="Q40" i="3"/>
  <c r="R44" i="3"/>
  <c r="Q44" i="3"/>
  <c r="T44" i="3"/>
  <c r="Q48" i="3"/>
  <c r="R48" i="3"/>
  <c r="Q297" i="3"/>
  <c r="R297" i="3"/>
  <c r="Q330" i="3"/>
  <c r="R330" i="3"/>
  <c r="R354" i="3"/>
  <c r="Q354" i="3"/>
  <c r="R420" i="3"/>
  <c r="Q420" i="3"/>
  <c r="Q436" i="3"/>
  <c r="R436" i="3"/>
  <c r="H470" i="3"/>
  <c r="G470" i="3"/>
  <c r="H512" i="3"/>
  <c r="G512" i="3"/>
  <c r="H544" i="3"/>
  <c r="G544" i="3"/>
  <c r="H552" i="3"/>
  <c r="G552" i="3"/>
  <c r="G568" i="3"/>
  <c r="H568" i="3"/>
  <c r="G632" i="3"/>
  <c r="H632" i="3"/>
  <c r="H339" i="3"/>
  <c r="G339" i="3"/>
  <c r="G369" i="3"/>
  <c r="H369" i="3"/>
  <c r="H401" i="3"/>
  <c r="G401" i="3"/>
  <c r="H441" i="3"/>
  <c r="G441" i="3"/>
  <c r="G505" i="3"/>
  <c r="H505" i="3"/>
  <c r="G537" i="3"/>
  <c r="H537" i="3"/>
  <c r="G553" i="3"/>
  <c r="H553" i="3"/>
  <c r="H569" i="3"/>
  <c r="G569" i="3"/>
  <c r="H577" i="3"/>
  <c r="G577" i="3"/>
  <c r="G585" i="3"/>
  <c r="H585" i="3"/>
  <c r="G641" i="3"/>
  <c r="H641" i="3"/>
  <c r="H649" i="3"/>
  <c r="G649" i="3"/>
  <c r="Q290" i="3"/>
  <c r="R290" i="3"/>
  <c r="Q304" i="3"/>
  <c r="R304" i="3"/>
  <c r="R336" i="3"/>
  <c r="Q336" i="3"/>
  <c r="R366" i="3"/>
  <c r="Q366" i="3"/>
  <c r="Q406" i="3"/>
  <c r="R406" i="3"/>
  <c r="R422" i="3"/>
  <c r="Q422" i="3"/>
  <c r="Q430" i="3"/>
  <c r="R430" i="3"/>
  <c r="G464" i="3"/>
  <c r="H464" i="3"/>
  <c r="H472" i="3"/>
  <c r="G472" i="3"/>
  <c r="H526" i="3"/>
  <c r="G526" i="3"/>
  <c r="G566" i="3"/>
  <c r="H566" i="3"/>
  <c r="H574" i="3"/>
  <c r="G574" i="3"/>
  <c r="H630" i="3"/>
  <c r="G630" i="3"/>
  <c r="H662" i="3"/>
  <c r="G662" i="3"/>
  <c r="G670" i="3"/>
  <c r="H670" i="3"/>
  <c r="Q165" i="3"/>
  <c r="R165" i="3"/>
  <c r="R228" i="3"/>
  <c r="Q228" i="3"/>
  <c r="R67" i="3"/>
  <c r="Q67" i="3"/>
  <c r="Q114" i="3"/>
  <c r="R114" i="3"/>
  <c r="R146" i="3"/>
  <c r="Q146" i="3"/>
  <c r="R177" i="3"/>
  <c r="Q177" i="3"/>
  <c r="R209" i="3"/>
  <c r="Q209" i="3"/>
  <c r="Q242" i="3"/>
  <c r="R242" i="3"/>
  <c r="Q274" i="3"/>
  <c r="R274" i="3"/>
  <c r="R321" i="3"/>
  <c r="Q321" i="3"/>
  <c r="Q363" i="3"/>
  <c r="R363" i="3"/>
  <c r="Q379" i="3"/>
  <c r="R379" i="3"/>
  <c r="Q398" i="3"/>
  <c r="R395" i="3"/>
  <c r="R435" i="3"/>
  <c r="Q435" i="3"/>
  <c r="Q477" i="3"/>
  <c r="R477" i="3"/>
  <c r="Q527" i="3"/>
  <c r="R527" i="3"/>
  <c r="Q615" i="3"/>
  <c r="R615" i="3"/>
  <c r="R655" i="3"/>
  <c r="Q655" i="3"/>
  <c r="R679" i="3"/>
  <c r="Q679" i="3"/>
  <c r="R722" i="3"/>
  <c r="Q722" i="3"/>
  <c r="R693" i="3"/>
  <c r="Q693" i="3"/>
  <c r="R717" i="3"/>
  <c r="Q717" i="3"/>
  <c r="Q733" i="3"/>
  <c r="R733" i="3"/>
  <c r="Q711" i="3"/>
  <c r="R711" i="3"/>
  <c r="G334" i="3"/>
  <c r="H334" i="3"/>
  <c r="R544" i="3"/>
  <c r="Q544" i="3"/>
  <c r="G350" i="3"/>
  <c r="H350" i="3"/>
  <c r="Q672" i="3"/>
  <c r="R672" i="3"/>
  <c r="R401" i="3"/>
  <c r="Q401" i="3"/>
  <c r="R521" i="3"/>
  <c r="Q521" i="3"/>
  <c r="G318" i="3"/>
  <c r="H318" i="3"/>
  <c r="G358" i="3"/>
  <c r="H358" i="3"/>
  <c r="R504" i="3"/>
  <c r="Q504" i="3"/>
  <c r="Q119" i="3"/>
  <c r="R119" i="3"/>
  <c r="R75" i="3"/>
  <c r="Q75" i="3"/>
  <c r="G326" i="3"/>
  <c r="H326" i="3"/>
  <c r="H376" i="3"/>
  <c r="G376" i="3"/>
  <c r="G392" i="3"/>
  <c r="H392" i="3"/>
  <c r="H416" i="3"/>
  <c r="G416" i="3"/>
  <c r="G432" i="3"/>
  <c r="H432" i="3"/>
  <c r="R512" i="3"/>
  <c r="Q512" i="3"/>
  <c r="R331" i="3"/>
  <c r="Q331" i="3"/>
  <c r="Q361" i="3"/>
  <c r="R361" i="3"/>
  <c r="R425" i="3"/>
  <c r="Q425" i="3"/>
  <c r="R449" i="3"/>
  <c r="Q449" i="3"/>
  <c r="R505" i="3"/>
  <c r="Q505" i="3"/>
  <c r="R537" i="3"/>
  <c r="Q537" i="3"/>
  <c r="Q553" i="3"/>
  <c r="R553" i="3"/>
  <c r="R617" i="3"/>
  <c r="Q617" i="3"/>
  <c r="R633" i="3"/>
  <c r="Q633" i="3"/>
  <c r="R657" i="3"/>
  <c r="Q657" i="3"/>
  <c r="H293" i="3"/>
  <c r="G293" i="3"/>
  <c r="H301" i="3"/>
  <c r="G301" i="3"/>
  <c r="G340" i="3"/>
  <c r="H340" i="3"/>
  <c r="H348" i="3"/>
  <c r="G348" i="3"/>
  <c r="H356" i="3"/>
  <c r="G356" i="3"/>
  <c r="H362" i="3"/>
  <c r="G362" i="3"/>
  <c r="G426" i="3"/>
  <c r="H426" i="3"/>
  <c r="R502" i="3"/>
  <c r="Q502" i="3"/>
  <c r="R534" i="3"/>
  <c r="Q534" i="3"/>
  <c r="Q566" i="3"/>
  <c r="R566" i="3"/>
  <c r="R614" i="3"/>
  <c r="Q614" i="3"/>
  <c r="R638" i="3"/>
  <c r="Q638" i="3"/>
  <c r="Q654" i="3"/>
  <c r="R654" i="3"/>
  <c r="Q135" i="3"/>
  <c r="R135" i="3"/>
  <c r="M27" i="3"/>
  <c r="U27" i="3"/>
  <c r="P27" i="3"/>
  <c r="O27" i="3"/>
  <c r="S27" i="3" s="1"/>
  <c r="N27" i="3"/>
  <c r="R59" i="3"/>
  <c r="Q59" i="3"/>
  <c r="Q230" i="3"/>
  <c r="R230" i="3"/>
  <c r="R69" i="3"/>
  <c r="Q69" i="3"/>
  <c r="R148" i="3"/>
  <c r="Q148" i="3"/>
  <c r="Q179" i="3"/>
  <c r="R179" i="3"/>
  <c r="Q211" i="3"/>
  <c r="R211" i="3"/>
  <c r="Q244" i="3"/>
  <c r="R244" i="3"/>
  <c r="Q276" i="3"/>
  <c r="R276" i="3"/>
  <c r="H309" i="3"/>
  <c r="G309" i="3"/>
  <c r="H333" i="3"/>
  <c r="G333" i="3"/>
  <c r="H341" i="3"/>
  <c r="G341" i="3"/>
  <c r="G367" i="3"/>
  <c r="H367" i="3"/>
  <c r="G375" i="3"/>
  <c r="H375" i="3"/>
  <c r="H439" i="3"/>
  <c r="G439" i="3"/>
  <c r="H499" i="3"/>
  <c r="G499" i="3"/>
  <c r="H531" i="3"/>
  <c r="G531" i="3"/>
  <c r="G555" i="3"/>
  <c r="H555" i="3"/>
  <c r="H587" i="3"/>
  <c r="G587" i="3"/>
  <c r="H651" i="3"/>
  <c r="G651" i="3"/>
  <c r="Q700" i="3"/>
  <c r="R700" i="3"/>
  <c r="Q719" i="3"/>
  <c r="R719" i="3"/>
  <c r="R713" i="3"/>
  <c r="Q713" i="3"/>
  <c r="G79" i="4"/>
  <c r="F113" i="4"/>
  <c r="S737" i="3"/>
  <c r="B87" i="4" s="1"/>
  <c r="Q737" i="3"/>
  <c r="R737" i="3"/>
  <c r="F114" i="4" s="1"/>
  <c r="R50" i="3"/>
  <c r="Q50" i="3"/>
  <c r="T50" i="3"/>
  <c r="Q286" i="3"/>
  <c r="R286" i="3"/>
  <c r="Q318" i="3"/>
  <c r="R318" i="3"/>
  <c r="R384" i="3"/>
  <c r="Q384" i="3"/>
  <c r="Q424" i="3"/>
  <c r="R424" i="3"/>
  <c r="H474" i="3"/>
  <c r="G474" i="3"/>
  <c r="H524" i="3"/>
  <c r="G524" i="3"/>
  <c r="H564" i="3"/>
  <c r="G564" i="3"/>
  <c r="H588" i="3"/>
  <c r="G588" i="3"/>
  <c r="G652" i="3"/>
  <c r="H652" i="3"/>
  <c r="H676" i="3"/>
  <c r="G676" i="3"/>
  <c r="H295" i="3"/>
  <c r="G295" i="3"/>
  <c r="H327" i="3"/>
  <c r="G327" i="3"/>
  <c r="G351" i="3"/>
  <c r="H351" i="3"/>
  <c r="G389" i="3"/>
  <c r="H389" i="3"/>
  <c r="G413" i="3"/>
  <c r="H413" i="3"/>
  <c r="H429" i="3"/>
  <c r="G429" i="3"/>
  <c r="H453" i="3"/>
  <c r="G453" i="3"/>
  <c r="G471" i="3"/>
  <c r="H471" i="3"/>
  <c r="G525" i="3"/>
  <c r="H525" i="3"/>
  <c r="G629" i="3"/>
  <c r="H629" i="3"/>
  <c r="H685" i="3"/>
  <c r="G685" i="3"/>
  <c r="R5" i="3"/>
  <c r="Q5" i="3"/>
  <c r="R340" i="3"/>
  <c r="Q340" i="3"/>
  <c r="R356" i="3"/>
  <c r="Q356" i="3"/>
  <c r="Q402" i="3"/>
  <c r="R402" i="3"/>
  <c r="R418" i="3"/>
  <c r="Q418" i="3"/>
  <c r="Q426" i="3"/>
  <c r="R426" i="3"/>
  <c r="H468" i="3"/>
  <c r="G468" i="3"/>
  <c r="H514" i="3"/>
  <c r="G514" i="3"/>
  <c r="H562" i="3"/>
  <c r="G562" i="3"/>
  <c r="H578" i="3"/>
  <c r="G578" i="3"/>
  <c r="H618" i="3"/>
  <c r="G618" i="3"/>
  <c r="H650" i="3"/>
  <c r="G650" i="3"/>
  <c r="P17" i="3"/>
  <c r="O17" i="3"/>
  <c r="S17" i="3" s="1"/>
  <c r="U17" i="3"/>
  <c r="N17" i="3"/>
  <c r="Q153" i="3"/>
  <c r="R153" i="3"/>
  <c r="R94" i="3"/>
  <c r="Q94" i="3"/>
  <c r="R118" i="3"/>
  <c r="Q118" i="3"/>
  <c r="Q254" i="3"/>
  <c r="R254" i="3"/>
  <c r="R341" i="3"/>
  <c r="Q341" i="3"/>
  <c r="R367" i="3"/>
  <c r="Q367" i="3"/>
  <c r="Q383" i="3"/>
  <c r="R383" i="3"/>
  <c r="R399" i="3"/>
  <c r="Q399" i="3"/>
  <c r="R439" i="3"/>
  <c r="Q439" i="3"/>
  <c r="Q499" i="3"/>
  <c r="R499" i="3"/>
  <c r="Q531" i="3"/>
  <c r="R531" i="3"/>
  <c r="Q619" i="3"/>
  <c r="R619" i="3"/>
  <c r="R659" i="3"/>
  <c r="Q659" i="3"/>
  <c r="R683" i="3"/>
  <c r="Q683" i="3"/>
  <c r="Q702" i="3"/>
  <c r="R702" i="3"/>
  <c r="R726" i="3"/>
  <c r="Q726" i="3"/>
  <c r="R689" i="3"/>
  <c r="Q689" i="3"/>
  <c r="R24" i="3"/>
  <c r="Q24" i="3"/>
  <c r="R34" i="3"/>
  <c r="Q34" i="3"/>
  <c r="R73" i="3"/>
  <c r="Q73" i="3"/>
  <c r="H281" i="3"/>
  <c r="G281" i="3"/>
  <c r="H289" i="3"/>
  <c r="G289" i="3"/>
  <c r="G306" i="3"/>
  <c r="H306" i="3"/>
  <c r="H372" i="3"/>
  <c r="G372" i="3"/>
  <c r="G428" i="3"/>
  <c r="H428" i="3"/>
  <c r="R474" i="3"/>
  <c r="Q474" i="3"/>
  <c r="R508" i="3"/>
  <c r="Q508" i="3"/>
  <c r="R540" i="3"/>
  <c r="Q540" i="3"/>
  <c r="R564" i="3"/>
  <c r="Q564" i="3"/>
  <c r="Q572" i="3"/>
  <c r="R572" i="3"/>
  <c r="R588" i="3"/>
  <c r="Q588" i="3"/>
  <c r="R628" i="3"/>
  <c r="Q628" i="3"/>
  <c r="Q684" i="3"/>
  <c r="R684" i="3"/>
  <c r="R287" i="3"/>
  <c r="Q287" i="3"/>
  <c r="R327" i="3"/>
  <c r="Q327" i="3"/>
  <c r="Q381" i="3"/>
  <c r="R381" i="3"/>
  <c r="R405" i="3"/>
  <c r="Q405" i="3"/>
  <c r="Q413" i="3"/>
  <c r="R413" i="3"/>
  <c r="Q421" i="3"/>
  <c r="R421" i="3"/>
  <c r="R445" i="3"/>
  <c r="Q445" i="3"/>
  <c r="R453" i="3"/>
  <c r="Q453" i="3"/>
  <c r="R471" i="3"/>
  <c r="Q471" i="3"/>
  <c r="R525" i="3"/>
  <c r="Q525" i="3"/>
  <c r="R573" i="3"/>
  <c r="Q573" i="3"/>
  <c r="R645" i="3"/>
  <c r="Q645" i="3"/>
  <c r="R685" i="3"/>
  <c r="Q685" i="3"/>
  <c r="R11" i="3"/>
  <c r="Q11" i="3"/>
  <c r="R74" i="3"/>
  <c r="Q74" i="3"/>
  <c r="R82" i="3"/>
  <c r="Q82" i="3"/>
  <c r="G320" i="3"/>
  <c r="H320" i="3"/>
  <c r="H382" i="3"/>
  <c r="G382" i="3"/>
  <c r="G406" i="3"/>
  <c r="H406" i="3"/>
  <c r="H414" i="3"/>
  <c r="G414" i="3"/>
  <c r="H422" i="3"/>
  <c r="G422" i="3"/>
  <c r="G446" i="3"/>
  <c r="H446" i="3"/>
  <c r="R476" i="3"/>
  <c r="Q476" i="3"/>
  <c r="R522" i="3"/>
  <c r="Q522" i="3"/>
  <c r="R554" i="3"/>
  <c r="Q554" i="3"/>
  <c r="Q586" i="3"/>
  <c r="R586" i="3"/>
  <c r="R163" i="3"/>
  <c r="Q163" i="3"/>
  <c r="R96" i="3"/>
  <c r="Q96" i="3"/>
  <c r="R144" i="3"/>
  <c r="Q144" i="3"/>
  <c r="Q175" i="3"/>
  <c r="R175" i="3"/>
  <c r="Q207" i="3"/>
  <c r="R207" i="3"/>
  <c r="R240" i="3"/>
  <c r="Q240" i="3"/>
  <c r="R272" i="3"/>
  <c r="Q272" i="3"/>
  <c r="H313" i="3"/>
  <c r="G313" i="3"/>
  <c r="H345" i="3"/>
  <c r="G345" i="3"/>
  <c r="H403" i="3"/>
  <c r="G403" i="3"/>
  <c r="G419" i="3"/>
  <c r="H419" i="3"/>
  <c r="H427" i="3"/>
  <c r="G427" i="3"/>
  <c r="H469" i="3"/>
  <c r="G469" i="3"/>
  <c r="H519" i="3"/>
  <c r="G519" i="3"/>
  <c r="H631" i="3"/>
  <c r="G631" i="3"/>
  <c r="H639" i="3"/>
  <c r="G639" i="3"/>
  <c r="H671" i="3"/>
  <c r="G671" i="3"/>
  <c r="H687" i="3"/>
  <c r="G687" i="3"/>
  <c r="R720" i="3"/>
  <c r="Q720" i="3"/>
  <c r="R736" i="3"/>
  <c r="Q736" i="3"/>
  <c r="R699" i="3"/>
  <c r="Q699" i="3"/>
  <c r="R306" i="3"/>
  <c r="Q306" i="3"/>
  <c r="Q338" i="3"/>
  <c r="R338" i="3"/>
  <c r="R364" i="3"/>
  <c r="Q364" i="3"/>
  <c r="R372" i="3"/>
  <c r="Q372" i="3"/>
  <c r="Q404" i="3"/>
  <c r="R404" i="3"/>
  <c r="Q444" i="3"/>
  <c r="R444" i="3"/>
  <c r="H520" i="3"/>
  <c r="G520" i="3"/>
  <c r="H560" i="3"/>
  <c r="G560" i="3"/>
  <c r="G584" i="3"/>
  <c r="H584" i="3"/>
  <c r="G640" i="3"/>
  <c r="H640" i="3"/>
  <c r="G648" i="3"/>
  <c r="H648" i="3"/>
  <c r="H672" i="3"/>
  <c r="G672" i="3"/>
  <c r="H307" i="3"/>
  <c r="G307" i="3"/>
  <c r="G315" i="3"/>
  <c r="H315" i="3"/>
  <c r="G347" i="3"/>
  <c r="H347" i="3"/>
  <c r="G355" i="3"/>
  <c r="H355" i="3"/>
  <c r="G377" i="3"/>
  <c r="H377" i="3"/>
  <c r="H409" i="3"/>
  <c r="G409" i="3"/>
  <c r="G513" i="3"/>
  <c r="H513" i="3"/>
  <c r="G561" i="3"/>
  <c r="H561" i="3"/>
  <c r="G617" i="3"/>
  <c r="H617" i="3"/>
  <c r="H657" i="3"/>
  <c r="G657" i="3"/>
  <c r="H673" i="3"/>
  <c r="G673" i="3"/>
  <c r="Q64" i="3"/>
  <c r="R64" i="3"/>
  <c r="O33" i="3"/>
  <c r="S33" i="3" s="1"/>
  <c r="N33" i="3"/>
  <c r="M33" i="3"/>
  <c r="U33" i="3"/>
  <c r="P33" i="3"/>
  <c r="R84" i="3"/>
  <c r="Q84" i="3"/>
  <c r="R312" i="3"/>
  <c r="Q312" i="3"/>
  <c r="R344" i="3"/>
  <c r="Q344" i="3"/>
  <c r="R374" i="3"/>
  <c r="Q374" i="3"/>
  <c r="R414" i="3"/>
  <c r="Q414" i="3"/>
  <c r="Q438" i="3"/>
  <c r="R438" i="3"/>
  <c r="H502" i="3"/>
  <c r="G502" i="3"/>
  <c r="H534" i="3"/>
  <c r="G534" i="3"/>
  <c r="H550" i="3"/>
  <c r="G550" i="3"/>
  <c r="G678" i="3"/>
  <c r="H678" i="3"/>
  <c r="O37" i="3"/>
  <c r="S37" i="3" s="1"/>
  <c r="N37" i="3"/>
  <c r="M37" i="3"/>
  <c r="U37" i="3"/>
  <c r="P37" i="3"/>
  <c r="R98" i="3"/>
  <c r="Q98" i="3"/>
  <c r="U122" i="3"/>
  <c r="P122" i="3"/>
  <c r="O122" i="3"/>
  <c r="S122" i="3" s="1"/>
  <c r="N122" i="3"/>
  <c r="M122" i="3"/>
  <c r="R185" i="3"/>
  <c r="Q185" i="3"/>
  <c r="Q250" i="3"/>
  <c r="R250" i="3"/>
  <c r="H283" i="3"/>
  <c r="G283" i="3"/>
  <c r="R329" i="3"/>
  <c r="Q329" i="3"/>
  <c r="Q390" i="3"/>
  <c r="Q387" i="3"/>
  <c r="R387" i="3"/>
  <c r="R403" i="3"/>
  <c r="Q403" i="3"/>
  <c r="R443" i="3"/>
  <c r="Q443" i="3"/>
  <c r="Q503" i="3"/>
  <c r="R503" i="3"/>
  <c r="Q535" i="3"/>
  <c r="R535" i="3"/>
  <c r="R575" i="3"/>
  <c r="Q575" i="3"/>
  <c r="Q623" i="3"/>
  <c r="R623" i="3"/>
  <c r="R663" i="3"/>
  <c r="Q663" i="3"/>
  <c r="R687" i="3"/>
  <c r="Q687" i="3"/>
  <c r="Q698" i="3"/>
  <c r="R698" i="3"/>
  <c r="R706" i="3"/>
  <c r="Q706" i="3"/>
  <c r="F55" i="4"/>
  <c r="R701" i="3"/>
  <c r="Q701" i="3"/>
  <c r="Q709" i="3"/>
  <c r="R709" i="3"/>
  <c r="Q735" i="3"/>
  <c r="R735" i="3"/>
  <c r="G80" i="4" l="1"/>
  <c r="Q47" i="3"/>
  <c r="T47" i="3"/>
  <c r="R47" i="3"/>
  <c r="R21" i="3"/>
  <c r="Q21" i="3"/>
  <c r="A101" i="4"/>
  <c r="A99" i="4"/>
  <c r="R29" i="3"/>
  <c r="Q29" i="3"/>
  <c r="Q35" i="3"/>
  <c r="R35" i="3"/>
  <c r="Q23" i="3"/>
  <c r="R23" i="3"/>
  <c r="R37" i="3"/>
  <c r="Q37" i="3"/>
  <c r="R33" i="3"/>
  <c r="Q33" i="3"/>
  <c r="R61" i="3"/>
  <c r="Q61" i="3"/>
  <c r="Q31" i="3"/>
  <c r="R31" i="3"/>
  <c r="R124" i="3"/>
  <c r="Q124" i="3"/>
  <c r="R55" i="3"/>
  <c r="Q55" i="3"/>
  <c r="Q27" i="3"/>
  <c r="R27" i="3"/>
  <c r="R120" i="3"/>
  <c r="Q120" i="3"/>
  <c r="R25" i="3"/>
  <c r="Q25" i="3"/>
  <c r="R110" i="3"/>
  <c r="Q110" i="3"/>
  <c r="Q122" i="3"/>
  <c r="R122" i="3"/>
  <c r="R71" i="3"/>
  <c r="Q71" i="3"/>
  <c r="R39" i="3"/>
  <c r="Q39" i="3"/>
  <c r="R136" i="3"/>
  <c r="Q136" i="3"/>
  <c r="R63" i="3"/>
  <c r="Q63" i="3"/>
  <c r="Q19" i="3"/>
  <c r="R19" i="3"/>
</calcChain>
</file>

<file path=xl/comments1.xml><?xml version="1.0" encoding="utf-8"?>
<comments xmlns="http://schemas.openxmlformats.org/spreadsheetml/2006/main">
  <authors>
    <author/>
  </authors>
  <commentList>
    <comment ref="M1" authorId="0" shapeId="0">
      <text>
        <r>
          <rPr>
            <sz val="10"/>
            <color rgb="FF000000"/>
            <rFont val="Arial"/>
            <scheme val="minor"/>
          </rPr>
          <t>протянуть вниз
	-QAZPRICEP</t>
        </r>
      </text>
    </comment>
    <comment ref="N1" authorId="0" shapeId="0">
      <text>
        <r>
          <rPr>
            <sz val="10"/>
            <color rgb="FF000000"/>
            <rFont val="Arial"/>
            <scheme val="minor"/>
          </rPr>
          <t>протянуть вниз
	-QAZPRICEP
@zhinovaviktoria28@gmail.com
	-QAZPRICEP
что ты делаешь?)))
	-QAZPRICEP
@zhinovaviktoria28@gmail.com могу работать?
	-QAZPRICEP</t>
        </r>
      </text>
    </comment>
  </commentList>
</comments>
</file>

<file path=xl/sharedStrings.xml><?xml version="1.0" encoding="utf-8"?>
<sst xmlns="http://schemas.openxmlformats.org/spreadsheetml/2006/main" count="17806" uniqueCount="6313">
  <si>
    <t>дата</t>
  </si>
  <si>
    <t>фамилия</t>
  </si>
  <si>
    <t>VIN</t>
  </si>
  <si>
    <t>MX4000002R0001487</t>
  </si>
  <si>
    <t>MX4000002R0001635</t>
  </si>
  <si>
    <t>MX4000002R0001725</t>
  </si>
  <si>
    <t>"Sky Industrial Group"</t>
  </si>
  <si>
    <t>MX4000002R0001621</t>
  </si>
  <si>
    <t>MX4000004R0001771</t>
  </si>
  <si>
    <t>MX4000005R0001780</t>
  </si>
  <si>
    <t>ОО "Балхашское районное общество инвалидов"</t>
  </si>
  <si>
    <t>MX4000002R0001783</t>
  </si>
  <si>
    <t>ТОО "KazEliteService"</t>
  </si>
  <si>
    <t>клиент Игоря</t>
  </si>
  <si>
    <t>ИП Саят М.С.</t>
  </si>
  <si>
    <t>MX4000002R0001839</t>
  </si>
  <si>
    <t>MX4000002R0001840</t>
  </si>
  <si>
    <t>MX4000002R0001841</t>
  </si>
  <si>
    <t>MX4000002R0001842</t>
  </si>
  <si>
    <t>MX4000002R0001843</t>
  </si>
  <si>
    <t>ТОО "Bikeland"</t>
  </si>
  <si>
    <t>MX4000002R0001824</t>
  </si>
  <si>
    <t>MX4000002R0001821</t>
  </si>
  <si>
    <t>MX4000002R0001826</t>
  </si>
  <si>
    <t>MX4000002R0001846</t>
  </si>
  <si>
    <t>MX4000002R0001847</t>
  </si>
  <si>
    <t>MX4000002R0001848</t>
  </si>
  <si>
    <t>MX4000002R0001849</t>
  </si>
  <si>
    <t>MX4000002R0001825</t>
  </si>
  <si>
    <t>ТОО "ЭкспертСтрой-Сервис"</t>
  </si>
  <si>
    <t>MX4000004R0001850</t>
  </si>
  <si>
    <t>MX4000002R0001845</t>
  </si>
  <si>
    <t>MX4000002R0001774</t>
  </si>
  <si>
    <t>ТОО BAIKӦL</t>
  </si>
  <si>
    <t>MX4000002R0001865</t>
  </si>
  <si>
    <t>ТОО "NomadFly"</t>
  </si>
  <si>
    <t>MX4000002S0002052</t>
  </si>
  <si>
    <t>Ип Ерденов А.У</t>
  </si>
  <si>
    <t>MX4000002S0002042</t>
  </si>
  <si>
    <t>КХ Али</t>
  </si>
  <si>
    <t>MX4000002P0001273</t>
  </si>
  <si>
    <t>MX4000004S0002071</t>
  </si>
  <si>
    <t>MX4000004S0002072</t>
  </si>
  <si>
    <t>MX4000004S0002074</t>
  </si>
  <si>
    <t>MX4000004S0002076</t>
  </si>
  <si>
    <t>MX4000004S0002077</t>
  </si>
  <si>
    <t>MX4000004S0002078</t>
  </si>
  <si>
    <t>MX4000004S0001986</t>
  </si>
  <si>
    <t>MX4000004S0001985</t>
  </si>
  <si>
    <t>MX4000004S0002075</t>
  </si>
  <si>
    <t>MX4000004S0002079</t>
  </si>
  <si>
    <t>ТОО «AGRIKA»</t>
  </si>
  <si>
    <t>MX4000002S0002121</t>
  </si>
  <si>
    <t>ТОО "Алтындан"</t>
  </si>
  <si>
    <t>MX4000004S0002156 ; MX4000004S0002157</t>
  </si>
  <si>
    <t>ИП Абдикаримов С.</t>
  </si>
  <si>
    <t xml:space="preserve">MX4000002S0001967 ; MX4000002S0001960 ; MX4000002S0001981 ; MX4000002S0001966 ; MX4000002S0001961 </t>
  </si>
  <si>
    <t>ТОО "Beles Maf Group"</t>
  </si>
  <si>
    <t>MX4000002S0002124</t>
  </si>
  <si>
    <t>Зарипова</t>
  </si>
  <si>
    <t>MX4000004S0002161</t>
  </si>
  <si>
    <t>MX4000002S0002165</t>
  </si>
  <si>
    <t>ТОО "КАМАЗ Автосервисный Центр</t>
  </si>
  <si>
    <t>MX4000011S0000003</t>
  </si>
  <si>
    <t>Частное лицо Кляин(Игорь)</t>
  </si>
  <si>
    <t>ТОО "КАМАЗ центр"</t>
  </si>
  <si>
    <t>ТОО "Agro Dynamics"</t>
  </si>
  <si>
    <t>MX4000004S0002195</t>
  </si>
  <si>
    <t>MX4000002S0002187</t>
  </si>
  <si>
    <t>ТОО СК Іскер1</t>
  </si>
  <si>
    <t>MX4000004S0002192</t>
  </si>
  <si>
    <t xml:space="preserve">ТОО «АгроКонсулт» </t>
  </si>
  <si>
    <t>MX4000002S0002210, MX4000002S0002211</t>
  </si>
  <si>
    <t>Кобжосаров (от камаза)</t>
  </si>
  <si>
    <t>MX4000004S0002193</t>
  </si>
  <si>
    <t>ТОО "Жана Алтай" Игорь</t>
  </si>
  <si>
    <t>ТОО ГрандСтрой-19</t>
  </si>
  <si>
    <t>игорь</t>
  </si>
  <si>
    <t>ТОО СК Іскер</t>
  </si>
  <si>
    <t>MX4000002S0002224</t>
  </si>
  <si>
    <t>ТОО "АИС Проект"</t>
  </si>
  <si>
    <t>MX4000002S0002038</t>
  </si>
  <si>
    <t>ТОО «AdalStroiSnab»</t>
  </si>
  <si>
    <t>MX4000004S0002246</t>
  </si>
  <si>
    <t>MX4000002S0002283</t>
  </si>
  <si>
    <t>ТОО "TuranGroupStroy"</t>
  </si>
  <si>
    <t>MX4000002S0002294; MX4000002S0002303</t>
  </si>
  <si>
    <t>3,5 на 1,8</t>
  </si>
  <si>
    <t>MX4000002S0002314</t>
  </si>
  <si>
    <t>MX4000002S0002315</t>
  </si>
  <si>
    <t>MX4000002S0002312</t>
  </si>
  <si>
    <t>Игорь наш (Кх Барс)</t>
  </si>
  <si>
    <t>Игорь КАМАЗ Центр</t>
  </si>
  <si>
    <t>Geoanalytic Kokshetau</t>
  </si>
  <si>
    <t>MX4000004S0002338</t>
  </si>
  <si>
    <t>Андрей (Каз Техно)</t>
  </si>
  <si>
    <t>ТОО "Bes Saiman Group" (Артур)</t>
  </si>
  <si>
    <t>MX4000002S0002426</t>
  </si>
  <si>
    <t>ТОО Летовка (Игорь)</t>
  </si>
  <si>
    <t>Отметка времени</t>
  </si>
  <si>
    <t xml:space="preserve"> </t>
  </si>
  <si>
    <t>VIN код</t>
  </si>
  <si>
    <t>Прицеп</t>
  </si>
  <si>
    <t>Борт</t>
  </si>
  <si>
    <t>Колесо</t>
  </si>
  <si>
    <t>Ступица</t>
  </si>
  <si>
    <t>Тент-каркас</t>
  </si>
  <si>
    <t>Дата выпуска</t>
  </si>
  <si>
    <t>Откатное колесо</t>
  </si>
  <si>
    <t>Склад</t>
  </si>
  <si>
    <t>Количество осей</t>
  </si>
  <si>
    <t>Артикул</t>
  </si>
  <si>
    <t>Статус</t>
  </si>
  <si>
    <t>MX4000003R0001752</t>
  </si>
  <si>
    <t>Прицеп 2,0*1,25 м  (до 750 кг.)</t>
  </si>
  <si>
    <t>нет</t>
  </si>
  <si>
    <t>R13</t>
  </si>
  <si>
    <t>есть</t>
  </si>
  <si>
    <t>Кокшетау</t>
  </si>
  <si>
    <t>1 ось</t>
  </si>
  <si>
    <t>MX4000002R0001856</t>
  </si>
  <si>
    <t>Алматы</t>
  </si>
  <si>
    <t>MX4000002R0001852</t>
  </si>
  <si>
    <t>MX4000002R0001838</t>
  </si>
  <si>
    <t>Астана</t>
  </si>
  <si>
    <t>MX4000002R0001837</t>
  </si>
  <si>
    <t>MX4000002R0001836</t>
  </si>
  <si>
    <t>MX4000002R0001831</t>
  </si>
  <si>
    <t>MX4000002R0001830</t>
  </si>
  <si>
    <t>MX4000002R0001827</t>
  </si>
  <si>
    <t>MX4000002R0001823</t>
  </si>
  <si>
    <t>MX4000002R0001822</t>
  </si>
  <si>
    <t>MX4000002R0001820</t>
  </si>
  <si>
    <t>MX4000002R0001817</t>
  </si>
  <si>
    <t>MX4000002R0001816</t>
  </si>
  <si>
    <t>MX4000002R0001815</t>
  </si>
  <si>
    <t>MX4000002R0001813</t>
  </si>
  <si>
    <t>MX4000002R0001812</t>
  </si>
  <si>
    <t>MX4000002R0001811</t>
  </si>
  <si>
    <t>MX4000002R0001804</t>
  </si>
  <si>
    <t>MX4000002R0001803</t>
  </si>
  <si>
    <t>MX4000002R0001802</t>
  </si>
  <si>
    <t>MX4000002R0001801</t>
  </si>
  <si>
    <t>MX4000002R0001800</t>
  </si>
  <si>
    <t>R15</t>
  </si>
  <si>
    <t>MX4000002R0001790</t>
  </si>
  <si>
    <t>MX4000002R0001789</t>
  </si>
  <si>
    <t>MX4000002R0001788</t>
  </si>
  <si>
    <t>MX4000002R0001787</t>
  </si>
  <si>
    <t>MX4000002R0001786</t>
  </si>
  <si>
    <t>MX4000002R0001785</t>
  </si>
  <si>
    <t>MX4000002R0001784</t>
  </si>
  <si>
    <t>MX4000002R0001782</t>
  </si>
  <si>
    <t>MX4000002R0001781</t>
  </si>
  <si>
    <t>MX4000002R0001779</t>
  </si>
  <si>
    <t>MX4000002R0001778</t>
  </si>
  <si>
    <t>MX4000002R0001777</t>
  </si>
  <si>
    <t>MX4000002R0001776</t>
  </si>
  <si>
    <t>MX4000002R0001775</t>
  </si>
  <si>
    <t>MX4000002R0001773</t>
  </si>
  <si>
    <t>MX4000002R0001772</t>
  </si>
  <si>
    <t>MX4000002R0001770</t>
  </si>
  <si>
    <t>MX4000002R0001768</t>
  </si>
  <si>
    <t>MX4000002R0001767</t>
  </si>
  <si>
    <t>MX4000002R0001765</t>
  </si>
  <si>
    <t>MX4000002R0001764</t>
  </si>
  <si>
    <t>MX4000002R0001763</t>
  </si>
  <si>
    <t>MX4000002R0001762</t>
  </si>
  <si>
    <t>MX4000002R0001761</t>
  </si>
  <si>
    <t>MX4000002R0001760</t>
  </si>
  <si>
    <t>MX4000002R0001759</t>
  </si>
  <si>
    <t>MX4000002R0001758</t>
  </si>
  <si>
    <t>MX4000002R0001757</t>
  </si>
  <si>
    <t>MX4000002R0001751</t>
  </si>
  <si>
    <t>MX4000002R0001750</t>
  </si>
  <si>
    <t>MX4000002R0001749</t>
  </si>
  <si>
    <t>MX4000002R0001747</t>
  </si>
  <si>
    <t>MX4000002R0001746</t>
  </si>
  <si>
    <t>MX4000002R0001745</t>
  </si>
  <si>
    <t>MX4000002R0001744</t>
  </si>
  <si>
    <t>MX4000002R0001743</t>
  </si>
  <si>
    <t>MX4000002R0001742</t>
  </si>
  <si>
    <t>MX4000002R0001741</t>
  </si>
  <si>
    <t>MX4000002R0001740</t>
  </si>
  <si>
    <t>MX4000002R0001739</t>
  </si>
  <si>
    <t>MX4000002R0001738</t>
  </si>
  <si>
    <t>MX4000002R0001737</t>
  </si>
  <si>
    <t>MX4000002R0001736</t>
  </si>
  <si>
    <t>MX4000002R0001735</t>
  </si>
  <si>
    <t>MX4000002R0001734</t>
  </si>
  <si>
    <t>MX4000002R0001733</t>
  </si>
  <si>
    <t>MX4000002R0001732</t>
  </si>
  <si>
    <t>MX4000002R0001731</t>
  </si>
  <si>
    <t>MX4000002R0001730</t>
  </si>
  <si>
    <t>MX4000002R0001729</t>
  </si>
  <si>
    <t>MX4000002R0001728</t>
  </si>
  <si>
    <t>MX4000002R0001727</t>
  </si>
  <si>
    <t>MX4000002R0001723</t>
  </si>
  <si>
    <t>MX4000002R0001722</t>
  </si>
  <si>
    <t>MX4000002R0001698</t>
  </si>
  <si>
    <t>MX4000002R0001696</t>
  </si>
  <si>
    <t>002-2013E50Q13-OK60</t>
  </si>
  <si>
    <t>MX4000002R0001693</t>
  </si>
  <si>
    <t>MX4000002R0001692</t>
  </si>
  <si>
    <t>MX4000002R0001691</t>
  </si>
  <si>
    <t>MX4000002R0001690</t>
  </si>
  <si>
    <t>MX4000002R0001689</t>
  </si>
  <si>
    <t>MX4000002R0001687</t>
  </si>
  <si>
    <t>MX4000002R0001683</t>
  </si>
  <si>
    <t>MX4000002R0001682</t>
  </si>
  <si>
    <t>MX4000002R0001680</t>
  </si>
  <si>
    <t>MX4000002R0001679</t>
  </si>
  <si>
    <t>MX4000002R0001678</t>
  </si>
  <si>
    <t>MX4000002R0001677</t>
  </si>
  <si>
    <t>MX4000002R0001675</t>
  </si>
  <si>
    <t>MX4000002R0001674</t>
  </si>
  <si>
    <t>MX4000002R0001672</t>
  </si>
  <si>
    <t>MX4000002R0001671</t>
  </si>
  <si>
    <t>MX4000002R0001670</t>
  </si>
  <si>
    <t>MX4000002R0001668</t>
  </si>
  <si>
    <t>MX4000002R0001667</t>
  </si>
  <si>
    <t>MX4000002R0001666</t>
  </si>
  <si>
    <t>MX4000002R0001665</t>
  </si>
  <si>
    <t>MX4000002R0001664</t>
  </si>
  <si>
    <t>MX4000002R0001663</t>
  </si>
  <si>
    <t>MX4000002R0001662</t>
  </si>
  <si>
    <t>MX4000002R0001661</t>
  </si>
  <si>
    <t>MX4000002R0001660</t>
  </si>
  <si>
    <t>MX4000002R0001659</t>
  </si>
  <si>
    <t>MX4000002R0001658</t>
  </si>
  <si>
    <t>MX4000002R0001657</t>
  </si>
  <si>
    <t>MX4000002R0001656</t>
  </si>
  <si>
    <t>MX4000002R0001655</t>
  </si>
  <si>
    <t>MX4000002R0001654</t>
  </si>
  <si>
    <t>MX4000002R0001653</t>
  </si>
  <si>
    <t>MX4000002R0001650</t>
  </si>
  <si>
    <t>MX4000002R0001585</t>
  </si>
  <si>
    <t>MX4000002R0001584</t>
  </si>
  <si>
    <t>MX4000002R0001583</t>
  </si>
  <si>
    <t>MX4000002R0001582</t>
  </si>
  <si>
    <t>MX4000002R0001581</t>
  </si>
  <si>
    <t>MX4000002R0001580</t>
  </si>
  <si>
    <t>MX4000002R0001579</t>
  </si>
  <si>
    <t>MX4000002R0001578</t>
  </si>
  <si>
    <t>MX4000002R0001577</t>
  </si>
  <si>
    <t>MX4000002R0001574</t>
  </si>
  <si>
    <t>MX4000002R0001573</t>
  </si>
  <si>
    <t>MX4000002R0001572</t>
  </si>
  <si>
    <t>MX4000002R0001571</t>
  </si>
  <si>
    <t>MX4000002R0001569</t>
  </si>
  <si>
    <t>MX4000002R0001560</t>
  </si>
  <si>
    <t>MX4000002R0001552</t>
  </si>
  <si>
    <t>MX4000002R0001538</t>
  </si>
  <si>
    <t>MX4000002R0001501</t>
  </si>
  <si>
    <t>MX4000002R0001500</t>
  </si>
  <si>
    <t>MX4000002R0001497</t>
  </si>
  <si>
    <t>MX4000002R0001495</t>
  </si>
  <si>
    <t>MX4000002R0001491</t>
  </si>
  <si>
    <t>MX4000002R0001490</t>
  </si>
  <si>
    <t>MX4000002R0001484</t>
  </si>
  <si>
    <t>MX4000002R0001483</t>
  </si>
  <si>
    <t>MX4000002R0001482</t>
  </si>
  <si>
    <t>MX4000002R0001481</t>
  </si>
  <si>
    <t>MX4000002R0001478</t>
  </si>
  <si>
    <t>MX4000002R0001477</t>
  </si>
  <si>
    <t>MX4000002R0001476</t>
  </si>
  <si>
    <t>MX4000002R0001475</t>
  </si>
  <si>
    <t>MX4000002R0001472</t>
  </si>
  <si>
    <t>MX4000002R0001471</t>
  </si>
  <si>
    <t>MX4000002R0001470</t>
  </si>
  <si>
    <t>MX4000002R0001469</t>
  </si>
  <si>
    <t>MX4000002R0001468</t>
  </si>
  <si>
    <t>MX4000002R0001467</t>
  </si>
  <si>
    <t>MX4000002R0001466</t>
  </si>
  <si>
    <t>MX4000002R0001464</t>
  </si>
  <si>
    <t>MX4000002R0001463</t>
  </si>
  <si>
    <t>MX4000002R0001462</t>
  </si>
  <si>
    <t>MX4000002R0001461</t>
  </si>
  <si>
    <t>MX4000002R0001460</t>
  </si>
  <si>
    <t>MX4000002R0001459</t>
  </si>
  <si>
    <t>MX4000002R0001456</t>
  </si>
  <si>
    <t>MX4000002R0001455</t>
  </si>
  <si>
    <t>MX4000002R0001453</t>
  </si>
  <si>
    <t>MX4000002P0001060</t>
  </si>
  <si>
    <t>MX4000002N0000964</t>
  </si>
  <si>
    <t>MX4000002N0000672</t>
  </si>
  <si>
    <t>MX4000004R0001606</t>
  </si>
  <si>
    <t>Прицеп 2,5*1,25 м  (до 750 кг.)</t>
  </si>
  <si>
    <t>2 оси</t>
  </si>
  <si>
    <t>004-2513E30Q13-OK</t>
  </si>
  <si>
    <t>MX4000002R0001867</t>
  </si>
  <si>
    <t>MX4000002R0001835</t>
  </si>
  <si>
    <t>MX4000002R0001805</t>
  </si>
  <si>
    <t>MX4000002R0001766</t>
  </si>
  <si>
    <t>MX4000002R0001711</t>
  </si>
  <si>
    <t>MX4000002R0001710</t>
  </si>
  <si>
    <t>MX4000002R0001708</t>
  </si>
  <si>
    <t>MX4000002R0001707</t>
  </si>
  <si>
    <t>MX4000002R0001706</t>
  </si>
  <si>
    <t>MX4000002R0001705</t>
  </si>
  <si>
    <t>MX4000002R0001704</t>
  </si>
  <si>
    <t>MX4000002R0001701</t>
  </si>
  <si>
    <t>MX4000002R0001647</t>
  </si>
  <si>
    <t>MX4000002R0001646</t>
  </si>
  <si>
    <t>MX4000002R0001643</t>
  </si>
  <si>
    <t>MX4000002R0001642</t>
  </si>
  <si>
    <t>MX4000002R0001639</t>
  </si>
  <si>
    <t>MX4000002R0001638</t>
  </si>
  <si>
    <t>MX4000002R0001636</t>
  </si>
  <si>
    <t>MX4000002R0001634</t>
  </si>
  <si>
    <t>MX4000002R0001633</t>
  </si>
  <si>
    <t>MX4000002R0001630</t>
  </si>
  <si>
    <t>MX4000002R0001628</t>
  </si>
  <si>
    <t>MX4000002R0001627</t>
  </si>
  <si>
    <t>MX4000002R0001625</t>
  </si>
  <si>
    <t>MX4000002R0001624</t>
  </si>
  <si>
    <t>MX4000002R0001623</t>
  </si>
  <si>
    <t>MX4000002R0001622</t>
  </si>
  <si>
    <t>MX4000002R0001619</t>
  </si>
  <si>
    <t>MX4000002R0001616</t>
  </si>
  <si>
    <t>MX4000002R0001612</t>
  </si>
  <si>
    <t>MX4000002R0001611</t>
  </si>
  <si>
    <t>MX4000002R0001609</t>
  </si>
  <si>
    <t>MX4000002R0001607</t>
  </si>
  <si>
    <t>MX4000002R0001605</t>
  </si>
  <si>
    <t>MX4000002R0001604</t>
  </si>
  <si>
    <t>MX4000002R0001603</t>
  </si>
  <si>
    <t>MX4000002R0001602</t>
  </si>
  <si>
    <t>MX4000002R0001522</t>
  </si>
  <si>
    <t>MX4000002R0001521</t>
  </si>
  <si>
    <t>MX4000002R0001519</t>
  </si>
  <si>
    <t>MX4000002R0001518</t>
  </si>
  <si>
    <t>MX4000002R0001517</t>
  </si>
  <si>
    <t>MX4000002R0001516</t>
  </si>
  <si>
    <t>MX4000002R0001511</t>
  </si>
  <si>
    <t>MX4000002R0001509</t>
  </si>
  <si>
    <t>MX4000002R0001508</t>
  </si>
  <si>
    <t>MX4000002R0001507</t>
  </si>
  <si>
    <t>MX4000002R0001506</t>
  </si>
  <si>
    <t>MX4000002R0001503</t>
  </si>
  <si>
    <t>MX4000002R0001502</t>
  </si>
  <si>
    <t>MX4000002R0001447</t>
  </si>
  <si>
    <t>MX4000002R0001425</t>
  </si>
  <si>
    <t>MX4000002P0001445</t>
  </si>
  <si>
    <t>MX4000002P0001444</t>
  </si>
  <si>
    <t>MX4000002P0001425</t>
  </si>
  <si>
    <t>MX4000004R0001819</t>
  </si>
  <si>
    <t>Прицеп 2,5*1,5 м  (до 750 кг.)</t>
  </si>
  <si>
    <t>004-2515E30Q13-OK</t>
  </si>
  <si>
    <t>MX4000004R0001807</t>
  </si>
  <si>
    <t>MX4000004R0001799</t>
  </si>
  <si>
    <t>MX4000004R0001792</t>
  </si>
  <si>
    <t>MX4000004R0001769</t>
  </si>
  <si>
    <t>MX4000004R0001756</t>
  </si>
  <si>
    <t>004-2515E50Q13-OK90</t>
  </si>
  <si>
    <t>MX4000004R0001755</t>
  </si>
  <si>
    <t>004-2515E50Q13-OK</t>
  </si>
  <si>
    <t>MX4000004N0000934</t>
  </si>
  <si>
    <t>MX4000002R0001808</t>
  </si>
  <si>
    <t>MX4000002R0001796</t>
  </si>
  <si>
    <t>MX4000002R0001754</t>
  </si>
  <si>
    <t>MX4000002R0001753</t>
  </si>
  <si>
    <t>MX4000002R0001724</t>
  </si>
  <si>
    <t>MX4000002R0001719</t>
  </si>
  <si>
    <t>MX4000002P0001412</t>
  </si>
  <si>
    <t>MX4000005R0001814</t>
  </si>
  <si>
    <t>Прицеп 3,0*1,5 м  (до 750 кг.)</t>
  </si>
  <si>
    <t>004-3015E30Q13-OK</t>
  </si>
  <si>
    <t>MX4000004R0001809</t>
  </si>
  <si>
    <t>MX4000004R0001793</t>
  </si>
  <si>
    <t>004-3015E30Q13-OK150</t>
  </si>
  <si>
    <t>MX4000004N0000876</t>
  </si>
  <si>
    <t>004-3015E30Q13-OK90</t>
  </si>
  <si>
    <t>MX4000002R0001810</t>
  </si>
  <si>
    <t>MX4000004R0001863</t>
  </si>
  <si>
    <t>Прицеп 3,5*1,5 м  (до 750 кг.)</t>
  </si>
  <si>
    <t>004-3515E30Q15-OK150</t>
  </si>
  <si>
    <t>004-3515E30Q13-OK150</t>
  </si>
  <si>
    <t>MX4000004R0001721</t>
  </si>
  <si>
    <t>004-3515E50Q13-OK150</t>
  </si>
  <si>
    <t>002-3515E30Q13-OK150</t>
  </si>
  <si>
    <t>MX4000002R0001844</t>
  </si>
  <si>
    <t>MX4000002R0001720</t>
  </si>
  <si>
    <t>Прицеп 4,0*1,5 м  (до 750 кг.)</t>
  </si>
  <si>
    <t>MX4000002R0001876</t>
  </si>
  <si>
    <t>MX4000002R0001620</t>
  </si>
  <si>
    <t>MX4000002R0001829</t>
  </si>
  <si>
    <t>MX4000002R0001933</t>
  </si>
  <si>
    <t>MX4000002R0001877</t>
  </si>
  <si>
    <t>MX4000002R0001906</t>
  </si>
  <si>
    <t>MX4000004S0001949</t>
  </si>
  <si>
    <t>MX4000002S0001948</t>
  </si>
  <si>
    <t>MX4000002R0001903</t>
  </si>
  <si>
    <t>MX4000002R0001904</t>
  </si>
  <si>
    <t>MX4000002R0001878</t>
  </si>
  <si>
    <t>MX4000002S0001950</t>
  </si>
  <si>
    <t>MX4000002R0001645</t>
  </si>
  <si>
    <t>MX4000002R0001935</t>
  </si>
  <si>
    <t>MX4000002S0001952</t>
  </si>
  <si>
    <t>MX4000002S0001953</t>
  </si>
  <si>
    <t>MX4000002S0001951</t>
  </si>
  <si>
    <t>MX4000002S0001947</t>
  </si>
  <si>
    <t>MX4000002R0001936</t>
  </si>
  <si>
    <t>MX4000002R0001600</t>
  </si>
  <si>
    <t>MX4000002R0001644</t>
  </si>
  <si>
    <t>MX4000002S0001959</t>
  </si>
  <si>
    <t>MX4000002R0001853</t>
  </si>
  <si>
    <t>MX4000002R0001797</t>
  </si>
  <si>
    <t>MX4000002S0001958</t>
  </si>
  <si>
    <t>MX4000002S0001970</t>
  </si>
  <si>
    <t>MX4000002S0001971</t>
  </si>
  <si>
    <t>MX4000002R0001795</t>
  </si>
  <si>
    <t>MX4000002R0001973</t>
  </si>
  <si>
    <t>MX4000002R0001828</t>
  </si>
  <si>
    <t>MX4000002S0001974</t>
  </si>
  <si>
    <t>MX4000004S0001987</t>
  </si>
  <si>
    <t>MX4000002R0001649</t>
  </si>
  <si>
    <t>MX4000002S0001998</t>
  </si>
  <si>
    <t>MX4000002S0001999</t>
  </si>
  <si>
    <t>MX4000002R0001934</t>
  </si>
  <si>
    <t>MX4000002S0002000</t>
  </si>
  <si>
    <t>MX4000002S0002001</t>
  </si>
  <si>
    <t>MX4000002S0001975</t>
  </si>
  <si>
    <t>MX4000002S0001980</t>
  </si>
  <si>
    <t>MX4000002S0002003</t>
  </si>
  <si>
    <t>MX4000002S0002002</t>
  </si>
  <si>
    <t>MX4000002S0002005</t>
  </si>
  <si>
    <t>MX4000002S0002004</t>
  </si>
  <si>
    <t>MX4000002S0002006</t>
  </si>
  <si>
    <t>MX4000002R0001859</t>
  </si>
  <si>
    <t>MX4000002R0001854</t>
  </si>
  <si>
    <t>MX4000002S0002008</t>
  </si>
  <si>
    <t>MX4000002S0002009</t>
  </si>
  <si>
    <t>MX4000002S0001972</t>
  </si>
  <si>
    <t>MX4000002S0002007</t>
  </si>
  <si>
    <t>MX4000002R0001798</t>
  </si>
  <si>
    <t>MX4000002R0001857</t>
  </si>
  <si>
    <t>MX4000002S0002011</t>
  </si>
  <si>
    <t>MX4000002S0002010</t>
  </si>
  <si>
    <t>MX4000002S0002014</t>
  </si>
  <si>
    <t>MX4000002R0001855</t>
  </si>
  <si>
    <t>MX4000002S0002012</t>
  </si>
  <si>
    <t>MX4000002S0002013</t>
  </si>
  <si>
    <t>MX4000002S0002017</t>
  </si>
  <si>
    <t>MX4000002S0002015</t>
  </si>
  <si>
    <t>MX4000004R0001791</t>
  </si>
  <si>
    <t>MX4000002S0002021</t>
  </si>
  <si>
    <t>MX4000002S0002025</t>
  </si>
  <si>
    <t>MX4000002R0001858</t>
  </si>
  <si>
    <t>MX4000002R0001598</t>
  </si>
  <si>
    <t>MX4000002S0002022</t>
  </si>
  <si>
    <t>MX4000002R0001648</t>
  </si>
  <si>
    <t>MX4000002R0001869</t>
  </si>
  <si>
    <t>MX4000002S0002040</t>
  </si>
  <si>
    <t>MX4000004R0001794</t>
  </si>
  <si>
    <t>MX4000002S0002026</t>
  </si>
  <si>
    <t>MX4000002S0002018</t>
  </si>
  <si>
    <t>MX4000002S0002020</t>
  </si>
  <si>
    <t>MX4000002R0001601</t>
  </si>
  <si>
    <t>MX4000002R0001868</t>
  </si>
  <si>
    <t>MX4000002S0002041</t>
  </si>
  <si>
    <t>MX4000002S0002029</t>
  </si>
  <si>
    <t>MX4000002R0001875</t>
  </si>
  <si>
    <t>MX4000002R0001874</t>
  </si>
  <si>
    <t>MX4000002S0002043</t>
  </si>
  <si>
    <t>MX4000002S0002027</t>
  </si>
  <si>
    <t>MX4000002S0002016</t>
  </si>
  <si>
    <t>MX4000002S0002023</t>
  </si>
  <si>
    <t>MX4000002S0002024</t>
  </si>
  <si>
    <t>MX4000002R0001726</t>
  </si>
  <si>
    <t>MX4000002S0002019</t>
  </si>
  <si>
    <t>MX4000002S0002028</t>
  </si>
  <si>
    <t>MX4000002S0001886</t>
  </si>
  <si>
    <t>MX4000002S0002044</t>
  </si>
  <si>
    <t>MX4000002S0001879</t>
  </si>
  <si>
    <t>MX4000003S0001955</t>
  </si>
  <si>
    <t>MX4000002R0001851</t>
  </si>
  <si>
    <t>MX4000002S0001885</t>
  </si>
  <si>
    <t>MX4000002R0001873</t>
  </si>
  <si>
    <t>MX4000002R0001641</t>
  </si>
  <si>
    <t>MX4000002R0001862</t>
  </si>
  <si>
    <t>MX4000002R0001861</t>
  </si>
  <si>
    <t>MX4000002R0001872</t>
  </si>
  <si>
    <t>MX4000002R0001864</t>
  </si>
  <si>
    <t>MX4000002R0001613</t>
  </si>
  <si>
    <t>MX4000004R0001866</t>
  </si>
  <si>
    <t>MX4000002S0001891</t>
  </si>
  <si>
    <t>MX4000002S0001898</t>
  </si>
  <si>
    <t>MX4000002S0001899</t>
  </si>
  <si>
    <t>MX4000002S0001900</t>
  </si>
  <si>
    <t>MX4000002S0001901</t>
  </si>
  <si>
    <t>MX4000002S0001902</t>
  </si>
  <si>
    <t>MX4000002S0001892</t>
  </si>
  <si>
    <t>MX4000002S0001893</t>
  </si>
  <si>
    <t>MX4000002S0001894</t>
  </si>
  <si>
    <t>MX4000002S0001895</t>
  </si>
  <si>
    <t>MX4000002S0001896</t>
  </si>
  <si>
    <t>MX4000002S0001890</t>
  </si>
  <si>
    <t>MX4000002S0001887</t>
  </si>
  <si>
    <t>MX4000002S0001888</t>
  </si>
  <si>
    <t>MX4000002S0001889</t>
  </si>
  <si>
    <t>MX4000002S0001880</t>
  </si>
  <si>
    <t>MX4000002S0001881</t>
  </si>
  <si>
    <t>MX4000002S0001882</t>
  </si>
  <si>
    <t>MX4000002S0001883</t>
  </si>
  <si>
    <t>MX4000002S0001884</t>
  </si>
  <si>
    <t>MX4000002S0002047</t>
  </si>
  <si>
    <t>MX4000002S0002046</t>
  </si>
  <si>
    <t>MX4000002S0002051</t>
  </si>
  <si>
    <t>MX4000002R0001860</t>
  </si>
  <si>
    <t>MX4000002R0001608</t>
  </si>
  <si>
    <t>MX4000002S0002048</t>
  </si>
  <si>
    <t>MX4000002S0001965</t>
  </si>
  <si>
    <t>MX4000002S0001976</t>
  </si>
  <si>
    <t>MX4000002S0002058</t>
  </si>
  <si>
    <t>MX4000002S0002057</t>
  </si>
  <si>
    <t>MX4000002S0002053</t>
  </si>
  <si>
    <t>MX4000002S0002059</t>
  </si>
  <si>
    <t>MX4000002R0001870</t>
  </si>
  <si>
    <t>MX4000002R0001871</t>
  </si>
  <si>
    <t>MX4000002R0001637</t>
  </si>
  <si>
    <t>MX4000002S0002056</t>
  </si>
  <si>
    <t>MX4000002S0002085</t>
  </si>
  <si>
    <t>MX4000002S0002073</t>
  </si>
  <si>
    <t>MX4000002S0002070</t>
  </si>
  <si>
    <t>MX4000002S0002086</t>
  </si>
  <si>
    <t>MX4000002S0002084</t>
  </si>
  <si>
    <t>MX4000002S0002055</t>
  </si>
  <si>
    <t>MX4000002S0002054</t>
  </si>
  <si>
    <t>MX4000004S0001956</t>
  </si>
  <si>
    <t>MX4000002S0001977</t>
  </si>
  <si>
    <t>MX4000002S0001982</t>
  </si>
  <si>
    <t>MX4000002S0001897</t>
  </si>
  <si>
    <t>MX4000002S0002045</t>
  </si>
  <si>
    <t>MX4000002S0001978</t>
  </si>
  <si>
    <t>MX4000002S0001983</t>
  </si>
  <si>
    <t>MX4000002S0001910</t>
  </si>
  <si>
    <t>MX4000002S0002081</t>
  </si>
  <si>
    <t>MX4000002S0001924</t>
  </si>
  <si>
    <t>MX4000002S0001984</t>
  </si>
  <si>
    <t>MX4000002S0002080</t>
  </si>
  <si>
    <t>MX4000002S0002087</t>
  </si>
  <si>
    <t>MX4000002S0002088</t>
  </si>
  <si>
    <t>MX4000002S0002092</t>
  </si>
  <si>
    <t>MX4000003S0002093</t>
  </si>
  <si>
    <t>MX4000004S0002089</t>
  </si>
  <si>
    <t>MX4000002S0001911</t>
  </si>
  <si>
    <t>MX4000002S0001925</t>
  </si>
  <si>
    <t>MX4000002S0002094</t>
  </si>
  <si>
    <t>MX4000002S0002095</t>
  </si>
  <si>
    <t>MX4000002S0002097</t>
  </si>
  <si>
    <t>MX4000002S0002100</t>
  </si>
  <si>
    <t>MX4000002S0002101</t>
  </si>
  <si>
    <t>MX4000002S0002105</t>
  </si>
  <si>
    <t>MX4000002S0002082</t>
  </si>
  <si>
    <t>MX4000002S0002103</t>
  </si>
  <si>
    <t>MX4000002S0002104</t>
  </si>
  <si>
    <t>MX4000004S0002107</t>
  </si>
  <si>
    <t>MX4000002S0002108</t>
  </si>
  <si>
    <t>MX4000002S0002083</t>
  </si>
  <si>
    <t>MX4000002S0002098</t>
  </si>
  <si>
    <t>MX4000005S0002112</t>
  </si>
  <si>
    <t>MX4000002S0002115</t>
  </si>
  <si>
    <t>MX4000002S0001926</t>
  </si>
  <si>
    <t>MX4000002S0001916</t>
  </si>
  <si>
    <t>MX4000002S0002099</t>
  </si>
  <si>
    <t>MX4000002S0001915</t>
  </si>
  <si>
    <t>MX4000002S0001931</t>
  </si>
  <si>
    <t>MX4000002R0001614</t>
  </si>
  <si>
    <t>MX4000002S0002118</t>
  </si>
  <si>
    <t>MX4000002S0002117</t>
  </si>
  <si>
    <t>MX4000002S0002091</t>
  </si>
  <si>
    <t>MX4000002S0002109</t>
  </si>
  <si>
    <t>MX4000002S0002116</t>
  </si>
  <si>
    <t>MX4000002S0001918</t>
  </si>
  <si>
    <t>MX4000002S0002120</t>
  </si>
  <si>
    <t>MX4000002S0001920</t>
  </si>
  <si>
    <t>MX4000002S0002113</t>
  </si>
  <si>
    <t>MX4000002S0002102</t>
  </si>
  <si>
    <t>MX4000004S0002111</t>
  </si>
  <si>
    <t>MX4000002S0002090</t>
  </si>
  <si>
    <t>MX4000002S0002114</t>
  </si>
  <si>
    <t>MX4000002S0002096</t>
  </si>
  <si>
    <t>MX4000002S0001979</t>
  </si>
  <si>
    <t>MX4000002R0001610</t>
  </si>
  <si>
    <t>MX4000002S0001923</t>
  </si>
  <si>
    <t>MX4000002S0002122</t>
  </si>
  <si>
    <t>MX4000002S0002123</t>
  </si>
  <si>
    <t>MX4000002S0001919</t>
  </si>
  <si>
    <t>MX4000002S0002136</t>
  </si>
  <si>
    <t>MX4000002S0001929</t>
  </si>
  <si>
    <t>MX4000002S0002140</t>
  </si>
  <si>
    <t>MX4000002S0002147</t>
  </si>
  <si>
    <t>MX4000002S0002145</t>
  </si>
  <si>
    <t>MX4000002S0002141</t>
  </si>
  <si>
    <t>MX4000002S0002142</t>
  </si>
  <si>
    <t>MX4000002S0002146</t>
  </si>
  <si>
    <t>MX4000002S0002149</t>
  </si>
  <si>
    <t>MX4000002S0001921</t>
  </si>
  <si>
    <t>MX4000004S0002150</t>
  </si>
  <si>
    <t>004-3515E50Q13-OK</t>
  </si>
  <si>
    <t>MX4000002S0001930</t>
  </si>
  <si>
    <t>MX4000002S0002155</t>
  </si>
  <si>
    <t>MX4000002S0001968</t>
  </si>
  <si>
    <t>MX4000002S0002158</t>
  </si>
  <si>
    <t>MX4000004S0002133</t>
  </si>
  <si>
    <t>MX4000002S0002151</t>
  </si>
  <si>
    <t>MX4000002S0001963</t>
  </si>
  <si>
    <t>MX4000002S0002148</t>
  </si>
  <si>
    <t>MX4000002S0002159</t>
  </si>
  <si>
    <t>MX4000002S0001957</t>
  </si>
  <si>
    <t>MX4000002S0002153</t>
  </si>
  <si>
    <t>MX4000002S0002154</t>
  </si>
  <si>
    <t>MX4000002S0002162</t>
  </si>
  <si>
    <t>MX4000002S0002166</t>
  </si>
  <si>
    <t>MX4000002S0002164</t>
  </si>
  <si>
    <t>MX4000002S0002167</t>
  </si>
  <si>
    <t>MX4000002S0002169</t>
  </si>
  <si>
    <t>MX4000002S0002168</t>
  </si>
  <si>
    <t>MX4000002S0002170</t>
  </si>
  <si>
    <t>MX4000002S0002171</t>
  </si>
  <si>
    <t>MX4000002S0002163</t>
  </si>
  <si>
    <t>MX4000002S0002128</t>
  </si>
  <si>
    <t>MX4000004S0002172</t>
  </si>
  <si>
    <t>MX4000002S0001913</t>
  </si>
  <si>
    <t>MX4000002S0002160</t>
  </si>
  <si>
    <t>MX4000004S0002106</t>
  </si>
  <si>
    <t>MX4000002S0001912</t>
  </si>
  <si>
    <t>MX4000002S0002125</t>
  </si>
  <si>
    <t>MX4000002S0001964</t>
  </si>
  <si>
    <t>MX4000002S0002173</t>
  </si>
  <si>
    <t>MX4000002S0002179</t>
  </si>
  <si>
    <t>MX4000002S0002180</t>
  </si>
  <si>
    <t>MX4000002S0002181</t>
  </si>
  <si>
    <t>MX4000002S0002178</t>
  </si>
  <si>
    <t>MX4000002S0002174</t>
  </si>
  <si>
    <t>MX4000002S0001927</t>
  </si>
  <si>
    <t>MX4000002S0002175</t>
  </si>
  <si>
    <t>MX4000002S0002183</t>
  </si>
  <si>
    <t>MX4000002S0002182</t>
  </si>
  <si>
    <t>MX4000002S0002184</t>
  </si>
  <si>
    <t>MX4000004S0002132</t>
  </si>
  <si>
    <t>MX4000002S0002176</t>
  </si>
  <si>
    <t>MX4000002S0001907</t>
  </si>
  <si>
    <t>MX4000002S0002186</t>
  </si>
  <si>
    <t>MX4000002S0002188</t>
  </si>
  <si>
    <t>MX4000002S0001962</t>
  </si>
  <si>
    <t>MX4000002S0002191</t>
  </si>
  <si>
    <t>MX4000002S0001914</t>
  </si>
  <si>
    <t>MX4000002S0002039</t>
  </si>
  <si>
    <t>MX4000002S0001928</t>
  </si>
  <si>
    <t>MX4000002S0001917</t>
  </si>
  <si>
    <t>MX4000002S0002197</t>
  </si>
  <si>
    <t>MX4000002S0002177</t>
  </si>
  <si>
    <t>MX4000002S0002198</t>
  </si>
  <si>
    <t>MX4000002S0002185</t>
  </si>
  <si>
    <t>MX4000002S0002189</t>
  </si>
  <si>
    <t>MX4000002S0002203</t>
  </si>
  <si>
    <t>MX4000002S0002200</t>
  </si>
  <si>
    <t>MX4000002S0002030</t>
  </si>
  <si>
    <t>MX4000002S0002190</t>
  </si>
  <si>
    <t>MX4000002S0002206</t>
  </si>
  <si>
    <t>MX4000002S0001932</t>
  </si>
  <si>
    <t>MX4000002S0002110</t>
  </si>
  <si>
    <t>MX4000002S0002199</t>
  </si>
  <si>
    <t>MX4000002S0002209</t>
  </si>
  <si>
    <t>MX4000002S0001909</t>
  </si>
  <si>
    <t>MX4000002S0002208</t>
  </si>
  <si>
    <t>MX4000002S0002205</t>
  </si>
  <si>
    <t>MX4000002S0002204</t>
  </si>
  <si>
    <t>MX4000002S0002201</t>
  </si>
  <si>
    <t>MX4000002S0002207</t>
  </si>
  <si>
    <t>MX4000002S0001969</t>
  </si>
  <si>
    <t>MX4000002S0002202</t>
  </si>
  <si>
    <t>MX4000002S0002215</t>
  </si>
  <si>
    <t>MX4000002S0002212</t>
  </si>
  <si>
    <t>MX4000004S0002196</t>
  </si>
  <si>
    <t>MX4000002S0002134</t>
  </si>
  <si>
    <t>MX4000002S0002216</t>
  </si>
  <si>
    <t>MX4000002S0002214</t>
  </si>
  <si>
    <t>MX4000002S0002130</t>
  </si>
  <si>
    <t>MX4000002S0002217</t>
  </si>
  <si>
    <t>MX4000002S0002031</t>
  </si>
  <si>
    <t>MX4000002S0002213</t>
  </si>
  <si>
    <t>MX4000002S0001908</t>
  </si>
  <si>
    <t>MX4000002S0002035</t>
  </si>
  <si>
    <t>MX4000002S0002036</t>
  </si>
  <si>
    <t>MX4000002S0002223</t>
  </si>
  <si>
    <t>MX4000002S0002219</t>
  </si>
  <si>
    <t>MX4000002S0002218</t>
  </si>
  <si>
    <t>MX4000002S0001922</t>
  </si>
  <si>
    <t>MX4000002S0002221</t>
  </si>
  <si>
    <t>MX4000002S0002225</t>
  </si>
  <si>
    <t>MX4000002S0002032</t>
  </si>
  <si>
    <t>MX4000002S0001995</t>
  </si>
  <si>
    <t>MX4000002S0002228</t>
  </si>
  <si>
    <t>MX4000002S0002034</t>
  </si>
  <si>
    <t>MX4000002S0002227</t>
  </si>
  <si>
    <t>MX4000002S0002226</t>
  </si>
  <si>
    <t>MX4000002S0002229</t>
  </si>
  <si>
    <t>MX4000002S0002220</t>
  </si>
  <si>
    <t>MX4000002S0002033</t>
  </si>
  <si>
    <t>MX4000002S0002237</t>
  </si>
  <si>
    <t>MX4000002S0002236</t>
  </si>
  <si>
    <t>MX4000002S0002235</t>
  </si>
  <si>
    <t>MX4000002S0002301</t>
  </si>
  <si>
    <t>MX4000002S0002231</t>
  </si>
  <si>
    <t>MX4000002S0001996</t>
  </si>
  <si>
    <t>MX4000002S0002137</t>
  </si>
  <si>
    <t>MX4000002S0001994</t>
  </si>
  <si>
    <t>MX4000002S0002222</t>
  </si>
  <si>
    <t>MX4000002S0001990</t>
  </si>
  <si>
    <t>MX4000002S0001989</t>
  </si>
  <si>
    <t>MX4000004S0002241</t>
  </si>
  <si>
    <t>MX4000002S0002037</t>
  </si>
  <si>
    <t>MX4000002S0002244</t>
  </si>
  <si>
    <t>MX4000004S0002242</t>
  </si>
  <si>
    <t>MX4000002S0002247</t>
  </si>
  <si>
    <t>MX4000002S0002249</t>
  </si>
  <si>
    <t>MX4000002S0002234</t>
  </si>
  <si>
    <t>MX4000002S0002230</t>
  </si>
  <si>
    <t>MX4000002S0002239</t>
  </si>
  <si>
    <t>MX4000002S0002240</t>
  </si>
  <si>
    <t>MX4000002S0002245</t>
  </si>
  <si>
    <t>MX4000002S0001992</t>
  </si>
  <si>
    <t>MX4000002S0001997</t>
  </si>
  <si>
    <t>MX4000002S0002063</t>
  </si>
  <si>
    <t>MX4000002S0002067</t>
  </si>
  <si>
    <t>MX4000002S0002062</t>
  </si>
  <si>
    <t>MX4000002S0001991</t>
  </si>
  <si>
    <t>MX4000002S0002129</t>
  </si>
  <si>
    <t>MX4000002S0001942</t>
  </si>
  <si>
    <t>MX4000002S0002127</t>
  </si>
  <si>
    <t>MX4000002S0002126</t>
  </si>
  <si>
    <t>MX4000002S0002135</t>
  </si>
  <si>
    <t>MX4000002S0002131</t>
  </si>
  <si>
    <t>MX4000002S0002251</t>
  </si>
  <si>
    <t>MX4000002S0002250</t>
  </si>
  <si>
    <t>MX4000002S0001988</t>
  </si>
  <si>
    <t>MX4000002S0002256</t>
  </si>
  <si>
    <t>MX4000002S0002257</t>
  </si>
  <si>
    <t>MX4000002S0002065</t>
  </si>
  <si>
    <t>MX4000002S0002194</t>
  </si>
  <si>
    <t>MX4000002S0002258</t>
  </si>
  <si>
    <t>MX4000002S0002253</t>
  </si>
  <si>
    <t>MX4000002S0002255</t>
  </si>
  <si>
    <t>MX4000002S0002254</t>
  </si>
  <si>
    <t>MX4000004S0002138</t>
  </si>
  <si>
    <t>MX4000002S0002259</t>
  </si>
  <si>
    <t>MX4000002S0002282</t>
  </si>
  <si>
    <t>MX4000002S0002232</t>
  </si>
  <si>
    <t>MX4000002S0002252</t>
  </si>
  <si>
    <t>MX4000002S0002066</t>
  </si>
  <si>
    <t>MX4000002S0002298</t>
  </si>
  <si>
    <t>MX4000002S0002299</t>
  </si>
  <si>
    <t>MX4000002S0002295</t>
  </si>
  <si>
    <t>MX4000004S0002248</t>
  </si>
  <si>
    <t>MX4000002S0002296</t>
  </si>
  <si>
    <t>MX4000002R0001617</t>
  </si>
  <si>
    <t>MX4000002S0002061</t>
  </si>
  <si>
    <t>MX4000002S0002304</t>
  </si>
  <si>
    <t>MX4000002S0001938</t>
  </si>
  <si>
    <t>MX4000002S0002064</t>
  </si>
  <si>
    <t>MX4000002S0001944</t>
  </si>
  <si>
    <t>MX4000002S0002307</t>
  </si>
  <si>
    <t>MX4000002S0002306</t>
  </si>
  <si>
    <t>MX4000002S0002068</t>
  </si>
  <si>
    <t>MX4000002S0002238</t>
  </si>
  <si>
    <t>MX4000002S0001939</t>
  </si>
  <si>
    <t>MX4000002S0002243</t>
  </si>
  <si>
    <t>MX4000002S0002311</t>
  </si>
  <si>
    <t>MX4000002S0002313</t>
  </si>
  <si>
    <t>MX4000002S0002297</t>
  </si>
  <si>
    <t>MX4000004S0002302</t>
  </si>
  <si>
    <t>MX4000004S0002305</t>
  </si>
  <si>
    <t>MX4000002S0002325</t>
  </si>
  <si>
    <t>MX4000004S0002326</t>
  </si>
  <si>
    <t>MX4000002S0002265</t>
  </si>
  <si>
    <t>MX4000002S0002327</t>
  </si>
  <si>
    <t>MX4000002S0002277</t>
  </si>
  <si>
    <t>MX4000002S0002309</t>
  </si>
  <si>
    <t>MX4000002S0002279</t>
  </si>
  <si>
    <t>MX4000002S0002330</t>
  </si>
  <si>
    <t>MX4000002S0002276</t>
  </si>
  <si>
    <t>MX4000002S0002275</t>
  </si>
  <si>
    <t>MX4000002S0002278</t>
  </si>
  <si>
    <t>MX4000002S0002069</t>
  </si>
  <si>
    <t>MX4000002S0002331</t>
  </si>
  <si>
    <t>MX4000002S0001993</t>
  </si>
  <si>
    <t>MX4000002S0002310</t>
  </si>
  <si>
    <t>MX4000002S0002332</t>
  </si>
  <si>
    <t>MX4000002S0002333</t>
  </si>
  <si>
    <t>MX4000002S0002337</t>
  </si>
  <si>
    <t>MX4000004S0002264</t>
  </si>
  <si>
    <t>MX4000002S0002336</t>
  </si>
  <si>
    <t>MX4000002S0002339</t>
  </si>
  <si>
    <t>MX4000002S0002340</t>
  </si>
  <si>
    <t>MX4000002S0002341</t>
  </si>
  <si>
    <t>MX4000004S0002342</t>
  </si>
  <si>
    <t>MX4000002S0002343</t>
  </si>
  <si>
    <t>MX4000002S0002281</t>
  </si>
  <si>
    <t>MX4000002S0002060</t>
  </si>
  <si>
    <t>MX4000002S0002266</t>
  </si>
  <si>
    <t>MX4000002S0002288</t>
  </si>
  <si>
    <t>MX4000002S0002344</t>
  </si>
  <si>
    <t>MX4000002S0002345</t>
  </si>
  <si>
    <t>MX4000002S0001943</t>
  </si>
  <si>
    <t>MX4000004S0002139</t>
  </si>
  <si>
    <t>MX4000002S0002348</t>
  </si>
  <si>
    <t>MX4000002S0002274</t>
  </si>
  <si>
    <t>MX4000002S0002334</t>
  </si>
  <si>
    <t>MX4000002S0002346</t>
  </si>
  <si>
    <t>MX4000002S0002349</t>
  </si>
  <si>
    <t>MX4000002R0001597</t>
  </si>
  <si>
    <t>MX4000002S0002328</t>
  </si>
  <si>
    <t>MX4000002S0002323</t>
  </si>
  <si>
    <t>MX4000002S0002272</t>
  </si>
  <si>
    <t>MX4000002S0002300</t>
  </si>
  <si>
    <t>MX4000002S0001954</t>
  </si>
  <si>
    <t>MX4000002S0002360</t>
  </si>
  <si>
    <t>MX4000002S0002316</t>
  </si>
  <si>
    <t>MX4000002S0002361</t>
  </si>
  <si>
    <t>MX4000004S0002362</t>
  </si>
  <si>
    <t>004-3515E30Q13-OK120</t>
  </si>
  <si>
    <t>MX4000002S0002347</t>
  </si>
  <si>
    <t>MX4000002S0002335</t>
  </si>
  <si>
    <t>MX4000002S0002271</t>
  </si>
  <si>
    <t>MX4000004S0002262</t>
  </si>
  <si>
    <t>MX4000004S0002261</t>
  </si>
  <si>
    <t>004-3515E30Q13-OK</t>
  </si>
  <si>
    <t>MX4000002S0002293</t>
  </si>
  <si>
    <t>MX4000002S0002322</t>
  </si>
  <si>
    <t>MX4000002S0002319</t>
  </si>
  <si>
    <t>MX4000002S0002365</t>
  </si>
  <si>
    <t>MX4000002S0002273</t>
  </si>
  <si>
    <t>MX4000002S0002363</t>
  </si>
  <si>
    <t>MX4000002S0002364</t>
  </si>
  <si>
    <t>MX4000002S0002280</t>
  </si>
  <si>
    <t>MX4000002S0002324</t>
  </si>
  <si>
    <t>MX4000002S0002395</t>
  </si>
  <si>
    <t>MX4000002S0002394</t>
  </si>
  <si>
    <t>MX4000002S0002397</t>
  </si>
  <si>
    <t>MX4000002S0002396</t>
  </si>
  <si>
    <t>MX4000002S0002366</t>
  </si>
  <si>
    <t>MX4000002S0002317</t>
  </si>
  <si>
    <t>MX4000005P0001296</t>
  </si>
  <si>
    <t>MX4000002S0002292</t>
  </si>
  <si>
    <t>MX4000002S0002320</t>
  </si>
  <si>
    <t>MX4000002S0002318</t>
  </si>
  <si>
    <t>MX4000002S0002286</t>
  </si>
  <si>
    <t>MX4000002S0002406</t>
  </si>
  <si>
    <t>MX4000002S0002321</t>
  </si>
  <si>
    <t>MX4000002S0002287</t>
  </si>
  <si>
    <t>MX4000002S0002421</t>
  </si>
  <si>
    <t>MX4000002S0002432</t>
  </si>
  <si>
    <t>MX4000002S0002291</t>
  </si>
  <si>
    <t>MX4000004S0002431</t>
  </si>
  <si>
    <t>004-3015E50Q13-OK</t>
  </si>
  <si>
    <t>MX4000002S0002430</t>
  </si>
  <si>
    <t>MX4000002S0002400</t>
  </si>
  <si>
    <t>MX4000002S0002436</t>
  </si>
  <si>
    <t>MX4000002S0002437</t>
  </si>
  <si>
    <t>MX4000002S0002433</t>
  </si>
  <si>
    <t>MX4000002S0002434</t>
  </si>
  <si>
    <t>MX4000002S0002355</t>
  </si>
  <si>
    <t>MX4000002S0002405</t>
  </si>
  <si>
    <t>MX4000002S0002399</t>
  </si>
  <si>
    <t>MX4000002S0002427</t>
  </si>
  <si>
    <t>MX4000002S0002285</t>
  </si>
  <si>
    <t>MX4000005S0002440</t>
  </si>
  <si>
    <t>MX4000002S0002401</t>
  </si>
  <si>
    <t>MX4000002S0002367</t>
  </si>
  <si>
    <t>MX4000002S0002402</t>
  </si>
  <si>
    <t>MX4000002S0002404</t>
  </si>
  <si>
    <t>MX4000004S0002438</t>
  </si>
  <si>
    <t>MX4000002S0002350</t>
  </si>
  <si>
    <t>MX4000002S0002403</t>
  </si>
  <si>
    <t>MX4000002S0002441</t>
  </si>
  <si>
    <t>MX4000002S0002447</t>
  </si>
  <si>
    <t>MX4000002S0002351</t>
  </si>
  <si>
    <t>MX4000002S0002443</t>
  </si>
  <si>
    <t>MX4000002S0002442</t>
  </si>
  <si>
    <t>MX4000002S0002444</t>
  </si>
  <si>
    <t>MX4000005S0002446</t>
  </si>
  <si>
    <t>MX4000002S0002356</t>
  </si>
  <si>
    <t>MX4000002S0002352</t>
  </si>
  <si>
    <t>MX4000002S0002449</t>
  </si>
  <si>
    <t>MX4000002S0002450</t>
  </si>
  <si>
    <t>MX4000002S0002451</t>
  </si>
  <si>
    <t>MX4000002S0002398</t>
  </si>
  <si>
    <t>MX4000002S0002263</t>
  </si>
  <si>
    <t>MX4000002S0002359</t>
  </si>
  <si>
    <t>MX4000004S0002423</t>
  </si>
  <si>
    <t>MX4000002S0002354</t>
  </si>
  <si>
    <t>MX4000002S0002357</t>
  </si>
  <si>
    <t>MX4000002S0002353</t>
  </si>
  <si>
    <t>MX4000002S0002389</t>
  </si>
  <si>
    <t>Имя</t>
  </si>
  <si>
    <t>Отчество</t>
  </si>
  <si>
    <t>удостоверение №</t>
  </si>
  <si>
    <t>дата выдачи удостоверения</t>
  </si>
  <si>
    <t>кем выдано</t>
  </si>
  <si>
    <t>ИИН</t>
  </si>
  <si>
    <t>Адрес проживания</t>
  </si>
  <si>
    <t>Телефон</t>
  </si>
  <si>
    <t>прицеп</t>
  </si>
  <si>
    <t>год выпуска прицепа</t>
  </si>
  <si>
    <t>габариты</t>
  </si>
  <si>
    <t>размеры кузова</t>
  </si>
  <si>
    <t>ОТТС</t>
  </si>
  <si>
    <t>цена</t>
  </si>
  <si>
    <t>склад</t>
  </si>
  <si>
    <t>002-2313E30Q13-OK</t>
  </si>
  <si>
    <t>Прицеп 2,3*1,25 м  (до 750 кг.)</t>
  </si>
  <si>
    <t>3450*1700*900</t>
  </si>
  <si>
    <t>2300*1250*300</t>
  </si>
  <si>
    <t>002-2013E30Q13-OK30</t>
  </si>
  <si>
    <t>3150*1700*900</t>
  </si>
  <si>
    <t>2000*1250*300</t>
  </si>
  <si>
    <t>3650*1700*900</t>
  </si>
  <si>
    <t>2500*1250*300</t>
  </si>
  <si>
    <t>3650*1950*900</t>
  </si>
  <si>
    <t>4000*1500*300</t>
  </si>
  <si>
    <t>3150*1700*670</t>
  </si>
  <si>
    <t>2000*1250</t>
  </si>
  <si>
    <t>4150*1950*1070</t>
  </si>
  <si>
    <t>3000*1500*500</t>
  </si>
  <si>
    <t>4650*1950*900</t>
  </si>
  <si>
    <t>3500*1500*500</t>
  </si>
  <si>
    <t>2500*1500*300</t>
  </si>
  <si>
    <t>3650*1950*1070</t>
  </si>
  <si>
    <t>2500*1500*500</t>
  </si>
  <si>
    <t>4150*1950*870</t>
  </si>
  <si>
    <t>3500*1500*300</t>
  </si>
  <si>
    <t>4150*1950*570</t>
  </si>
  <si>
    <t>3000*1500</t>
  </si>
  <si>
    <t>4150*1950*571</t>
  </si>
  <si>
    <t>3000*1501</t>
  </si>
  <si>
    <t>380 000</t>
  </si>
  <si>
    <t>4150*1950*900</t>
  </si>
  <si>
    <t>4150*1950*2200</t>
  </si>
  <si>
    <t>4650*1950*1070</t>
  </si>
  <si>
    <t>3650*1700*1070</t>
  </si>
  <si>
    <t>2500*1250*500</t>
  </si>
  <si>
    <t>3650*1700*1071</t>
  </si>
  <si>
    <t>3000*1500*300</t>
  </si>
  <si>
    <t>3800*1950*1070</t>
  </si>
  <si>
    <t xml:space="preserve">ДОГОВОР КУПЛИ-ПРОДАЖИ ПРИЦЕПА № </t>
  </si>
  <si>
    <r>
      <rPr>
        <b/>
        <sz val="12"/>
        <color rgb="FF000000"/>
        <rFont val="&quot;Times New Roman&quot;, serif"/>
      </rPr>
      <t>Товарищество с ограниченной ответственностью «КАЗ Прицеп» в лице Директора Юзликаева Р.И.</t>
    </r>
    <r>
      <rPr>
        <sz val="12"/>
        <color rgb="FF000000"/>
        <rFont val="&quot;Times New Roman&quot;, serif"/>
      </rPr>
      <t xml:space="preserve">, действующего на основании Устава, именуемое в дальнейшем «Продавец», с одной стороны, и </t>
    </r>
    <r>
      <rPr>
        <b/>
        <sz val="12"/>
        <color rgb="FF000000"/>
        <rFont val="&quot;Times New Roman&quot;, serif"/>
      </rPr>
      <t>Гражданин Республики Казахстан</t>
    </r>
  </si>
  <si>
    <t>Удостоверение личности №</t>
  </si>
  <si>
    <t>от</t>
  </si>
  <si>
    <t>выдано</t>
  </si>
  <si>
    <t>именуемый в дальнейшем «Покупатель», с другой стороны, далее совместно именуемые Стороны, заключили настоящий Договор (далее по тексту - Договор) о нижеследующем:</t>
  </si>
  <si>
    <t>ПРЕДМЕТ ДОГОВОРА, ЦЕНА И ПОРЯДОК РАСЧЕТОВ</t>
  </si>
  <si>
    <t>1.1. Продавец продает Покупателю прицеп к легковому автомобилю (далее - «Прицеп») на условиях, оговоренных настоящим Договором:</t>
  </si>
  <si>
    <t>1.2. Технические характеристики Прицепа указываются в Спецификации, подписываемой сторонами, являющейся Приложением №1 к Договору и его неотъемлемой частью.</t>
  </si>
  <si>
    <t>1.3. Покупатель вносит оплату полной стоимости (100%) за Прицеп на расчетный счет Продавца в банке по реквизитам, указанным в настоящем Договоре.</t>
  </si>
  <si>
    <t>1.4. Валютой расчетов по настоящему Договору является денежная единица Республики Казахстан-тенге.</t>
  </si>
  <si>
    <t>1.5. Все изменения, вносимые в платформу без письменного подтверждения со стороны Продавца снимается ответственность, входе дальнейшей эксплуатации.</t>
  </si>
  <si>
    <t>УСЛОВИЯ И ПОРЯДОК ПОСТАВКИ</t>
  </si>
  <si>
    <t>2.1. Поставка (отгрузка) Прицепа осуществляется на условиях – самовывоза Покупателем с</t>
  </si>
  <si>
    <t>адреса, согласованного с Продавцом устно либо письменно.</t>
  </si>
  <si>
    <t>2.2. Передача Прицепа Покупателю осуществляется после поступления оплаты за Прицеп на расчетный счет Продавца в банке.</t>
  </si>
  <si>
    <t>2.3. Право собственности на Прицеп переходит к Покупателю после подписания уполномоченными лицами Сторон Акта приема-передачи Прицепа и постановки Прицепа на учет в уполномоченном органе дорожной полиции Республики Казахстан по месту регистрации Покупателя.</t>
  </si>
  <si>
    <t>2.4. Продавец со своей стороны с целью оформления факта продажи Прицепа, предоставляет Покупателю следующий пакет документов:</t>
  </si>
  <si>
    <t>Договор купли-продажи Прицепа,</t>
  </si>
  <si>
    <t>Акт приема-передачи Прицепа;</t>
  </si>
  <si>
    <t>ЭПТС (Электронный паспорт транспортного средства);</t>
  </si>
  <si>
    <t>Накладная на отпуск товаров на сторону;</t>
  </si>
  <si>
    <t>Руководство управления прицепом (Паспорт);</t>
  </si>
  <si>
    <t>Копия ОТТС (Одобрение типа транспортного средства) Продавца.</t>
  </si>
  <si>
    <t>3. ГАРАНТИЙНЫЕ ОБЯЗАТЕЛЬСТВА</t>
  </si>
  <si>
    <t>3.1. Продавец предоставляет гарантию качества на Прицеп.</t>
  </si>
  <si>
    <t>3.2. Срок гарантии составляет 1 (один) календарный год, с даты ввода Прицепа в эксплуатацию.</t>
  </si>
  <si>
    <t>Датой ввода Прицепа в эксплуатацию, для начала действия гарантийных обязательств, является дата подписания уполномоченными лицами Сторон Акта приема-передачи Прицепа.</t>
  </si>
  <si>
    <t>3.3. Гарантийные обязательства Продавца имеют силу при обязательном соблюдении Покупателем следующих условий:</t>
  </si>
  <si>
    <t>соблюдения Покупателем правил эксплуатации прицепа, указанных в Руководстве по эксплуатации (Паспорт).</t>
  </si>
  <si>
    <t>3.4. Гарантийные обязательства Продавца прекращаются до истечения срока гарантии, указанного в п.3.2. в случаях: повреждения частей (узлов) прицепа, возникших вследствие дорожно-транспортных происшествий либо в процессе очевидной неправильной/небрежной эксплуатации прицепа Покупателем;</t>
  </si>
  <si>
    <t>3.5. Установленные Договором гарантийные обязательства Продавца не распространяются на детали, подверженные определенному естественному износу при нормальной эксплуатации такие как: резинотехнические изделия, прокладки, болты, гайки, амортизаторы и прочие расходные части (если в них не обнаружено дефектов изготовителя); повреждения лакокрасочного покрытия в результате природных и климатических воздействий.</t>
  </si>
  <si>
    <t>4. ОТВЕТСТВЕННОСТЬ СТОРОН И ПОРЯДОК РАЗРЕШЕНИЯ СПОРОВ</t>
  </si>
  <si>
    <t>4.1. За неисполнение/ненадлежащее исполнение условий настоящего Договора стороны несут ответственность в соответствии с действующим законодательством Республики Казахстан.</t>
  </si>
  <si>
    <t>4.2. Все возможные споры и разногласия решаются путем переговоров. В случае невозможности урегулирования спора/разногласий путем переговоров, споры/разногласия подлежат урегулированию в порядке, предусмотренном действующим законодательством Республики Казахстан.</t>
  </si>
  <si>
    <t>5. ПРОЧИЕ УСЛОВИЯ</t>
  </si>
  <si>
    <t>5.1. Настоящий Договор составлен в 3 (трех) экземплярах на государственном и русском языках, каждый из которых имеет одинаковую юридическую силу, по одному экземпляру для каждой из сторон и один для регистрирующего органа.</t>
  </si>
  <si>
    <t>5.2. Взаимоотношения Сторон, не урегулированные Договором, регламентируются действующим законодательством Республики Казахстан.</t>
  </si>
  <si>
    <t>5.3. Копии (в том числе сканированные копии) подписанных Сторонами приложений к Договору признаются оригиналом, и имеют юридическую силу, до получения оригиналов таких документов Сторонами.</t>
  </si>
  <si>
    <t>Продавец</t>
  </si>
  <si>
    <t>Покупатель</t>
  </si>
  <si>
    <t>ТОО "КАЗ Прицеп"</t>
  </si>
  <si>
    <t>Гражданин Республики Казахстан</t>
  </si>
  <si>
    <t>РК, г. Кокшетау, ул. Сулейменова 151Б</t>
  </si>
  <si>
    <t>БИН: 130440016086</t>
  </si>
  <si>
    <t>р/с в KZT: KZ1296520F0007365978</t>
  </si>
  <si>
    <t>в ф-ле АО "ForteBank" в г.Кокшетау</t>
  </si>
  <si>
    <t>Тел.:</t>
  </si>
  <si>
    <t>SWIFT код: IRTYKZKA</t>
  </si>
  <si>
    <t>БИН Банка: 061241002275, Кбе 17</t>
  </si>
  <si>
    <t>Тел: +7 701 959 93 14</t>
  </si>
  <si>
    <t>Е-mail: qazpricep@mail.ru</t>
  </si>
  <si>
    <t>Директор
___________________________</t>
  </si>
  <si>
    <t>__________________________</t>
  </si>
  <si>
    <t>Юзликаев Рамис Ильдарович</t>
  </si>
  <si>
    <t>Акт</t>
  </si>
  <si>
    <t>приема-передачи прицепа и товаросопроводительных документов</t>
  </si>
  <si>
    <t>ТОО «КАЗ Прицеп » (Сторона 1),</t>
  </si>
  <si>
    <t xml:space="preserve">Резидент Республики Казахстан </t>
  </si>
  <si>
    <t>(Сторона 2)</t>
  </si>
  <si>
    <t>Произвели прием-передачу Прицепа в количестве 1 (одной) единицы, а также пакет товаросопроводительных документов к прицепу.</t>
  </si>
  <si>
    <t>Сторона 1 передала, а Сторона 2 приняла прицеп и пакет товаросопроводительных документов к данному прицепу, в соответствии с Договором купли-продажи</t>
  </si>
  <si>
    <t>№ п/п</t>
  </si>
  <si>
    <t>Наименование</t>
  </si>
  <si>
    <t>Характеристики</t>
  </si>
  <si>
    <t>1.</t>
  </si>
  <si>
    <t>Товаросопроводительные документы:</t>
  </si>
  <si>
    <t>2) Накладная на отпуск запасов на сторону 2 шт. - электронная копия;</t>
  </si>
  <si>
    <t>3) Акт приема передачи прицепной автотехники. 2 шт. - подписан ЭЦП;</t>
  </si>
  <si>
    <t>4) Паспорт транспортного средства 1 шт. - оригинал;</t>
  </si>
  <si>
    <t>Подписи:</t>
  </si>
  <si>
    <t>Сторона 1:</t>
  </si>
  <si>
    <t>Лицо ответственное за прием: ТОО «КАЗ Прицеп »</t>
  </si>
  <si>
    <t>Юзликаев Р.И._________________</t>
  </si>
  <si>
    <t>Сторона 2:</t>
  </si>
  <si>
    <t>___________________________________</t>
  </si>
  <si>
    <t>СПЕЦИФИКАЦИЯ</t>
  </si>
  <si>
    <t>Прицеп (кузов, борт)</t>
  </si>
  <si>
    <t>Колесная база R13</t>
  </si>
  <si>
    <t>Рессора 3 листовая 
Опорное колесо</t>
  </si>
  <si>
    <t>№</t>
  </si>
  <si>
    <t>Кол-во</t>
  </si>
  <si>
    <t>Цена за 1 (одну) ед. (в тенге, с НДС)</t>
  </si>
  <si>
    <t>Сумма (в тенге,
с НДС)</t>
  </si>
  <si>
    <t>шт.</t>
  </si>
  <si>
    <t>Итого:</t>
  </si>
  <si>
    <t>РК, г.Кокшетау, ул. Сулейменова 151Б</t>
  </si>
  <si>
    <t>Менеджер</t>
  </si>
  <si>
    <t>Организационно-правовая форма</t>
  </si>
  <si>
    <t>Должность руководителя</t>
  </si>
  <si>
    <t>Фамилия</t>
  </si>
  <si>
    <t>Действует согласно</t>
  </si>
  <si>
    <t>БИН</t>
  </si>
  <si>
    <t>Расчетный счет</t>
  </si>
  <si>
    <t>в банке</t>
  </si>
  <si>
    <t>БИК</t>
  </si>
  <si>
    <t>Кбе</t>
  </si>
  <si>
    <t>Адрес</t>
  </si>
  <si>
    <t>Электронная почта</t>
  </si>
  <si>
    <t>Цена</t>
  </si>
  <si>
    <t>Способ оплаты</t>
  </si>
  <si>
    <t>VIN прицепа</t>
  </si>
  <si>
    <t>Артур</t>
  </si>
  <si>
    <t>"ПК Эффект"</t>
  </si>
  <si>
    <t>Товарищество с ограниченной ответственностью</t>
  </si>
  <si>
    <t>Директор</t>
  </si>
  <si>
    <t>Александр</t>
  </si>
  <si>
    <t>Асташов</t>
  </si>
  <si>
    <t>Михайлович</t>
  </si>
  <si>
    <t>Устава</t>
  </si>
  <si>
    <t>090240013926</t>
  </si>
  <si>
    <t>KZ07988BTB0000010921</t>
  </si>
  <si>
    <t xml:space="preserve"> АО First Heartland Jysan bank</t>
  </si>
  <si>
    <t>TSESKZKA</t>
  </si>
  <si>
    <t>г.Астана, ул. Ташенова 8, НП 11</t>
  </si>
  <si>
    <t>Безналичным способом на счето организации</t>
  </si>
  <si>
    <t>"BASTAU QAZ"</t>
  </si>
  <si>
    <t>Айдос</t>
  </si>
  <si>
    <t>Болсынбеков</t>
  </si>
  <si>
    <t>Сапаргазиевич</t>
  </si>
  <si>
    <t>KZ798562203105337546</t>
  </si>
  <si>
    <t>АГФ АО "Банк Центр Кредит"</t>
  </si>
  <si>
    <t>KCJBKZKX</t>
  </si>
  <si>
    <t>040800, Казахстан, Алматинская обл., г.Капшагай, ул.Микрорайон Ивушка, ул. Б.Хмельницкого, д. 28А</t>
  </si>
  <si>
    <t>Куаныш</t>
  </si>
  <si>
    <t>"Akzhar mining"</t>
  </si>
  <si>
    <t>Рамиль</t>
  </si>
  <si>
    <t>Самеков</t>
  </si>
  <si>
    <t>Сансызбаевич</t>
  </si>
  <si>
    <t>KZ43998JTB0000510466</t>
  </si>
  <si>
    <t>АО "First Heartland Jysan Bank"</t>
  </si>
  <si>
    <t>150214, Казахстан, Северо-Казазстанская область, Акжарский район, Ленинградский с.о., с.Ленинградское, ул.Тәуелсіздік, д.51, кв.2, г.Кокшетау, ул.Шалкар 18-15</t>
  </si>
  <si>
    <t>87162294586, 87162500612, 8 7015344369</t>
  </si>
  <si>
    <t>Генеральный директор</t>
  </si>
  <si>
    <t>Алексей</t>
  </si>
  <si>
    <t>Красненков</t>
  </si>
  <si>
    <t>Геннадьевич</t>
  </si>
  <si>
    <t>KZ678562203115127293</t>
  </si>
  <si>
    <t>АО «Банк Центр Кредит»</t>
  </si>
  <si>
    <t>040707, РК, Алматинская обл., Илийский р-н, Байсеркенский с.о., с.Байсерке, территория Промзона, здание 1221</t>
  </si>
  <si>
    <t>info@sky-group.kz</t>
  </si>
  <si>
    <t>"Алматы дормеханизация"</t>
  </si>
  <si>
    <t>Габит</t>
  </si>
  <si>
    <t>Сатмолдаев</t>
  </si>
  <si>
    <t>Саябекович</t>
  </si>
  <si>
    <t>060240019781</t>
  </si>
  <si>
    <t>KZ368560000006328013</t>
  </si>
  <si>
    <t>в АГФ АО "Банк Центр Кредит"</t>
  </si>
  <si>
    <t>050050, РК, г.Алматы, пр.Рыскулова, 61в</t>
  </si>
  <si>
    <t>87272516584, 2942302</t>
  </si>
  <si>
    <t>almatydormeh@mail.ru</t>
  </si>
  <si>
    <t>Агро-фирма Желкуар 2003</t>
  </si>
  <si>
    <t>Канат</t>
  </si>
  <si>
    <t>Альмухамедов</t>
  </si>
  <si>
    <t>Наурызбаевич</t>
  </si>
  <si>
    <t>030340007220</t>
  </si>
  <si>
    <t>KZ7482117PMW10000001</t>
  </si>
  <si>
    <t>филиал АО "Bank RBK" в г.Астана</t>
  </si>
  <si>
    <t>KINCKZKA</t>
  </si>
  <si>
    <t>110718,РК, Костанайская  обл., Житикаринский р-н, с.Ырсай, ул. Степная 2, д.6, кв.1</t>
  </si>
  <si>
    <t>info_farming@kustoagro.kz</t>
  </si>
  <si>
    <t>"COND"</t>
  </si>
  <si>
    <t>Дмитрий</t>
  </si>
  <si>
    <t>Максимов</t>
  </si>
  <si>
    <t>Николаевич</t>
  </si>
  <si>
    <t>010240004596</t>
  </si>
  <si>
    <t>Индивидуальный предприниматель</t>
  </si>
  <si>
    <t>Руководителя</t>
  </si>
  <si>
    <t>Елчибеков</t>
  </si>
  <si>
    <t>Бауржанович</t>
  </si>
  <si>
    <t>Уведомления</t>
  </si>
  <si>
    <t>KZ268562204132388953</t>
  </si>
  <si>
    <t>Республика Казахстан, ВКО, г.Усть-Каменагорск, 070014,
 пр, Есенберлина, дом 4а-34</t>
  </si>
  <si>
    <t>+77713310889</t>
  </si>
  <si>
    <t>shah_4667@mail.ru</t>
  </si>
  <si>
    <t>Аида</t>
  </si>
  <si>
    <t>"СК ТехноСтройСеть"</t>
  </si>
  <si>
    <t>Александра</t>
  </si>
  <si>
    <t>Романова</t>
  </si>
  <si>
    <t>Николаевна</t>
  </si>
  <si>
    <t>040340016162</t>
  </si>
  <si>
    <t>KZ5096515F0008046969</t>
  </si>
  <si>
    <t>АО "Forte Bank"</t>
  </si>
  <si>
    <t>IRTYKZKA</t>
  </si>
  <si>
    <t>РК,г.Актобе проспект Мира 5"А" кв.94</t>
  </si>
  <si>
    <t>"NomadFly"</t>
  </si>
  <si>
    <t>Рустам</t>
  </si>
  <si>
    <t>Маженов</t>
  </si>
  <si>
    <t>Ильясович</t>
  </si>
  <si>
    <t>Устав</t>
  </si>
  <si>
    <t>KZ11998JTB0001821609</t>
  </si>
  <si>
    <t>в АО "First Heartland Jusan Bank" (KZT)</t>
  </si>
  <si>
    <t>Акмолинская облсть, г. Кокшетау, ул. Ашимова, д.243, офис № 4</t>
  </si>
  <si>
    <t>nomad.fly2025@gmail.com</t>
  </si>
  <si>
    <t>Асем</t>
  </si>
  <si>
    <t>"АстанаЭлектроПрофСервис"</t>
  </si>
  <si>
    <t>А</t>
  </si>
  <si>
    <t>Даулетбек</t>
  </si>
  <si>
    <t>KZ496017111000004923</t>
  </si>
  <si>
    <t>АО "Народный Банк Казахстана"</t>
  </si>
  <si>
    <t>HSBKKZKX</t>
  </si>
  <si>
    <t>г.Астана, район "Алматы", ул.Жумабаева, 14/1, 832</t>
  </si>
  <si>
    <t>amandyk.qazaq@gmail.com</t>
  </si>
  <si>
    <t>"ЕН-ДАЛА"</t>
  </si>
  <si>
    <t>Михаил</t>
  </si>
  <si>
    <t>Поклонский</t>
  </si>
  <si>
    <t>Евгеньевич</t>
  </si>
  <si>
    <t>KZ316010321000127952</t>
  </si>
  <si>
    <t>Акмолинская обл., Целиноградский р-н, с.Рахимжана Кошкарбаева, Учетный квартал 033, 91</t>
  </si>
  <si>
    <t>en-dala@mail.ru</t>
  </si>
  <si>
    <t>"Арлан систем НС"</t>
  </si>
  <si>
    <t>Дина</t>
  </si>
  <si>
    <t>Бауыржановна</t>
  </si>
  <si>
    <t>Тасщанова</t>
  </si>
  <si>
    <t>KZ22998BTB0000091161</t>
  </si>
  <si>
    <t>АО "Jusan Bank"</t>
  </si>
  <si>
    <t>010000, КАЗАХСТАН, г.Астана, р-н Алматы, мкр.ЮГО-ВОСТОК лев.ст., д.16</t>
  </si>
  <si>
    <t>Лидер Stroy Групп</t>
  </si>
  <si>
    <t>Шынгыс</t>
  </si>
  <si>
    <t>Шайхисламов</t>
  </si>
  <si>
    <t>Куанышулы</t>
  </si>
  <si>
    <t>KZ09601A861017463521</t>
  </si>
  <si>
    <t>АО Народный Банк Казахстана</t>
  </si>
  <si>
    <t>Казахстан, г.Алматы, Бостандыкский р-н, пр.Гагарина, д.124,кв.278</t>
  </si>
  <si>
    <t>"МТС АГРО Акколь"</t>
  </si>
  <si>
    <t>Владимир</t>
  </si>
  <si>
    <t>Сабельфельд</t>
  </si>
  <si>
    <t>Карлович</t>
  </si>
  <si>
    <t>KZ30998ETB0000310757</t>
  </si>
  <si>
    <t>АО "Alatau City Bank"</t>
  </si>
  <si>
    <t>г.Акколь, ул.Бигельдинова, д.139/2</t>
  </si>
  <si>
    <t>SULTANBEIBARUS</t>
  </si>
  <si>
    <t>Гулбаршын</t>
  </si>
  <si>
    <t>Есмуханова</t>
  </si>
  <si>
    <t>Камбатовна</t>
  </si>
  <si>
    <t>KZ72722S000025402846</t>
  </si>
  <si>
    <t>АО "Kaspi Bank"</t>
  </si>
  <si>
    <t>CASPKZKA</t>
  </si>
  <si>
    <t>г.Уральск, ул.Иванова д.26</t>
  </si>
  <si>
    <t>Наличными в кассу</t>
  </si>
  <si>
    <t>"Балхашское рйонное общество инвалидов"</t>
  </si>
  <si>
    <t>Общественное объединение</t>
  </si>
  <si>
    <t xml:space="preserve">Бекжигитов </t>
  </si>
  <si>
    <t>Сакен</t>
  </si>
  <si>
    <t>Серикович</t>
  </si>
  <si>
    <t>KZ42722S000002170043</t>
  </si>
  <si>
    <t>Алматинская область, Балхашский район, с.Баканас, ул. Сарыбаева, д.12</t>
  </si>
  <si>
    <t>"Bikeland"</t>
  </si>
  <si>
    <t>KZ708560000006031260</t>
  </si>
  <si>
    <t>АО "Банк Центр Кредит"</t>
  </si>
  <si>
    <t>РК, г. Алматы, ул.Толе би, д.296, блок 2</t>
  </si>
  <si>
    <t xml:space="preserve">ТОО «ЭкспертСтрой-Сервис» </t>
  </si>
  <si>
    <t>Роман</t>
  </si>
  <si>
    <t xml:space="preserve">Величко </t>
  </si>
  <si>
    <t>Владимирович</t>
  </si>
  <si>
    <t>KZ63998JTB0000683930</t>
  </si>
  <si>
    <t>Акмолинская область, Бурабайский район, г.Щучинск, ул. Ломоносова д.56</t>
  </si>
  <si>
    <t>Smr121266@bk.ru</t>
  </si>
  <si>
    <t>ип саят</t>
  </si>
  <si>
    <t>"BAIKӦL"</t>
  </si>
  <si>
    <t>Алтай</t>
  </si>
  <si>
    <t>Алимбаев</t>
  </si>
  <si>
    <t>Адылгазинович</t>
  </si>
  <si>
    <t xml:space="preserve"> KZ13601A861041642251</t>
  </si>
  <si>
    <t>Алматинская область, Карасайский район, г.Каскелен, улица Көшек Батыр, дом 62</t>
  </si>
  <si>
    <t>в АО «Jusan Bank»</t>
  </si>
  <si>
    <t xml:space="preserve">TSESKZKA </t>
  </si>
  <si>
    <t>Акмолинская область, г. Кокшетау, ул. Ашимова д.243, офис № 4</t>
  </si>
  <si>
    <t xml:space="preserve">8 701 234-46-49 </t>
  </si>
  <si>
    <t>Номер заказа</t>
  </si>
  <si>
    <t>Артикул прицепа</t>
  </si>
  <si>
    <t>точка самовывоза</t>
  </si>
  <si>
    <t>Дата самовывоза</t>
  </si>
  <si>
    <t>Покупатель имя</t>
  </si>
  <si>
    <t>телефон</t>
  </si>
  <si>
    <t>статус заказа</t>
  </si>
  <si>
    <t>002-2013QE50</t>
  </si>
  <si>
    <t>Гульден</t>
  </si>
  <si>
    <t>002-2513QE</t>
  </si>
  <si>
    <t>Виктор</t>
  </si>
  <si>
    <t>Мария</t>
  </si>
  <si>
    <t>Талгат</t>
  </si>
  <si>
    <t>002-2013QE</t>
  </si>
  <si>
    <t>Нуршат</t>
  </si>
  <si>
    <t>Жетписбай</t>
  </si>
  <si>
    <t>Айнур</t>
  </si>
  <si>
    <t>Бейбит</t>
  </si>
  <si>
    <t>Антон</t>
  </si>
  <si>
    <t>Анаргуль</t>
  </si>
  <si>
    <t>Наталья</t>
  </si>
  <si>
    <t>Анатолий</t>
  </si>
  <si>
    <t>Отказ</t>
  </si>
  <si>
    <t>Дулат</t>
  </si>
  <si>
    <t>Ермек</t>
  </si>
  <si>
    <t>Райкүл</t>
  </si>
  <si>
    <t>Куандык</t>
  </si>
  <si>
    <t>Зинаида</t>
  </si>
  <si>
    <t>Николай</t>
  </si>
  <si>
    <t>004-3015BQ</t>
  </si>
  <si>
    <t>Майрагул</t>
  </si>
  <si>
    <t>Темиртас</t>
  </si>
  <si>
    <t>Дениза</t>
  </si>
  <si>
    <t>Гаухар</t>
  </si>
  <si>
    <t>Токен</t>
  </si>
  <si>
    <t>Не забрал</t>
  </si>
  <si>
    <t>Тимур</t>
  </si>
  <si>
    <t>Светлана</t>
  </si>
  <si>
    <t>Жаксыбек</t>
  </si>
  <si>
    <t>Думан</t>
  </si>
  <si>
    <t>Евгений</t>
  </si>
  <si>
    <t>002-3015BQ</t>
  </si>
  <si>
    <t>Гульмира</t>
  </si>
  <si>
    <t>Адильбек</t>
  </si>
  <si>
    <t>Константин</t>
  </si>
  <si>
    <t>отказ</t>
  </si>
  <si>
    <t>Сергей</t>
  </si>
  <si>
    <t>Уларбек</t>
  </si>
  <si>
    <t>Жасұлан</t>
  </si>
  <si>
    <t>Николай В.</t>
  </si>
  <si>
    <t>Муслим Д.</t>
  </si>
  <si>
    <t>Серик Д.</t>
  </si>
  <si>
    <t>Тасбулат</t>
  </si>
  <si>
    <t>Жанат</t>
  </si>
  <si>
    <t>Валерий М.</t>
  </si>
  <si>
    <t>Сергей К</t>
  </si>
  <si>
    <t>Магауия Ж</t>
  </si>
  <si>
    <t>Оралбек М.</t>
  </si>
  <si>
    <t>Руфат Я.</t>
  </si>
  <si>
    <t>Гаухар А.</t>
  </si>
  <si>
    <t>Иван Е.</t>
  </si>
  <si>
    <t>Рахат С.</t>
  </si>
  <si>
    <t>Куанышбек О.</t>
  </si>
  <si>
    <t>Ермек И.</t>
  </si>
  <si>
    <t>Баян К.</t>
  </si>
  <si>
    <t>Назым Б.</t>
  </si>
  <si>
    <t>Күлімхан Б.</t>
  </si>
  <si>
    <t>Ринат Д.</t>
  </si>
  <si>
    <t>Асыл Б.</t>
  </si>
  <si>
    <t>Данияр И.</t>
  </si>
  <si>
    <t>Мурат С.</t>
  </si>
  <si>
    <t>Евгений Б.</t>
  </si>
  <si>
    <t>Еркин Т.</t>
  </si>
  <si>
    <t>Айнура А.</t>
  </si>
  <si>
    <t>002-2513QE50</t>
  </si>
  <si>
    <t>Мурат Н.</t>
  </si>
  <si>
    <t>Румен Г.</t>
  </si>
  <si>
    <t>Азамат О.</t>
  </si>
  <si>
    <t>Адилбек А.</t>
  </si>
  <si>
    <t>Агали Р.</t>
  </si>
  <si>
    <t>Ануар К.</t>
  </si>
  <si>
    <t>Ерлан Д.</t>
  </si>
  <si>
    <t>Елена Т.</t>
  </si>
  <si>
    <t>Амантай М.</t>
  </si>
  <si>
    <t>Юсуп Д.</t>
  </si>
  <si>
    <t>Сухрабжан М.</t>
  </si>
  <si>
    <t>Айкын А.</t>
  </si>
  <si>
    <t>Татьяна Т.</t>
  </si>
  <si>
    <t>Жандос С.</t>
  </si>
  <si>
    <t>Хуршидам О.</t>
  </si>
  <si>
    <t>Мақсат А.</t>
  </si>
  <si>
    <t>Гульзара А.</t>
  </si>
  <si>
    <t>Шолпан К.</t>
  </si>
  <si>
    <t>Расим М.</t>
  </si>
  <si>
    <t>Ержан Т.</t>
  </si>
  <si>
    <t>Айдын Б.</t>
  </si>
  <si>
    <t>002-3515QB</t>
  </si>
  <si>
    <t>Руслан К.</t>
  </si>
  <si>
    <t>Алексей М.</t>
  </si>
  <si>
    <t>Омар М.</t>
  </si>
  <si>
    <t>Татьяна М.</t>
  </si>
  <si>
    <t>Канат И.</t>
  </si>
  <si>
    <t>Дмитрий Л.</t>
  </si>
  <si>
    <t>Мереке А.</t>
  </si>
  <si>
    <t>Нурбол К.</t>
  </si>
  <si>
    <t>Сусар С.</t>
  </si>
  <si>
    <t>Жаксылык</t>
  </si>
  <si>
    <t>Продано</t>
  </si>
  <si>
    <t>Бауыржан А.</t>
  </si>
  <si>
    <t>Кумис Б.</t>
  </si>
  <si>
    <t>MX4000002R0001444</t>
  </si>
  <si>
    <t>Александр Б.</t>
  </si>
  <si>
    <t>Дидар Б.</t>
  </si>
  <si>
    <t>Зарина А.</t>
  </si>
  <si>
    <t>Рустам Х.</t>
  </si>
  <si>
    <t>Алишер А.</t>
  </si>
  <si>
    <t>Татьяна П.</t>
  </si>
  <si>
    <t>Сейтхан И.</t>
  </si>
  <si>
    <t>Андрей К.</t>
  </si>
  <si>
    <t>Талгат А.</t>
  </si>
  <si>
    <t>Елена З.</t>
  </si>
  <si>
    <t>Рустам П.</t>
  </si>
  <si>
    <t>Тлеген С.</t>
  </si>
  <si>
    <t>Мухан К.</t>
  </si>
  <si>
    <t>Виталий П.</t>
  </si>
  <si>
    <t>Юрий В.</t>
  </si>
  <si>
    <t>Торехан М.</t>
  </si>
  <si>
    <t>продано</t>
  </si>
  <si>
    <t>Дмитрий Г.</t>
  </si>
  <si>
    <t>Нуржамал С.</t>
  </si>
  <si>
    <t>Алексей Л.</t>
  </si>
  <si>
    <t>Александр Л.</t>
  </si>
  <si>
    <t>в ожидании</t>
  </si>
  <si>
    <t>Аруслан Ж.</t>
  </si>
  <si>
    <t>Адилхан Т.</t>
  </si>
  <si>
    <t>Эдуард Б.</t>
  </si>
  <si>
    <t>Герман М.</t>
  </si>
  <si>
    <t>Андрей Б.</t>
  </si>
  <si>
    <t>MX4000002R0002000</t>
  </si>
  <si>
    <t>Назгуль С</t>
  </si>
  <si>
    <t>Тахир С.</t>
  </si>
  <si>
    <t>Виктор К.</t>
  </si>
  <si>
    <t>Удостоверение №</t>
  </si>
  <si>
    <t>Дата выдачи</t>
  </si>
  <si>
    <t>Кем выдан</t>
  </si>
  <si>
    <t>Адрес(Область)</t>
  </si>
  <si>
    <t>Адрес(Город, Район)</t>
  </si>
  <si>
    <t>Адрес(Улица)</t>
  </si>
  <si>
    <t>Адрес( номер дома, квартиры)</t>
  </si>
  <si>
    <t>Оплата KASPI</t>
  </si>
  <si>
    <t>Оплата наличные</t>
  </si>
  <si>
    <t>Белоногова</t>
  </si>
  <si>
    <t>Алена</t>
  </si>
  <si>
    <t>Андреевна</t>
  </si>
  <si>
    <t>040645875</t>
  </si>
  <si>
    <t>МВД РК</t>
  </si>
  <si>
    <t>г.Алматы</t>
  </si>
  <si>
    <t>Рахманов</t>
  </si>
  <si>
    <t>Мурат</t>
  </si>
  <si>
    <t>Халмуратович</t>
  </si>
  <si>
    <t>044798593</t>
  </si>
  <si>
    <t>Талгарский район, пос.Бесагаш, ул.Бейбитшилик 30</t>
  </si>
  <si>
    <t>Бейбитшилик</t>
  </si>
  <si>
    <t>Петрик</t>
  </si>
  <si>
    <t>Ярославович</t>
  </si>
  <si>
    <t>050163641</t>
  </si>
  <si>
    <t>Алматинская</t>
  </si>
  <si>
    <t>неизвестно</t>
  </si>
  <si>
    <t>Ребенков</t>
  </si>
  <si>
    <t>Вячеслав</t>
  </si>
  <si>
    <t>Сергеевич</t>
  </si>
  <si>
    <t>046534151</t>
  </si>
  <si>
    <t>Кулиева</t>
  </si>
  <si>
    <t>Ёсма</t>
  </si>
  <si>
    <t>Ахмедовна</t>
  </si>
  <si>
    <t>045683377</t>
  </si>
  <si>
    <t>Алматинская область</t>
  </si>
  <si>
    <t>_____</t>
  </si>
  <si>
    <t>______</t>
  </si>
  <si>
    <t>Темирбаев</t>
  </si>
  <si>
    <t>Ахванович</t>
  </si>
  <si>
    <t>045893821</t>
  </si>
  <si>
    <t>____</t>
  </si>
  <si>
    <t>Доспергенов</t>
  </si>
  <si>
    <t>Акылбек</t>
  </si>
  <si>
    <t>Казисович</t>
  </si>
  <si>
    <t>047229978</t>
  </si>
  <si>
    <t>Акмолинская область</t>
  </si>
  <si>
    <t>Район Биржан Сал, г.Степняк</t>
  </si>
  <si>
    <t>ул.Сейфуллина</t>
  </si>
  <si>
    <t>Касымов</t>
  </si>
  <si>
    <t>Серик</t>
  </si>
  <si>
    <t>Кушенович</t>
  </si>
  <si>
    <t>019325596</t>
  </si>
  <si>
    <t>МЮ РК</t>
  </si>
  <si>
    <t>г.Макинск</t>
  </si>
  <si>
    <t>Ул.Луговая</t>
  </si>
  <si>
    <t>Сулейменов 2</t>
  </si>
  <si>
    <t>Ерсин</t>
  </si>
  <si>
    <t>Султанович</t>
  </si>
  <si>
    <t>048516590</t>
  </si>
  <si>
    <t>Костанайская область</t>
  </si>
  <si>
    <t>г.Аркалык</t>
  </si>
  <si>
    <t>ул.Ашу тасты, 60 лет казахстан</t>
  </si>
  <si>
    <t>Курбанова</t>
  </si>
  <si>
    <t>Лязиза</t>
  </si>
  <si>
    <t>Зерупжановна</t>
  </si>
  <si>
    <t>036786727</t>
  </si>
  <si>
    <t xml:space="preserve">Алматинская область </t>
  </si>
  <si>
    <t>Г.Талгар</t>
  </si>
  <si>
    <t>Ул.Рыскулова</t>
  </si>
  <si>
    <t>Д.104</t>
  </si>
  <si>
    <t>Абайқызы</t>
  </si>
  <si>
    <t>Нұргүл</t>
  </si>
  <si>
    <t>052028739</t>
  </si>
  <si>
    <t>ҚР ІІМ</t>
  </si>
  <si>
    <t>Илийский район, пос.Караой</t>
  </si>
  <si>
    <t>Шугыла</t>
  </si>
  <si>
    <t>Меньшиков</t>
  </si>
  <si>
    <t>Андрей</t>
  </si>
  <si>
    <t>б/н</t>
  </si>
  <si>
    <t>Талдыкурган</t>
  </si>
  <si>
    <t>Билочук</t>
  </si>
  <si>
    <t>Игорь</t>
  </si>
  <si>
    <t>042054030</t>
  </si>
  <si>
    <t>001128551373</t>
  </si>
  <si>
    <t>с.Астраханка</t>
  </si>
  <si>
    <t>Маяковского</t>
  </si>
  <si>
    <t>2/2</t>
  </si>
  <si>
    <t>Ягминас</t>
  </si>
  <si>
    <t>047758074</t>
  </si>
  <si>
    <t>район Байконыр</t>
  </si>
  <si>
    <t>ул.Коксенгир</t>
  </si>
  <si>
    <t>д.12 кв.2</t>
  </si>
  <si>
    <t>Костюков1</t>
  </si>
  <si>
    <t>Дмитриевич</t>
  </si>
  <si>
    <t>054358115</t>
  </si>
  <si>
    <t>город Алматы</t>
  </si>
  <si>
    <t>мкр.Орбита 2</t>
  </si>
  <si>
    <t>дом 18, кв.26</t>
  </si>
  <si>
    <t>Оспанова</t>
  </si>
  <si>
    <t>Сериковна</t>
  </si>
  <si>
    <t>050380494</t>
  </si>
  <si>
    <t>город Астана</t>
  </si>
  <si>
    <t>район Алматы</t>
  </si>
  <si>
    <t>ул.Жансугурулы</t>
  </si>
  <si>
    <t>д.4/3 КВ.225</t>
  </si>
  <si>
    <t>Байзаков</t>
  </si>
  <si>
    <t>Айбар</t>
  </si>
  <si>
    <t>Сайлауович</t>
  </si>
  <si>
    <t>053400172</t>
  </si>
  <si>
    <t>мкр. Шубары</t>
  </si>
  <si>
    <t>ул.Каратай Турысова</t>
  </si>
  <si>
    <t>Шапарев</t>
  </si>
  <si>
    <t>Витальевич</t>
  </si>
  <si>
    <t>056014519</t>
  </si>
  <si>
    <t>Илийский район, село Мухаметжан Туймебаев</t>
  </si>
  <si>
    <t>ПКСТ Ардагер-Ветеран, 21 линия</t>
  </si>
  <si>
    <t>Бикенова</t>
  </si>
  <si>
    <t>Косымбековна</t>
  </si>
  <si>
    <t>048906928</t>
  </si>
  <si>
    <t>Зерендинский район, с. Конысбай</t>
  </si>
  <si>
    <t>Габдуллина</t>
  </si>
  <si>
    <t>Боровиков</t>
  </si>
  <si>
    <t>Викторович</t>
  </si>
  <si>
    <t>049617497</t>
  </si>
  <si>
    <t>мкр.Рахат</t>
  </si>
  <si>
    <t>ул.Шагала</t>
  </si>
  <si>
    <t>3/1</t>
  </si>
  <si>
    <t>Гаврилюк</t>
  </si>
  <si>
    <t>Артем</t>
  </si>
  <si>
    <t>Алексеевич</t>
  </si>
  <si>
    <t>050735465</t>
  </si>
  <si>
    <t>Жамбульская область</t>
  </si>
  <si>
    <t>с.Кордай</t>
  </si>
  <si>
    <t>ул.Рыскулова</t>
  </si>
  <si>
    <t xml:space="preserve">Каримов </t>
  </si>
  <si>
    <t>Каримович</t>
  </si>
  <si>
    <t>053045761</t>
  </si>
  <si>
    <t>Горный гигант</t>
  </si>
  <si>
    <t xml:space="preserve">Сызганова </t>
  </si>
  <si>
    <t>Базимов</t>
  </si>
  <si>
    <t>Адил</t>
  </si>
  <si>
    <t>Джапаркулович</t>
  </si>
  <si>
    <t>052723263</t>
  </si>
  <si>
    <t>Жамбыльская область</t>
  </si>
  <si>
    <t>Кордайский район, с.Кордай</t>
  </si>
  <si>
    <t>ул.Кордайская</t>
  </si>
  <si>
    <t>Жунусов1</t>
  </si>
  <si>
    <t>Серикбаевич</t>
  </si>
  <si>
    <t>023553247</t>
  </si>
  <si>
    <t>Жамбылский район, пос.Танбалтас</t>
  </si>
  <si>
    <t>ул.Мусабаева</t>
  </si>
  <si>
    <t>12/1</t>
  </si>
  <si>
    <t>Бирюков</t>
  </si>
  <si>
    <t>Анатольевич</t>
  </si>
  <si>
    <t>017772142</t>
  </si>
  <si>
    <t>ул.Верди</t>
  </si>
  <si>
    <t>дом.29</t>
  </si>
  <si>
    <t>Сейдахмет</t>
  </si>
  <si>
    <t>Әнуар</t>
  </si>
  <si>
    <t>Талғатұлы</t>
  </si>
  <si>
    <t>054382555</t>
  </si>
  <si>
    <t>020904500596</t>
  </si>
  <si>
    <t>Жетысу обл.</t>
  </si>
  <si>
    <t>Кербулатский р-н, с.Караагаш</t>
  </si>
  <si>
    <t>ул.Алдабергенова</t>
  </si>
  <si>
    <t>д.6/1</t>
  </si>
  <si>
    <t>Некерев</t>
  </si>
  <si>
    <t>Егорович</t>
  </si>
  <si>
    <t>055134561</t>
  </si>
  <si>
    <t>Турксибский р-н</t>
  </si>
  <si>
    <t>ул.Приозерная</t>
  </si>
  <si>
    <t>д.8</t>
  </si>
  <si>
    <t>Мещеряков</t>
  </si>
  <si>
    <t>Денис</t>
  </si>
  <si>
    <t>047611726</t>
  </si>
  <si>
    <t>Акмолинская обл.</t>
  </si>
  <si>
    <t>г.Кокшетау</t>
  </si>
  <si>
    <t>ул.Ауезова</t>
  </si>
  <si>
    <t>д.213б кв.135</t>
  </si>
  <si>
    <t>Айтимов 1</t>
  </si>
  <si>
    <t>Адилбек</t>
  </si>
  <si>
    <t>Исламбекович</t>
  </si>
  <si>
    <t>039407719</t>
  </si>
  <si>
    <t>Алматинская обл.</t>
  </si>
  <si>
    <t>Жамбылский район, г.Узынагаш</t>
  </si>
  <si>
    <t>ул. Парасат</t>
  </si>
  <si>
    <t>Сабитова</t>
  </si>
  <si>
    <t>Еспембетовна</t>
  </si>
  <si>
    <t>018351765</t>
  </si>
  <si>
    <t>г. Астана</t>
  </si>
  <si>
    <t>р-н Алматы</t>
  </si>
  <si>
    <t>мкр. Юго-Восток, ул.Кенгир</t>
  </si>
  <si>
    <t>Тарбаков</t>
  </si>
  <si>
    <t>Жумабекович</t>
  </si>
  <si>
    <t>048136170</t>
  </si>
  <si>
    <t>Северо-Казахстанская область</t>
  </si>
  <si>
    <t>г.Тайынша</t>
  </si>
  <si>
    <t>ул.Астана</t>
  </si>
  <si>
    <t>Широков</t>
  </si>
  <si>
    <t>051982733</t>
  </si>
  <si>
    <t>Енбекшиказахский район, Рахатский с.о., с.Орікті</t>
  </si>
  <si>
    <t>ул.Жетісу</t>
  </si>
  <si>
    <t>д.10A</t>
  </si>
  <si>
    <t>Каналимов</t>
  </si>
  <si>
    <t>Хасмзадович</t>
  </si>
  <si>
    <t>037898794</t>
  </si>
  <si>
    <t>г.Астана</t>
  </si>
  <si>
    <t>р-н Сарыарка</t>
  </si>
  <si>
    <t>ул. Айдархана Турлыбаева</t>
  </si>
  <si>
    <t>Аргинбаев</t>
  </si>
  <si>
    <t>Кадырович</t>
  </si>
  <si>
    <t>051050784</t>
  </si>
  <si>
    <t>Целиноградский район</t>
  </si>
  <si>
    <t>ул.Алькей Маргулана</t>
  </si>
  <si>
    <t>59/4</t>
  </si>
  <si>
    <t>Юлдабаева</t>
  </si>
  <si>
    <t>Диана</t>
  </si>
  <si>
    <t>Рафаильевна</t>
  </si>
  <si>
    <t>049032417</t>
  </si>
  <si>
    <t>Наурызбайский район</t>
  </si>
  <si>
    <t>Тау Самалы</t>
  </si>
  <si>
    <t>Харламова 2</t>
  </si>
  <si>
    <t>Никита</t>
  </si>
  <si>
    <t>050683269</t>
  </si>
  <si>
    <t>Мкр. №8</t>
  </si>
  <si>
    <t>д.1</t>
  </si>
  <si>
    <t>кв.56</t>
  </si>
  <si>
    <t>Берекетов</t>
  </si>
  <si>
    <t>Надим</t>
  </si>
  <si>
    <t>Койшыбекович</t>
  </si>
  <si>
    <t>037554479</t>
  </si>
  <si>
    <t>г.Кунаев</t>
  </si>
  <si>
    <t>ул.Дзержинского</t>
  </si>
  <si>
    <t>д.15, кв.5</t>
  </si>
  <si>
    <t>Мухамбетов</t>
  </si>
  <si>
    <t>Аскербек</t>
  </si>
  <si>
    <t>Кайрбаевич</t>
  </si>
  <si>
    <t>051841732</t>
  </si>
  <si>
    <t>Целиноградский р-н, с.Караоткель</t>
  </si>
  <si>
    <t>Асанов 1</t>
  </si>
  <si>
    <t>Борисович</t>
  </si>
  <si>
    <t>048558697</t>
  </si>
  <si>
    <t>ул.Потанина</t>
  </si>
  <si>
    <t>400 корпус 1</t>
  </si>
  <si>
    <t>Серикбек</t>
  </si>
  <si>
    <t>Еркебулан</t>
  </si>
  <si>
    <t>049999592</t>
  </si>
  <si>
    <t>Карагандинская обл.</t>
  </si>
  <si>
    <t>Оскааровский р-н</t>
  </si>
  <si>
    <t>ул.Караганды</t>
  </si>
  <si>
    <t>Аубакиров</t>
  </si>
  <si>
    <t>Солтанайұлы</t>
  </si>
  <si>
    <t>039848815</t>
  </si>
  <si>
    <t>Талгарский р-н, Нура</t>
  </si>
  <si>
    <t>ул. 8 Марта</t>
  </si>
  <si>
    <t>д.32 кв.1</t>
  </si>
  <si>
    <t>Новичихин</t>
  </si>
  <si>
    <t>044971370</t>
  </si>
  <si>
    <t>ул.Сыздыкова</t>
  </si>
  <si>
    <t>Ахметов</t>
  </si>
  <si>
    <t>Ерболович</t>
  </si>
  <si>
    <t>037051895</t>
  </si>
  <si>
    <t>область Жетысу</t>
  </si>
  <si>
    <t>г.Жаркент, с.Улкен шыган</t>
  </si>
  <si>
    <t>Сейфуллина</t>
  </si>
  <si>
    <t>Юзликаев</t>
  </si>
  <si>
    <t>Ильдарович</t>
  </si>
  <si>
    <t>046657131</t>
  </si>
  <si>
    <t>Карасайский район, пос.Жанатурмыс</t>
  </si>
  <si>
    <t>ул.Алтынсарина</t>
  </si>
  <si>
    <t>д.21</t>
  </si>
  <si>
    <t>Сайранбек</t>
  </si>
  <si>
    <t>Гульзада</t>
  </si>
  <si>
    <t>053073062</t>
  </si>
  <si>
    <t>г.Астана шамшыкалдаква 28 КВ 350</t>
  </si>
  <si>
    <t>Ш.Калдаякова</t>
  </si>
  <si>
    <t>д.28, кв.350</t>
  </si>
  <si>
    <t>Гумарова</t>
  </si>
  <si>
    <t>Наурызовна</t>
  </si>
  <si>
    <t>022586181</t>
  </si>
  <si>
    <t>Целиноградский район, с.Коянды</t>
  </si>
  <si>
    <t>учетный квартал</t>
  </si>
  <si>
    <t>014</t>
  </si>
  <si>
    <t>Курмангалиев</t>
  </si>
  <si>
    <t>Тойкеевич</t>
  </si>
  <si>
    <t>048426462</t>
  </si>
  <si>
    <t>ул.Караменде би Шакаулы</t>
  </si>
  <si>
    <t>64 ВП-4 ЖК Берекет</t>
  </si>
  <si>
    <t>Хусаинов1</t>
  </si>
  <si>
    <t>Радмир</t>
  </si>
  <si>
    <t>Рашидович</t>
  </si>
  <si>
    <t>050398837</t>
  </si>
  <si>
    <t>Ескельдинский р-н, пос.Карабулак</t>
  </si>
  <si>
    <t>Ул.Лихачева</t>
  </si>
  <si>
    <t>Д.8 КВ.1</t>
  </si>
  <si>
    <t>Унгарбеков</t>
  </si>
  <si>
    <t>Турдаханович</t>
  </si>
  <si>
    <t>041753767</t>
  </si>
  <si>
    <t>обл. Жетысу</t>
  </si>
  <si>
    <t>г. Жаркент, пос.Головацкий</t>
  </si>
  <si>
    <t>ул. Райымбек батыра</t>
  </si>
  <si>
    <t>Абдибеков</t>
  </si>
  <si>
    <t>Толеген</t>
  </si>
  <si>
    <t>Кудышович</t>
  </si>
  <si>
    <t>054789131</t>
  </si>
  <si>
    <t>Сергеевский р-н, с.Кегень</t>
  </si>
  <si>
    <t>ул.Ш.Уалиханова</t>
  </si>
  <si>
    <t>Дуйсеков</t>
  </si>
  <si>
    <t>Жумабек</t>
  </si>
  <si>
    <t>Сагынбаевич</t>
  </si>
  <si>
    <t>047743091</t>
  </si>
  <si>
    <t xml:space="preserve">Илийский р-н, с.Аксай, ПКСТ Кок Жиек, </t>
  </si>
  <si>
    <t>ул. 5-линия</t>
  </si>
  <si>
    <t>д.304А</t>
  </si>
  <si>
    <t>Пияшкин</t>
  </si>
  <si>
    <t>017579341</t>
  </si>
  <si>
    <t>ул.Назарбаева</t>
  </si>
  <si>
    <t>д.8, кв.151</t>
  </si>
  <si>
    <t>Грабовский</t>
  </si>
  <si>
    <t>Павел</t>
  </si>
  <si>
    <t>054981954</t>
  </si>
  <si>
    <t>Северо-Казахстанская обл.</t>
  </si>
  <si>
    <t>Тайыншинский р-н,</t>
  </si>
  <si>
    <t xml:space="preserve"> с.Драгомировка</t>
  </si>
  <si>
    <t>Жумангужина</t>
  </si>
  <si>
    <t>Тюлюгеновна</t>
  </si>
  <si>
    <t>019349306</t>
  </si>
  <si>
    <t>Целиноградский р-н, пос.Караоткель</t>
  </si>
  <si>
    <t>ул.Ж.Жабаева</t>
  </si>
  <si>
    <t>д.38</t>
  </si>
  <si>
    <t>Белгибаева</t>
  </si>
  <si>
    <t>Жасулан</t>
  </si>
  <si>
    <t>Дуйсенбекович</t>
  </si>
  <si>
    <t>054651314</t>
  </si>
  <si>
    <t>г. Аркалык</t>
  </si>
  <si>
    <t>ул. Абая</t>
  </si>
  <si>
    <t>42/2</t>
  </si>
  <si>
    <t>Харламов 1</t>
  </si>
  <si>
    <t>Георгий</t>
  </si>
  <si>
    <t>Александрович</t>
  </si>
  <si>
    <t>046723901</t>
  </si>
  <si>
    <t>мкр.Калкаман</t>
  </si>
  <si>
    <t>ул.Байтели батыра</t>
  </si>
  <si>
    <t>д.75</t>
  </si>
  <si>
    <t>Батяйкин</t>
  </si>
  <si>
    <t>Степанович</t>
  </si>
  <si>
    <t>043275392</t>
  </si>
  <si>
    <t>мкр.Жастар</t>
  </si>
  <si>
    <t>пер.Ташенова</t>
  </si>
  <si>
    <t>д.8/1</t>
  </si>
  <si>
    <t>Куликова</t>
  </si>
  <si>
    <t>Евгеньевна</t>
  </si>
  <si>
    <t>038128498</t>
  </si>
  <si>
    <t>г. Алматы</t>
  </si>
  <si>
    <t>пр-т Суюнбая</t>
  </si>
  <si>
    <t>д.231а</t>
  </si>
  <si>
    <t>Волкова</t>
  </si>
  <si>
    <t>041029217</t>
  </si>
  <si>
    <t>Жетысуйский район</t>
  </si>
  <si>
    <t xml:space="preserve">Ул.Павлодарская </t>
  </si>
  <si>
    <t>Бопышев</t>
  </si>
  <si>
    <t>Нурбек</t>
  </si>
  <si>
    <t>Сулейманович</t>
  </si>
  <si>
    <t>Целиноградский р-н, пос. Коянды</t>
  </si>
  <si>
    <t>ул.Байтерек</t>
  </si>
  <si>
    <t>Дерюгин</t>
  </si>
  <si>
    <t>039973227</t>
  </si>
  <si>
    <t>Илийский р-н, пос.Жапек батыра</t>
  </si>
  <si>
    <t>ул.Алтаева</t>
  </si>
  <si>
    <t>Туртаева</t>
  </si>
  <si>
    <t>Абылкановна</t>
  </si>
  <si>
    <t>052907329</t>
  </si>
  <si>
    <t>обл.Жетысу</t>
  </si>
  <si>
    <t>г.Талдыкорган, р-н Северо-Западный</t>
  </si>
  <si>
    <t>ул.Жексенбекова</t>
  </si>
  <si>
    <t>Ворошилов</t>
  </si>
  <si>
    <t>049476905</t>
  </si>
  <si>
    <t xml:space="preserve">мкр.Кемел, </t>
  </si>
  <si>
    <t>ул.Даурен Кудабайулы</t>
  </si>
  <si>
    <t>д.123</t>
  </si>
  <si>
    <t>Мусаинов</t>
  </si>
  <si>
    <t>Бауржан</t>
  </si>
  <si>
    <t>Нурланович</t>
  </si>
  <si>
    <t>049536867</t>
  </si>
  <si>
    <t>Алатауский р-н, мкр.Мадениет</t>
  </si>
  <si>
    <t>ул.Майтобе</t>
  </si>
  <si>
    <t>д.3</t>
  </si>
  <si>
    <t>Кенжеахмет</t>
  </si>
  <si>
    <t>Сейітұлы</t>
  </si>
  <si>
    <t>056848874</t>
  </si>
  <si>
    <t>р-н Есиль</t>
  </si>
  <si>
    <t>ул.Казыбек би</t>
  </si>
  <si>
    <t>д.5а, кв.585</t>
  </si>
  <si>
    <t>Сатыбаев</t>
  </si>
  <si>
    <t>Мереке</t>
  </si>
  <si>
    <t>043353420</t>
  </si>
  <si>
    <t>Акмолиснкая</t>
  </si>
  <si>
    <t>с. Зеренда</t>
  </si>
  <si>
    <t>ул. Красноармейская</t>
  </si>
  <si>
    <t>Мускеев</t>
  </si>
  <si>
    <t>Саид</t>
  </si>
  <si>
    <t>Малсакович</t>
  </si>
  <si>
    <t>045227430</t>
  </si>
  <si>
    <t>ул.Агыбай батыра</t>
  </si>
  <si>
    <t>д.20</t>
  </si>
  <si>
    <t>Жакупов</t>
  </si>
  <si>
    <t>Валихан</t>
  </si>
  <si>
    <t>040389962</t>
  </si>
  <si>
    <t>г. Атбасар</t>
  </si>
  <si>
    <t>ул. Лукобелаж</t>
  </si>
  <si>
    <t>39/1</t>
  </si>
  <si>
    <t>Досболов</t>
  </si>
  <si>
    <t>Муслим</t>
  </si>
  <si>
    <t>Шабденұлы</t>
  </si>
  <si>
    <t>038534703</t>
  </si>
  <si>
    <t>г.Конаев</t>
  </si>
  <si>
    <t>ул.Илийская</t>
  </si>
  <si>
    <t>д.30</t>
  </si>
  <si>
    <t>Веретенников</t>
  </si>
  <si>
    <t>049794021</t>
  </si>
  <si>
    <t>Илийский р-н, пос.Бурундай</t>
  </si>
  <si>
    <t>ул.Устаздар</t>
  </si>
  <si>
    <t>д.4А</t>
  </si>
  <si>
    <t>Тимкина</t>
  </si>
  <si>
    <t>Ольга</t>
  </si>
  <si>
    <t>Викторовна</t>
  </si>
  <si>
    <t>037265241</t>
  </si>
  <si>
    <t>Жамбылский р-н, с.Узынагаш</t>
  </si>
  <si>
    <t>ул.Азербаева</t>
  </si>
  <si>
    <t>Джунуспеков</t>
  </si>
  <si>
    <t>Ахметович</t>
  </si>
  <si>
    <t>044734838</t>
  </si>
  <si>
    <t>г.Ерементау</t>
  </si>
  <si>
    <t>ул.Мукатова</t>
  </si>
  <si>
    <t>Жакаев</t>
  </si>
  <si>
    <t>Урикович</t>
  </si>
  <si>
    <t>045260008</t>
  </si>
  <si>
    <t>ул.Жумабаева</t>
  </si>
  <si>
    <t>д.9/2, кв.40</t>
  </si>
  <si>
    <t>Казиханов</t>
  </si>
  <si>
    <t>Таупбекович</t>
  </si>
  <si>
    <t>054371240</t>
  </si>
  <si>
    <t>ул.Тауелсиздик</t>
  </si>
  <si>
    <t>д.12/1 кв.28</t>
  </si>
  <si>
    <t>Кобжасаров</t>
  </si>
  <si>
    <t>Асет</t>
  </si>
  <si>
    <t>Оразбекович</t>
  </si>
  <si>
    <t>056052474</t>
  </si>
  <si>
    <t>СКО</t>
  </si>
  <si>
    <t>р-н им. Габита Мусрепова, с Рузаевка</t>
  </si>
  <si>
    <t>ул. Степная</t>
  </si>
  <si>
    <t>42/1</t>
  </si>
  <si>
    <t>Токтагулов</t>
  </si>
  <si>
    <t>Даурен</t>
  </si>
  <si>
    <t>Токтагулулы</t>
  </si>
  <si>
    <t>021484601</t>
  </si>
  <si>
    <t>ул.Кызылординская</t>
  </si>
  <si>
    <t>д.4/1</t>
  </si>
  <si>
    <t>Кальтенбергер</t>
  </si>
  <si>
    <t>054705124</t>
  </si>
  <si>
    <t>Уалихановский район, село Кишкенеколь</t>
  </si>
  <si>
    <t>ул. Сейфулина</t>
  </si>
  <si>
    <t>Ли</t>
  </si>
  <si>
    <t>Вадим</t>
  </si>
  <si>
    <t>045459103</t>
  </si>
  <si>
    <t>г.Талдыкорган</t>
  </si>
  <si>
    <t>ул.Аксуйская</t>
  </si>
  <si>
    <t>д.9, кв.2</t>
  </si>
  <si>
    <t xml:space="preserve">Кондратьев </t>
  </si>
  <si>
    <t>057007005</t>
  </si>
  <si>
    <t>Талгарский р-н</t>
  </si>
  <si>
    <t>ул. Гулдана Наурызбай батыра</t>
  </si>
  <si>
    <t xml:space="preserve">Жаксыбаев </t>
  </si>
  <si>
    <t>Магауия</t>
  </si>
  <si>
    <t>Муратович</t>
  </si>
  <si>
    <t>054355863</t>
  </si>
  <si>
    <t xml:space="preserve"> Алматы облысы</t>
  </si>
  <si>
    <t>Жамбыл ауданы</t>
  </si>
  <si>
    <t>Жандос</t>
  </si>
  <si>
    <t>Хомидов</t>
  </si>
  <si>
    <t>Жавлон</t>
  </si>
  <si>
    <t>Норбоевич</t>
  </si>
  <si>
    <t>056411413</t>
  </si>
  <si>
    <t>Илийский район, с. Байсерке</t>
  </si>
  <si>
    <t>Механизатор УМР</t>
  </si>
  <si>
    <t>д.78</t>
  </si>
  <si>
    <t>Нусипов</t>
  </si>
  <si>
    <t>Бакытжан</t>
  </si>
  <si>
    <t>Танибергенович</t>
  </si>
  <si>
    <t>Зоркальцева</t>
  </si>
  <si>
    <t>Екатерина</t>
  </si>
  <si>
    <t>Ивановна</t>
  </si>
  <si>
    <t>056674588</t>
  </si>
  <si>
    <t>Шортандинский р-н, пос.Шортанды</t>
  </si>
  <si>
    <t>ул.Лермонтова</t>
  </si>
  <si>
    <t>д.16 кв.15</t>
  </si>
  <si>
    <t>Мусалиев</t>
  </si>
  <si>
    <t>Валерий</t>
  </si>
  <si>
    <t>Мукашевич</t>
  </si>
  <si>
    <t>054731344</t>
  </si>
  <si>
    <t>Алматинский р-н</t>
  </si>
  <si>
    <t>ул.Ш.Калдаякова</t>
  </si>
  <si>
    <t>д.11, кв.196</t>
  </si>
  <si>
    <t>Хусуров</t>
  </si>
  <si>
    <t>Дильмурат</t>
  </si>
  <si>
    <t>Марсович</t>
  </si>
  <si>
    <t>049161307</t>
  </si>
  <si>
    <t>Алмалинский р-н</t>
  </si>
  <si>
    <t>ул.Наурызбай батыра</t>
  </si>
  <si>
    <t>д.99/1, кв.35</t>
  </si>
  <si>
    <t>Мошков</t>
  </si>
  <si>
    <t>041746930</t>
  </si>
  <si>
    <t>ул. Молдагулова</t>
  </si>
  <si>
    <t>21А, кв. 9</t>
  </si>
  <si>
    <t>Калменова</t>
  </si>
  <si>
    <t>Айгерим</t>
  </si>
  <si>
    <t>Жарылкасынкызы</t>
  </si>
  <si>
    <t>050269338</t>
  </si>
  <si>
    <t>ул. Куйши дина</t>
  </si>
  <si>
    <t>д.1, кв.77</t>
  </si>
  <si>
    <t>Махмутов</t>
  </si>
  <si>
    <t>Тлеукабыл</t>
  </si>
  <si>
    <t>Рахимбекович</t>
  </si>
  <si>
    <t>016937821</t>
  </si>
  <si>
    <t>Акмолинская обл,</t>
  </si>
  <si>
    <t>Зерендинский район, станция Чаглинка,</t>
  </si>
  <si>
    <t>ул. Советская</t>
  </si>
  <si>
    <t>Якубов</t>
  </si>
  <si>
    <t>Руфат</t>
  </si>
  <si>
    <t>Пархатович</t>
  </si>
  <si>
    <t>047059093</t>
  </si>
  <si>
    <t>Алматинская обл</t>
  </si>
  <si>
    <t>Уйгурский р-н, с.Кыргысай</t>
  </si>
  <si>
    <t>ул.Розыбакиева</t>
  </si>
  <si>
    <t>д.6</t>
  </si>
  <si>
    <t>Гусевы</t>
  </si>
  <si>
    <t>051533375</t>
  </si>
  <si>
    <t>г.Каскелен</t>
  </si>
  <si>
    <t>ул.Кисикова</t>
  </si>
  <si>
    <t>д.85</t>
  </si>
  <si>
    <t>Сейдеметов1</t>
  </si>
  <si>
    <t>Асхат</t>
  </si>
  <si>
    <t>Ертасович</t>
  </si>
  <si>
    <t>046023523</t>
  </si>
  <si>
    <t>Кызылординская обл.</t>
  </si>
  <si>
    <t>г.Кызылорда</t>
  </si>
  <si>
    <t>ул.Багаева</t>
  </si>
  <si>
    <t>д.4</t>
  </si>
  <si>
    <t xml:space="preserve">Бабенков </t>
  </si>
  <si>
    <t>054257390</t>
  </si>
  <si>
    <t>СКО,</t>
  </si>
  <si>
    <t>район Габита Мусрепова, с. Чистополье,</t>
  </si>
  <si>
    <t>ул. Космонавтов,</t>
  </si>
  <si>
    <t>дом 5</t>
  </si>
  <si>
    <t>Ахатов</t>
  </si>
  <si>
    <t>Болатович</t>
  </si>
  <si>
    <t>053556638</t>
  </si>
  <si>
    <t>ул.Сарайшык</t>
  </si>
  <si>
    <t>Легеза</t>
  </si>
  <si>
    <t>026891863</t>
  </si>
  <si>
    <t>Айыртауский р-н, с. Куспек</t>
  </si>
  <si>
    <t>Озерная</t>
  </si>
  <si>
    <t>Коптлеуов 1</t>
  </si>
  <si>
    <t>Аслан</t>
  </si>
  <si>
    <t>Толегенович</t>
  </si>
  <si>
    <t>г.Талдыкурган</t>
  </si>
  <si>
    <t>Егорова</t>
  </si>
  <si>
    <t>Виктория</t>
  </si>
  <si>
    <t>Витальевна</t>
  </si>
  <si>
    <t>054206455</t>
  </si>
  <si>
    <t>Ауезовский р-н</t>
  </si>
  <si>
    <t>мкр.5</t>
  </si>
  <si>
    <t>Омержанов</t>
  </si>
  <si>
    <t>Куанышбек</t>
  </si>
  <si>
    <t>Жаныбекович</t>
  </si>
  <si>
    <t>047325204</t>
  </si>
  <si>
    <t>Аршалынский р-н</t>
  </si>
  <si>
    <t>ул.Добровольского</t>
  </si>
  <si>
    <t>д.9 кв.21</t>
  </si>
  <si>
    <t>Ким1</t>
  </si>
  <si>
    <t>Виталий</t>
  </si>
  <si>
    <t>Юрьевич</t>
  </si>
  <si>
    <t>049264991</t>
  </si>
  <si>
    <t>Медеуский р-н</t>
  </si>
  <si>
    <t>ул.Истомина</t>
  </si>
  <si>
    <t>д.122</t>
  </si>
  <si>
    <t>Багдадов</t>
  </si>
  <si>
    <t>Багдад</t>
  </si>
  <si>
    <t>051193226</t>
  </si>
  <si>
    <t>000224551045</t>
  </si>
  <si>
    <t>Восточно-Казахстанская область</t>
  </si>
  <si>
    <t>г.Шемонаиха</t>
  </si>
  <si>
    <t>ул.Иртышская</t>
  </si>
  <si>
    <t>д.11/2</t>
  </si>
  <si>
    <t>Гордиенко</t>
  </si>
  <si>
    <t>Леонид</t>
  </si>
  <si>
    <t>Константинович</t>
  </si>
  <si>
    <t>056510281</t>
  </si>
  <si>
    <t>ул.Саратовская</t>
  </si>
  <si>
    <t>д.41</t>
  </si>
  <si>
    <t>Игенов</t>
  </si>
  <si>
    <t>Муса</t>
  </si>
  <si>
    <t>Альмусаевич</t>
  </si>
  <si>
    <t>038131438</t>
  </si>
  <si>
    <t>Улытауская обл.</t>
  </si>
  <si>
    <t>г.Жезказган</t>
  </si>
  <si>
    <t>пос.Кенгир, ул.Сатпаева</t>
  </si>
  <si>
    <t>д.39-1</t>
  </si>
  <si>
    <t>Веселовский</t>
  </si>
  <si>
    <t>Руслан</t>
  </si>
  <si>
    <t>Андреевич</t>
  </si>
  <si>
    <t>055163107</t>
  </si>
  <si>
    <t>071203554136</t>
  </si>
  <si>
    <t>п.Даулет, ул.Спандияр</t>
  </si>
  <si>
    <t>Сарбасов</t>
  </si>
  <si>
    <t>Рахат</t>
  </si>
  <si>
    <t>Галымович</t>
  </si>
  <si>
    <t>048340558</t>
  </si>
  <si>
    <t>Акмолинская область,</t>
  </si>
  <si>
    <t>г. Кокшетау,</t>
  </si>
  <si>
    <t>ул. Андрея Остапенко,</t>
  </si>
  <si>
    <t>д. 23</t>
  </si>
  <si>
    <t>Нагаев</t>
  </si>
  <si>
    <t>Ильвир</t>
  </si>
  <si>
    <t>Халильевич</t>
  </si>
  <si>
    <t>056715188</t>
  </si>
  <si>
    <t>ул.С303</t>
  </si>
  <si>
    <t>д. 2/5 кв. 31</t>
  </si>
  <si>
    <t>Темирбулатов</t>
  </si>
  <si>
    <t>Куанышбекович</t>
  </si>
  <si>
    <t>039109556</t>
  </si>
  <si>
    <t>г.Кокшетау, с.Красный яр</t>
  </si>
  <si>
    <t>Ул.Мира</t>
  </si>
  <si>
    <t>д.5, кв.1</t>
  </si>
  <si>
    <t>Енцов</t>
  </si>
  <si>
    <t>Иван</t>
  </si>
  <si>
    <t>040382892</t>
  </si>
  <si>
    <t>Астраханский район, с. Таволжанка,</t>
  </si>
  <si>
    <t>ул. Речная,</t>
  </si>
  <si>
    <t>д. 8</t>
  </si>
  <si>
    <t>Руппель</t>
  </si>
  <si>
    <t>Федор</t>
  </si>
  <si>
    <t>040239576</t>
  </si>
  <si>
    <t>Зерендинский район, с. Шагалалы,</t>
  </si>
  <si>
    <t>ул. Женис,</t>
  </si>
  <si>
    <t>д 32</t>
  </si>
  <si>
    <t>Сейтқалиев</t>
  </si>
  <si>
    <t>Дәулет</t>
  </si>
  <si>
    <t>Қанатұлы</t>
  </si>
  <si>
    <t>037076789</t>
  </si>
  <si>
    <t>Алматинская область,</t>
  </si>
  <si>
    <t xml:space="preserve">Жетысуский район, </t>
  </si>
  <si>
    <t>Мкр-н Кокжиек,</t>
  </si>
  <si>
    <t>дом 11, кв 29</t>
  </si>
  <si>
    <t>Рамазанов</t>
  </si>
  <si>
    <t>Едил</t>
  </si>
  <si>
    <t>Аманжолович</t>
  </si>
  <si>
    <t>Жетысуская область,</t>
  </si>
  <si>
    <t>Панфиловский район, с. Ушарал,</t>
  </si>
  <si>
    <t>ул. 60 Жылдык,</t>
  </si>
  <si>
    <t>д. 49</t>
  </si>
  <si>
    <t xml:space="preserve">Кожабаев </t>
  </si>
  <si>
    <t>Айтжанович</t>
  </si>
  <si>
    <t>052693850</t>
  </si>
  <si>
    <t>г.Кокшетау,</t>
  </si>
  <si>
    <t>мкр-н Сарыарка,</t>
  </si>
  <si>
    <t>д. 2, кв 38</t>
  </si>
  <si>
    <t>Коваль</t>
  </si>
  <si>
    <t>042352318</t>
  </si>
  <si>
    <t>010206551326</t>
  </si>
  <si>
    <t>Павлодарская обл.</t>
  </si>
  <si>
    <t>г.Экибастуз</t>
  </si>
  <si>
    <t>ул.Сатпаева</t>
  </si>
  <si>
    <t>д.48, кв.21</t>
  </si>
  <si>
    <t>Хелаев</t>
  </si>
  <si>
    <t>Сабир</t>
  </si>
  <si>
    <t>Биналиевич</t>
  </si>
  <si>
    <t>043338119</t>
  </si>
  <si>
    <t>020707501187</t>
  </si>
  <si>
    <t>Карасайский р-н, с.Турар</t>
  </si>
  <si>
    <t>ул.Байжасарова</t>
  </si>
  <si>
    <t>д.2/1</t>
  </si>
  <si>
    <t>Дусаев</t>
  </si>
  <si>
    <t>Ринат</t>
  </si>
  <si>
    <t>Шавкетович</t>
  </si>
  <si>
    <t>039700607</t>
  </si>
  <si>
    <t>г. Талдыкорган, Подхоз 3 отделение,</t>
  </si>
  <si>
    <t>ул. Кокбастау,</t>
  </si>
  <si>
    <t>д.23</t>
  </si>
  <si>
    <t>Ибраймов</t>
  </si>
  <si>
    <t>Түсіпбекұлы</t>
  </si>
  <si>
    <t>052097912</t>
  </si>
  <si>
    <t>Богенбай батыра</t>
  </si>
  <si>
    <t>д.25</t>
  </si>
  <si>
    <t>Баядилов</t>
  </si>
  <si>
    <t>Амангельды</t>
  </si>
  <si>
    <t>Сматович</t>
  </si>
  <si>
    <t>056418753</t>
  </si>
  <si>
    <t>мкр.Коктобе, ул.Домбыра</t>
  </si>
  <si>
    <t>д.48</t>
  </si>
  <si>
    <t>Месевро</t>
  </si>
  <si>
    <t>Вячеславович</t>
  </si>
  <si>
    <t>048188849</t>
  </si>
  <si>
    <t>Бостандыкский р-н</t>
  </si>
  <si>
    <t>ул.Навои</t>
  </si>
  <si>
    <t>д.208/6, кв.171</t>
  </si>
  <si>
    <t>Мустаев</t>
  </si>
  <si>
    <t>Молдагали</t>
  </si>
  <si>
    <t>Мульдибикович</t>
  </si>
  <si>
    <t>049810912</t>
  </si>
  <si>
    <t>Уральская область,</t>
  </si>
  <si>
    <t>Бурлинский район, г. Аксай,</t>
  </si>
  <si>
    <t xml:space="preserve">мкр-н 5, </t>
  </si>
  <si>
    <t>дом 14, кв 130</t>
  </si>
  <si>
    <t>Избасханов</t>
  </si>
  <si>
    <t>Данияр</t>
  </si>
  <si>
    <t>Жанабаевич</t>
  </si>
  <si>
    <t>054887893</t>
  </si>
  <si>
    <t>ул.Нажемиденова</t>
  </si>
  <si>
    <t>д.29, кв.124</t>
  </si>
  <si>
    <t>Саденов</t>
  </si>
  <si>
    <t>Кенгирбаевич</t>
  </si>
  <si>
    <t>046870188</t>
  </si>
  <si>
    <t>ул.Байсеитова</t>
  </si>
  <si>
    <t>д.8, кв.325</t>
  </si>
  <si>
    <t>Иванова</t>
  </si>
  <si>
    <t>Юрий</t>
  </si>
  <si>
    <t>049059264</t>
  </si>
  <si>
    <t>Егиндикольский р-н, с.Спиридоновка</t>
  </si>
  <si>
    <t>ул. Целинная</t>
  </si>
  <si>
    <t>д.4/2</t>
  </si>
  <si>
    <t>Нурабаев</t>
  </si>
  <si>
    <t>Ауез</t>
  </si>
  <si>
    <t>Бекенович</t>
  </si>
  <si>
    <t>056517776</t>
  </si>
  <si>
    <t xml:space="preserve">г. Кокшетау, </t>
  </si>
  <si>
    <t>Мкр-н Бирлик, ул. Белес,</t>
  </si>
  <si>
    <t>д.14</t>
  </si>
  <si>
    <t>Жұманғазы</t>
  </si>
  <si>
    <t>Серікұлы</t>
  </si>
  <si>
    <t>050479157</t>
  </si>
  <si>
    <t>г.Талгар</t>
  </si>
  <si>
    <t>ул.Жубанова</t>
  </si>
  <si>
    <t>д.36</t>
  </si>
  <si>
    <t>Омарова</t>
  </si>
  <si>
    <t>Азамат</t>
  </si>
  <si>
    <t>Жаксылыкович</t>
  </si>
  <si>
    <t>050701597</t>
  </si>
  <si>
    <t>Наурызбайский р-н</t>
  </si>
  <si>
    <t>мкр.Тастыбулак</t>
  </si>
  <si>
    <t>ул.Школа 39, д.2</t>
  </si>
  <si>
    <t>Гильмизянов</t>
  </si>
  <si>
    <t>Румен</t>
  </si>
  <si>
    <t>Камилевич</t>
  </si>
  <si>
    <t>040847226</t>
  </si>
  <si>
    <t xml:space="preserve">Акмолинская область, </t>
  </si>
  <si>
    <t>г. Кокшетау, Садовое товарищество Автомобилист,</t>
  </si>
  <si>
    <t>ул. Восьмая,</t>
  </si>
  <si>
    <t>Уристемов</t>
  </si>
  <si>
    <t>Самат</t>
  </si>
  <si>
    <t>Булатбекович</t>
  </si>
  <si>
    <t>053870776</t>
  </si>
  <si>
    <t>р-н Нура</t>
  </si>
  <si>
    <t>ул.И.Омарова</t>
  </si>
  <si>
    <t>Нүкен</t>
  </si>
  <si>
    <t>Абай</t>
  </si>
  <si>
    <t>Қайратұлы</t>
  </si>
  <si>
    <t>036970109</t>
  </si>
  <si>
    <t>Илийский р-н, п.Жапек батыра</t>
  </si>
  <si>
    <t>ул.Оналбай</t>
  </si>
  <si>
    <t>д.24</t>
  </si>
  <si>
    <t>Тасенов</t>
  </si>
  <si>
    <t>041419486</t>
  </si>
  <si>
    <t>831205350086</t>
  </si>
  <si>
    <t>Сандыктауский р-н, с.Меньшиковка</t>
  </si>
  <si>
    <t>ул.Магжана Тасенова</t>
  </si>
  <si>
    <t>Волков</t>
  </si>
  <si>
    <t>Павлович</t>
  </si>
  <si>
    <t>017944938</t>
  </si>
  <si>
    <t xml:space="preserve">г. Атбасар, </t>
  </si>
  <si>
    <t xml:space="preserve">поселок КСМК, </t>
  </si>
  <si>
    <t>д.28</t>
  </si>
  <si>
    <t>Щербаков</t>
  </si>
  <si>
    <t>021624413</t>
  </si>
  <si>
    <t>Целиноградский р-н, с Шубары</t>
  </si>
  <si>
    <t>ул.Мира</t>
  </si>
  <si>
    <t>д.3, кв.2</t>
  </si>
  <si>
    <t>Губайдуллин</t>
  </si>
  <si>
    <t>Габидович</t>
  </si>
  <si>
    <t>038325051</t>
  </si>
  <si>
    <t>Алатауский р-н</t>
  </si>
  <si>
    <t>мкр.Айгерим, ул.Бокина</t>
  </si>
  <si>
    <t>д.34</t>
  </si>
  <si>
    <t>Юрчук</t>
  </si>
  <si>
    <t>039923190</t>
  </si>
  <si>
    <t xml:space="preserve">ул. Акана Серы, </t>
  </si>
  <si>
    <t>д 97, кв 35</t>
  </si>
  <si>
    <t xml:space="preserve">Абдукадырова </t>
  </si>
  <si>
    <t>Сандуғаш</t>
  </si>
  <si>
    <t>Нышанбайқызы</t>
  </si>
  <si>
    <t>044500467</t>
  </si>
  <si>
    <t>Илийский район, с. Чапаево, дача Дружба,</t>
  </si>
  <si>
    <t xml:space="preserve">линия 8, </t>
  </si>
  <si>
    <t>д. 1б</t>
  </si>
  <si>
    <t>Данегулов</t>
  </si>
  <si>
    <t>Коркем</t>
  </si>
  <si>
    <t>Базарбайулы</t>
  </si>
  <si>
    <t>038786243</t>
  </si>
  <si>
    <t>ул.Бектурова</t>
  </si>
  <si>
    <t>д.7</t>
  </si>
  <si>
    <t>Озиев</t>
  </si>
  <si>
    <t>Азиз</t>
  </si>
  <si>
    <t>Набиевич</t>
  </si>
  <si>
    <t>041888899</t>
  </si>
  <si>
    <t>010722500456</t>
  </si>
  <si>
    <t>Жамбыльская обл</t>
  </si>
  <si>
    <t>Кордайский р-н, с.Кайнар</t>
  </si>
  <si>
    <t>ул.Мектеп</t>
  </si>
  <si>
    <t>Асылов</t>
  </si>
  <si>
    <t>Алпысбаевич</t>
  </si>
  <si>
    <t>055252492</t>
  </si>
  <si>
    <t xml:space="preserve">Целиноградский р-н, </t>
  </si>
  <si>
    <t>п.Коянды</t>
  </si>
  <si>
    <t>Кожахметова</t>
  </si>
  <si>
    <t>Ерсаинович</t>
  </si>
  <si>
    <t>038500042</t>
  </si>
  <si>
    <t>г. Кокшетау</t>
  </si>
  <si>
    <t>мкр. Васильковский</t>
  </si>
  <si>
    <t>дом 20, кв. 509</t>
  </si>
  <si>
    <t>Калмамбетов</t>
  </si>
  <si>
    <t>055985061</t>
  </si>
  <si>
    <t>мкр.3</t>
  </si>
  <si>
    <t>д.26, кв.23</t>
  </si>
  <si>
    <t>Камаев</t>
  </si>
  <si>
    <t>Омар</t>
  </si>
  <si>
    <t>Айтхалеевич</t>
  </si>
  <si>
    <t>055826396</t>
  </si>
  <si>
    <t>Аршалынский р-н, ст.Бабатай</t>
  </si>
  <si>
    <t>ул.Уалиханова</t>
  </si>
  <si>
    <t>д.58</t>
  </si>
  <si>
    <t>Грачев</t>
  </si>
  <si>
    <t>037251935</t>
  </si>
  <si>
    <t>г. Талдыкорган,</t>
  </si>
  <si>
    <t>ул. Молодогвардейская,</t>
  </si>
  <si>
    <t>д.16</t>
  </si>
  <si>
    <t>Батолин</t>
  </si>
  <si>
    <t>041014094</t>
  </si>
  <si>
    <t xml:space="preserve">Акмолинская </t>
  </si>
  <si>
    <t>г.Акколь</t>
  </si>
  <si>
    <t>Мира</t>
  </si>
  <si>
    <t>Докенов</t>
  </si>
  <si>
    <t>Ерлан</t>
  </si>
  <si>
    <t>Меделович</t>
  </si>
  <si>
    <t>045829109</t>
  </si>
  <si>
    <t>мкр.Акжар, ул.Маканшы</t>
  </si>
  <si>
    <t>д.85б</t>
  </si>
  <si>
    <t>Матин</t>
  </si>
  <si>
    <t>Эрик</t>
  </si>
  <si>
    <t>Маратович</t>
  </si>
  <si>
    <t>043272339</t>
  </si>
  <si>
    <t>г. Алматы,</t>
  </si>
  <si>
    <t>ул. Дулатова,</t>
  </si>
  <si>
    <t>д. 67, кв 8</t>
  </si>
  <si>
    <t xml:space="preserve">Махметов </t>
  </si>
  <si>
    <t>Амантай</t>
  </si>
  <si>
    <t>Тойшибекович</t>
  </si>
  <si>
    <t>045548612</t>
  </si>
  <si>
    <t>Целиноградский</t>
  </si>
  <si>
    <t>Кошкарбаева</t>
  </si>
  <si>
    <t>Сухрабжан</t>
  </si>
  <si>
    <t>Шакиржанович</t>
  </si>
  <si>
    <t>056992955</t>
  </si>
  <si>
    <t>с.Космос</t>
  </si>
  <si>
    <t>ул.Бейбитшилик</t>
  </si>
  <si>
    <t>Семенихин</t>
  </si>
  <si>
    <t>038496731</t>
  </si>
  <si>
    <t>р-н Жетысу</t>
  </si>
  <si>
    <t>ул.Омская</t>
  </si>
  <si>
    <t>д.126</t>
  </si>
  <si>
    <t>Кузнецов 1</t>
  </si>
  <si>
    <t>039040884</t>
  </si>
  <si>
    <t>г.Караганда</t>
  </si>
  <si>
    <t>13 мкр.</t>
  </si>
  <si>
    <t>д.35, кв.15</t>
  </si>
  <si>
    <t>Дурсунов</t>
  </si>
  <si>
    <t>Юсуп</t>
  </si>
  <si>
    <t>Агапашаевич</t>
  </si>
  <si>
    <t>039415855</t>
  </si>
  <si>
    <t>Карасайский р-н, п.Улан</t>
  </si>
  <si>
    <t>2д</t>
  </si>
  <si>
    <t>Никулина</t>
  </si>
  <si>
    <t>Алла</t>
  </si>
  <si>
    <t>Владимировна</t>
  </si>
  <si>
    <t>023670367</t>
  </si>
  <si>
    <t>с. Саумалколь, Айыртауский район,</t>
  </si>
  <si>
    <t>ул. Уалиханова,</t>
  </si>
  <si>
    <t>Абдуакилов</t>
  </si>
  <si>
    <t>Айкын</t>
  </si>
  <si>
    <t>039588497</t>
  </si>
  <si>
    <t>мкр.Шанырак1</t>
  </si>
  <si>
    <t>ул.Акжол</t>
  </si>
  <si>
    <t>д.25/1</t>
  </si>
  <si>
    <t>Тонких</t>
  </si>
  <si>
    <t>Татьяна</t>
  </si>
  <si>
    <t>Юрьевна</t>
  </si>
  <si>
    <t>050771616</t>
  </si>
  <si>
    <t>ул. Сулейменова 22,</t>
  </si>
  <si>
    <t>кв. 38</t>
  </si>
  <si>
    <t>Горелов</t>
  </si>
  <si>
    <t>Петрович</t>
  </si>
  <si>
    <t>038543238</t>
  </si>
  <si>
    <t>Целиноградский р-н, п.Акмол</t>
  </si>
  <si>
    <t>ул.Ш.Исенова</t>
  </si>
  <si>
    <t>д.11/1</t>
  </si>
  <si>
    <t>Сагинбеков 1</t>
  </si>
  <si>
    <t>038683683</t>
  </si>
  <si>
    <t>Илийский район, поселок Жапек батыр,</t>
  </si>
  <si>
    <t xml:space="preserve">ул. Тулебаева, </t>
  </si>
  <si>
    <t>д. 100в</t>
  </si>
  <si>
    <t>Оболгазиева</t>
  </si>
  <si>
    <t>Хуршидам</t>
  </si>
  <si>
    <t>Тудахуновна</t>
  </si>
  <si>
    <t>042344609</t>
  </si>
  <si>
    <t>Енбекшиказахский р-н, с.Шелек</t>
  </si>
  <si>
    <t>ул.Жибек жолы</t>
  </si>
  <si>
    <t>д.33, кв.30</t>
  </si>
  <si>
    <t>Колибердин</t>
  </si>
  <si>
    <t>Игоревич</t>
  </si>
  <si>
    <t>052639477</t>
  </si>
  <si>
    <t xml:space="preserve">г.Алматы </t>
  </si>
  <si>
    <t>ул.Спартака</t>
  </si>
  <si>
    <t>д.36 кв.9</t>
  </si>
  <si>
    <t>Абдували</t>
  </si>
  <si>
    <t>Мақсат</t>
  </si>
  <si>
    <t>Мырзағұлұлы</t>
  </si>
  <si>
    <t>050037079</t>
  </si>
  <si>
    <t>Илийский р-н, с.Байсерке ПКС дача Нур-терек</t>
  </si>
  <si>
    <t>д.2</t>
  </si>
  <si>
    <t>Абдурахманов</t>
  </si>
  <si>
    <t>Эркин</t>
  </si>
  <si>
    <t>Турсунович</t>
  </si>
  <si>
    <t>023982724</t>
  </si>
  <si>
    <t>ул. Загородная 5,</t>
  </si>
  <si>
    <t>кв 3</t>
  </si>
  <si>
    <t>Мәжіг</t>
  </si>
  <si>
    <t>Базар</t>
  </si>
  <si>
    <t>049649766</t>
  </si>
  <si>
    <t>Қарағанды облысы</t>
  </si>
  <si>
    <t>Осакаровка ауылы, Сарыөзек ауылы</t>
  </si>
  <si>
    <t>Байтайлақ батыр көшесі</t>
  </si>
  <si>
    <t>Иванов 1</t>
  </si>
  <si>
    <t>Васильевич</t>
  </si>
  <si>
    <t>058208874</t>
  </si>
  <si>
    <t xml:space="preserve">ул.Ч.Айтматова </t>
  </si>
  <si>
    <t>77/3</t>
  </si>
  <si>
    <t>Килымжанов</t>
  </si>
  <si>
    <t>Жайык</t>
  </si>
  <si>
    <t>Дузбайулы</t>
  </si>
  <si>
    <t>048980421</t>
  </si>
  <si>
    <t>ул.Байгазиева</t>
  </si>
  <si>
    <t>Жуматаев</t>
  </si>
  <si>
    <t>Алмас</t>
  </si>
  <si>
    <t>Казбекович</t>
  </si>
  <si>
    <t>050905982</t>
  </si>
  <si>
    <t>г.Павлодар</t>
  </si>
  <si>
    <t>ул.Майры</t>
  </si>
  <si>
    <t>д.27/2, кв.165</t>
  </si>
  <si>
    <t>Адешов</t>
  </si>
  <si>
    <t>Сержан</t>
  </si>
  <si>
    <t>Кожабекович</t>
  </si>
  <si>
    <t>047736490</t>
  </si>
  <si>
    <t>ул.Сыганак</t>
  </si>
  <si>
    <t>д.33, кв.216</t>
  </si>
  <si>
    <t>Калиева 1</t>
  </si>
  <si>
    <t>Хабиденович</t>
  </si>
  <si>
    <t>023397306</t>
  </si>
  <si>
    <t>Жетысу обл</t>
  </si>
  <si>
    <t>ул.Айтыкова</t>
  </si>
  <si>
    <t>д.28/2</t>
  </si>
  <si>
    <t>Таласов</t>
  </si>
  <si>
    <t>Махметович</t>
  </si>
  <si>
    <t>041075300</t>
  </si>
  <si>
    <t>ул. Заттаевича</t>
  </si>
  <si>
    <t>Бердиханова 1</t>
  </si>
  <si>
    <t>Полаткалий</t>
  </si>
  <si>
    <t>Нурдаулетович</t>
  </si>
  <si>
    <t>055060113</t>
  </si>
  <si>
    <t>Жамбыльская обл.</t>
  </si>
  <si>
    <t>Байзакский р-н, с.Сарыкемер</t>
  </si>
  <si>
    <t>ул.Орынкулов</t>
  </si>
  <si>
    <t>119 а1 переулок</t>
  </si>
  <si>
    <t>Мукушев</t>
  </si>
  <si>
    <t>Расим</t>
  </si>
  <si>
    <t>054542249</t>
  </si>
  <si>
    <t>Жетысуйская обл</t>
  </si>
  <si>
    <t>Ескельдинский р-н, с.Карабулак</t>
  </si>
  <si>
    <t>Тусупов</t>
  </si>
  <si>
    <t>Тлеубердинович</t>
  </si>
  <si>
    <t>051483568</t>
  </si>
  <si>
    <t>Карагандинская обл</t>
  </si>
  <si>
    <t>ул.Жанторе Абишева</t>
  </si>
  <si>
    <t>д.9</t>
  </si>
  <si>
    <t>Заколодний</t>
  </si>
  <si>
    <t>055587944</t>
  </si>
  <si>
    <t>Сарыакркинский р-н</t>
  </si>
  <si>
    <t>второй переулок Толеубаева</t>
  </si>
  <si>
    <t>Акишева</t>
  </si>
  <si>
    <t>Алия</t>
  </si>
  <si>
    <t>Мамбетовна</t>
  </si>
  <si>
    <t>041135278</t>
  </si>
  <si>
    <t>ул. Автомобилистов</t>
  </si>
  <si>
    <t>Сұлтанов</t>
  </si>
  <si>
    <t>Еламан</t>
  </si>
  <si>
    <t>Ерланұлы</t>
  </si>
  <si>
    <t>042850025</t>
  </si>
  <si>
    <t>Коксуйский р-н, с.Балпык би</t>
  </si>
  <si>
    <t>ул.Тазабулак 32</t>
  </si>
  <si>
    <t>Габдуллин1</t>
  </si>
  <si>
    <t>Ильяс</t>
  </si>
  <si>
    <t>018447550</t>
  </si>
  <si>
    <t>Тайыншинский район, село Петровка</t>
  </si>
  <si>
    <t xml:space="preserve">ул. Советская </t>
  </si>
  <si>
    <t>Ахриев</t>
  </si>
  <si>
    <t>Дауд</t>
  </si>
  <si>
    <t>Мухарбекович</t>
  </si>
  <si>
    <t>046841690</t>
  </si>
  <si>
    <t>ул. Шевцова</t>
  </si>
  <si>
    <t>Зырянов 1</t>
  </si>
  <si>
    <t>043900133</t>
  </si>
  <si>
    <t>г. Текели,</t>
  </si>
  <si>
    <t>ул. Чайковского,</t>
  </si>
  <si>
    <t>Салпеков</t>
  </si>
  <si>
    <t>Сайлаубекович</t>
  </si>
  <si>
    <t>043304931</t>
  </si>
  <si>
    <t xml:space="preserve">г. Алматы, Ауэзовский район, </t>
  </si>
  <si>
    <t>мкр-н Мамыр-2,</t>
  </si>
  <si>
    <t>кв.18</t>
  </si>
  <si>
    <t>Мусаев</t>
  </si>
  <si>
    <t>Еркин</t>
  </si>
  <si>
    <t>Маликович</t>
  </si>
  <si>
    <t>037636085</t>
  </si>
  <si>
    <t>г. Алматы, Наурызбайский район,</t>
  </si>
  <si>
    <t>ул. Малинка,</t>
  </si>
  <si>
    <t>д. 68</t>
  </si>
  <si>
    <t>Телхожаев</t>
  </si>
  <si>
    <t>Ержан</t>
  </si>
  <si>
    <t>Турсынович</t>
  </si>
  <si>
    <t>043441651</t>
  </si>
  <si>
    <t>ул. Калкаман Жуалы, д.12,</t>
  </si>
  <si>
    <t>кв. 21</t>
  </si>
  <si>
    <t>Кулмаганбетов</t>
  </si>
  <si>
    <t>Бауржанұлы</t>
  </si>
  <si>
    <t>038501775</t>
  </si>
  <si>
    <t>ул. Кенесары</t>
  </si>
  <si>
    <t>дом 28, кв. 3</t>
  </si>
  <si>
    <t>Бектемисов</t>
  </si>
  <si>
    <t>Айдын</t>
  </si>
  <si>
    <t>Бектурсынович</t>
  </si>
  <si>
    <t>038233545</t>
  </si>
  <si>
    <t>р-н Коксу, с.Талапты</t>
  </si>
  <si>
    <t>ул.Толебаева</t>
  </si>
  <si>
    <t>Тумгоева</t>
  </si>
  <si>
    <t>Фатима</t>
  </si>
  <si>
    <t>Османовна</t>
  </si>
  <si>
    <t>041858064</t>
  </si>
  <si>
    <t>г.Атбасар</t>
  </si>
  <si>
    <t xml:space="preserve">ул.Фрунзе </t>
  </si>
  <si>
    <t>д.44</t>
  </si>
  <si>
    <t>Рахимжанов</t>
  </si>
  <si>
    <t>Турлыбек</t>
  </si>
  <si>
    <t>Мажитович</t>
  </si>
  <si>
    <t>012721628</t>
  </si>
  <si>
    <t>Акмолинская обл</t>
  </si>
  <si>
    <t>г.Косшы</t>
  </si>
  <si>
    <t>ул.Жамбыла</t>
  </si>
  <si>
    <t>Межевика</t>
  </si>
  <si>
    <t>044543848</t>
  </si>
  <si>
    <t>р-н Байконур</t>
  </si>
  <si>
    <t>пер. Ташенова</t>
  </si>
  <si>
    <t>д.4/1, кв. 77</t>
  </si>
  <si>
    <t>Кожахметов</t>
  </si>
  <si>
    <t>Досбол</t>
  </si>
  <si>
    <t>047073795</t>
  </si>
  <si>
    <t>Илийский р-н, пос.Отеген батыр</t>
  </si>
  <si>
    <t>ул.Абая</t>
  </si>
  <si>
    <t>д.1в, кв.21</t>
  </si>
  <si>
    <t>Хабибуллин</t>
  </si>
  <si>
    <t>Ахат</t>
  </si>
  <si>
    <t>Рустамович</t>
  </si>
  <si>
    <t>048590269</t>
  </si>
  <si>
    <t>Талгарский район, с. Белбулак,</t>
  </si>
  <si>
    <t>ул.Арифова,</t>
  </si>
  <si>
    <t>Белгибаев</t>
  </si>
  <si>
    <t>Ахметбек</t>
  </si>
  <si>
    <t>Кабденович</t>
  </si>
  <si>
    <t>057820400</t>
  </si>
  <si>
    <t>ул.Анет баба</t>
  </si>
  <si>
    <t>д.11/1, кв.119</t>
  </si>
  <si>
    <t>Ескалиев</t>
  </si>
  <si>
    <t>Утепбергенович</t>
  </si>
  <si>
    <t>043093364</t>
  </si>
  <si>
    <t>ул.Толе би</t>
  </si>
  <si>
    <t>д.44/1, кв158</t>
  </si>
  <si>
    <t>Трутнев</t>
  </si>
  <si>
    <t>040259634</t>
  </si>
  <si>
    <t xml:space="preserve">СКО, </t>
  </si>
  <si>
    <t xml:space="preserve">район Габита Мусрепова, с. Симоновка, </t>
  </si>
  <si>
    <t>ул. Центральный,</t>
  </si>
  <si>
    <t>д.13</t>
  </si>
  <si>
    <t>Ибрагимов 1</t>
  </si>
  <si>
    <t>Лязги</t>
  </si>
  <si>
    <t>Захарович</t>
  </si>
  <si>
    <t>049634541</t>
  </si>
  <si>
    <t>Илийский р-н, пос. Караой</t>
  </si>
  <si>
    <t>ул. Амангельды</t>
  </si>
  <si>
    <t>1а</t>
  </si>
  <si>
    <t>Әбіл</t>
  </si>
  <si>
    <t>Алдияр</t>
  </si>
  <si>
    <t>Бұршақбайұлы</t>
  </si>
  <si>
    <t>042249149</t>
  </si>
  <si>
    <t>Талгарский р-н, г.Талгар</t>
  </si>
  <si>
    <t>ул.Малькеева</t>
  </si>
  <si>
    <t>Майкотов</t>
  </si>
  <si>
    <t>Нурлан</t>
  </si>
  <si>
    <t>044192173</t>
  </si>
  <si>
    <t>Жамбылский район, с. Жайсан,</t>
  </si>
  <si>
    <t>ул. Косбасарова,</t>
  </si>
  <si>
    <t>д.13А</t>
  </si>
  <si>
    <t>Жұматай</t>
  </si>
  <si>
    <t>Мейіржанұлы</t>
  </si>
  <si>
    <t>049438325</t>
  </si>
  <si>
    <t>г. Конаев,</t>
  </si>
  <si>
    <t>мкр-н 5,</t>
  </si>
  <si>
    <t>д. 2Б, кв 46</t>
  </si>
  <si>
    <t>Шонтаев</t>
  </si>
  <si>
    <t>Рауан</t>
  </si>
  <si>
    <t>Гаухарбекович</t>
  </si>
  <si>
    <t>041203765</t>
  </si>
  <si>
    <t>мкр.Акбулак</t>
  </si>
  <si>
    <t>ул.Шарипова</t>
  </si>
  <si>
    <t>Бердумұрат</t>
  </si>
  <si>
    <t>Тұрсұнұлы</t>
  </si>
  <si>
    <t>040820194</t>
  </si>
  <si>
    <t>ул. Ауельбекова,</t>
  </si>
  <si>
    <t>д. 157А, кв 8</t>
  </si>
  <si>
    <t>Есмуратов</t>
  </si>
  <si>
    <t>Аскарович</t>
  </si>
  <si>
    <t>052422335</t>
  </si>
  <si>
    <t>Талгарский р-н, пос.Бесагаш</t>
  </si>
  <si>
    <t>ул.Кашаубаева</t>
  </si>
  <si>
    <t>Жумабай</t>
  </si>
  <si>
    <t>Жумабаевич</t>
  </si>
  <si>
    <t>037733129</t>
  </si>
  <si>
    <t>г.Талдыкорган, с.Еркин</t>
  </si>
  <si>
    <t>ул.Акажанулы</t>
  </si>
  <si>
    <t>Зайцев1</t>
  </si>
  <si>
    <t>Максим</t>
  </si>
  <si>
    <t>048899870</t>
  </si>
  <si>
    <t>ул.Нурмагамбетова</t>
  </si>
  <si>
    <t>Макаревский</t>
  </si>
  <si>
    <t>020500986</t>
  </si>
  <si>
    <t>ул.Гоголя</t>
  </si>
  <si>
    <t>д.75, кв.113</t>
  </si>
  <si>
    <t>Москаленк</t>
  </si>
  <si>
    <t>040348334</t>
  </si>
  <si>
    <t>с. Чайкино,</t>
  </si>
  <si>
    <t xml:space="preserve">ул. Геологов, </t>
  </si>
  <si>
    <t>д. 8, кв 1</t>
  </si>
  <si>
    <t>Байбагисова</t>
  </si>
  <si>
    <t>Акбота</t>
  </si>
  <si>
    <t>Галымжановна</t>
  </si>
  <si>
    <t>040957429</t>
  </si>
  <si>
    <t>Талгарский р-н, с.Бесагаш</t>
  </si>
  <si>
    <t>ул.Шакарима</t>
  </si>
  <si>
    <t>Исабаев</t>
  </si>
  <si>
    <t>048840504</t>
  </si>
  <si>
    <t>ул. Саина,</t>
  </si>
  <si>
    <t>д.39а,</t>
  </si>
  <si>
    <t>кв 6</t>
  </si>
  <si>
    <t>Калиев</t>
  </si>
  <si>
    <t>Даулет</t>
  </si>
  <si>
    <t>Уралұлы</t>
  </si>
  <si>
    <t>052780790</t>
  </si>
  <si>
    <t>ул.Кордай</t>
  </si>
  <si>
    <t>д.75, кв.370</t>
  </si>
  <si>
    <t>Чакаев</t>
  </si>
  <si>
    <t>Саркенович</t>
  </si>
  <si>
    <t>049310453</t>
  </si>
  <si>
    <t>Панфиловский район, с.Баскуншы,</t>
  </si>
  <si>
    <t xml:space="preserve">ул. Каратаева, </t>
  </si>
  <si>
    <t>д.46</t>
  </si>
  <si>
    <t>Любушкин</t>
  </si>
  <si>
    <t>059234560</t>
  </si>
  <si>
    <t xml:space="preserve">ул. Байкена Ашимова, </t>
  </si>
  <si>
    <t>д.201, кв 48</t>
  </si>
  <si>
    <t>Амренов 1</t>
  </si>
  <si>
    <t>Куанышович</t>
  </si>
  <si>
    <t>046495396</t>
  </si>
  <si>
    <t>ул.Нажимиденова</t>
  </si>
  <si>
    <t>д.62/1, кв.51</t>
  </si>
  <si>
    <t>Галимбеков</t>
  </si>
  <si>
    <t>Батырбекович</t>
  </si>
  <si>
    <t>048153161</t>
  </si>
  <si>
    <t>Аламтинская обл.</t>
  </si>
  <si>
    <t>ул.Дарабоз ана</t>
  </si>
  <si>
    <t>Исабеков</t>
  </si>
  <si>
    <t>Дархан</t>
  </si>
  <si>
    <t>Муратбекұлы</t>
  </si>
  <si>
    <t>048552913</t>
  </si>
  <si>
    <t xml:space="preserve">р-н Алатау, </t>
  </si>
  <si>
    <t>мкр.Саялы</t>
  </si>
  <si>
    <t>д.59, кв.8</t>
  </si>
  <si>
    <t>Бурлаков</t>
  </si>
  <si>
    <t>045185835</t>
  </si>
  <si>
    <t>ул. Нурсая,</t>
  </si>
  <si>
    <t>д.4, кв.57</t>
  </si>
  <si>
    <t>Зырянов 2</t>
  </si>
  <si>
    <t>Искаков</t>
  </si>
  <si>
    <t>047214020</t>
  </si>
  <si>
    <t>Целиноградский р-н</t>
  </si>
  <si>
    <t>ул.Акниет</t>
  </si>
  <si>
    <t>Идришов</t>
  </si>
  <si>
    <t>Берик</t>
  </si>
  <si>
    <t>Серикказинович</t>
  </si>
  <si>
    <t>044034659</t>
  </si>
  <si>
    <t>Талгарский р-н,</t>
  </si>
  <si>
    <t xml:space="preserve"> с.Актас</t>
  </si>
  <si>
    <t>д.4, кв.20</t>
  </si>
  <si>
    <t>Жумагалиев</t>
  </si>
  <si>
    <t>Бауыржан</t>
  </si>
  <si>
    <t>Ануарбекович</t>
  </si>
  <si>
    <t>051880317</t>
  </si>
  <si>
    <t>Область Жетысу</t>
  </si>
  <si>
    <t>Алакольский р-н, г.Ушарал</t>
  </si>
  <si>
    <t>ул.Иванова</t>
  </si>
  <si>
    <t>Ахматов 1</t>
  </si>
  <si>
    <t>Эсенбек</t>
  </si>
  <si>
    <t>Талайбекович</t>
  </si>
  <si>
    <t>050763949</t>
  </si>
  <si>
    <t>г.Кордай</t>
  </si>
  <si>
    <t>ул.Жылыбаева</t>
  </si>
  <si>
    <t>д.28б</t>
  </si>
  <si>
    <t>Ауельбеков</t>
  </si>
  <si>
    <t>Ерланович</t>
  </si>
  <si>
    <t>048678173</t>
  </si>
  <si>
    <t>ул.Ескелды би</t>
  </si>
  <si>
    <t>д.180</t>
  </si>
  <si>
    <t>Балташев</t>
  </si>
  <si>
    <t>Нариман</t>
  </si>
  <si>
    <t>Бакытжанович</t>
  </si>
  <si>
    <t>046598180</t>
  </si>
  <si>
    <t>Астраханский р-н, с.Жалтыр</t>
  </si>
  <si>
    <t>ул.Северная</t>
  </si>
  <si>
    <t>д.84</t>
  </si>
  <si>
    <t>Ашимова</t>
  </si>
  <si>
    <t>Гульнара</t>
  </si>
  <si>
    <t>Бауржановна</t>
  </si>
  <si>
    <t>041280778</t>
  </si>
  <si>
    <t>с. Красный Яр,</t>
  </si>
  <si>
    <t>ул. Автобаза,</t>
  </si>
  <si>
    <t>д.14, кв. 6</t>
  </si>
  <si>
    <t>Березовский</t>
  </si>
  <si>
    <t>058001129</t>
  </si>
  <si>
    <t>Ауезовский р-н,</t>
  </si>
  <si>
    <t>мкр.Аксай-3</t>
  </si>
  <si>
    <t>д.34 кв.29</t>
  </si>
  <si>
    <t>Патыхов</t>
  </si>
  <si>
    <t>Кабатович</t>
  </si>
  <si>
    <t>038225883</t>
  </si>
  <si>
    <t>Жамбылский район, с. Бериктас,</t>
  </si>
  <si>
    <t>ул. Достык,</t>
  </si>
  <si>
    <t>Носов</t>
  </si>
  <si>
    <t>018475947</t>
  </si>
  <si>
    <t>Айыртауский район, с. Сырымбет,</t>
  </si>
  <si>
    <t>ул. Восточная,</t>
  </si>
  <si>
    <t>Байкулаков</t>
  </si>
  <si>
    <t>Дидар</t>
  </si>
  <si>
    <t>Таубаевич</t>
  </si>
  <si>
    <t>057997927</t>
  </si>
  <si>
    <t>Карасайский р-н, с.Кемертоган</t>
  </si>
  <si>
    <t>ул.6 квартал</t>
  </si>
  <si>
    <t>д.93</t>
  </si>
  <si>
    <t xml:space="preserve">Каменев </t>
  </si>
  <si>
    <t>040505809</t>
  </si>
  <si>
    <t>ул. Байконурская,</t>
  </si>
  <si>
    <t>д. 122, кв. 4</t>
  </si>
  <si>
    <t>Джамалиев1</t>
  </si>
  <si>
    <t>Сарсен</t>
  </si>
  <si>
    <t>047867128</t>
  </si>
  <si>
    <t>р-н Биржан сал, с.Макинка</t>
  </si>
  <si>
    <t>ул.Чкалова</t>
  </si>
  <si>
    <t>д.65а</t>
  </si>
  <si>
    <t>Ахметалиев</t>
  </si>
  <si>
    <t>Дастан</t>
  </si>
  <si>
    <t>Тілеулесұлы</t>
  </si>
  <si>
    <t>040196209</t>
  </si>
  <si>
    <t>г. Алматы, Турксибский район,</t>
  </si>
  <si>
    <t>ул. Папанина,</t>
  </si>
  <si>
    <t>д. 52а, кв.4а</t>
  </si>
  <si>
    <t>Нурсултан1</t>
  </si>
  <si>
    <t>Ерболат</t>
  </si>
  <si>
    <t>053386458</t>
  </si>
  <si>
    <t>ул.А.Храпатого</t>
  </si>
  <si>
    <t>д.21, кв.41</t>
  </si>
  <si>
    <t>Тілеуберді</t>
  </si>
  <si>
    <t>Ербол</t>
  </si>
  <si>
    <t>050195895</t>
  </si>
  <si>
    <t>Бостандвкский р-н</t>
  </si>
  <si>
    <t>ул.Бухар Жырау</t>
  </si>
  <si>
    <t>д.60а, кв.9</t>
  </si>
  <si>
    <t>Хамза-Оглы</t>
  </si>
  <si>
    <t>Анварович</t>
  </si>
  <si>
    <t>050644813</t>
  </si>
  <si>
    <t>ул.Агибаева</t>
  </si>
  <si>
    <t>31/1</t>
  </si>
  <si>
    <t>Борантаев</t>
  </si>
  <si>
    <t>Абдувалиевич</t>
  </si>
  <si>
    <t>051197327</t>
  </si>
  <si>
    <t>г. Жаркент, с. Ават,</t>
  </si>
  <si>
    <t>ул. Бейбітшілік,</t>
  </si>
  <si>
    <t>Калустов</t>
  </si>
  <si>
    <t>Георгиевич</t>
  </si>
  <si>
    <t>022516728</t>
  </si>
  <si>
    <t>Сарыаркинский р-н, г. Астана,</t>
  </si>
  <si>
    <t xml:space="preserve">ул. Сарыарка 14, </t>
  </si>
  <si>
    <t>кв.8</t>
  </si>
  <si>
    <t>Инчиждай</t>
  </si>
  <si>
    <t>Сейтхан</t>
  </si>
  <si>
    <t>040969192</t>
  </si>
  <si>
    <t>Аршалинский район, с.Саробы</t>
  </si>
  <si>
    <t>ул.Достык</t>
  </si>
  <si>
    <t>д.15/1</t>
  </si>
  <si>
    <t>Арыстанбекова</t>
  </si>
  <si>
    <t>Арыстанбекович</t>
  </si>
  <si>
    <t>050608457</t>
  </si>
  <si>
    <t>Қызылорда обл.</t>
  </si>
  <si>
    <t>Қармақшы ауданы, Дүр Оңғар ауылы</t>
  </si>
  <si>
    <t>Қали Бексаба көш.</t>
  </si>
  <si>
    <t>ү.34</t>
  </si>
  <si>
    <t>Ковалев</t>
  </si>
  <si>
    <t>051467573</t>
  </si>
  <si>
    <t xml:space="preserve">Илийский район, пос. Боралдай, </t>
  </si>
  <si>
    <t xml:space="preserve">ул. Гагарина, </t>
  </si>
  <si>
    <t xml:space="preserve">Базарбаев </t>
  </si>
  <si>
    <t>Олжас</t>
  </si>
  <si>
    <t>038090619</t>
  </si>
  <si>
    <t>мкр-н Жетысу,</t>
  </si>
  <si>
    <t>д.33, кв. 38</t>
  </si>
  <si>
    <t>Ислямова</t>
  </si>
  <si>
    <t>Бейбитовна</t>
  </si>
  <si>
    <t>047038944</t>
  </si>
  <si>
    <t>Манаса 20/1</t>
  </si>
  <si>
    <t>Айтуев</t>
  </si>
  <si>
    <t>Полат</t>
  </si>
  <si>
    <t>Абенович</t>
  </si>
  <si>
    <t>Карасайский р-н, село Жибек Жолы,</t>
  </si>
  <si>
    <t>ул. Ак Жазык,</t>
  </si>
  <si>
    <t>д. 62</t>
  </si>
  <si>
    <t>Алгазин</t>
  </si>
  <si>
    <t>Асылхан</t>
  </si>
  <si>
    <t>043026374</t>
  </si>
  <si>
    <t xml:space="preserve">р-н Байконыр, </t>
  </si>
  <si>
    <t>ул.Янушкевича</t>
  </si>
  <si>
    <t>д.8, кв.316</t>
  </si>
  <si>
    <t>Кәтіш</t>
  </si>
  <si>
    <t>Бақытжан</t>
  </si>
  <si>
    <t>Полатұлы</t>
  </si>
  <si>
    <t>043126638</t>
  </si>
  <si>
    <t>Р-н Байконыр</t>
  </si>
  <si>
    <t>ул. Богенбай батыра</t>
  </si>
  <si>
    <t>д.54, кв.251</t>
  </si>
  <si>
    <t>Байсалбеков</t>
  </si>
  <si>
    <t>Арсен</t>
  </si>
  <si>
    <t>Абдуллинович</t>
  </si>
  <si>
    <t>039867467</t>
  </si>
  <si>
    <t>ул.Иманязова</t>
  </si>
  <si>
    <t>д.19</t>
  </si>
  <si>
    <t>Доскаев</t>
  </si>
  <si>
    <t>Садыкович</t>
  </si>
  <si>
    <t>048866360</t>
  </si>
  <si>
    <t>ул.Шынгыса Айтматова</t>
  </si>
  <si>
    <t>д.34, кв.159</t>
  </si>
  <si>
    <t>Пархатов</t>
  </si>
  <si>
    <t>Аршидинович</t>
  </si>
  <si>
    <t>048472925</t>
  </si>
  <si>
    <t>мкр-н Кайрат, ул. Гулдарига,</t>
  </si>
  <si>
    <t>д.134</t>
  </si>
  <si>
    <t>Бангерт</t>
  </si>
  <si>
    <t>020134511</t>
  </si>
  <si>
    <t>ул.Сагдиева</t>
  </si>
  <si>
    <t>д.50, кв.49</t>
  </si>
  <si>
    <t>Михальцов</t>
  </si>
  <si>
    <t>022507578</t>
  </si>
  <si>
    <t>р-н. Целиноградский, с.о.Софиевский, с.Софиевка</t>
  </si>
  <si>
    <t>Ул.Наурызбай батыра</t>
  </si>
  <si>
    <t>д.12, кв.3</t>
  </si>
  <si>
    <t>Сайдалин</t>
  </si>
  <si>
    <t>Сапарович</t>
  </si>
  <si>
    <t>055599802</t>
  </si>
  <si>
    <t>пр-т Улы дала</t>
  </si>
  <si>
    <t>д.69, кв.532</t>
  </si>
  <si>
    <t>Аскаров</t>
  </si>
  <si>
    <t>Болатбек</t>
  </si>
  <si>
    <t>Жакиянович</t>
  </si>
  <si>
    <t>051318296</t>
  </si>
  <si>
    <t>ул.Кошкарбаева</t>
  </si>
  <si>
    <t>д.28, кв.93</t>
  </si>
  <si>
    <t>Болганбеков</t>
  </si>
  <si>
    <t>Турсынбекович</t>
  </si>
  <si>
    <t>049243835</t>
  </si>
  <si>
    <t>ул. Кассина,</t>
  </si>
  <si>
    <t>д.46/4</t>
  </si>
  <si>
    <t>Вишняк</t>
  </si>
  <si>
    <t>018647525</t>
  </si>
  <si>
    <t>Акмолинская обл.,</t>
  </si>
  <si>
    <t>д.145</t>
  </si>
  <si>
    <t>Тихонюк</t>
  </si>
  <si>
    <t>Борис</t>
  </si>
  <si>
    <t>058722560</t>
  </si>
  <si>
    <t>Целиноградский р-н, с.Софиевка</t>
  </si>
  <si>
    <t xml:space="preserve">ул. Наурызбай </t>
  </si>
  <si>
    <t>д.32</t>
  </si>
  <si>
    <t>Смагулов</t>
  </si>
  <si>
    <t>Тлеген</t>
  </si>
  <si>
    <t>Берикович</t>
  </si>
  <si>
    <t>059000762</t>
  </si>
  <si>
    <t>Улы дала</t>
  </si>
  <si>
    <t>д.68/12</t>
  </si>
  <si>
    <t>Галиев</t>
  </si>
  <si>
    <t>Сеит-Баттал</t>
  </si>
  <si>
    <t>Бауыржанович</t>
  </si>
  <si>
    <t>046431648</t>
  </si>
  <si>
    <t>Акжарский р-н, с.Талшик</t>
  </si>
  <si>
    <t>ул.Муканова</t>
  </si>
  <si>
    <t>д.20, кв.1</t>
  </si>
  <si>
    <t>Ченгелбаев</t>
  </si>
  <si>
    <t>Калкаман</t>
  </si>
  <si>
    <t>Тулепбергенович</t>
  </si>
  <si>
    <t>052451199</t>
  </si>
  <si>
    <t>мкр-н 4,</t>
  </si>
  <si>
    <t>д.24, кв 23</t>
  </si>
  <si>
    <t>Калмуратов</t>
  </si>
  <si>
    <t>Мухан</t>
  </si>
  <si>
    <t>Кеулимжаевич</t>
  </si>
  <si>
    <t>041375557</t>
  </si>
  <si>
    <t>Карасайский р-н, с.Жибек жолы</t>
  </si>
  <si>
    <t>ул.Кок кайнар</t>
  </si>
  <si>
    <t>д.120</t>
  </si>
  <si>
    <t>Нұрболат</t>
  </si>
  <si>
    <t>Ермұрат</t>
  </si>
  <si>
    <t>046984935</t>
  </si>
  <si>
    <t>г.Талдыкорган, Ескельдинский р-н</t>
  </si>
  <si>
    <t>ул.Алдаберген Бактыбай</t>
  </si>
  <si>
    <t>Павленко</t>
  </si>
  <si>
    <t>058960808</t>
  </si>
  <si>
    <t>р-н Аршалынский, пос.Жибек жолы</t>
  </si>
  <si>
    <t>ул.Мойылды</t>
  </si>
  <si>
    <t>Михеев</t>
  </si>
  <si>
    <t>049997527</t>
  </si>
  <si>
    <t>Ескелдинский р-н, с.Карабулак</t>
  </si>
  <si>
    <t>ул.Жетису шугыласы</t>
  </si>
  <si>
    <t>д.55</t>
  </si>
  <si>
    <t>Казакбаев</t>
  </si>
  <si>
    <t>Адхам</t>
  </si>
  <si>
    <t>Юсупович</t>
  </si>
  <si>
    <t>049185567</t>
  </si>
  <si>
    <t xml:space="preserve">Медеуский р-н, </t>
  </si>
  <si>
    <t>мкр.Коктюбе, ул.Т.Бигельдинова</t>
  </si>
  <si>
    <t>д.88</t>
  </si>
  <si>
    <t>Тохтибакиев</t>
  </si>
  <si>
    <t>Муратжан</t>
  </si>
  <si>
    <t>Тельманович</t>
  </si>
  <si>
    <t>054739063</t>
  </si>
  <si>
    <t>Карасайский р-н, с.Уштерек</t>
  </si>
  <si>
    <t>Учетный квартал 625</t>
  </si>
  <si>
    <t>д.№1350/1</t>
  </si>
  <si>
    <t>Усембаев</t>
  </si>
  <si>
    <t>Балапан</t>
  </si>
  <si>
    <t>Абылхасанович</t>
  </si>
  <si>
    <t>056573954</t>
  </si>
  <si>
    <t>д.6, кв.104</t>
  </si>
  <si>
    <t>Арыстанбеков</t>
  </si>
  <si>
    <t>Сабит</t>
  </si>
  <si>
    <t>Жанахметович</t>
  </si>
  <si>
    <t>040610511</t>
  </si>
  <si>
    <t>Балхашский р-н, с.Желтуранга</t>
  </si>
  <si>
    <t>ул.Болтирик</t>
  </si>
  <si>
    <t>д.19, кв.2</t>
  </si>
  <si>
    <t xml:space="preserve">Дереченник </t>
  </si>
  <si>
    <t>Леонидович</t>
  </si>
  <si>
    <t>055517854</t>
  </si>
  <si>
    <t xml:space="preserve">ул. Пушкина, </t>
  </si>
  <si>
    <t>д. 72, кв 16</t>
  </si>
  <si>
    <t>Олатаев</t>
  </si>
  <si>
    <t>Адилжан</t>
  </si>
  <si>
    <t>Каримжанович</t>
  </si>
  <si>
    <t>037840219</t>
  </si>
  <si>
    <t>Жетысуская область</t>
  </si>
  <si>
    <t>г.Жаркент</t>
  </si>
  <si>
    <t>ул.Кунаева</t>
  </si>
  <si>
    <t>д.116</t>
  </si>
  <si>
    <t>Даадай</t>
  </si>
  <si>
    <t>046886696</t>
  </si>
  <si>
    <t>Целиноградский р-н, с.Коянды</t>
  </si>
  <si>
    <t>ул.Кабанбай батыра</t>
  </si>
  <si>
    <t>Важинский</t>
  </si>
  <si>
    <t>053393614</t>
  </si>
  <si>
    <t>ул.Жарокова</t>
  </si>
  <si>
    <t>д.93, кв.13</t>
  </si>
  <si>
    <t>Меирманов</t>
  </si>
  <si>
    <t>Торехан</t>
  </si>
  <si>
    <t>Амангельдыевич</t>
  </si>
  <si>
    <t>052574153</t>
  </si>
  <si>
    <t>ул.Волгоградская</t>
  </si>
  <si>
    <t>Гарас</t>
  </si>
  <si>
    <t>041515440</t>
  </si>
  <si>
    <t>г. Кокшетау, Красноярские дачи,</t>
  </si>
  <si>
    <t>ул. Малиновая,</t>
  </si>
  <si>
    <t>д.567</t>
  </si>
  <si>
    <t>Жұқан</t>
  </si>
  <si>
    <t>Тілеу</t>
  </si>
  <si>
    <t>058029190</t>
  </si>
  <si>
    <t>Ақмола облысы</t>
  </si>
  <si>
    <t>Шортанды аудан, Бектау аулы</t>
  </si>
  <si>
    <t>А.Молдағұлова көш</t>
  </si>
  <si>
    <t>үй 3</t>
  </si>
  <si>
    <t>Толеуов</t>
  </si>
  <si>
    <t>Адилхан</t>
  </si>
  <si>
    <t>Каратаевич</t>
  </si>
  <si>
    <t>050906344</t>
  </si>
  <si>
    <t>р-н Сары Арка</t>
  </si>
  <si>
    <t>ул.Орда</t>
  </si>
  <si>
    <t>Косоногов</t>
  </si>
  <si>
    <t>057487058</t>
  </si>
  <si>
    <t>Аршалынский р-н, с.Булаксы</t>
  </si>
  <si>
    <t>ул.Тынегушилер</t>
  </si>
  <si>
    <t>д.19/4</t>
  </si>
  <si>
    <t>Бич</t>
  </si>
  <si>
    <t>042827584</t>
  </si>
  <si>
    <t>ул. Джамбула,</t>
  </si>
  <si>
    <t>д.71, кв 2</t>
  </si>
  <si>
    <t>Лащенов</t>
  </si>
  <si>
    <t>052226452</t>
  </si>
  <si>
    <t xml:space="preserve">ул. Гастелло, </t>
  </si>
  <si>
    <t>д.13, кв 42</t>
  </si>
  <si>
    <t>Жарыкбаев</t>
  </si>
  <si>
    <t>Аруслан</t>
  </si>
  <si>
    <t>050030010</t>
  </si>
  <si>
    <t>р-н Есиль, пос.Пригородный</t>
  </si>
  <si>
    <t>ул.Зеленая</t>
  </si>
  <si>
    <t>Литовко</t>
  </si>
  <si>
    <t>Иванович</t>
  </si>
  <si>
    <t>044887382</t>
  </si>
  <si>
    <t>ул.Береговая</t>
  </si>
  <si>
    <t>д.175</t>
  </si>
  <si>
    <t>Бергер</t>
  </si>
  <si>
    <t>Эдуард</t>
  </si>
  <si>
    <t>054173620</t>
  </si>
  <si>
    <t>ул.Тауельсиздик</t>
  </si>
  <si>
    <t>д.16, кв.120</t>
  </si>
  <si>
    <t>Тилейхан</t>
  </si>
  <si>
    <t>Асылбек</t>
  </si>
  <si>
    <t>055519032</t>
  </si>
  <si>
    <t>Шортандинский р-н, Шортанды</t>
  </si>
  <si>
    <t>Советская</t>
  </si>
  <si>
    <t>д.60, кв.3</t>
  </si>
  <si>
    <t>Абдуахитова</t>
  </si>
  <si>
    <t>Калампыр</t>
  </si>
  <si>
    <t>Кабдушевна</t>
  </si>
  <si>
    <t>043959064</t>
  </si>
  <si>
    <t>Тайыншинский район, с. Келлеровка,</t>
  </si>
  <si>
    <t xml:space="preserve">ул. Советская, </t>
  </si>
  <si>
    <t>д. 32/2</t>
  </si>
  <si>
    <t>Миллер1</t>
  </si>
  <si>
    <t>Герман</t>
  </si>
  <si>
    <t>048626034</t>
  </si>
  <si>
    <t>Шортандинский р-н, с.Шортанды</t>
  </si>
  <si>
    <t>ул.Автомобилистов</t>
  </si>
  <si>
    <t>д.2, кв.2</t>
  </si>
  <si>
    <t>Наушабеков</t>
  </si>
  <si>
    <t>Кайратович</t>
  </si>
  <si>
    <t>047909293</t>
  </si>
  <si>
    <t>г. Конаев, дача 4,</t>
  </si>
  <si>
    <t>ул. Садовая,</t>
  </si>
  <si>
    <t>д.72</t>
  </si>
  <si>
    <t>Сагитов</t>
  </si>
  <si>
    <t>Тахир</t>
  </si>
  <si>
    <t>Азимович</t>
  </si>
  <si>
    <t>059193478</t>
  </si>
  <si>
    <t>ул.Куршим</t>
  </si>
  <si>
    <t>д.9а</t>
  </si>
  <si>
    <t>Абдрахимов</t>
  </si>
  <si>
    <t>Айдарханович</t>
  </si>
  <si>
    <t>041439463</t>
  </si>
  <si>
    <t>Панфиловский район, город Жаркент</t>
  </si>
  <si>
    <t xml:space="preserve">ул. Билал Назима </t>
  </si>
  <si>
    <t>д.246</t>
  </si>
  <si>
    <t>Лесников</t>
  </si>
  <si>
    <t>Валерьевич</t>
  </si>
  <si>
    <t>054995732</t>
  </si>
  <si>
    <t>880530303355</t>
  </si>
  <si>
    <t>Шортандинский р-н, пос. Шортанды,</t>
  </si>
  <si>
    <t>ул.Пролетарская</t>
  </si>
  <si>
    <t>д.52</t>
  </si>
  <si>
    <t>Есмагамбетов 1</t>
  </si>
  <si>
    <t>Абдилхасен</t>
  </si>
  <si>
    <t>Багдатович</t>
  </si>
  <si>
    <t>039131828</t>
  </si>
  <si>
    <t>Зерендинский район, с. Конысбай,</t>
  </si>
  <si>
    <t xml:space="preserve">ул. Солтустик, </t>
  </si>
  <si>
    <t>д.12, кв.1</t>
  </si>
  <si>
    <t>Кезенбаев</t>
  </si>
  <si>
    <t>Максат</t>
  </si>
  <si>
    <t>Адилжанович</t>
  </si>
  <si>
    <t>044028832</t>
  </si>
  <si>
    <t>г. Астана,</t>
  </si>
  <si>
    <t xml:space="preserve">р-н Сарыарка, </t>
  </si>
  <si>
    <t>ул. Дукенулы,</t>
  </si>
  <si>
    <t>д.30, кв.24</t>
  </si>
  <si>
    <t>Фурсов</t>
  </si>
  <si>
    <t>Григорьевич</t>
  </si>
  <si>
    <t>045084158</t>
  </si>
  <si>
    <t>р-н Байконыр,</t>
  </si>
  <si>
    <t>ул. Отырар 18,</t>
  </si>
  <si>
    <t>кв.148</t>
  </si>
  <si>
    <t>Павликов</t>
  </si>
  <si>
    <t>048552258</t>
  </si>
  <si>
    <t>Буландинский район, г. Макинск,</t>
  </si>
  <si>
    <t>ул. Автомобильная,</t>
  </si>
  <si>
    <t>3а</t>
  </si>
  <si>
    <t>Ер-Алиев</t>
  </si>
  <si>
    <t>Мухамед-Али</t>
  </si>
  <si>
    <t>052181597</t>
  </si>
  <si>
    <t xml:space="preserve">Алматинская область, </t>
  </si>
  <si>
    <t>Жамбылский район, село Сарыбай би,</t>
  </si>
  <si>
    <t>ул. Казахстан,</t>
  </si>
  <si>
    <t>д.76</t>
  </si>
  <si>
    <t>Лобаев</t>
  </si>
  <si>
    <t>Исмаил</t>
  </si>
  <si>
    <t>Хабиевич</t>
  </si>
  <si>
    <t>043895409</t>
  </si>
  <si>
    <t>г. Алматы, Алатауский р-н,</t>
  </si>
  <si>
    <t>ул.Кыранкара,</t>
  </si>
  <si>
    <t>д. 44</t>
  </si>
  <si>
    <t>Момынбаев</t>
  </si>
  <si>
    <t>Жумаканович</t>
  </si>
  <si>
    <t>053009984</t>
  </si>
  <si>
    <t>р-н СарыАрка</t>
  </si>
  <si>
    <t>ул.Тлендиева</t>
  </si>
  <si>
    <t>д.50/1, кв.144</t>
  </si>
  <si>
    <t>Михалев</t>
  </si>
  <si>
    <t>052104306</t>
  </si>
  <si>
    <t>ул.В.Бартольда</t>
  </si>
  <si>
    <t>Раисов</t>
  </si>
  <si>
    <t>Рауилович</t>
  </si>
  <si>
    <t>045361280</t>
  </si>
  <si>
    <t xml:space="preserve">с. Красный яр, </t>
  </si>
  <si>
    <t xml:space="preserve">ул. Абылай хана, </t>
  </si>
  <si>
    <t>д.45/48</t>
  </si>
  <si>
    <t xml:space="preserve">Плехов </t>
  </si>
  <si>
    <t>054409527</t>
  </si>
  <si>
    <t>ул. Урицкого,</t>
  </si>
  <si>
    <t>Кудайбергенов</t>
  </si>
  <si>
    <t>Токсанбаевич</t>
  </si>
  <si>
    <t>055835208</t>
  </si>
  <si>
    <t>ул. Амре Кашаубаева,</t>
  </si>
  <si>
    <t>д. 34</t>
  </si>
  <si>
    <t>Никулин</t>
  </si>
  <si>
    <t>Владиленович</t>
  </si>
  <si>
    <t>053616214</t>
  </si>
  <si>
    <t>ул. Алии Молдагуловой,</t>
  </si>
  <si>
    <t>д.58, кв 2</t>
  </si>
  <si>
    <t>Джаппаров</t>
  </si>
  <si>
    <t>Шахадил</t>
  </si>
  <si>
    <t>Чагатаевич</t>
  </si>
  <si>
    <t>017296868</t>
  </si>
  <si>
    <t>р-н Алатау</t>
  </si>
  <si>
    <t>ул.Талдыарал</t>
  </si>
  <si>
    <t>Анисимов</t>
  </si>
  <si>
    <t>046097820</t>
  </si>
  <si>
    <t>Зерендинский район, с. Приречное,</t>
  </si>
  <si>
    <t>ул. Енбекшилер,</t>
  </si>
  <si>
    <t>Гусельников</t>
  </si>
  <si>
    <t>051419884</t>
  </si>
  <si>
    <t>Зерендинский район, с. Акколь,</t>
  </si>
  <si>
    <t>д.12, кв 1</t>
  </si>
  <si>
    <t>Сакыпов</t>
  </si>
  <si>
    <t>Ахан</t>
  </si>
  <si>
    <t>Ахметбаевич</t>
  </si>
  <si>
    <t>043096865</t>
  </si>
  <si>
    <t>р-н Енбекшиказахский, сельский округ Болекский, с. Бөлек,</t>
  </si>
  <si>
    <t>потреб. кооператив СО Массив Иссык, ул. Клубничная,</t>
  </si>
  <si>
    <t>д.33</t>
  </si>
  <si>
    <t>Утешов</t>
  </si>
  <si>
    <t>Ибатуллаевич</t>
  </si>
  <si>
    <t>039753810</t>
  </si>
  <si>
    <t>ул. Е-495</t>
  </si>
  <si>
    <t>д.8, кв.118</t>
  </si>
  <si>
    <t>Яковцев</t>
  </si>
  <si>
    <t>Петр</t>
  </si>
  <si>
    <t>047154749</t>
  </si>
  <si>
    <t xml:space="preserve">​Жетысуский район, </t>
  </si>
  <si>
    <t>ул.Пржевальского,</t>
  </si>
  <si>
    <t>Магзумов 1</t>
  </si>
  <si>
    <t>Нураллинович</t>
  </si>
  <si>
    <t>042143802</t>
  </si>
  <si>
    <t>ул. Бейбитшилик,</t>
  </si>
  <si>
    <t>Левштанов</t>
  </si>
  <si>
    <t>040051473</t>
  </si>
  <si>
    <t>Алматинская область, Илийский район, Караойский сельский округ, село Косозен,</t>
  </si>
  <si>
    <t>ул. Таугуль,</t>
  </si>
  <si>
    <t>д.27/1</t>
  </si>
  <si>
    <t>Амирбеков</t>
  </si>
  <si>
    <t>Темирбек</t>
  </si>
  <si>
    <t>Акынович</t>
  </si>
  <si>
    <t>037961577</t>
  </si>
  <si>
    <t>ул.Есенберлина</t>
  </si>
  <si>
    <t>д.62</t>
  </si>
  <si>
    <t>Игнатченко</t>
  </si>
  <si>
    <t>039982025</t>
  </si>
  <si>
    <t xml:space="preserve"> Карасайский р-н, с.Жибек Жолы</t>
  </si>
  <si>
    <t>ул.Коксаз</t>
  </si>
  <si>
    <t>Магзумов</t>
  </si>
  <si>
    <t>Куанышбаевич</t>
  </si>
  <si>
    <t>040315036</t>
  </si>
  <si>
    <t>ул. Сейфуллина,</t>
  </si>
  <si>
    <t>д.50</t>
  </si>
  <si>
    <t>Чернова2</t>
  </si>
  <si>
    <t>Анастасия</t>
  </si>
  <si>
    <t>Сергеевна</t>
  </si>
  <si>
    <t>051583797</t>
  </si>
  <si>
    <t>д.70, кв 2</t>
  </si>
  <si>
    <t>Нагогин</t>
  </si>
  <si>
    <t>047016858</t>
  </si>
  <si>
    <t>Сандыктауский район,</t>
  </si>
  <si>
    <t>ул. Абылай Хана,</t>
  </si>
  <si>
    <t>д.170</t>
  </si>
  <si>
    <t>Лисневский</t>
  </si>
  <si>
    <t>017601426</t>
  </si>
  <si>
    <t>г. Тайынша,</t>
  </si>
  <si>
    <t>Сальменов</t>
  </si>
  <si>
    <t>Уразбай</t>
  </si>
  <si>
    <t>Кубашевич</t>
  </si>
  <si>
    <t>022151694</t>
  </si>
  <si>
    <t>Целиноградский р-н, с.Кызылсуат,</t>
  </si>
  <si>
    <t>д.18а</t>
  </si>
  <si>
    <t>Шубин</t>
  </si>
  <si>
    <t>Илья</t>
  </si>
  <si>
    <t>Олегович</t>
  </si>
  <si>
    <t>052199133</t>
  </si>
  <si>
    <t>г.Алматы,Турксибский район,</t>
  </si>
  <si>
    <t>ул. Новосибирская,</t>
  </si>
  <si>
    <t>д.17</t>
  </si>
  <si>
    <t>Абанов</t>
  </si>
  <si>
    <t>Даулетқан</t>
  </si>
  <si>
    <t>Советқанұлы</t>
  </si>
  <si>
    <t>055191909</t>
  </si>
  <si>
    <t xml:space="preserve">Жетысуской область, </t>
  </si>
  <si>
    <t xml:space="preserve">Саркандский район, с. Алмалы, </t>
  </si>
  <si>
    <t>ул. Жамбыла,</t>
  </si>
  <si>
    <t>Кисловский</t>
  </si>
  <si>
    <t>016697607</t>
  </si>
  <si>
    <t>Айыртауский район, с. Саумалколь,</t>
  </si>
  <si>
    <t>ул. Балахмета Хаирова,</t>
  </si>
  <si>
    <t>д.31</t>
  </si>
  <si>
    <t>Смирнов</t>
  </si>
  <si>
    <t>047704184</t>
  </si>
  <si>
    <t>д.106</t>
  </si>
  <si>
    <t>Косов</t>
  </si>
  <si>
    <t>050530859</t>
  </si>
  <si>
    <t>г. Алматы, ​Жетысуский район,</t>
  </si>
  <si>
    <t>ул. Ломоносова,</t>
  </si>
  <si>
    <t>д.51</t>
  </si>
  <si>
    <t xml:space="preserve">Ахматов </t>
  </si>
  <si>
    <t>Жамбылская область,</t>
  </si>
  <si>
    <t>Кордайский район, село Кордай,</t>
  </si>
  <si>
    <t xml:space="preserve">ул. Жылыбаева, </t>
  </si>
  <si>
    <t>д. 28Б</t>
  </si>
  <si>
    <t>Нуралин</t>
  </si>
  <si>
    <t>Нурбол</t>
  </si>
  <si>
    <t>Абсеитович</t>
  </si>
  <si>
    <t>040550004</t>
  </si>
  <si>
    <t>ул.Шевченко</t>
  </si>
  <si>
    <t>д.8, кв.235</t>
  </si>
  <si>
    <t>Жанысбек</t>
  </si>
  <si>
    <t>Клара</t>
  </si>
  <si>
    <t>Құрбанбекқызы</t>
  </si>
  <si>
    <t>052685978</t>
  </si>
  <si>
    <t xml:space="preserve">г.Косшы, </t>
  </si>
  <si>
    <t>ЖМ Лесная поляна</t>
  </si>
  <si>
    <t>д.50, кв.5</t>
  </si>
  <si>
    <t>Асанов 3</t>
  </si>
  <si>
    <t>Кайрат</t>
  </si>
  <si>
    <t>Еркинович</t>
  </si>
  <si>
    <t>022089815</t>
  </si>
  <si>
    <t>Тайыншинский район, г. Тайынша,</t>
  </si>
  <si>
    <t>переулок Абая,</t>
  </si>
  <si>
    <t>д.15</t>
  </si>
  <si>
    <t>Еремин</t>
  </si>
  <si>
    <t>049496674</t>
  </si>
  <si>
    <t>д.33, кв.256</t>
  </si>
  <si>
    <t>Мадышев</t>
  </si>
  <si>
    <t>Куанышбай</t>
  </si>
  <si>
    <t>047773887</t>
  </si>
  <si>
    <t>​Коктем-2 м-н, Бостандыкский район,</t>
  </si>
  <si>
    <t>ул. Байзакова,</t>
  </si>
  <si>
    <t>д.312, кв 43</t>
  </si>
  <si>
    <t>Брумм</t>
  </si>
  <si>
    <t>054183418</t>
  </si>
  <si>
    <t>ул. Куншыгыс,</t>
  </si>
  <si>
    <t>д.99</t>
  </si>
  <si>
    <t>Шохыбаева</t>
  </si>
  <si>
    <t>Бальнур</t>
  </si>
  <si>
    <t>Сундетбековна</t>
  </si>
  <si>
    <t>057991577</t>
  </si>
  <si>
    <t>Кордайский район, с. Альжан Ана,</t>
  </si>
  <si>
    <t>ул. Абдуллина,</t>
  </si>
  <si>
    <t>Кальман</t>
  </si>
  <si>
    <t>041152836</t>
  </si>
  <si>
    <t>ул. Жениса,</t>
  </si>
  <si>
    <t>д.80, кв 12</t>
  </si>
  <si>
    <t>Солонский</t>
  </si>
  <si>
    <t>049342241</t>
  </si>
  <si>
    <t>Илийский район, с. Өтеген Батыр,</t>
  </si>
  <si>
    <t>ул. Абая,</t>
  </si>
  <si>
    <t>д.12, кв.12</t>
  </si>
  <si>
    <t>Амиров</t>
  </si>
  <si>
    <t>Ренат</t>
  </si>
  <si>
    <t>Айратович</t>
  </si>
  <si>
    <t>019333736</t>
  </si>
  <si>
    <t>Астраханский р-н, с.Астраханка</t>
  </si>
  <si>
    <t>д.98</t>
  </si>
  <si>
    <t>Досжанов</t>
  </si>
  <si>
    <t>Бакытбаевич</t>
  </si>
  <si>
    <t>050360597</t>
  </si>
  <si>
    <t>Ескельдинский район, с. Шымыр,</t>
  </si>
  <si>
    <t xml:space="preserve">ул. Абая, </t>
  </si>
  <si>
    <t>д.12</t>
  </si>
  <si>
    <t>Ондаш</t>
  </si>
  <si>
    <t>Бахытжан</t>
  </si>
  <si>
    <t>047288183</t>
  </si>
  <si>
    <t xml:space="preserve">Бостандыкский район, </t>
  </si>
  <si>
    <t xml:space="preserve">ул.Рыскулбекова, </t>
  </si>
  <si>
    <t>д.28/1, кв. 63</t>
  </si>
  <si>
    <t>Синдирбаев</t>
  </si>
  <si>
    <t>Исагалы</t>
  </si>
  <si>
    <t>Турагалиевич</t>
  </si>
  <si>
    <t>037807207</t>
  </si>
  <si>
    <t>Алматинская обл.,</t>
  </si>
  <si>
    <t>Жамбыльский район, с.Каргалы</t>
  </si>
  <si>
    <t>ул.Молдабекова</t>
  </si>
  <si>
    <t>д.67</t>
  </si>
  <si>
    <t>Вагнер</t>
  </si>
  <si>
    <t>Филиппович</t>
  </si>
  <si>
    <t>048713220</t>
  </si>
  <si>
    <t>Шортандинский р-н, с.Петровка</t>
  </si>
  <si>
    <t>д.29</t>
  </si>
  <si>
    <t>Османов</t>
  </si>
  <si>
    <t>Давыд</t>
  </si>
  <si>
    <t>Афизович</t>
  </si>
  <si>
    <t>023401447</t>
  </si>
  <si>
    <t>Илийский район, с. Екпинды,</t>
  </si>
  <si>
    <t>ул.Алгазиева,</t>
  </si>
  <si>
    <t>д. 37</t>
  </si>
  <si>
    <t>Сумина</t>
  </si>
  <si>
    <t>Кристина</t>
  </si>
  <si>
    <t>042289370</t>
  </si>
  <si>
    <t>000701651084</t>
  </si>
  <si>
    <t>ул. Айдын,</t>
  </si>
  <si>
    <t>Дикамбаев</t>
  </si>
  <si>
    <t>Марлен</t>
  </si>
  <si>
    <t>Джаикович</t>
  </si>
  <si>
    <t>053985647</t>
  </si>
  <si>
    <t>Талгарский район, с. Жибек Жолы,</t>
  </si>
  <si>
    <t>ул. Райымбек батыра,</t>
  </si>
  <si>
    <t>д.168</t>
  </si>
  <si>
    <t>Саркушеков</t>
  </si>
  <si>
    <t>057163634</t>
  </si>
  <si>
    <t>р-н Нура,</t>
  </si>
  <si>
    <t>ул.Омарова</t>
  </si>
  <si>
    <t>д.3, кв.61</t>
  </si>
  <si>
    <t>Соломеин</t>
  </si>
  <si>
    <t>048498671</t>
  </si>
  <si>
    <t>г.Алматы,</t>
  </si>
  <si>
    <t>ул. Рудаки,</t>
  </si>
  <si>
    <t>д.69</t>
  </si>
  <si>
    <t>Турениязов</t>
  </si>
  <si>
    <t>Мирамбек</t>
  </si>
  <si>
    <t>Куралтаевич</t>
  </si>
  <si>
    <t>046914155</t>
  </si>
  <si>
    <t>Кызылординская область,</t>
  </si>
  <si>
    <t>с. Арал,</t>
  </si>
  <si>
    <t>ул. Курмангазы,</t>
  </si>
  <si>
    <t>Даурбаев</t>
  </si>
  <si>
    <t>Эдиль</t>
  </si>
  <si>
    <t>Темиржанович</t>
  </si>
  <si>
    <t>043498996</t>
  </si>
  <si>
    <t>ул.Толе-би</t>
  </si>
  <si>
    <t>д.61, кв.185</t>
  </si>
  <si>
    <t>Бердиханова 2</t>
  </si>
  <si>
    <t>Байзакский район, с.Сарыкемер</t>
  </si>
  <si>
    <t>ул.Орынкулова</t>
  </si>
  <si>
    <t>д.119а</t>
  </si>
  <si>
    <t>Попандопуло</t>
  </si>
  <si>
    <t>039370039</t>
  </si>
  <si>
    <t>Енбекшиказахский район, с. Шелек,</t>
  </si>
  <si>
    <t>ул. Каипова,</t>
  </si>
  <si>
    <t>д. 32</t>
  </si>
  <si>
    <t>Байжанов</t>
  </si>
  <si>
    <t>Арман</t>
  </si>
  <si>
    <t>Умертаевич</t>
  </si>
  <si>
    <t>043929602</t>
  </si>
  <si>
    <t>ул. Нурлы кош,</t>
  </si>
  <si>
    <t>д.7, кв 1</t>
  </si>
  <si>
    <t>Мамташуров</t>
  </si>
  <si>
    <t>Рустям</t>
  </si>
  <si>
    <t>Винович</t>
  </si>
  <si>
    <t>047849977</t>
  </si>
  <si>
    <t>Алматинская обл,</t>
  </si>
  <si>
    <t>Талгарский р-н, пос.Бесагаш,</t>
  </si>
  <si>
    <t>ул.Айманова</t>
  </si>
  <si>
    <t>Ахтямов</t>
  </si>
  <si>
    <t>Бахтияр</t>
  </si>
  <si>
    <t>Гуламович</t>
  </si>
  <si>
    <t>049617753</t>
  </si>
  <si>
    <t>мкр.Шапагат</t>
  </si>
  <si>
    <t>ул.Биенкул</t>
  </si>
  <si>
    <t>Чуев</t>
  </si>
  <si>
    <t>Олег</t>
  </si>
  <si>
    <t>048440213</t>
  </si>
  <si>
    <t>Жетысу область,</t>
  </si>
  <si>
    <t>г. Уштобе,</t>
  </si>
  <si>
    <t>ул. Кутузова,</t>
  </si>
  <si>
    <t>д.10</t>
  </si>
  <si>
    <t>Ниязбеков</t>
  </si>
  <si>
    <t>Бахытбек</t>
  </si>
  <si>
    <t>Масгутович</t>
  </si>
  <si>
    <t>039314718</t>
  </si>
  <si>
    <t>Уалихановский район, с. Кишкенеколь,</t>
  </si>
  <si>
    <t>ул. Маликова,</t>
  </si>
  <si>
    <t>д.134, кв.2</t>
  </si>
  <si>
    <t>Орунбаев</t>
  </si>
  <si>
    <t>Малдубаевич</t>
  </si>
  <si>
    <t>049354138</t>
  </si>
  <si>
    <t>Айыртауский район, с. Междуозерное</t>
  </si>
  <si>
    <t xml:space="preserve">ул. Мира </t>
  </si>
  <si>
    <t>д. 4/2</t>
  </si>
  <si>
    <t>Пшеничный</t>
  </si>
  <si>
    <t>059007306</t>
  </si>
  <si>
    <t>ул. Дулатова</t>
  </si>
  <si>
    <t>д. 102</t>
  </si>
  <si>
    <t>Нет</t>
  </si>
  <si>
    <t>Таджиев</t>
  </si>
  <si>
    <t>Усен</t>
  </si>
  <si>
    <t>Нурлыбаевич</t>
  </si>
  <si>
    <t>040240705</t>
  </si>
  <si>
    <t>г. Текели</t>
  </si>
  <si>
    <t>ул. Оракты батыра</t>
  </si>
  <si>
    <t>д. 30</t>
  </si>
  <si>
    <t>Шаламбар</t>
  </si>
  <si>
    <t>Русланович</t>
  </si>
  <si>
    <t>043494375</t>
  </si>
  <si>
    <t>000107501220</t>
  </si>
  <si>
    <t>г. Алматы,  Турксибский район</t>
  </si>
  <si>
    <t>ул. Красногорская</t>
  </si>
  <si>
    <t>д. 35Г, кв. 18</t>
  </si>
  <si>
    <t>Алибеков</t>
  </si>
  <si>
    <t>Кудабаевич</t>
  </si>
  <si>
    <t>045766350</t>
  </si>
  <si>
    <t>Целиноградский р-н, с.Родина</t>
  </si>
  <si>
    <t>ул.Набережная</t>
  </si>
  <si>
    <t>Билялова</t>
  </si>
  <si>
    <t>Оксана</t>
  </si>
  <si>
    <t>039508718</t>
  </si>
  <si>
    <t>район Габита Мусрепова,</t>
  </si>
  <si>
    <t>ул. Октябрьская,</t>
  </si>
  <si>
    <t>д. 1г</t>
  </si>
  <si>
    <t>Каиржанов</t>
  </si>
  <si>
    <t>Негметжанович</t>
  </si>
  <si>
    <t>051914554</t>
  </si>
  <si>
    <t>Зерендинский район, село Кеноткель,</t>
  </si>
  <si>
    <t>ул. Орталык,</t>
  </si>
  <si>
    <t>д.37</t>
  </si>
  <si>
    <t>Ұлықпан</t>
  </si>
  <si>
    <t>Кенжебек</t>
  </si>
  <si>
    <t>057945970</t>
  </si>
  <si>
    <t>Ерементауский р-н, с. Майлан,</t>
  </si>
  <si>
    <t>ул.А.Халыкова</t>
  </si>
  <si>
    <t>д.35</t>
  </si>
  <si>
    <t>Абаев</t>
  </si>
  <si>
    <t>Абзал</t>
  </si>
  <si>
    <t>045705845</t>
  </si>
  <si>
    <t>проспект Абая,</t>
  </si>
  <si>
    <t>д. 52а, кв 21</t>
  </si>
  <si>
    <t>Садуакасов</t>
  </si>
  <si>
    <t>Рысбекович</t>
  </si>
  <si>
    <t>040486761</t>
  </si>
  <si>
    <t>Коксуский район, село Алгабас,</t>
  </si>
  <si>
    <t>ул. Қызылтоған Лабильданова,</t>
  </si>
  <si>
    <t>Ильин</t>
  </si>
  <si>
    <t>052745186</t>
  </si>
  <si>
    <t>ул.Пушкина,</t>
  </si>
  <si>
    <t>д.68а, кв 3</t>
  </si>
  <si>
    <t>Москаленко</t>
  </si>
  <si>
    <t>040559288</t>
  </si>
  <si>
    <t>ул.Западная</t>
  </si>
  <si>
    <t>Алиева 1</t>
  </si>
  <si>
    <t>Гулистам</t>
  </si>
  <si>
    <t>Рустамовна</t>
  </si>
  <si>
    <t>Илийский район, г.Алатау,</t>
  </si>
  <si>
    <t>мкр-н Жетыген, ул. Джамбула,</t>
  </si>
  <si>
    <t>дом 9</t>
  </si>
  <si>
    <t>Ченкин</t>
  </si>
  <si>
    <t>046379413</t>
  </si>
  <si>
    <t>Каратальский район, г. Уштобе,</t>
  </si>
  <si>
    <t>ул. Лазо,</t>
  </si>
  <si>
    <t>Омарбек</t>
  </si>
  <si>
    <t>Нұржан</t>
  </si>
  <si>
    <t>Сабажанұлы</t>
  </si>
  <si>
    <t>058915629</t>
  </si>
  <si>
    <t>Алатауский рн.,</t>
  </si>
  <si>
    <t xml:space="preserve">Мкр. Шанырақ-2, Турысова </t>
  </si>
  <si>
    <t>д.96</t>
  </si>
  <si>
    <t>Агамбаев</t>
  </si>
  <si>
    <t>Батырханович</t>
  </si>
  <si>
    <t>042066415</t>
  </si>
  <si>
    <t>город Алматы, район Бостандыкский, микрорайон Мирас дом №157, Квартира №222</t>
  </si>
  <si>
    <t>район Бостандыкский, микрорайон Мирас дом №157, Квартира №222</t>
  </si>
  <si>
    <t xml:space="preserve">микрорайон Мирас, </t>
  </si>
  <si>
    <t>д.157, кв 222</t>
  </si>
  <si>
    <t>Гусев</t>
  </si>
  <si>
    <t>057976748</t>
  </si>
  <si>
    <t>Аршалынский р-н, аул Турген</t>
  </si>
  <si>
    <t>ул.Есиль</t>
  </si>
  <si>
    <t>Давыденко</t>
  </si>
  <si>
    <t>048924057</t>
  </si>
  <si>
    <t>ул. Темерязева,</t>
  </si>
  <si>
    <t>Султанкулов</t>
  </si>
  <si>
    <t>Женис</t>
  </si>
  <si>
    <t>Бегимович</t>
  </si>
  <si>
    <t>040491483</t>
  </si>
  <si>
    <t xml:space="preserve">Талгарский район, пос Туздыбастау, </t>
  </si>
  <si>
    <t xml:space="preserve">улица Абдул Мажит Искаков, </t>
  </si>
  <si>
    <t>дом 75</t>
  </si>
  <si>
    <t>Доненко</t>
  </si>
  <si>
    <t>Владмирович</t>
  </si>
  <si>
    <t>022731447</t>
  </si>
  <si>
    <t>ул.Богенбая</t>
  </si>
  <si>
    <t>д.30, кв.105</t>
  </si>
  <si>
    <t>Чуяков</t>
  </si>
  <si>
    <t>Федорович</t>
  </si>
  <si>
    <t>051087155</t>
  </si>
  <si>
    <t xml:space="preserve"> Ескильдинский район, с. Бактыбай,</t>
  </si>
  <si>
    <t>ул. Конаева,</t>
  </si>
  <si>
    <t>Стрежнёв</t>
  </si>
  <si>
    <t>056504802</t>
  </si>
  <si>
    <t>г. Акколь,</t>
  </si>
  <si>
    <t xml:space="preserve">ул. Курылыс, </t>
  </si>
  <si>
    <t>д.50/7, кв.2</t>
  </si>
  <si>
    <t>Умирбаев</t>
  </si>
  <si>
    <t>Умирзакович</t>
  </si>
  <si>
    <t>054332284</t>
  </si>
  <si>
    <t>Зерендинский район, с. Байтерек,</t>
  </si>
  <si>
    <t>ул. Центральная,</t>
  </si>
  <si>
    <t>д.10, кв 1</t>
  </si>
  <si>
    <t>Галицкий</t>
  </si>
  <si>
    <t>051361052</t>
  </si>
  <si>
    <t>Тайыншинский район, с. Чкалово,</t>
  </si>
  <si>
    <t>д.22</t>
  </si>
  <si>
    <t>Харламова</t>
  </si>
  <si>
    <t>Елена</t>
  </si>
  <si>
    <t>021078155</t>
  </si>
  <si>
    <t>Талгарский район, с. Гульдала,</t>
  </si>
  <si>
    <t xml:space="preserve">ул. Наурызбай батыра, </t>
  </si>
  <si>
    <t>Құсмолданов</t>
  </si>
  <si>
    <t>Елікжан</t>
  </si>
  <si>
    <t>Санатұлы</t>
  </si>
  <si>
    <t>040570155</t>
  </si>
  <si>
    <t>Каратальский район,</t>
  </si>
  <si>
    <t>мкр-н Достык,</t>
  </si>
  <si>
    <t>ул. Чкалова,</t>
  </si>
  <si>
    <t>Именов</t>
  </si>
  <si>
    <t>Исматович</t>
  </si>
  <si>
    <t>057488373</t>
  </si>
  <si>
    <t>Г.Алматы,</t>
  </si>
  <si>
    <t>мкр-н Жетысу 2,</t>
  </si>
  <si>
    <t>д.10,</t>
  </si>
  <si>
    <t>кв. 58</t>
  </si>
  <si>
    <t>Науанов</t>
  </si>
  <si>
    <t>Даулетович</t>
  </si>
  <si>
    <t>040282994</t>
  </si>
  <si>
    <t>ул. Королева</t>
  </si>
  <si>
    <t>д. 29</t>
  </si>
  <si>
    <t>Ганевич</t>
  </si>
  <si>
    <t>Александровна</t>
  </si>
  <si>
    <t>054558162</t>
  </si>
  <si>
    <t>ул. Габдуллина</t>
  </si>
  <si>
    <t>д. 34, кв. 36</t>
  </si>
  <si>
    <t>Кутлузаманов</t>
  </si>
  <si>
    <t>Нургалиевич</t>
  </si>
  <si>
    <t>049001144</t>
  </si>
  <si>
    <t>Шортандинский р-н, с.Новокубанка</t>
  </si>
  <si>
    <t>ул.Кенесары</t>
  </si>
  <si>
    <t>Хазтай</t>
  </si>
  <si>
    <t>050380006</t>
  </si>
  <si>
    <t>Акмола обл</t>
  </si>
  <si>
    <t>Аршалынский р-н, Аршалы</t>
  </si>
  <si>
    <t>ул.Ынтымак</t>
  </si>
  <si>
    <t>Колесников</t>
  </si>
  <si>
    <t>056251716</t>
  </si>
  <si>
    <t>Бурабайский район, с. Златополье</t>
  </si>
  <si>
    <t>ул. Новостройка,</t>
  </si>
  <si>
    <t>д. 1, кв. 2</t>
  </si>
  <si>
    <t>Величко</t>
  </si>
  <si>
    <t>020712446</t>
  </si>
  <si>
    <t>СО Черемушки Атп-1, ул.5</t>
  </si>
  <si>
    <t>уч.176</t>
  </si>
  <si>
    <t>Абильдин</t>
  </si>
  <si>
    <t>Хазырбекович</t>
  </si>
  <si>
    <t>040762596</t>
  </si>
  <si>
    <t>Коргалжынский район, с.Жантеке</t>
  </si>
  <si>
    <t>Джандарбеков</t>
  </si>
  <si>
    <t>Утепберди</t>
  </si>
  <si>
    <t>Баймахамбетович</t>
  </si>
  <si>
    <t>056151514</t>
  </si>
  <si>
    <t>ул.Бокейхана</t>
  </si>
  <si>
    <t>д.8, кв.44</t>
  </si>
  <si>
    <t>Нурлыбай</t>
  </si>
  <si>
    <t>Нуркелдi</t>
  </si>
  <si>
    <t>Нуржанұлы</t>
  </si>
  <si>
    <t>042347463</t>
  </si>
  <si>
    <t>ул. Османова,</t>
  </si>
  <si>
    <t>д. 99</t>
  </si>
  <si>
    <t>Имангалиев</t>
  </si>
  <si>
    <t>Жан</t>
  </si>
  <si>
    <t>053131301</t>
  </si>
  <si>
    <t>Карасайский район, ​с. Райымбек,.</t>
  </si>
  <si>
    <t xml:space="preserve">Улица Суюнбая, </t>
  </si>
  <si>
    <t>Мерей</t>
  </si>
  <si>
    <t>042223772</t>
  </si>
  <si>
    <t>010108551006</t>
  </si>
  <si>
    <t>Щортандинский р-н, с.Бектау</t>
  </si>
  <si>
    <t>ул.Иманова</t>
  </si>
  <si>
    <t>д.8/2</t>
  </si>
  <si>
    <t>Андруцуляк 1</t>
  </si>
  <si>
    <t>052183304</t>
  </si>
  <si>
    <t>Сандыктауский район, с. Белгородское,</t>
  </si>
  <si>
    <t>ул. Богенбай Би,</t>
  </si>
  <si>
    <t>Жилиев</t>
  </si>
  <si>
    <t>Валентинович</t>
  </si>
  <si>
    <t>053297231</t>
  </si>
  <si>
    <t>ул. Монтажная,</t>
  </si>
  <si>
    <t>д. 10а</t>
  </si>
  <si>
    <t>Айткенов</t>
  </si>
  <si>
    <t>Актаевич</t>
  </si>
  <si>
    <t>041670792</t>
  </si>
  <si>
    <t>ул. Сабатаева,</t>
  </si>
  <si>
    <t>д.131</t>
  </si>
  <si>
    <t>Небышинец</t>
  </si>
  <si>
    <t>059790216</t>
  </si>
  <si>
    <t>р-н Сарайшык</t>
  </si>
  <si>
    <t>ул.Бабажанова</t>
  </si>
  <si>
    <t>д.59</t>
  </si>
  <si>
    <t>Мазур</t>
  </si>
  <si>
    <t>048035549</t>
  </si>
  <si>
    <t>Талгарский район, село Гульдала,</t>
  </si>
  <si>
    <t>ул. Карасай Батыра,</t>
  </si>
  <si>
    <t>дом 12</t>
  </si>
  <si>
    <t>Ковригина</t>
  </si>
  <si>
    <t>044487640</t>
  </si>
  <si>
    <t>ул.Биржан Сал,</t>
  </si>
  <si>
    <t>д.133</t>
  </si>
  <si>
    <t>Нұрхан</t>
  </si>
  <si>
    <t>Ардақұлы</t>
  </si>
  <si>
    <t>045004568</t>
  </si>
  <si>
    <t>020920551220</t>
  </si>
  <si>
    <t>ул. Жубанова,</t>
  </si>
  <si>
    <t>Керимов</t>
  </si>
  <si>
    <t>Рамизович</t>
  </si>
  <si>
    <t>052618108</t>
  </si>
  <si>
    <t>ул. Акана Серы,</t>
  </si>
  <si>
    <t>д.62а</t>
  </si>
  <si>
    <t>Кадышев</t>
  </si>
  <si>
    <t>Келденович</t>
  </si>
  <si>
    <t>043783012</t>
  </si>
  <si>
    <t>проспект Назарбаева,</t>
  </si>
  <si>
    <t>д. 2/3, кв 5</t>
  </si>
  <si>
    <t>Утешев</t>
  </si>
  <si>
    <t>053699748</t>
  </si>
  <si>
    <t>ул. 8 марта,</t>
  </si>
  <si>
    <t>д.37/1</t>
  </si>
  <si>
    <t>Добровольский</t>
  </si>
  <si>
    <t>060184358</t>
  </si>
  <si>
    <t>Аршалынский р-н, с.Аршалы</t>
  </si>
  <si>
    <t>ул.Сазонова</t>
  </si>
  <si>
    <t>Кошанов</t>
  </si>
  <si>
    <t>Махамбет</t>
  </si>
  <si>
    <t>060149746</t>
  </si>
  <si>
    <t>с. Красный яр,</t>
  </si>
  <si>
    <t>ул. Нурлы,</t>
  </si>
  <si>
    <t>Зырянов 3</t>
  </si>
  <si>
    <t>ул. Ауэзова,</t>
  </si>
  <si>
    <t>д.37, кв.22</t>
  </si>
  <si>
    <t>Караев</t>
  </si>
  <si>
    <t>Урушан</t>
  </si>
  <si>
    <t>Ибрагимович</t>
  </si>
  <si>
    <t>044004621</t>
  </si>
  <si>
    <t>поселок Абая,</t>
  </si>
  <si>
    <t xml:space="preserve">ул. Доламак-Ана, </t>
  </si>
  <si>
    <t>д.17, кв 7</t>
  </si>
  <si>
    <t>380000Ка</t>
  </si>
  <si>
    <t>Баймолданов</t>
  </si>
  <si>
    <t>Молдагалиевич</t>
  </si>
  <si>
    <t>051630207</t>
  </si>
  <si>
    <t>область Жетiсу,</t>
  </si>
  <si>
    <t xml:space="preserve">г. Талдыкорган, </t>
  </si>
  <si>
    <t>потребительский кооператив садоводов Агропромышленник,</t>
  </si>
  <si>
    <t>Киреев</t>
  </si>
  <si>
    <t>022705815</t>
  </si>
  <si>
    <t>Краснояркие дачи,</t>
  </si>
  <si>
    <t>Абжанов</t>
  </si>
  <si>
    <t>Галымжанович</t>
  </si>
  <si>
    <t>052919990</t>
  </si>
  <si>
    <t>р-Сарайшык</t>
  </si>
  <si>
    <t>д.62, кв.1</t>
  </si>
  <si>
    <t>Замятин</t>
  </si>
  <si>
    <t>039557810</t>
  </si>
  <si>
    <t>пер.Караой</t>
  </si>
  <si>
    <t>Даутов 1</t>
  </si>
  <si>
    <t>Дамир</t>
  </si>
  <si>
    <t>Уралович</t>
  </si>
  <si>
    <t>045937214</t>
  </si>
  <si>
    <t>ул.Тамшалы</t>
  </si>
  <si>
    <t>д.70</t>
  </si>
  <si>
    <t>Раев</t>
  </si>
  <si>
    <t>Нурхат</t>
  </si>
  <si>
    <t>Сейлханович</t>
  </si>
  <si>
    <t>056530076</t>
  </si>
  <si>
    <t>р-н Байконыр</t>
  </si>
  <si>
    <t>пр-т Богенбай батыра</t>
  </si>
  <si>
    <t>д.56б</t>
  </si>
  <si>
    <t>Лита</t>
  </si>
  <si>
    <t>054815641</t>
  </si>
  <si>
    <t>ул. Камысдала,</t>
  </si>
  <si>
    <t>д. 21/1</t>
  </si>
  <si>
    <t>Умирбеков1</t>
  </si>
  <si>
    <t>Наурызбай</t>
  </si>
  <si>
    <t>050777122</t>
  </si>
  <si>
    <t>д. 33, кв 1</t>
  </si>
  <si>
    <t>Омаров</t>
  </si>
  <si>
    <t>Дюсенбаевич</t>
  </si>
  <si>
    <t>050524916</t>
  </si>
  <si>
    <t>Костанайская обл</t>
  </si>
  <si>
    <t>г.Тобыл</t>
  </si>
  <si>
    <t>ул.Крестьянская</t>
  </si>
  <si>
    <t>Кузнецов2</t>
  </si>
  <si>
    <t>041636036</t>
  </si>
  <si>
    <t>г.Акколь,</t>
  </si>
  <si>
    <t>ул. Аль-Фараби,</t>
  </si>
  <si>
    <t>д.2/2, кв.1</t>
  </si>
  <si>
    <t>Сарсенбеков</t>
  </si>
  <si>
    <t>Габиден</t>
  </si>
  <si>
    <t>Советханович</t>
  </si>
  <si>
    <t>055488678</t>
  </si>
  <si>
    <t>ул.Байтурсынова</t>
  </si>
  <si>
    <t>д.40</t>
  </si>
  <si>
    <t>Касенов</t>
  </si>
  <si>
    <t>Сарсенбаевич</t>
  </si>
  <si>
    <t>044314064</t>
  </si>
  <si>
    <t>Зерендинский район, с. Зеренда,</t>
  </si>
  <si>
    <t>ул. Ильясова,</t>
  </si>
  <si>
    <t>д. 20, кв. 12</t>
  </si>
  <si>
    <t>Шаяхметов</t>
  </si>
  <si>
    <t>Раис</t>
  </si>
  <si>
    <t>Шамильевич</t>
  </si>
  <si>
    <t>060179434</t>
  </si>
  <si>
    <t>пр-т Абылай хана</t>
  </si>
  <si>
    <t>д.19/2, кв.15</t>
  </si>
  <si>
    <t>Аренов</t>
  </si>
  <si>
    <t>Ерлик</t>
  </si>
  <si>
    <t>Аблаевич</t>
  </si>
  <si>
    <t>023112789</t>
  </si>
  <si>
    <t>п.с. Красный Яр,</t>
  </si>
  <si>
    <t>ул. Нурлы-кош</t>
  </si>
  <si>
    <t>д.58/1</t>
  </si>
  <si>
    <t>Аймухамбетов</t>
  </si>
  <si>
    <t>Нурсафинович</t>
  </si>
  <si>
    <t>053074877</t>
  </si>
  <si>
    <t>Талгарский район,</t>
  </si>
  <si>
    <t>п. Талдыбулак,</t>
  </si>
  <si>
    <t>д.6а</t>
  </si>
  <si>
    <t>Абилов</t>
  </si>
  <si>
    <t>Дінмұхамед</t>
  </si>
  <si>
    <t>Әбуталипұлы</t>
  </si>
  <si>
    <t>046917343</t>
  </si>
  <si>
    <t>040227500916</t>
  </si>
  <si>
    <t>г.Тараз,</t>
  </si>
  <si>
    <t>5 переулок, улица Сыздыкова,</t>
  </si>
  <si>
    <t>д.64</t>
  </si>
  <si>
    <t>Буткевич</t>
  </si>
  <si>
    <t>Алёна</t>
  </si>
  <si>
    <t>049964622</t>
  </si>
  <si>
    <t>ул.Павлова</t>
  </si>
  <si>
    <t>д.102/3, кв.74</t>
  </si>
  <si>
    <t>Багаутдинов</t>
  </si>
  <si>
    <t>Эльдар</t>
  </si>
  <si>
    <t>Халитович</t>
  </si>
  <si>
    <t>048263329</t>
  </si>
  <si>
    <t xml:space="preserve">г. Алматы, </t>
  </si>
  <si>
    <t>ул. Шухова,</t>
  </si>
  <si>
    <t>дом 22.</t>
  </si>
  <si>
    <t>Дроздова</t>
  </si>
  <si>
    <t>039965897</t>
  </si>
  <si>
    <t>г. Талдыкорган, п. Отенай,</t>
  </si>
  <si>
    <t>ул. Улытау,</t>
  </si>
  <si>
    <t>Ананьин</t>
  </si>
  <si>
    <t>053342013</t>
  </si>
  <si>
    <t>Илийский район, п. Байсерке,</t>
  </si>
  <si>
    <t>ул. Халифа Алтай,</t>
  </si>
  <si>
    <t>Курманбаев</t>
  </si>
  <si>
    <t>Жаслан</t>
  </si>
  <si>
    <t>Султанбекович</t>
  </si>
  <si>
    <t>054007398</t>
  </si>
  <si>
    <t>ул.Сокпакбаева</t>
  </si>
  <si>
    <t>Есмагамбетов</t>
  </si>
  <si>
    <t>Гали</t>
  </si>
  <si>
    <t>Асылбекович</t>
  </si>
  <si>
    <t>042083994</t>
  </si>
  <si>
    <t>ул. Елемесова,</t>
  </si>
  <si>
    <t>Питимко</t>
  </si>
  <si>
    <t>049840068</t>
  </si>
  <si>
    <t>ул.Молдагуловой</t>
  </si>
  <si>
    <t>д.13/5, кв.4</t>
  </si>
  <si>
    <t>Жакуда</t>
  </si>
  <si>
    <t>Мадияр</t>
  </si>
  <si>
    <t>Ерболұлы</t>
  </si>
  <si>
    <t>053956988</t>
  </si>
  <si>
    <t>ул.Ондирис</t>
  </si>
  <si>
    <t>Аманбаев</t>
  </si>
  <si>
    <t>045311770</t>
  </si>
  <si>
    <t>г. Астана, Алматы район,</t>
  </si>
  <si>
    <t xml:space="preserve">Куйши Дина, </t>
  </si>
  <si>
    <t>д.8, кв 13</t>
  </si>
  <si>
    <t>Пшенко</t>
  </si>
  <si>
    <t>041001002</t>
  </si>
  <si>
    <t>ул.Кажымукан</t>
  </si>
  <si>
    <t>д.6/1, кв.36</t>
  </si>
  <si>
    <t>Ахванов</t>
  </si>
  <si>
    <t>Ілияс</t>
  </si>
  <si>
    <t>046518073</t>
  </si>
  <si>
    <t>040610500511</t>
  </si>
  <si>
    <t>мкр-н Аккент,</t>
  </si>
  <si>
    <t>д.57, кв 64</t>
  </si>
  <si>
    <t>Оскаров</t>
  </si>
  <si>
    <t>Мерекеулы</t>
  </si>
  <si>
    <t>056823902</t>
  </si>
  <si>
    <t>000110551461</t>
  </si>
  <si>
    <t>Сандыктауский район, с. Балкашино,</t>
  </si>
  <si>
    <t>Тайсариев</t>
  </si>
  <si>
    <t>Санжар</t>
  </si>
  <si>
    <t>Жумаевич</t>
  </si>
  <si>
    <t>058444201</t>
  </si>
  <si>
    <t>Енбекшиказахский район, с. Балтабай,</t>
  </si>
  <si>
    <t>ул. Кунаева,</t>
  </si>
  <si>
    <t>д.79</t>
  </si>
  <si>
    <t>Рысбаев</t>
  </si>
  <si>
    <t>055219221</t>
  </si>
  <si>
    <t>Жетысуская область, Панфиловский район, сельский округ Жаскентский,</t>
  </si>
  <si>
    <t>с. Головацкий,</t>
  </si>
  <si>
    <t>Улица Тен Ин Гера,</t>
  </si>
  <si>
    <t>Боранбай</t>
  </si>
  <si>
    <t>051321326</t>
  </si>
  <si>
    <t>д.10а, кв.181</t>
  </si>
  <si>
    <t>Хайролла</t>
  </si>
  <si>
    <t>Муратулы</t>
  </si>
  <si>
    <t>051692072</t>
  </si>
  <si>
    <t>Уалихановский район, с.Кишкенеколь,</t>
  </si>
  <si>
    <t>ул. Муканова,</t>
  </si>
  <si>
    <t>Абишев</t>
  </si>
  <si>
    <t>Жылбек</t>
  </si>
  <si>
    <t>Сеилбекович</t>
  </si>
  <si>
    <t>052376236</t>
  </si>
  <si>
    <t>Айыртауский район, с. Даукара,</t>
  </si>
  <si>
    <t>ул. Орымбая,</t>
  </si>
  <si>
    <t>Батырханов</t>
  </si>
  <si>
    <t>Калыбекович</t>
  </si>
  <si>
    <t>044069157</t>
  </si>
  <si>
    <t>г. Алматы, Турксибский р-н,</t>
  </si>
  <si>
    <t>мкр.Алтай,</t>
  </si>
  <si>
    <t>дом 20, кв. 2</t>
  </si>
  <si>
    <t>+7 707 816 3716</t>
  </si>
  <si>
    <t>Мажитов</t>
  </si>
  <si>
    <t>Туребаевич</t>
  </si>
  <si>
    <t>016932582</t>
  </si>
  <si>
    <t>г. Щучинск,</t>
  </si>
  <si>
    <t>ул. Казахстанская,</t>
  </si>
  <si>
    <t>д.42</t>
  </si>
  <si>
    <t>Дюсенаев</t>
  </si>
  <si>
    <t>041713282</t>
  </si>
  <si>
    <t>ул. Шевченко,</t>
  </si>
  <si>
    <t>д.70, кв.2</t>
  </si>
  <si>
    <t>Сланбеков</t>
  </si>
  <si>
    <t>Рустемович</t>
  </si>
  <si>
    <t>050202478</t>
  </si>
  <si>
    <t>д.37, кв.140</t>
  </si>
  <si>
    <t>Хаджиюпов</t>
  </si>
  <si>
    <t>Тайржанович</t>
  </si>
  <si>
    <t>049872331</t>
  </si>
  <si>
    <t>пос. Карабулак,</t>
  </si>
  <si>
    <t>ул.Коктал,</t>
  </si>
  <si>
    <t>Калыкбаев</t>
  </si>
  <si>
    <t>Арстан</t>
  </si>
  <si>
    <t>Арыстанович</t>
  </si>
  <si>
    <t>057794476</t>
  </si>
  <si>
    <t>Актюбинская обл.</t>
  </si>
  <si>
    <t>г.Актобе</t>
  </si>
  <si>
    <t>пер.Ударный</t>
  </si>
  <si>
    <t>Мұқаметжан</t>
  </si>
  <si>
    <t>Айбек</t>
  </si>
  <si>
    <t>Нұрбақытұлы</t>
  </si>
  <si>
    <t>054524693</t>
  </si>
  <si>
    <t>г.Алматы, Наурызбайский район,</t>
  </si>
  <si>
    <t>ул. Просвещенец,</t>
  </si>
  <si>
    <t>д.43</t>
  </si>
  <si>
    <t>Гурнаков</t>
  </si>
  <si>
    <t>053434917</t>
  </si>
  <si>
    <t>ул. Черкасской обороны,</t>
  </si>
  <si>
    <t>д.148/1</t>
  </si>
  <si>
    <t>Паралыс</t>
  </si>
  <si>
    <t>053167058</t>
  </si>
  <si>
    <t>080906350888</t>
  </si>
  <si>
    <t>ул.Жангильдина</t>
  </si>
  <si>
    <t>д.10, кв.22</t>
  </si>
  <si>
    <t>Байкенов</t>
  </si>
  <si>
    <t>Адиль</t>
  </si>
  <si>
    <t>Алданышевич</t>
  </si>
  <si>
    <t>060322814</t>
  </si>
  <si>
    <t>Юго-Восток, ул.Сутбулак</t>
  </si>
  <si>
    <t>Бесчетный</t>
  </si>
  <si>
    <t>039749347</t>
  </si>
  <si>
    <t>Енбекшиказахский район, с. Байтерек,</t>
  </si>
  <si>
    <t>Хасенов1</t>
  </si>
  <si>
    <t>Рашатович</t>
  </si>
  <si>
    <t>059310840</t>
  </si>
  <si>
    <t>ул. Панфилова,</t>
  </si>
  <si>
    <t>д. 132/4</t>
  </si>
  <si>
    <t>Сұңғат</t>
  </si>
  <si>
    <t>042882078</t>
  </si>
  <si>
    <t>ул.Күлтегін</t>
  </si>
  <si>
    <t>д.14, кв.319</t>
  </si>
  <si>
    <t>Маер</t>
  </si>
  <si>
    <t>048828682</t>
  </si>
  <si>
    <t>ул.Жирентаева</t>
  </si>
  <si>
    <t>д.13, кв.45</t>
  </si>
  <si>
    <t>Аханов</t>
  </si>
  <si>
    <t>055421281</t>
  </si>
  <si>
    <t>мкр. №9,</t>
  </si>
  <si>
    <t>дом 26, кв. 41</t>
  </si>
  <si>
    <t>Попов</t>
  </si>
  <si>
    <t>Даниил</t>
  </si>
  <si>
    <t>044796146</t>
  </si>
  <si>
    <t>020725551459</t>
  </si>
  <si>
    <t>ул. Баймуканова,</t>
  </si>
  <si>
    <t>д. 33а, кв.8</t>
  </si>
  <si>
    <t>Махамбетова</t>
  </si>
  <si>
    <t>Макпал</t>
  </si>
  <si>
    <t>Алтаевна</t>
  </si>
  <si>
    <t>044040574</t>
  </si>
  <si>
    <t>ул.Петрова</t>
  </si>
  <si>
    <t>д.2/1, кв.98</t>
  </si>
  <si>
    <t>Асанбаев</t>
  </si>
  <si>
    <t>Бакирович</t>
  </si>
  <si>
    <t>055936911</t>
  </si>
  <si>
    <t>д.22, кв.12</t>
  </si>
  <si>
    <t>Тоқтамұрат1</t>
  </si>
  <si>
    <t>Құдайберген</t>
  </si>
  <si>
    <t>052405078</t>
  </si>
  <si>
    <t>д.50, кв.45</t>
  </si>
  <si>
    <t>Тущанов</t>
  </si>
  <si>
    <t>Құрыш</t>
  </si>
  <si>
    <t>Рақышұлы</t>
  </si>
  <si>
    <t>040108538</t>
  </si>
  <si>
    <t>Нуринский район, с.Нура</t>
  </si>
  <si>
    <t>ул.Б.Момышулы</t>
  </si>
  <si>
    <t>д.4, кв.1</t>
  </si>
  <si>
    <t>Мадиев</t>
  </si>
  <si>
    <t>Уразалинович</t>
  </si>
  <si>
    <t>048664404</t>
  </si>
  <si>
    <t>с. Красный Яр, ул. Достык</t>
  </si>
  <si>
    <t>дом 77, кв. 23</t>
  </si>
  <si>
    <t>+77052997926</t>
  </si>
  <si>
    <t>Матаев</t>
  </si>
  <si>
    <t>Амантаевич</t>
  </si>
  <si>
    <t>054640387</t>
  </si>
  <si>
    <t>Талгарский район, Панфиловский сельский округ, село Жібек жолы</t>
  </si>
  <si>
    <t>улица Бельбулак,</t>
  </si>
  <si>
    <t>дом 11</t>
  </si>
  <si>
    <t>+7 700 089 0020</t>
  </si>
  <si>
    <t>Авдгалах</t>
  </si>
  <si>
    <t>042921030</t>
  </si>
  <si>
    <t>ул.Кызылжар</t>
  </si>
  <si>
    <t>Садуов</t>
  </si>
  <si>
    <t>Божбанбаевич</t>
  </si>
  <si>
    <t>056996355</t>
  </si>
  <si>
    <t>ул.Болатхан Тайжан</t>
  </si>
  <si>
    <t>Габченко</t>
  </si>
  <si>
    <t>020091950</t>
  </si>
  <si>
    <t>Акмолиснкая область,</t>
  </si>
  <si>
    <t>Бурабайский район, с. Катарколь,</t>
  </si>
  <si>
    <t>ул. Карла Макса,</t>
  </si>
  <si>
    <t>дом 64</t>
  </si>
  <si>
    <t>+7 705 293 1009</t>
  </si>
  <si>
    <t>Ашербеков</t>
  </si>
  <si>
    <t>059445580</t>
  </si>
  <si>
    <t>Тайыншинский район, с. Большой Изюм,</t>
  </si>
  <si>
    <t>ул. Целинная,</t>
  </si>
  <si>
    <t>д. 56</t>
  </si>
  <si>
    <t>Балахан</t>
  </si>
  <si>
    <t>Өмірбекұлы</t>
  </si>
  <si>
    <t>045490251</t>
  </si>
  <si>
    <t>Сарысуский район, с. Саудакент,</t>
  </si>
  <si>
    <t xml:space="preserve">ул. Есенбекова, </t>
  </si>
  <si>
    <t>Яна</t>
  </si>
  <si>
    <t>Рафаэлевна</t>
  </si>
  <si>
    <t>046979380</t>
  </si>
  <si>
    <t>мкр. Кокмайса,</t>
  </si>
  <si>
    <t>дом 32, кв. 7</t>
  </si>
  <si>
    <t>Асанов</t>
  </si>
  <si>
    <t>Аманшылыкович</t>
  </si>
  <si>
    <t>053774412</t>
  </si>
  <si>
    <t>Юго-Восток, ул.Каратал</t>
  </si>
  <si>
    <t>Өмірлі</t>
  </si>
  <si>
    <t>Шыңғыс</t>
  </si>
  <si>
    <t>Батырханұлы</t>
  </si>
  <si>
    <t>059349757</t>
  </si>
  <si>
    <t>020619501941</t>
  </si>
  <si>
    <t>Наурызбайский район,</t>
  </si>
  <si>
    <t>​Калкаман-2 м-н, ул. Смайылова,</t>
  </si>
  <si>
    <t>д.174/1</t>
  </si>
  <si>
    <t>Сулейменов 1</t>
  </si>
  <si>
    <t>Каирбулатович</t>
  </si>
  <si>
    <t>038981182</t>
  </si>
  <si>
    <t>ул.Матросова</t>
  </si>
  <si>
    <t>Конюша</t>
  </si>
  <si>
    <t>054124846</t>
  </si>
  <si>
    <t>с. Новоишимка,</t>
  </si>
  <si>
    <t>ул. Ишимская,</t>
  </si>
  <si>
    <t>Туленов</t>
  </si>
  <si>
    <t>Нурмухамбетович</t>
  </si>
  <si>
    <t>059154788</t>
  </si>
  <si>
    <t>д.53/2 кв.50</t>
  </si>
  <si>
    <t>Акбердин</t>
  </si>
  <si>
    <t>Рафаэль</t>
  </si>
  <si>
    <t>Равильевич</t>
  </si>
  <si>
    <t>056007410</t>
  </si>
  <si>
    <t xml:space="preserve">г.Кокшетау, </t>
  </si>
  <si>
    <t>ул. Сулейменова,</t>
  </si>
  <si>
    <t>д.20, кв 8</t>
  </si>
  <si>
    <t>Темирханов</t>
  </si>
  <si>
    <t>Жанатканович</t>
  </si>
  <si>
    <t>050654694</t>
  </si>
  <si>
    <t>д.159, кв.70</t>
  </si>
  <si>
    <t>Айкенов</t>
  </si>
  <si>
    <t>Жанатович</t>
  </si>
  <si>
    <t>059297502</t>
  </si>
  <si>
    <t>ул.Минина</t>
  </si>
  <si>
    <t>д.56</t>
  </si>
  <si>
    <t>Мошанов</t>
  </si>
  <si>
    <t>Махатович</t>
  </si>
  <si>
    <t>044205572</t>
  </si>
  <si>
    <t>Восточно-Казахстанская обл.</t>
  </si>
  <si>
    <t>г.Усть-Каменогорск</t>
  </si>
  <si>
    <t>ул.Согринская</t>
  </si>
  <si>
    <t>д.71</t>
  </si>
  <si>
    <t>Аскарова</t>
  </si>
  <si>
    <t>Карлыгаш</t>
  </si>
  <si>
    <t>Токташовна</t>
  </si>
  <si>
    <t>043774218</t>
  </si>
  <si>
    <t>Аршалынский р-н, с.Жибек жолы</t>
  </si>
  <si>
    <t>мкр.Саяжай</t>
  </si>
  <si>
    <t>д.346</t>
  </si>
  <si>
    <t>Степаненко 1</t>
  </si>
  <si>
    <t>058796994</t>
  </si>
  <si>
    <t>ул.Алькея Маргулана,</t>
  </si>
  <si>
    <t>Мухаметкаримов</t>
  </si>
  <si>
    <t>Зиматович</t>
  </si>
  <si>
    <t>053463954</t>
  </si>
  <si>
    <t>поселок Аэропорт,</t>
  </si>
  <si>
    <t>д.13,</t>
  </si>
  <si>
    <t>кв.28</t>
  </si>
  <si>
    <t>Гасанов 1</t>
  </si>
  <si>
    <t>Нураддин</t>
  </si>
  <si>
    <t>Исмаилоглы</t>
  </si>
  <si>
    <t>037529031</t>
  </si>
  <si>
    <t>ул.Мусрепова</t>
  </si>
  <si>
    <t>Эргарт</t>
  </si>
  <si>
    <t>050334024</t>
  </si>
  <si>
    <t>Сандыктауский р-н, с.Балкашино</t>
  </si>
  <si>
    <t>ул.Чернова</t>
  </si>
  <si>
    <t>Колдин</t>
  </si>
  <si>
    <t>053791477</t>
  </si>
  <si>
    <t>ул. Ахрименко,</t>
  </si>
  <si>
    <t>д.7/8</t>
  </si>
  <si>
    <t>Ахметхан</t>
  </si>
  <si>
    <t>Досан</t>
  </si>
  <si>
    <t>Қайроллаұлы</t>
  </si>
  <si>
    <t>047469169</t>
  </si>
  <si>
    <t>ул. Шагалалы,</t>
  </si>
  <si>
    <t>Төлендіұлы</t>
  </si>
  <si>
    <t>Шынғыс</t>
  </si>
  <si>
    <t>051856919</t>
  </si>
  <si>
    <t>мкр-н Шанырак-1, ул. 20-июня,</t>
  </si>
  <si>
    <t>Турешев</t>
  </si>
  <si>
    <t>Назарбек</t>
  </si>
  <si>
    <t>Елеусинович</t>
  </si>
  <si>
    <t>047127534</t>
  </si>
  <si>
    <t>р-н Саоыарка</t>
  </si>
  <si>
    <t>пр-т Тлендиева</t>
  </si>
  <si>
    <t>д.44/1, кв.271</t>
  </si>
  <si>
    <t>Дрожанников</t>
  </si>
  <si>
    <t>046274939</t>
  </si>
  <si>
    <t>ул. Таймырская,</t>
  </si>
  <si>
    <t>д. 6, кв. 2</t>
  </si>
  <si>
    <t>Абиров</t>
  </si>
  <si>
    <t>Сиргебаевич</t>
  </si>
  <si>
    <t>054259857</t>
  </si>
  <si>
    <t>г. Шу,</t>
  </si>
  <si>
    <t>ул. Айши-биби,</t>
  </si>
  <si>
    <t>д. 18а</t>
  </si>
  <si>
    <t>Коптлеуов</t>
  </si>
  <si>
    <t>Ыхласович</t>
  </si>
  <si>
    <t>041098828</t>
  </si>
  <si>
    <t>г. Алатау,</t>
  </si>
  <si>
    <t>Клеймёнов</t>
  </si>
  <si>
    <t>026970644</t>
  </si>
  <si>
    <t>020217501609</t>
  </si>
  <si>
    <t>Енбекшиказахский район, Жанашарский сельский округ,</t>
  </si>
  <si>
    <t>с. Космос, ул Тауелсиздык,</t>
  </si>
  <si>
    <t>д.49, кв.1</t>
  </si>
  <si>
    <t>Нурболат</t>
  </si>
  <si>
    <t>Адильхан</t>
  </si>
  <si>
    <t>056088152</t>
  </si>
  <si>
    <t>ул. Новоселова,</t>
  </si>
  <si>
    <t>Ибрагимов</t>
  </si>
  <si>
    <t>Рафикович</t>
  </si>
  <si>
    <t>046025556</t>
  </si>
  <si>
    <t>д. 170а, кв 59</t>
  </si>
  <si>
    <t>Жанаев</t>
  </si>
  <si>
    <t>Дуантаевич</t>
  </si>
  <si>
    <t>056783666</t>
  </si>
  <si>
    <t>мкр.Железнодорожный, ул.Актасты</t>
  </si>
  <si>
    <t>д.27</t>
  </si>
  <si>
    <t>Нурмаганов</t>
  </si>
  <si>
    <t>Ануар</t>
  </si>
  <si>
    <t>Базарович</t>
  </si>
  <si>
    <t>059529398</t>
  </si>
  <si>
    <t>Бурабайский р-н, г.Щучинск</t>
  </si>
  <si>
    <t>мкр.Горный</t>
  </si>
  <si>
    <t>д.5, кв.17</t>
  </si>
  <si>
    <t>Уразов</t>
  </si>
  <si>
    <t>Сванкулович</t>
  </si>
  <si>
    <t>047023742</t>
  </si>
  <si>
    <t>Зерендинский район, с. Донгулагаш,</t>
  </si>
  <si>
    <t xml:space="preserve">ул. Береке, </t>
  </si>
  <si>
    <t>Кабдин</t>
  </si>
  <si>
    <t>Амангельдиевич</t>
  </si>
  <si>
    <t>043335216</t>
  </si>
  <si>
    <t>д.29, кв.94</t>
  </si>
  <si>
    <t>Еңсегенов</t>
  </si>
  <si>
    <t>Қуаныш</t>
  </si>
  <si>
    <t>Еңсегенұлы</t>
  </si>
  <si>
    <t>055424392</t>
  </si>
  <si>
    <t>ул.Темирказык</t>
  </si>
  <si>
    <t>д.18</t>
  </si>
  <si>
    <t>Заборин</t>
  </si>
  <si>
    <t xml:space="preserve">Михаил </t>
  </si>
  <si>
    <t>053898497</t>
  </si>
  <si>
    <t>ул. Тимирязева,</t>
  </si>
  <si>
    <t>дом 80, кв. 33</t>
  </si>
  <si>
    <t>Голубев</t>
  </si>
  <si>
    <t>044034072</t>
  </si>
  <si>
    <t>Западно-Казахстанская область,</t>
  </si>
  <si>
    <t>г.Уральск,</t>
  </si>
  <si>
    <t>м-н Затон Чапаева, ул.Джунусова,</t>
  </si>
  <si>
    <t>д.4, кв 10</t>
  </si>
  <si>
    <t>Дуйсембаев</t>
  </si>
  <si>
    <t>Женисович</t>
  </si>
  <si>
    <t>044615502</t>
  </si>
  <si>
    <t>ул. Жумагали Саина,</t>
  </si>
  <si>
    <t>дом 19, кв. 3</t>
  </si>
  <si>
    <t>Убраимов</t>
  </si>
  <si>
    <t>Медет</t>
  </si>
  <si>
    <t>Атамкулович</t>
  </si>
  <si>
    <t>054979775</t>
  </si>
  <si>
    <t>г. Алматы, Алатауский район,</t>
  </si>
  <si>
    <t xml:space="preserve">ул. Маркаколь, </t>
  </si>
  <si>
    <t>дом 71</t>
  </si>
  <si>
    <t>Абдиров</t>
  </si>
  <si>
    <t>Сагадат</t>
  </si>
  <si>
    <t>Касымович</t>
  </si>
  <si>
    <t>039027030</t>
  </si>
  <si>
    <t>Буландинский р-н, г.Макинск</t>
  </si>
  <si>
    <t>Жуков</t>
  </si>
  <si>
    <t>059423296</t>
  </si>
  <si>
    <t>ул. Абая 113,</t>
  </si>
  <si>
    <t>кв.79</t>
  </si>
  <si>
    <t>Чичеров</t>
  </si>
  <si>
    <t>057128066</t>
  </si>
  <si>
    <t>ул. Болашак,</t>
  </si>
  <si>
    <t>дом 32</t>
  </si>
  <si>
    <t>Зайцев</t>
  </si>
  <si>
    <t>058530470</t>
  </si>
  <si>
    <t>ул.Майлина</t>
  </si>
  <si>
    <t>д.206, кв.8</t>
  </si>
  <si>
    <t>Оразалин</t>
  </si>
  <si>
    <t>Жарас</t>
  </si>
  <si>
    <t>Иманмаликович</t>
  </si>
  <si>
    <t>042634018</t>
  </si>
  <si>
    <t xml:space="preserve">Потребительский кооператив, </t>
  </si>
  <si>
    <t>ул. Синегорье,</t>
  </si>
  <si>
    <t>д.140</t>
  </si>
  <si>
    <t>Андрющенко</t>
  </si>
  <si>
    <t>054895874</t>
  </si>
  <si>
    <t>ул.Ташенова</t>
  </si>
  <si>
    <t>д.2/3, кв.55</t>
  </si>
  <si>
    <t>Жумабеков</t>
  </si>
  <si>
    <t>Райбекович</t>
  </si>
  <si>
    <t>051979331</t>
  </si>
  <si>
    <t>Балхашский р-н, с.Баканас</t>
  </si>
  <si>
    <t>ул.Бижанова</t>
  </si>
  <si>
    <t>д.60А</t>
  </si>
  <si>
    <t>Катанова</t>
  </si>
  <si>
    <t>Марина</t>
  </si>
  <si>
    <t>057022735</t>
  </si>
  <si>
    <t xml:space="preserve">р-н Ауезова, </t>
  </si>
  <si>
    <t>мкр. Тастак-1</t>
  </si>
  <si>
    <t>д.15, кв.68</t>
  </si>
  <si>
    <t>Игиликов</t>
  </si>
  <si>
    <t>Сейткерим</t>
  </si>
  <si>
    <t>049843419</t>
  </si>
  <si>
    <t>ул. Кожамиярова,</t>
  </si>
  <si>
    <t>д.109</t>
  </si>
  <si>
    <t>Кемелханов</t>
  </si>
  <si>
    <t>Сағадат</t>
  </si>
  <si>
    <t>Бағдатұлы</t>
  </si>
  <si>
    <t>042819715</t>
  </si>
  <si>
    <t>ул. Жунисова,</t>
  </si>
  <si>
    <t>д.10, кв 14</t>
  </si>
  <si>
    <t>Козленко</t>
  </si>
  <si>
    <t>Егор</t>
  </si>
  <si>
    <t>047115406</t>
  </si>
  <si>
    <t>г.Астана,</t>
  </si>
  <si>
    <t>ул. Пушкина,</t>
  </si>
  <si>
    <t>д.7, кв 25</t>
  </si>
  <si>
    <t>Бураков</t>
  </si>
  <si>
    <t>058783304</t>
  </si>
  <si>
    <t>Шортандинский р-н</t>
  </si>
  <si>
    <t>пос.Дамса</t>
  </si>
  <si>
    <t>ул.Коктем</t>
  </si>
  <si>
    <t>д.14/2</t>
  </si>
  <si>
    <t>Мавлют</t>
  </si>
  <si>
    <t>Нұрбек</t>
  </si>
  <si>
    <t>Самиғұллаұлы</t>
  </si>
  <si>
    <t>049868290</t>
  </si>
  <si>
    <t>мкр-н Васильковский,</t>
  </si>
  <si>
    <t>д.35, кв.56</t>
  </si>
  <si>
    <t>Мухатаев</t>
  </si>
  <si>
    <t>Диасович</t>
  </si>
  <si>
    <t>057202360</t>
  </si>
  <si>
    <t>поселок Уркер,</t>
  </si>
  <si>
    <t>ул. Нуркена Абдирова,</t>
  </si>
  <si>
    <t>Сулейменов 3</t>
  </si>
  <si>
    <t>Дармен</t>
  </si>
  <si>
    <t>Рахманович</t>
  </si>
  <si>
    <t>047140978</t>
  </si>
  <si>
    <t>Косшы,</t>
  </si>
  <si>
    <t>ул. Азаттык,</t>
  </si>
  <si>
    <t>д.3а, кв.43</t>
  </si>
  <si>
    <t>Бердиханов 3</t>
  </si>
  <si>
    <t>Байзакский район, с. Сарыкемер,</t>
  </si>
  <si>
    <t>ул. Орынкулова,</t>
  </si>
  <si>
    <t>д.119 а, 1 переулок</t>
  </si>
  <si>
    <t>Литвиненко</t>
  </si>
  <si>
    <t>056629360</t>
  </si>
  <si>
    <t>р-н Есиль, мкр.Чубары</t>
  </si>
  <si>
    <t>ул.Тайбекова</t>
  </si>
  <si>
    <t>д.53</t>
  </si>
  <si>
    <t>Шакиров 1</t>
  </si>
  <si>
    <t>Али</t>
  </si>
  <si>
    <t>Алибекович</t>
  </si>
  <si>
    <t>056902640</t>
  </si>
  <si>
    <t>ул. Габдуллина,</t>
  </si>
  <si>
    <t>д.48, кв.60</t>
  </si>
  <si>
    <t>Степаненко</t>
  </si>
  <si>
    <t>Абдыгалиев</t>
  </si>
  <si>
    <t>Нуржан</t>
  </si>
  <si>
    <t>Танинбергенович</t>
  </si>
  <si>
    <t>054633197</t>
  </si>
  <si>
    <t>Область Жетісу,</t>
  </si>
  <si>
    <t>Каратальский район, сельский округ Байшегир, с. Алмалы,</t>
  </si>
  <si>
    <t>ул. Тілеуғұл Батыр,</t>
  </si>
  <si>
    <t>Азиев</t>
  </si>
  <si>
    <t>Агали</t>
  </si>
  <si>
    <t>Гулалиевич</t>
  </si>
  <si>
    <t>021333806</t>
  </si>
  <si>
    <t>Енбекшиказахский район, с. Карасай,</t>
  </si>
  <si>
    <t>ул. Титова,</t>
  </si>
  <si>
    <t>Бойко</t>
  </si>
  <si>
    <t>050373166</t>
  </si>
  <si>
    <t>г.Степногорск,</t>
  </si>
  <si>
    <t xml:space="preserve">мкр-н 4, </t>
  </si>
  <si>
    <t>д.33, кв 34</t>
  </si>
  <si>
    <t>Марченко</t>
  </si>
  <si>
    <t>Анатольевна</t>
  </si>
  <si>
    <t>050180714</t>
  </si>
  <si>
    <t>д.175, кв.12</t>
  </si>
  <si>
    <t>Аббасов</t>
  </si>
  <si>
    <t>Омарханович</t>
  </si>
  <si>
    <t>045324361</t>
  </si>
  <si>
    <t>Абайская область,</t>
  </si>
  <si>
    <t>Урджарский район, с.Урджар,</t>
  </si>
  <si>
    <t>Жусупов</t>
  </si>
  <si>
    <t>Казбек</t>
  </si>
  <si>
    <t>054385240</t>
  </si>
  <si>
    <t>Аккольский р-н, г.Акколь,</t>
  </si>
  <si>
    <t>ул.Жана ел</t>
  </si>
  <si>
    <t>д.5</t>
  </si>
  <si>
    <t>Полонская</t>
  </si>
  <si>
    <t>047386286</t>
  </si>
  <si>
    <t>ул.Республики</t>
  </si>
  <si>
    <t>д.76/1, кв.16</t>
  </si>
  <si>
    <t>Баубеков</t>
  </si>
  <si>
    <t>053737360</t>
  </si>
  <si>
    <t xml:space="preserve">пр-т.Аль-Фараби </t>
  </si>
  <si>
    <t>д.22, кв.56</t>
  </si>
  <si>
    <t>Айтмагамбетов</t>
  </si>
  <si>
    <t>Марат</t>
  </si>
  <si>
    <t>Сагинтаевич</t>
  </si>
  <si>
    <t>042297210</t>
  </si>
  <si>
    <t>ул. Акшагыл</t>
  </si>
  <si>
    <t>д.10/4</t>
  </si>
  <si>
    <t>Теминский</t>
  </si>
  <si>
    <t>044528390</t>
  </si>
  <si>
    <t>020530550084</t>
  </si>
  <si>
    <t>д.61, кв.4</t>
  </si>
  <si>
    <t>Туруспеков</t>
  </si>
  <si>
    <t>Аскар</t>
  </si>
  <si>
    <t>049697622</t>
  </si>
  <si>
    <t>г.Астан</t>
  </si>
  <si>
    <t>Сарсенбаев</t>
  </si>
  <si>
    <t>Сембаевич</t>
  </si>
  <si>
    <t>021088668</t>
  </si>
  <si>
    <t>Бостандыкский район, поселок Кокшокы,</t>
  </si>
  <si>
    <t xml:space="preserve">мкр. Кок-Шокы, </t>
  </si>
  <si>
    <t>д.1, кв. 4</t>
  </si>
  <si>
    <t>Магжанов</t>
  </si>
  <si>
    <t>Амир</t>
  </si>
  <si>
    <t>Ербулатович</t>
  </si>
  <si>
    <t>049140288</t>
  </si>
  <si>
    <t xml:space="preserve">ул.Иконникова, </t>
  </si>
  <si>
    <t>д.11, кв 2</t>
  </si>
  <si>
    <t>Гафнер</t>
  </si>
  <si>
    <t>Куртович</t>
  </si>
  <si>
    <t>043368932</t>
  </si>
  <si>
    <t>9/28/0217</t>
  </si>
  <si>
    <t>п-к Коктамыр</t>
  </si>
  <si>
    <t>Тоқатов</t>
  </si>
  <si>
    <t>Жомарт</t>
  </si>
  <si>
    <t>Серікбайұлы</t>
  </si>
  <si>
    <t>060360778</t>
  </si>
  <si>
    <t xml:space="preserve">ул.Тауелсиздик </t>
  </si>
  <si>
    <t>Джамалиев</t>
  </si>
  <si>
    <t>Рашиденович</t>
  </si>
  <si>
    <t>047261216</t>
  </si>
  <si>
    <t>ул.Московская</t>
  </si>
  <si>
    <t>Мадалиев</t>
  </si>
  <si>
    <t>Шакайдарович</t>
  </si>
  <si>
    <t>050194136</t>
  </si>
  <si>
    <t>Ул.Мустафина</t>
  </si>
  <si>
    <t>д.21/1</t>
  </si>
  <si>
    <t>Даутов</t>
  </si>
  <si>
    <t>Шамиль</t>
  </si>
  <si>
    <t>Заитович</t>
  </si>
  <si>
    <t>043485483</t>
  </si>
  <si>
    <t xml:space="preserve">ул. Брюллова, </t>
  </si>
  <si>
    <t>Жумукаев</t>
  </si>
  <si>
    <t>057996502</t>
  </si>
  <si>
    <t>Зерендинский район, с. Еленовка,</t>
  </si>
  <si>
    <t>Ефременюк</t>
  </si>
  <si>
    <t>Аркадий</t>
  </si>
  <si>
    <t>Ростиславович</t>
  </si>
  <si>
    <t>044040722</t>
  </si>
  <si>
    <t>ул.Мураделли</t>
  </si>
  <si>
    <t>д.1а, кв.1</t>
  </si>
  <si>
    <t>Таракбаев</t>
  </si>
  <si>
    <t>Жаркинбаевич</t>
  </si>
  <si>
    <t>050157693</t>
  </si>
  <si>
    <t>район Талгарский, сельский округ Бесагашский, село Бесагаш,</t>
  </si>
  <si>
    <t>улица Қасым Қайсенов,</t>
  </si>
  <si>
    <t>дом №22</t>
  </si>
  <si>
    <t>Жунусов</t>
  </si>
  <si>
    <t>Ерназ</t>
  </si>
  <si>
    <t>Ерикович</t>
  </si>
  <si>
    <t>056757008</t>
  </si>
  <si>
    <t>ул.Женис</t>
  </si>
  <si>
    <t>д.59, кв.60</t>
  </si>
  <si>
    <t>Ахматов</t>
  </si>
  <si>
    <t>Кордайский район, с. Кордай,</t>
  </si>
  <si>
    <t>ул. Шарами Жылыбаева,</t>
  </si>
  <si>
    <t>дом 28 Б.</t>
  </si>
  <si>
    <t>Кунанбаев</t>
  </si>
  <si>
    <t>Мейрам</t>
  </si>
  <si>
    <t>Калиахметович</t>
  </si>
  <si>
    <t>041395965</t>
  </si>
  <si>
    <t>Кербулакский район, с. Сарыозек,</t>
  </si>
  <si>
    <t>ул. Гоголя,</t>
  </si>
  <si>
    <t>Тлеулесов</t>
  </si>
  <si>
    <t>Рахимтай</t>
  </si>
  <si>
    <t>Боранбекович</t>
  </si>
  <si>
    <t>039381594</t>
  </si>
  <si>
    <t>пер.Киевский</t>
  </si>
  <si>
    <t>д.5а</t>
  </si>
  <si>
    <t>Топалов</t>
  </si>
  <si>
    <t>043752351</t>
  </si>
  <si>
    <t xml:space="preserve">Турксибский район, </t>
  </si>
  <si>
    <t>ул. Тринева,</t>
  </si>
  <si>
    <t>д.138, кв.1</t>
  </si>
  <si>
    <t>Бердиханов 4</t>
  </si>
  <si>
    <t>д.119а, 1 переулок</t>
  </si>
  <si>
    <t>Шарипов</t>
  </si>
  <si>
    <t>Нуралы</t>
  </si>
  <si>
    <t>Мерекеевич</t>
  </si>
  <si>
    <t>059162274</t>
  </si>
  <si>
    <t>д.8, кв.62</t>
  </si>
  <si>
    <t>Вятчанин</t>
  </si>
  <si>
    <t>Филаретович</t>
  </si>
  <si>
    <t>054427040</t>
  </si>
  <si>
    <t>ул. 2-я Станционная,</t>
  </si>
  <si>
    <t>Шевченко</t>
  </si>
  <si>
    <t>Степан</t>
  </si>
  <si>
    <t>056405836</t>
  </si>
  <si>
    <t>Нуринский р-н, с.Шахтерское</t>
  </si>
  <si>
    <t>ул.Школьная</t>
  </si>
  <si>
    <t>Сыздыков 1</t>
  </si>
  <si>
    <t>Ибраевич</t>
  </si>
  <si>
    <t>057180276</t>
  </si>
  <si>
    <t>Акжарский район, с. Бостандык,</t>
  </si>
  <si>
    <t>ул. Рамазанова,</t>
  </si>
  <si>
    <t>д.2, кв.1</t>
  </si>
  <si>
    <t>Ульмаханов</t>
  </si>
  <si>
    <t>Ардак</t>
  </si>
  <si>
    <t>Фазылович</t>
  </si>
  <si>
    <t>045195103</t>
  </si>
  <si>
    <t>Туркестанская область,</t>
  </si>
  <si>
    <t>г. Туркестан,</t>
  </si>
  <si>
    <t>ул. Жамбула,</t>
  </si>
  <si>
    <t>Танкеев</t>
  </si>
  <si>
    <t>Имангалей</t>
  </si>
  <si>
    <t>Кудейбергенович</t>
  </si>
  <si>
    <t>055731592</t>
  </si>
  <si>
    <t>Полукаров</t>
  </si>
  <si>
    <t>052069334</t>
  </si>
  <si>
    <t>ул. Заречная.</t>
  </si>
  <si>
    <t>Ауган</t>
  </si>
  <si>
    <t>Саметай</t>
  </si>
  <si>
    <t>044657245</t>
  </si>
  <si>
    <t>Жамбылский район, с. Айдарлы,</t>
  </si>
  <si>
    <t xml:space="preserve">ул. Жандос, </t>
  </si>
  <si>
    <t>Логинов</t>
  </si>
  <si>
    <t>039158337</t>
  </si>
  <si>
    <t>Область Жетысу,</t>
  </si>
  <si>
    <t>Кербулакский район, с. Когалы,</t>
  </si>
  <si>
    <t>Куттугожин</t>
  </si>
  <si>
    <t>Ораз</t>
  </si>
  <si>
    <t>051958152</t>
  </si>
  <si>
    <t>г.Кокшетау, мкр-н Бирлик,</t>
  </si>
  <si>
    <t>ул.Коныратская,</t>
  </si>
  <si>
    <t>Тен</t>
  </si>
  <si>
    <t>046427605</t>
  </si>
  <si>
    <t>ул. Комарова,</t>
  </si>
  <si>
    <t>д.3, кв 9</t>
  </si>
  <si>
    <t>Кузнецов</t>
  </si>
  <si>
    <t>058955408</t>
  </si>
  <si>
    <t>ул.Жаханша Досмухамедулы</t>
  </si>
  <si>
    <t>д.12, кв.312</t>
  </si>
  <si>
    <t>Семёнов</t>
  </si>
  <si>
    <t>054634969</t>
  </si>
  <si>
    <t>Илийский район, с.Отеген-Батыр,</t>
  </si>
  <si>
    <t>д.5, кв.3</t>
  </si>
  <si>
    <t>Сатанова</t>
  </si>
  <si>
    <t>Сандыгуль</t>
  </si>
  <si>
    <t>Имантаевна</t>
  </si>
  <si>
    <t>Карагндинская обл.</t>
  </si>
  <si>
    <t>Нуринский р-н, с.К. Мунбаева</t>
  </si>
  <si>
    <t>д.54</t>
  </si>
  <si>
    <t>Оздоев</t>
  </si>
  <si>
    <t>Чингизхан</t>
  </si>
  <si>
    <t>Исрапилович</t>
  </si>
  <si>
    <t>045585298</t>
  </si>
  <si>
    <t>Тлендиева</t>
  </si>
  <si>
    <t>д.157</t>
  </si>
  <si>
    <t>Герасев 1</t>
  </si>
  <si>
    <t>049442244</t>
  </si>
  <si>
    <t xml:space="preserve"> Буландынский район, г. Макинск, </t>
  </si>
  <si>
    <t>ул. Сейфулина,</t>
  </si>
  <si>
    <t>д. 149, кв.8</t>
  </si>
  <si>
    <t>Бодров</t>
  </si>
  <si>
    <t>055317748</t>
  </si>
  <si>
    <t>д.40а, кв.3</t>
  </si>
  <si>
    <t>Абильмажинов</t>
  </si>
  <si>
    <t>Мамыржан</t>
  </si>
  <si>
    <t>Калиянурович</t>
  </si>
  <si>
    <t>055911861</t>
  </si>
  <si>
    <t>д.64,</t>
  </si>
  <si>
    <t>Гасанов</t>
  </si>
  <si>
    <t>Есимхан</t>
  </si>
  <si>
    <t>Исрафилович</t>
  </si>
  <si>
    <t>046123733</t>
  </si>
  <si>
    <t>Карасайский район, с.Жанатурмыс,</t>
  </si>
  <si>
    <t>ул. Ашимбаева,</t>
  </si>
  <si>
    <t>д.3а</t>
  </si>
  <si>
    <t>Пилипенко</t>
  </si>
  <si>
    <t>060039464</t>
  </si>
  <si>
    <t>ул.Кудайбердыулы</t>
  </si>
  <si>
    <t>д.25/2, кв.30</t>
  </si>
  <si>
    <t>Умирбеков</t>
  </si>
  <si>
    <t>Бахытович</t>
  </si>
  <si>
    <t>060609004</t>
  </si>
  <si>
    <t>ул.А.Храпатый</t>
  </si>
  <si>
    <t>д.21/1, кв. 23</t>
  </si>
  <si>
    <t>Крутовцев</t>
  </si>
  <si>
    <t>058818590</t>
  </si>
  <si>
    <t>ул.Агадырь</t>
  </si>
  <si>
    <t>Копбаев 1</t>
  </si>
  <si>
    <t>Жанабек</t>
  </si>
  <si>
    <t>Пернебаевич</t>
  </si>
  <si>
    <t>059345573</t>
  </si>
  <si>
    <t>Байзакский район, с.Жетыбай,</t>
  </si>
  <si>
    <t>ул. Толе би,</t>
  </si>
  <si>
    <t>д.1Б</t>
  </si>
  <si>
    <t>Бердиханов5</t>
  </si>
  <si>
    <t>Сулейменов</t>
  </si>
  <si>
    <t>Раким</t>
  </si>
  <si>
    <t>Муталлапович</t>
  </si>
  <si>
    <t>057007228</t>
  </si>
  <si>
    <t>г. Кокшетау, мкр-н Шанхай,</t>
  </si>
  <si>
    <t>ул. Маяковского,</t>
  </si>
  <si>
    <t>д.80</t>
  </si>
  <si>
    <t>Иващенко 1</t>
  </si>
  <si>
    <t>020894905</t>
  </si>
  <si>
    <t>Целиноградский р-н, пос Айралы</t>
  </si>
  <si>
    <t>ул.Наурыз</t>
  </si>
  <si>
    <t>Канафин</t>
  </si>
  <si>
    <t>Сабырович</t>
  </si>
  <si>
    <t>021634683</t>
  </si>
  <si>
    <t>ул.Валиханова</t>
  </si>
  <si>
    <t>д.47, кв.12</t>
  </si>
  <si>
    <t>Әбдіғаппаров</t>
  </si>
  <si>
    <t>Әбжаппарұлы</t>
  </si>
  <si>
    <t>053265567</t>
  </si>
  <si>
    <t xml:space="preserve"> Карасайский район, с.Кемертоган,</t>
  </si>
  <si>
    <t>117 квартал, ул. Қорқыт ата,</t>
  </si>
  <si>
    <t>Згуровец</t>
  </si>
  <si>
    <t>051025592</t>
  </si>
  <si>
    <t>ул. Кусжолы</t>
  </si>
  <si>
    <t>д.8/3</t>
  </si>
  <si>
    <t>Чернова</t>
  </si>
  <si>
    <t>р-н Медеу</t>
  </si>
  <si>
    <t xml:space="preserve">ул.Байконурская </t>
  </si>
  <si>
    <t>д.72, кв.5</t>
  </si>
  <si>
    <t>Дукен</t>
  </si>
  <si>
    <t>Мунарбек</t>
  </si>
  <si>
    <t>058353452</t>
  </si>
  <si>
    <t>Аккольский р-н, с.Жалгыз карагай</t>
  </si>
  <si>
    <t>Ильясов</t>
  </si>
  <si>
    <t>Жанайдар</t>
  </si>
  <si>
    <t>Калкаманулы</t>
  </si>
  <si>
    <t>051865698</t>
  </si>
  <si>
    <t>ул.Берел</t>
  </si>
  <si>
    <t>д.12, кв.2</t>
  </si>
  <si>
    <t>Поздеев</t>
  </si>
  <si>
    <t>047502735</t>
  </si>
  <si>
    <t>р-н Медеуский</t>
  </si>
  <si>
    <t>ул.Урозбаева</t>
  </si>
  <si>
    <t>Жукенов</t>
  </si>
  <si>
    <t>Абушахманович</t>
  </si>
  <si>
    <t>051795924</t>
  </si>
  <si>
    <t>акана серэ</t>
  </si>
  <si>
    <t>28, кв 74</t>
  </si>
  <si>
    <t>Блудший</t>
  </si>
  <si>
    <t>056647127</t>
  </si>
  <si>
    <t>Жамбылская обл.</t>
  </si>
  <si>
    <t>Шуйский р-н, г.Шу</t>
  </si>
  <si>
    <t>ул.Ыбырай</t>
  </si>
  <si>
    <t>Ульман</t>
  </si>
  <si>
    <t>051787109</t>
  </si>
  <si>
    <t>с.Узынагаш</t>
  </si>
  <si>
    <t>ул.Карсай батыра</t>
  </si>
  <si>
    <t>д.43, кв.2</t>
  </si>
  <si>
    <t>Тлеубаев</t>
  </si>
  <si>
    <t>Казихан</t>
  </si>
  <si>
    <t>Омиртаевич</t>
  </si>
  <si>
    <t>059457926</t>
  </si>
  <si>
    <t>Северо-Казахстанская</t>
  </si>
  <si>
    <t>село Саумалколь</t>
  </si>
  <si>
    <t>Акана Серэ</t>
  </si>
  <si>
    <t>39/2</t>
  </si>
  <si>
    <t>Макажанов</t>
  </si>
  <si>
    <t>Жанболат</t>
  </si>
  <si>
    <t>Бакытбекулы</t>
  </si>
  <si>
    <t>061091048</t>
  </si>
  <si>
    <t>Катон-Карагайский р-н, с.Кайынды</t>
  </si>
  <si>
    <t>ул.Маметова</t>
  </si>
  <si>
    <t>Серік</t>
  </si>
  <si>
    <t>047449647</t>
  </si>
  <si>
    <t>мкр. Мадениет</t>
  </si>
  <si>
    <t>д.834/34, кв.13</t>
  </si>
  <si>
    <t>+905457457816</t>
  </si>
  <si>
    <t>Амансарин</t>
  </si>
  <si>
    <t>Омирзакович</t>
  </si>
  <si>
    <t>041132820</t>
  </si>
  <si>
    <t>Павлодарская область,</t>
  </si>
  <si>
    <t>г.Экибастуз,</t>
  </si>
  <si>
    <t>ул. Маншук Маметовой,</t>
  </si>
  <si>
    <t>д.54/4, кв 43</t>
  </si>
  <si>
    <t>Чуйков</t>
  </si>
  <si>
    <t>060670548</t>
  </si>
  <si>
    <t>ул. Воровского,</t>
  </si>
  <si>
    <t>Үндістан</t>
  </si>
  <si>
    <t>Ералыұлы</t>
  </si>
  <si>
    <t>040914358</t>
  </si>
  <si>
    <t>ул.</t>
  </si>
  <si>
    <t>Байконыр,</t>
  </si>
  <si>
    <t>Васильченко</t>
  </si>
  <si>
    <t>040677407</t>
  </si>
  <si>
    <t xml:space="preserve">мкр-н Кемел, ул. Есимхана, </t>
  </si>
  <si>
    <t>д.167а</t>
  </si>
  <si>
    <t>Джапаров</t>
  </si>
  <si>
    <t>Эмирович</t>
  </si>
  <si>
    <t>045520859</t>
  </si>
  <si>
    <t>ул. Палладина,</t>
  </si>
  <si>
    <t>д.120Б</t>
  </si>
  <si>
    <t>Доценко</t>
  </si>
  <si>
    <t>Лариса</t>
  </si>
  <si>
    <t>Леонидовна</t>
  </si>
  <si>
    <t>046904588</t>
  </si>
  <si>
    <t>Сыганак,</t>
  </si>
  <si>
    <t>д.2, кв 344</t>
  </si>
  <si>
    <t>Соловьёв</t>
  </si>
  <si>
    <t>060041404</t>
  </si>
  <si>
    <t>мкр-н Васильковка,</t>
  </si>
  <si>
    <t>д.24, кв 48</t>
  </si>
  <si>
    <t>Ницевич</t>
  </si>
  <si>
    <t>043574860</t>
  </si>
  <si>
    <t>Шортандинский район,</t>
  </si>
  <si>
    <t>с.Петровка,</t>
  </si>
  <si>
    <t>Шашдавлетова</t>
  </si>
  <si>
    <t>Айжан</t>
  </si>
  <si>
    <t>Галымовна</t>
  </si>
  <si>
    <t>048428766</t>
  </si>
  <si>
    <t>с. Коянды,</t>
  </si>
  <si>
    <t>ул. Жеты Жарғы,</t>
  </si>
  <si>
    <t>Миллер2</t>
  </si>
  <si>
    <t>Оттович</t>
  </si>
  <si>
    <t>059429240</t>
  </si>
  <si>
    <t>Шортандинский р-н, с.Белое озеро</t>
  </si>
  <si>
    <t>д.7/1</t>
  </si>
  <si>
    <t>Миллер</t>
  </si>
  <si>
    <t>060628122</t>
  </si>
  <si>
    <t>070625550535</t>
  </si>
  <si>
    <t>Дорохов</t>
  </si>
  <si>
    <t>021901775</t>
  </si>
  <si>
    <t>мкр. Айнабулак-3</t>
  </si>
  <si>
    <t>д.142, кв.31</t>
  </si>
  <si>
    <t>Тоқтамұрат</t>
  </si>
  <si>
    <t>Ролдугин</t>
  </si>
  <si>
    <t>053317705</t>
  </si>
  <si>
    <t>г. Каскелен,</t>
  </si>
  <si>
    <t>ул.Каражанова,</t>
  </si>
  <si>
    <t>Хусаинов</t>
  </si>
  <si>
    <t>Ункерович</t>
  </si>
  <si>
    <t>054237476</t>
  </si>
  <si>
    <t>ул.Рыскулбекова</t>
  </si>
  <si>
    <t>д.37/1, кв.50</t>
  </si>
  <si>
    <t>Рыбаков</t>
  </si>
  <si>
    <t>040088208</t>
  </si>
  <si>
    <t>Аккольский р-н, г.Акколь</t>
  </si>
  <si>
    <t>д.5, кв.9</t>
  </si>
  <si>
    <t>Исмаилов</t>
  </si>
  <si>
    <t>Равильжан</t>
  </si>
  <si>
    <t>.</t>
  </si>
  <si>
    <t>058536581</t>
  </si>
  <si>
    <t>Енбекшиказахский район, с. Кайназар,</t>
  </si>
  <si>
    <t>ул. Алматинская,</t>
  </si>
  <si>
    <t>д.66</t>
  </si>
  <si>
    <t>Балтаханова</t>
  </si>
  <si>
    <t>Камила</t>
  </si>
  <si>
    <t>Джаманбаевна</t>
  </si>
  <si>
    <t>018135656</t>
  </si>
  <si>
    <t>Карасайский район, с.Ельтай,</t>
  </si>
  <si>
    <t>ул.Абдильда,</t>
  </si>
  <si>
    <t>д.260</t>
  </si>
  <si>
    <t>Портнягин</t>
  </si>
  <si>
    <t>040933537</t>
  </si>
  <si>
    <t>Енбекшиказахский район, с. Кайпова,</t>
  </si>
  <si>
    <t>ул. Гани-батыр,</t>
  </si>
  <si>
    <t>д.16а</t>
  </si>
  <si>
    <t>Трусов</t>
  </si>
  <si>
    <t>060380153</t>
  </si>
  <si>
    <t>ул.Коктем,</t>
  </si>
  <si>
    <t>д.8,</t>
  </si>
  <si>
    <t>кв.29</t>
  </si>
  <si>
    <t>Куатов</t>
  </si>
  <si>
    <t>Абылай</t>
  </si>
  <si>
    <t>Катайулы</t>
  </si>
  <si>
    <t>041116325</t>
  </si>
  <si>
    <t>Жетісу область,</t>
  </si>
  <si>
    <t>г. Талдыкорган, с.о. Отенайский, с.Отенай,</t>
  </si>
  <si>
    <t>ул.Байқоңыр,</t>
  </si>
  <si>
    <t>Белосаров</t>
  </si>
  <si>
    <t>Ризабек</t>
  </si>
  <si>
    <t>Маданияшевич</t>
  </si>
  <si>
    <t>053540534</t>
  </si>
  <si>
    <t xml:space="preserve">ул.Макатаева </t>
  </si>
  <si>
    <t>Усимбаев</t>
  </si>
  <si>
    <t>044143609</t>
  </si>
  <si>
    <t>Панфиловский район, г. Жаркент,</t>
  </si>
  <si>
    <t>д.245/5</t>
  </si>
  <si>
    <t>Петров</t>
  </si>
  <si>
    <t>058920199</t>
  </si>
  <si>
    <t>мкр-н Сайран,</t>
  </si>
  <si>
    <t>кв.64</t>
  </si>
  <si>
    <t>Садретдинов</t>
  </si>
  <si>
    <t>Рафик</t>
  </si>
  <si>
    <t>Шарибзянович</t>
  </si>
  <si>
    <t>053347124</t>
  </si>
  <si>
    <t>Сабатаева,</t>
  </si>
  <si>
    <t>Burkit</t>
  </si>
  <si>
    <t>Myrzabyek</t>
  </si>
  <si>
    <t>PE0754046</t>
  </si>
  <si>
    <t>General Authority for State Registration of Mongolia</t>
  </si>
  <si>
    <t>BZ99083012</t>
  </si>
  <si>
    <t>Монголия</t>
  </si>
  <si>
    <t>Баяан олгий</t>
  </si>
  <si>
    <t>9-рбаг</t>
  </si>
  <si>
    <t>хох 1040</t>
  </si>
  <si>
    <t>Нурдунов</t>
  </si>
  <si>
    <t>Рустамжан</t>
  </si>
  <si>
    <t>Алимджанович</t>
  </si>
  <si>
    <t>045669003</t>
  </si>
  <si>
    <t>мкр-н Шапагат,</t>
  </si>
  <si>
    <t>ул. Талбесик,</t>
  </si>
  <si>
    <t>Тажибаев</t>
  </si>
  <si>
    <t>Жангельды</t>
  </si>
  <si>
    <t>Халилуллаевич</t>
  </si>
  <si>
    <t>055190386</t>
  </si>
  <si>
    <t>ул.Туран</t>
  </si>
  <si>
    <t>д.56, кв.197</t>
  </si>
  <si>
    <t>Құлабек</t>
  </si>
  <si>
    <t>Мөлдір</t>
  </si>
  <si>
    <t>Тамдыбекқызы</t>
  </si>
  <si>
    <t>058075418</t>
  </si>
  <si>
    <t>ул.Аль-Фараби</t>
  </si>
  <si>
    <t>д.34/4 кв.112</t>
  </si>
  <si>
    <t>Серкебаев</t>
  </si>
  <si>
    <t>Максут</t>
  </si>
  <si>
    <t>Мухтарович</t>
  </si>
  <si>
    <t>057785357</t>
  </si>
  <si>
    <t>район Медеуский,</t>
  </si>
  <si>
    <t>ул. Морозова,</t>
  </si>
  <si>
    <t>Мамедов</t>
  </si>
  <si>
    <t>Мамед</t>
  </si>
  <si>
    <t>Багадирович</t>
  </si>
  <si>
    <t>044149591</t>
  </si>
  <si>
    <t>030221500941</t>
  </si>
  <si>
    <t>Енбекшиказахский район, с. Саймасай,</t>
  </si>
  <si>
    <t xml:space="preserve">ул. Елемесова, </t>
  </si>
  <si>
    <t>д.26</t>
  </si>
  <si>
    <t>Герасев</t>
  </si>
  <si>
    <t>г. Макинск,</t>
  </si>
  <si>
    <t>д.149, кв.8</t>
  </si>
  <si>
    <t>Иргалиев</t>
  </si>
  <si>
    <t>Мухамед</t>
  </si>
  <si>
    <t>Омуржанович</t>
  </si>
  <si>
    <t>041020076</t>
  </si>
  <si>
    <t>000407550923</t>
  </si>
  <si>
    <t>Астраханский р-н, с.Орнек</t>
  </si>
  <si>
    <t>Спичкин</t>
  </si>
  <si>
    <t>047010101</t>
  </si>
  <si>
    <t>г.Талдыкорган,</t>
  </si>
  <si>
    <t>Балпык би,</t>
  </si>
  <si>
    <t>Мужкенов</t>
  </si>
  <si>
    <t>Амангельдинович</t>
  </si>
  <si>
    <t>048759082</t>
  </si>
  <si>
    <t>г.Аксу</t>
  </si>
  <si>
    <t>ул.Степная</t>
  </si>
  <si>
    <t>Загородкин</t>
  </si>
  <si>
    <t>040348156</t>
  </si>
  <si>
    <t>мкр-н Галачья сопка,</t>
  </si>
  <si>
    <t>д.10/2</t>
  </si>
  <si>
    <t>Фариза</t>
  </si>
  <si>
    <t>Мақсатқызы</t>
  </si>
  <si>
    <t>0551418741</t>
  </si>
  <si>
    <t>Медеуский район,</t>
  </si>
  <si>
    <t>д.23, кв. 20</t>
  </si>
  <si>
    <t>Фомин</t>
  </si>
  <si>
    <t>019348437</t>
  </si>
  <si>
    <t>ул.Болашак</t>
  </si>
  <si>
    <t>Тасимов</t>
  </si>
  <si>
    <t>Сагидуллаевич</t>
  </si>
  <si>
    <t>047867480</t>
  </si>
  <si>
    <t>д.79а, кв.8</t>
  </si>
  <si>
    <t>Томпышев</t>
  </si>
  <si>
    <t>Канатович</t>
  </si>
  <si>
    <t>058285810</t>
  </si>
  <si>
    <t>Бурабайский район, г. Щучинск,</t>
  </si>
  <si>
    <t>ул. Куйбышева,</t>
  </si>
  <si>
    <t>д.73</t>
  </si>
  <si>
    <t>Атыгожин</t>
  </si>
  <si>
    <t>Ануарович</t>
  </si>
  <si>
    <t>046960890</t>
  </si>
  <si>
    <t>дом 39, квартира 41</t>
  </si>
  <si>
    <t>Наурызбаев</t>
  </si>
  <si>
    <t>Қуандықұлы</t>
  </si>
  <si>
    <t>048101245</t>
  </si>
  <si>
    <t xml:space="preserve">Алматинский район, </t>
  </si>
  <si>
    <t>ул. Кожамкулова,</t>
  </si>
  <si>
    <t>д.211</t>
  </si>
  <si>
    <t>Шутенко</t>
  </si>
  <si>
    <t>056352079</t>
  </si>
  <si>
    <t>Ауэзовский район,</t>
  </si>
  <si>
    <t>мкрн 3,</t>
  </si>
  <si>
    <t>д.21, кв.5</t>
  </si>
  <si>
    <t>Акмолдин</t>
  </si>
  <si>
    <t>Нуркенович</t>
  </si>
  <si>
    <t>060242872</t>
  </si>
  <si>
    <t>д.144а,</t>
  </si>
  <si>
    <t>кв.2</t>
  </si>
  <si>
    <t>Пазылов</t>
  </si>
  <si>
    <t>Нуралыевич</t>
  </si>
  <si>
    <t>048742893</t>
  </si>
  <si>
    <t>Алатауский район,</t>
  </si>
  <si>
    <t>мкр-н Теректи, ул. Аманбөктер,</t>
  </si>
  <si>
    <t>Жарқын</t>
  </si>
  <si>
    <t>Муратұлы</t>
  </si>
  <si>
    <t>052170491</t>
  </si>
  <si>
    <t>061110500480</t>
  </si>
  <si>
    <t xml:space="preserve"> Талгарский район, поселок Берлик,</t>
  </si>
  <si>
    <t>ул. Маметова</t>
  </si>
  <si>
    <t>+77003033360</t>
  </si>
  <si>
    <t>Ғаббас</t>
  </si>
  <si>
    <t>Қасиет</t>
  </si>
  <si>
    <t>Дауренұлы</t>
  </si>
  <si>
    <t>048161302</t>
  </si>
  <si>
    <t>р-н Алматы, ЖМ Юго-Восток</t>
  </si>
  <si>
    <t>ул.Балкантау</t>
  </si>
  <si>
    <t>Фабрициус</t>
  </si>
  <si>
    <t>040956189</t>
  </si>
  <si>
    <t>Михайловская,</t>
  </si>
  <si>
    <t>д.83</t>
  </si>
  <si>
    <t>Осипов</t>
  </si>
  <si>
    <t>057741666</t>
  </si>
  <si>
    <t>проспект Абылай хана,</t>
  </si>
  <si>
    <t>д.1/3, кв. 15</t>
  </si>
  <si>
    <t>Копбаев 2</t>
  </si>
  <si>
    <t>г. Тараз,</t>
  </si>
  <si>
    <t>Байзакский район, с. Жетібай,</t>
  </si>
  <si>
    <t>Бортников</t>
  </si>
  <si>
    <t>050726669</t>
  </si>
  <si>
    <t>г. Талгар,</t>
  </si>
  <si>
    <t>ул. Жастар,</t>
  </si>
  <si>
    <t>Бенкс</t>
  </si>
  <si>
    <t>Гарриевич</t>
  </si>
  <si>
    <t>048536305</t>
  </si>
  <si>
    <t>ул. Блюхера,</t>
  </si>
  <si>
    <t>д.18/20,</t>
  </si>
  <si>
    <t>кв,1</t>
  </si>
  <si>
    <t>Мухамеджанов</t>
  </si>
  <si>
    <t>Асембек</t>
  </si>
  <si>
    <t>042602914</t>
  </si>
  <si>
    <t>Зерендинский район, с. Троицкое,</t>
  </si>
  <si>
    <t>ул.Женис,</t>
  </si>
  <si>
    <t>Казиева</t>
  </si>
  <si>
    <t>Жайна</t>
  </si>
  <si>
    <t>Мухтаркызы</t>
  </si>
  <si>
    <t>040193149</t>
  </si>
  <si>
    <t>000508600417</t>
  </si>
  <si>
    <t>Карасайский район, с. Жибек жолы,</t>
  </si>
  <si>
    <t>ул. Шаган,</t>
  </si>
  <si>
    <t>д.9А</t>
  </si>
  <si>
    <t>Черкашин</t>
  </si>
  <si>
    <t>051236243</t>
  </si>
  <si>
    <t>Жандарбекова,</t>
  </si>
  <si>
    <t>д.193/1</t>
  </si>
  <si>
    <t>Голубь</t>
  </si>
  <si>
    <t>047498338</t>
  </si>
  <si>
    <t>г. Петропавловск,</t>
  </si>
  <si>
    <t>ул. Батыр Баяна,</t>
  </si>
  <si>
    <t>д.9, кв.42</t>
  </si>
  <si>
    <t>Альжанов</t>
  </si>
  <si>
    <t>Беркимбай</t>
  </si>
  <si>
    <t>Орынбаевич</t>
  </si>
  <si>
    <t>042602298</t>
  </si>
  <si>
    <t>д.237/2</t>
  </si>
  <si>
    <t>Кадырова</t>
  </si>
  <si>
    <t>Эльмира</t>
  </si>
  <si>
    <t>Нуржановна</t>
  </si>
  <si>
    <t>060048805</t>
  </si>
  <si>
    <t>ул. Вернадского,</t>
  </si>
  <si>
    <t>д.17, кв.21</t>
  </si>
  <si>
    <t>Амренов</t>
  </si>
  <si>
    <t>Габдыгалиевич</t>
  </si>
  <si>
    <t>045918432</t>
  </si>
  <si>
    <t xml:space="preserve">Область Абай, </t>
  </si>
  <si>
    <t xml:space="preserve">район Мақаншы, округ Маканчинский, с. Маканчи, </t>
  </si>
  <si>
    <t>Мейрамов</t>
  </si>
  <si>
    <t>Бигельдинович</t>
  </si>
  <si>
    <t>055555738</t>
  </si>
  <si>
    <t>Зерендинский район, с. Симферопольское,</t>
  </si>
  <si>
    <t>ул. Малика Габдулина,</t>
  </si>
  <si>
    <t>д.16/1</t>
  </si>
  <si>
    <t>Дүйсен</t>
  </si>
  <si>
    <t>Ансар</t>
  </si>
  <si>
    <t>046281302</t>
  </si>
  <si>
    <t>030201550671</t>
  </si>
  <si>
    <t>мкр-н Центральный,</t>
  </si>
  <si>
    <t>д.52, кв.81</t>
  </si>
  <si>
    <t>Иванов</t>
  </si>
  <si>
    <t>051204842</t>
  </si>
  <si>
    <t>ул.Чернова,</t>
  </si>
  <si>
    <t>Габдуллин</t>
  </si>
  <si>
    <t>Камидуллинович</t>
  </si>
  <si>
    <t>051001298</t>
  </si>
  <si>
    <t>г.Атбасар,</t>
  </si>
  <si>
    <t>ул.Буденого,</t>
  </si>
  <si>
    <t>д.63</t>
  </si>
  <si>
    <t>Алпеисов</t>
  </si>
  <si>
    <t>Ахмедьянович</t>
  </si>
  <si>
    <t>054741110</t>
  </si>
  <si>
    <t>ул. Маметовой</t>
  </si>
  <si>
    <t>д.12, кв.40</t>
  </si>
  <si>
    <t>Тоганасов</t>
  </si>
  <si>
    <t>Бейбут</t>
  </si>
  <si>
    <t>Кумекович</t>
  </si>
  <si>
    <t>041061848</t>
  </si>
  <si>
    <t>Зерендинский район, с. Еликти,</t>
  </si>
  <si>
    <t>ул. Ортак,</t>
  </si>
  <si>
    <t>Джапенов</t>
  </si>
  <si>
    <t>Рысбек</t>
  </si>
  <si>
    <t>Жолдангарович</t>
  </si>
  <si>
    <t>047046942</t>
  </si>
  <si>
    <t>ул.Жидек,</t>
  </si>
  <si>
    <t>д.11</t>
  </si>
  <si>
    <t>Оспанов</t>
  </si>
  <si>
    <t>Бексултанович</t>
  </si>
  <si>
    <t>043991795</t>
  </si>
  <si>
    <t>Карасайский район, п. Коксай,</t>
  </si>
  <si>
    <t>ул. Ардагер,</t>
  </si>
  <si>
    <t>д.114</t>
  </si>
  <si>
    <t>Ким</t>
  </si>
  <si>
    <t>042861575</t>
  </si>
  <si>
    <t>Каратальский район, город Уштобе,</t>
  </si>
  <si>
    <t>ул. Толеукул батыра,</t>
  </si>
  <si>
    <t>дом 48 КВ.2</t>
  </si>
  <si>
    <t>Бакин</t>
  </si>
  <si>
    <t>Артём</t>
  </si>
  <si>
    <t>045505713</t>
  </si>
  <si>
    <t>ул.Осипенко,</t>
  </si>
  <si>
    <t>д.26,</t>
  </si>
  <si>
    <t>Бекмаганбет</t>
  </si>
  <si>
    <t>Әліби</t>
  </si>
  <si>
    <t>Маратұлы</t>
  </si>
  <si>
    <t>042506202</t>
  </si>
  <si>
    <t>р-н Кургальджинский, с. Коргалжын</t>
  </si>
  <si>
    <t>ул.Ш.Аубакирова</t>
  </si>
  <si>
    <t>д.30/1</t>
  </si>
  <si>
    <t>Шакиров</t>
  </si>
  <si>
    <t>Турсынжан</t>
  </si>
  <si>
    <t>-</t>
  </si>
  <si>
    <t>046703767</t>
  </si>
  <si>
    <t>Райымбекский район, сельский округ Узак батыра, село Сарыбастау,</t>
  </si>
  <si>
    <t>ул. Сарыбастау,</t>
  </si>
  <si>
    <t>дом № 61</t>
  </si>
  <si>
    <t>+7 747 456 6923</t>
  </si>
  <si>
    <t>Лапко</t>
  </si>
  <si>
    <t>057670790</t>
  </si>
  <si>
    <t>ул. Батыс,</t>
  </si>
  <si>
    <t>Сейтказинов</t>
  </si>
  <si>
    <t>Меиржан</t>
  </si>
  <si>
    <t>Талгатович</t>
  </si>
  <si>
    <t>042793014</t>
  </si>
  <si>
    <t>010430550079</t>
  </si>
  <si>
    <t>Ерейментауский район, с.Майлан,</t>
  </si>
  <si>
    <t>ул.Калыкова,</t>
  </si>
  <si>
    <t>Хазиев</t>
  </si>
  <si>
    <t>Нури</t>
  </si>
  <si>
    <t>Алиевич</t>
  </si>
  <si>
    <t>043460611</t>
  </si>
  <si>
    <t xml:space="preserve">район Кордай, с. Кайнар, </t>
  </si>
  <si>
    <t>ул. Шанырак,</t>
  </si>
  <si>
    <t>Қарабатыр</t>
  </si>
  <si>
    <t>Елемесұлы</t>
  </si>
  <si>
    <t>046595852</t>
  </si>
  <si>
    <t xml:space="preserve"> МАҢҒЫСТАУ ОБЛЫСЫ,</t>
  </si>
  <si>
    <t>г. Актау,</t>
  </si>
  <si>
    <t>мкр-н 31б,</t>
  </si>
  <si>
    <t>д.32, кв.8</t>
  </si>
  <si>
    <t>Айдарханов</t>
  </si>
  <si>
    <t>Мейрамбаевич</t>
  </si>
  <si>
    <t>053938056</t>
  </si>
  <si>
    <t>д.16/2, д.53</t>
  </si>
  <si>
    <t>Хуршудов</t>
  </si>
  <si>
    <t>Курбан</t>
  </si>
  <si>
    <t>Яшаевич</t>
  </si>
  <si>
    <t>048528781</t>
  </si>
  <si>
    <t>поселок Енбекши,</t>
  </si>
  <si>
    <t>Мұса</t>
  </si>
  <si>
    <t>Мұратбек</t>
  </si>
  <si>
    <t>Күсетұлы</t>
  </si>
  <si>
    <t>054713168</t>
  </si>
  <si>
    <t>Ерементауский р-н, с.Кызылту</t>
  </si>
  <si>
    <t>Сыздыков</t>
  </si>
  <si>
    <t>Кайдар</t>
  </si>
  <si>
    <t>Аужанович</t>
  </si>
  <si>
    <t>061404848</t>
  </si>
  <si>
    <t>Зерендинский район,</t>
  </si>
  <si>
    <t>с. Зеренда, ул. Буденого,</t>
  </si>
  <si>
    <t>Нугуманов</t>
  </si>
  <si>
    <t>Тимурланович</t>
  </si>
  <si>
    <t>059319194</t>
  </si>
  <si>
    <t>г.Темиртау</t>
  </si>
  <si>
    <t>ул.Чернышевского</t>
  </si>
  <si>
    <t>Калугина</t>
  </si>
  <si>
    <t>Маргарита</t>
  </si>
  <si>
    <t>Игоревна</t>
  </si>
  <si>
    <t>051043053</t>
  </si>
  <si>
    <t>ул. Моцарта,</t>
  </si>
  <si>
    <t>Югай</t>
  </si>
  <si>
    <t>Владислав</t>
  </si>
  <si>
    <t>042731065</t>
  </si>
  <si>
    <t>Г.Талдыкорган,</t>
  </si>
  <si>
    <t>ул.Акын Сара</t>
  </si>
  <si>
    <t>д. 186, кв. 4</t>
  </si>
  <si>
    <t>Ескендиров</t>
  </si>
  <si>
    <t>Азат</t>
  </si>
  <si>
    <t>Агзамович</t>
  </si>
  <si>
    <t>059889470</t>
  </si>
  <si>
    <t>д.55, кв.14</t>
  </si>
  <si>
    <t>Кошкимбаев</t>
  </si>
  <si>
    <t>054422195</t>
  </si>
  <si>
    <t>район Сарканский, Лепсинский сельский округ,</t>
  </si>
  <si>
    <t>с. Лепси, ул.Құлакын,</t>
  </si>
  <si>
    <t>Хан</t>
  </si>
  <si>
    <t>Лев</t>
  </si>
  <si>
    <t>039990923</t>
  </si>
  <si>
    <t>Каратальский район, с. Бастобе,</t>
  </si>
  <si>
    <t>ул. Гастелло,</t>
  </si>
  <si>
    <t>д.31а</t>
  </si>
  <si>
    <t>Кабылов</t>
  </si>
  <si>
    <t>051177738</t>
  </si>
  <si>
    <t>мкр-н Берлик,</t>
  </si>
  <si>
    <t>д.3В</t>
  </si>
  <si>
    <t>Почепко</t>
  </si>
  <si>
    <t>Тарас</t>
  </si>
  <si>
    <t>040961834</t>
  </si>
  <si>
    <t>000318550810</t>
  </si>
  <si>
    <t>ул. Кусаинова,</t>
  </si>
  <si>
    <t>Зуев</t>
  </si>
  <si>
    <t>059809592</t>
  </si>
  <si>
    <t>р-н Уркер</t>
  </si>
  <si>
    <t xml:space="preserve">ул.М. Бабажанова </t>
  </si>
  <si>
    <t>Норбаев</t>
  </si>
  <si>
    <t>Айтпай</t>
  </si>
  <si>
    <t>Будаевич</t>
  </si>
  <si>
    <t>050444828</t>
  </si>
  <si>
    <t>Бурабайский район, с. Баянбай,</t>
  </si>
  <si>
    <t>ул. Степная,</t>
  </si>
  <si>
    <t>Бектимисов</t>
  </si>
  <si>
    <t>Айбын</t>
  </si>
  <si>
    <t>Муратбекович</t>
  </si>
  <si>
    <t>042168293</t>
  </si>
  <si>
    <t>5 мкр-н Самал 13а,</t>
  </si>
  <si>
    <t>кв.42</t>
  </si>
  <si>
    <t>Шакимов</t>
  </si>
  <si>
    <t>Асаинович</t>
  </si>
  <si>
    <t>058089748</t>
  </si>
  <si>
    <t>Сарыарка</t>
  </si>
  <si>
    <t>ул.Е.Серкебаева</t>
  </si>
  <si>
    <t>д.41, кв.34</t>
  </si>
  <si>
    <t>Ержанов</t>
  </si>
  <si>
    <t>Ризабекович</t>
  </si>
  <si>
    <t>057380220</t>
  </si>
  <si>
    <t>Бурабайский район, г.Щучинск,</t>
  </si>
  <si>
    <t>ул. Аскартау,</t>
  </si>
  <si>
    <t>Нурсултан</t>
  </si>
  <si>
    <t>Сарайшык</t>
  </si>
  <si>
    <t>ул.А.Храпатова</t>
  </si>
  <si>
    <t>Колмаков</t>
  </si>
  <si>
    <t>061175208</t>
  </si>
  <si>
    <t>пер.11 Южный</t>
  </si>
  <si>
    <t>Гаппарова</t>
  </si>
  <si>
    <t>Мухабат</t>
  </si>
  <si>
    <t>Султановна</t>
  </si>
  <si>
    <t>050786833</t>
  </si>
  <si>
    <t>Алматы,</t>
  </si>
  <si>
    <t>Бостандыкский район,</t>
  </si>
  <si>
    <t>д.88/81, кв.35</t>
  </si>
  <si>
    <t>Абсатаров</t>
  </si>
  <si>
    <t>Бектурганович</t>
  </si>
  <si>
    <t>052900403</t>
  </si>
  <si>
    <t xml:space="preserve">мкр-н Шұғыла, </t>
  </si>
  <si>
    <t>д.340/8, кв.21</t>
  </si>
  <si>
    <t>Бушенов</t>
  </si>
  <si>
    <t>Бекмурат</t>
  </si>
  <si>
    <t>Мухтарханович</t>
  </si>
  <si>
    <t>059840971</t>
  </si>
  <si>
    <t>с. Жаңалық, ул. Өтеген батыр,</t>
  </si>
  <si>
    <t>д.382</t>
  </si>
  <si>
    <t>Маханбетұлы</t>
  </si>
  <si>
    <t>Жанғали</t>
  </si>
  <si>
    <t>052367153</t>
  </si>
  <si>
    <t>Алматинская область, Илийский район,</t>
  </si>
  <si>
    <t xml:space="preserve"> Ащибулакский сельский округ, с.Коккайнар,</t>
  </si>
  <si>
    <t>отделение 2,</t>
  </si>
  <si>
    <t>Бірлік 12</t>
  </si>
  <si>
    <t>Алиева</t>
  </si>
  <si>
    <t>Гозел</t>
  </si>
  <si>
    <t>Торуновна</t>
  </si>
  <si>
    <t>044335507</t>
  </si>
  <si>
    <t>Талгарский район, пос. Панфилова,</t>
  </si>
  <si>
    <t>ул. Жетысуйская,</t>
  </si>
  <si>
    <t>Иманболов</t>
  </si>
  <si>
    <t>Рустем</t>
  </si>
  <si>
    <t>057355587</t>
  </si>
  <si>
    <t>ул.Аубакирова,</t>
  </si>
  <si>
    <t>Кушьялов</t>
  </si>
  <si>
    <t>050543632</t>
  </si>
  <si>
    <t>Целиноградский р-н, с.Акмол</t>
  </si>
  <si>
    <t>уч.133</t>
  </si>
  <si>
    <t>Валеев</t>
  </si>
  <si>
    <t>Илгизар</t>
  </si>
  <si>
    <t>Миндыбаевич</t>
  </si>
  <si>
    <t>046215229</t>
  </si>
  <si>
    <t xml:space="preserve">Жетысуская область, </t>
  </si>
  <si>
    <t>Каратальский район, г.Уштобе,</t>
  </si>
  <si>
    <t>пер.Алдабергенова,</t>
  </si>
  <si>
    <t>д.5/1</t>
  </si>
  <si>
    <t>Хасенов</t>
  </si>
  <si>
    <t>Галиханович</t>
  </si>
  <si>
    <t>051656142</t>
  </si>
  <si>
    <t>ул.Бартольд</t>
  </si>
  <si>
    <t>Боблян</t>
  </si>
  <si>
    <t>048202482</t>
  </si>
  <si>
    <t>ул. Зебницкого,</t>
  </si>
  <si>
    <t>Ибдиев</t>
  </si>
  <si>
    <t>Инамжан</t>
  </si>
  <si>
    <t>Иминжанович</t>
  </si>
  <si>
    <t>051222053</t>
  </si>
  <si>
    <t>р-н Панфиловский, г.Жаркент</t>
  </si>
  <si>
    <t>ул.Пушкина</t>
  </si>
  <si>
    <t>д.171</t>
  </si>
  <si>
    <t>+77029322253</t>
  </si>
  <si>
    <t>Кемал</t>
  </si>
  <si>
    <t>Бақытжанұлы</t>
  </si>
  <si>
    <t>050550153</t>
  </si>
  <si>
    <t>Жамбылский район, с.о. Каргалинский,</t>
  </si>
  <si>
    <t>с.Каргалы, ул. Сейфулина,</t>
  </si>
  <si>
    <t>д.26а</t>
  </si>
  <si>
    <t>Пашин</t>
  </si>
  <si>
    <t>052797928</t>
  </si>
  <si>
    <t>Ул.Б.Хмельницкого</t>
  </si>
  <si>
    <t>Бекеев</t>
  </si>
  <si>
    <t>Умирбекович</t>
  </si>
  <si>
    <t>053104536</t>
  </si>
  <si>
    <t xml:space="preserve">ул. Ашимова, </t>
  </si>
  <si>
    <t>д. 140, кв. 75</t>
  </si>
  <si>
    <t>Ахметжанов</t>
  </si>
  <si>
    <t>Омарсерикович</t>
  </si>
  <si>
    <t>042304006</t>
  </si>
  <si>
    <t>д.4/2, кв.49</t>
  </si>
  <si>
    <t>Мергембаев</t>
  </si>
  <si>
    <t>Кемалбаевич</t>
  </si>
  <si>
    <t>047880142</t>
  </si>
  <si>
    <t>Литейная,</t>
  </si>
  <si>
    <t>Дюсенова</t>
  </si>
  <si>
    <t>Ирина</t>
  </si>
  <si>
    <t>Алексеевна</t>
  </si>
  <si>
    <t>059516874</t>
  </si>
  <si>
    <t>ул. Канай би,</t>
  </si>
  <si>
    <t>Тайгараева</t>
  </si>
  <si>
    <t>Акмарал</t>
  </si>
  <si>
    <t>Алтынбековна</t>
  </si>
  <si>
    <t>040056601</t>
  </si>
  <si>
    <t>Г.Астана</t>
  </si>
  <si>
    <t>д.4, кв.2208</t>
  </si>
  <si>
    <t>Алиев</t>
  </si>
  <si>
    <t>Хасан</t>
  </si>
  <si>
    <t>Суликоевич</t>
  </si>
  <si>
    <t>055221971</t>
  </si>
  <si>
    <t>Енбекшиказахский р-н, с.Аймен</t>
  </si>
  <si>
    <t>Балабатырова</t>
  </si>
  <si>
    <t>Жумагаликызы</t>
  </si>
  <si>
    <t>061103074</t>
  </si>
  <si>
    <t>ул.Отырар</t>
  </si>
  <si>
    <t>д.15/8</t>
  </si>
  <si>
    <t>Ахмаров</t>
  </si>
  <si>
    <t>Иршат</t>
  </si>
  <si>
    <t>Жамелевич</t>
  </si>
  <si>
    <t>049826709</t>
  </si>
  <si>
    <t>Жанбулский район, село Убеталы,</t>
  </si>
  <si>
    <t>ул Наурыз,</t>
  </si>
  <si>
    <t>Байжуманов</t>
  </si>
  <si>
    <t>Ертаевич</t>
  </si>
  <si>
    <t>039230081</t>
  </si>
  <si>
    <t>Уштобе, с.Бастобе</t>
  </si>
  <si>
    <t>ул.Мусабека</t>
  </si>
  <si>
    <t>Хрипунов</t>
  </si>
  <si>
    <t>052472297</t>
  </si>
  <si>
    <t xml:space="preserve">г. </t>
  </si>
  <si>
    <t>д.30, кв.5</t>
  </si>
  <si>
    <t>Тұрғынбай</t>
  </si>
  <si>
    <t>042786973</t>
  </si>
  <si>
    <t xml:space="preserve">Жамбылский район, </t>
  </si>
  <si>
    <t>с. Аккайнар,</t>
  </si>
  <si>
    <t>ул. Жамбыл, д.80</t>
  </si>
  <si>
    <t>Кусаинов</t>
  </si>
  <si>
    <t>Касымкулович</t>
  </si>
  <si>
    <t>043948379</t>
  </si>
  <si>
    <t>ул. Подхозная,</t>
  </si>
  <si>
    <t>Емерхан</t>
  </si>
  <si>
    <t>Кайрбек</t>
  </si>
  <si>
    <t>049680408</t>
  </si>
  <si>
    <t>ул. Чапаева,</t>
  </si>
  <si>
    <t>Жаксыбаев</t>
  </si>
  <si>
    <t>Сегизбаевич</t>
  </si>
  <si>
    <t>044631843</t>
  </si>
  <si>
    <t>мкр-н Зердели,</t>
  </si>
  <si>
    <t>д.33, кв.3</t>
  </si>
  <si>
    <t>Ансабаев</t>
  </si>
  <si>
    <t>Жубан</t>
  </si>
  <si>
    <t>Даулетбекович</t>
  </si>
  <si>
    <t>046149488</t>
  </si>
  <si>
    <t>Бурабайский район, с. Кенесары,</t>
  </si>
  <si>
    <t>ул. Школьная,</t>
  </si>
  <si>
    <t>д.50а</t>
  </si>
  <si>
    <t>Набатов</t>
  </si>
  <si>
    <t>057291730</t>
  </si>
  <si>
    <t>Ташенова,</t>
  </si>
  <si>
    <t>д.17/1, кв.93</t>
  </si>
  <si>
    <t>Мустафин</t>
  </si>
  <si>
    <t>Ерхан</t>
  </si>
  <si>
    <t>Тартыпович</t>
  </si>
  <si>
    <t>058355682</t>
  </si>
  <si>
    <t>д.14, кв.325</t>
  </si>
  <si>
    <t>Баймагамбетов</t>
  </si>
  <si>
    <t>Токтарович</t>
  </si>
  <si>
    <t>051341004</t>
  </si>
  <si>
    <t>Машин</t>
  </si>
  <si>
    <t>047428607</t>
  </si>
  <si>
    <t xml:space="preserve">Наурызбайский район, </t>
  </si>
  <si>
    <t>мкр-н Тастыбулак, ул. Таутаган,</t>
  </si>
  <si>
    <t>Доненов</t>
  </si>
  <si>
    <t>Кайнарбаевич</t>
  </si>
  <si>
    <t>048036507</t>
  </si>
  <si>
    <t>Алматинскпя обл</t>
  </si>
  <si>
    <t>Жамбыльский р-н, пос.Сункар</t>
  </si>
  <si>
    <t>ул.Карасай батыра</t>
  </si>
  <si>
    <t>д.49</t>
  </si>
  <si>
    <t>Аскарбаев</t>
  </si>
  <si>
    <t>Еркын</t>
  </si>
  <si>
    <t>Толеуович</t>
  </si>
  <si>
    <t>047556608</t>
  </si>
  <si>
    <t>пр.Республика</t>
  </si>
  <si>
    <t>д.49, кв.50</t>
  </si>
  <si>
    <t>Абдрахманов</t>
  </si>
  <si>
    <t>042184418</t>
  </si>
  <si>
    <t>г.Щучинск,</t>
  </si>
  <si>
    <t>ул. Думан,</t>
  </si>
  <si>
    <t>д.39/2</t>
  </si>
  <si>
    <t>Музейко</t>
  </si>
  <si>
    <t>051436836</t>
  </si>
  <si>
    <t>пр-к Назарбаева,</t>
  </si>
  <si>
    <t>д.8, кв.23</t>
  </si>
  <si>
    <t>Исламова</t>
  </si>
  <si>
    <t>Маратовна</t>
  </si>
  <si>
    <t>046057256</t>
  </si>
  <si>
    <t>ул.Богенбай батыра</t>
  </si>
  <si>
    <t>д.43/2, кв.35</t>
  </si>
  <si>
    <t>Токулова</t>
  </si>
  <si>
    <t>Калида</t>
  </si>
  <si>
    <t>Айтмухамедовна</t>
  </si>
  <si>
    <t>047809707</t>
  </si>
  <si>
    <t>г. Талдыкорган, с. Еркин,</t>
  </si>
  <si>
    <t>ул. Момышулы,</t>
  </si>
  <si>
    <t>д.105</t>
  </si>
  <si>
    <t>Байрамов</t>
  </si>
  <si>
    <t>Мамедович</t>
  </si>
  <si>
    <t>056191715</t>
  </si>
  <si>
    <t>Енбекшиказахский район, г. Есик,</t>
  </si>
  <si>
    <t>ул. Амурская,</t>
  </si>
  <si>
    <t>Бегзал</t>
  </si>
  <si>
    <t>Байбазар</t>
  </si>
  <si>
    <t>056424682</t>
  </si>
  <si>
    <t>Төлеген</t>
  </si>
  <si>
    <t>Қанат</t>
  </si>
  <si>
    <t>052728484</t>
  </si>
  <si>
    <t>ул. Маралсай,</t>
  </si>
  <si>
    <t>д.</t>
  </si>
  <si>
    <t>Зырянов</t>
  </si>
  <si>
    <t>г.Текели,</t>
  </si>
  <si>
    <t>Иманжанов</t>
  </si>
  <si>
    <t>054406320</t>
  </si>
  <si>
    <t>Бурабайский район,</t>
  </si>
  <si>
    <t>ул. Бірлік,</t>
  </si>
  <si>
    <t>д.21/2</t>
  </si>
  <si>
    <t>400 000</t>
  </si>
  <si>
    <t>Ашихмин 1</t>
  </si>
  <si>
    <t>048241789</t>
  </si>
  <si>
    <t xml:space="preserve">Жетісу </t>
  </si>
  <si>
    <t>ул. Вишневая,</t>
  </si>
  <si>
    <t>дом 1</t>
  </si>
  <si>
    <t>Костюков</t>
  </si>
  <si>
    <t>Ян</t>
  </si>
  <si>
    <t>059458344</t>
  </si>
  <si>
    <t>ул.Шубина</t>
  </si>
  <si>
    <t>Уалиев</t>
  </si>
  <si>
    <t>Рыскелдіұлы</t>
  </si>
  <si>
    <t>047551925</t>
  </si>
  <si>
    <t>р-н Коксу, с.Мамбет</t>
  </si>
  <si>
    <t>ул.Кыстаубаева</t>
  </si>
  <si>
    <t>Оңалбеков</t>
  </si>
  <si>
    <t>Нұрбол</t>
  </si>
  <si>
    <t>Оңалбекұлы</t>
  </si>
  <si>
    <t>059001730</t>
  </si>
  <si>
    <t>ул.Ш.Кудайбердиева</t>
  </si>
  <si>
    <t>д.23, кв.456</t>
  </si>
  <si>
    <t>Аманжолов</t>
  </si>
  <si>
    <t>058882958</t>
  </si>
  <si>
    <t>Нуринский р-н, п.Нура</t>
  </si>
  <si>
    <t>ул.Балабиева</t>
  </si>
  <si>
    <t>Артемьев</t>
  </si>
  <si>
    <t>046913921</t>
  </si>
  <si>
    <t>г.</t>
  </si>
  <si>
    <t>Талдыкорган,</t>
  </si>
  <si>
    <t>ул. Кошевого,</t>
  </si>
  <si>
    <t>д.8, кв.1</t>
  </si>
  <si>
    <t>Михайдаров</t>
  </si>
  <si>
    <t>Серикпаевич</t>
  </si>
  <si>
    <t>051224490</t>
  </si>
  <si>
    <t>Буландинский р-н, с.Никольское</t>
  </si>
  <si>
    <t>ул.Павленко</t>
  </si>
  <si>
    <t>Палатченко</t>
  </si>
  <si>
    <t>047856912</t>
  </si>
  <si>
    <t>д.41, кв.65</t>
  </si>
  <si>
    <t>Кулимбетов</t>
  </si>
  <si>
    <t>Ерик</t>
  </si>
  <si>
    <t>Тлектесович</t>
  </si>
  <si>
    <t>055341947</t>
  </si>
  <si>
    <t>Каратауский район, с. Алматы,</t>
  </si>
  <si>
    <t>ул.Абая,</t>
  </si>
  <si>
    <t>Нұрымбет</t>
  </si>
  <si>
    <t>Басеми</t>
  </si>
  <si>
    <t>Адырбекұлы</t>
  </si>
  <si>
    <t>056710856</t>
  </si>
  <si>
    <t>ул.Е652</t>
  </si>
  <si>
    <t>Кононов</t>
  </si>
  <si>
    <t>044939263</t>
  </si>
  <si>
    <t>030802501809</t>
  </si>
  <si>
    <t>Туркестанская область</t>
  </si>
  <si>
    <t>г.Кентау</t>
  </si>
  <si>
    <t>ул.Тараз</t>
  </si>
  <si>
    <t>Пастухов</t>
  </si>
  <si>
    <t>052033161</t>
  </si>
  <si>
    <t>мкр-н 6,</t>
  </si>
  <si>
    <t>12, кв.23</t>
  </si>
  <si>
    <t>Айтимов</t>
  </si>
  <si>
    <t>Абылайханович</t>
  </si>
  <si>
    <t>041303752</t>
  </si>
  <si>
    <t>ул. Магжан Жумабаева,</t>
  </si>
  <si>
    <t>д.12а,</t>
  </si>
  <si>
    <t>кв.13</t>
  </si>
  <si>
    <t>Көшербай</t>
  </si>
  <si>
    <t>Бексұлтан</t>
  </si>
  <si>
    <t>Айдарұлы</t>
  </si>
  <si>
    <t>045572785</t>
  </si>
  <si>
    <t>Жамбылский район, с. Дегерес,</t>
  </si>
  <si>
    <t>ул.Райымбек,</t>
  </si>
  <si>
    <t>Бендов</t>
  </si>
  <si>
    <t>048576032</t>
  </si>
  <si>
    <t>р-н. Габита Мусрепова, с. Рузаевка,</t>
  </si>
  <si>
    <t>ул. Говорова,</t>
  </si>
  <si>
    <t>Шешкиль</t>
  </si>
  <si>
    <t>055744002</t>
  </si>
  <si>
    <t>ул. Кудайбердиева,</t>
  </si>
  <si>
    <t>д.72, кв.86</t>
  </si>
  <si>
    <t>Шумаков</t>
  </si>
  <si>
    <t>057983580</t>
  </si>
  <si>
    <t>р-н Габита Мусрепова, с. Рузаевка,</t>
  </si>
  <si>
    <t>ул.Юбилейная,</t>
  </si>
  <si>
    <t>д.5/3</t>
  </si>
  <si>
    <t>Ашихмин</t>
  </si>
  <si>
    <t>ул.Вишневая,</t>
  </si>
  <si>
    <t>Иващенко</t>
  </si>
  <si>
    <t>055980265</t>
  </si>
  <si>
    <t xml:space="preserve"> садоводческое товарищество Энергетик-2,</t>
  </si>
  <si>
    <t>Сагинбеков</t>
  </si>
  <si>
    <t>060397789</t>
  </si>
  <si>
    <t>Илийский район, п. Жапек батыра,.</t>
  </si>
  <si>
    <t>ул. Тулебаева,</t>
  </si>
  <si>
    <t>д.100в</t>
  </si>
  <si>
    <t>Галиулин</t>
  </si>
  <si>
    <t>Салават</t>
  </si>
  <si>
    <t>Дамирович</t>
  </si>
  <si>
    <t>054318379</t>
  </si>
  <si>
    <t xml:space="preserve">мкр-н 11, </t>
  </si>
  <si>
    <t>д.24, кв.25</t>
  </si>
  <si>
    <t>Нурхайдаров</t>
  </si>
  <si>
    <t>Нургали</t>
  </si>
  <si>
    <t>Ахметнурович</t>
  </si>
  <si>
    <t>058156107</t>
  </si>
  <si>
    <t>ул. Жансугурова,</t>
  </si>
  <si>
    <t>Азбасов</t>
  </si>
  <si>
    <t>050084239</t>
  </si>
  <si>
    <t>г.Уштобе</t>
  </si>
  <si>
    <t>пр-т Кунаева</t>
  </si>
  <si>
    <t>д.5, кв.4</t>
  </si>
  <si>
    <t>Копбаев</t>
  </si>
  <si>
    <t>Бакыт</t>
  </si>
  <si>
    <t>Молдатаевич</t>
  </si>
  <si>
    <t>061097603</t>
  </si>
  <si>
    <t>Коксуский район, с.Бескайнар,</t>
  </si>
  <si>
    <t>ул. Жетысу,</t>
  </si>
  <si>
    <t>Ордабаев</t>
  </si>
  <si>
    <t>Мухаметович</t>
  </si>
  <si>
    <t>049144441</t>
  </si>
  <si>
    <t>область Жетісу,</t>
  </si>
  <si>
    <t>Панфиловсский район, аул Атамекен,</t>
  </si>
  <si>
    <t>Бердиханов</t>
  </si>
  <si>
    <t>Бердиханову 1</t>
  </si>
  <si>
    <t>Бердиханов 2</t>
  </si>
  <si>
    <t>Андруцуляк 2</t>
  </si>
  <si>
    <t>Неизвестно</t>
  </si>
  <si>
    <t>НЗ</t>
  </si>
  <si>
    <t>Сейдеметов2</t>
  </si>
  <si>
    <t>Сейдеметов</t>
  </si>
  <si>
    <t>№ Договора</t>
  </si>
  <si>
    <t>3000*1500*301</t>
  </si>
  <si>
    <t>"Балхашское районное общество инвалидов"</t>
  </si>
  <si>
    <t>Бекжигитов</t>
  </si>
  <si>
    <t>Алматинская область, Балхашский район, с.Баканас, Ж САРЫБАЕВ, 12</t>
  </si>
  <si>
    <t>baimantaev-2011@mail.ru</t>
  </si>
  <si>
    <t>002-2013E50Q13-OK</t>
  </si>
  <si>
    <t>3150*1700*1070</t>
  </si>
  <si>
    <t>2000*1250*500</t>
  </si>
  <si>
    <t>ТС KZ Е-KZ.0317.00251 от 28.02.2023</t>
  </si>
  <si>
    <t>"KazEliteService"</t>
  </si>
  <si>
    <t>М</t>
  </si>
  <si>
    <t>Алимов</t>
  </si>
  <si>
    <t>Е</t>
  </si>
  <si>
    <t>KZ636010291000396601</t>
  </si>
  <si>
    <t>г. Шымкент, Мкр-н Казыгурт 102/1</t>
  </si>
  <si>
    <t>7252 40-15-13</t>
  </si>
  <si>
    <t>kamazeuro@bk.ru</t>
  </si>
  <si>
    <t>РК, г. Алматы, ул.Толе би, д.296, блок 3</t>
  </si>
  <si>
    <t>РК, г. Алматы, ул.Толе би, д.296, блок 4</t>
  </si>
  <si>
    <t>KZ708560000006031263</t>
  </si>
  <si>
    <t>РК, г. Алматы, ул.Толе би, д.296, блок 5</t>
  </si>
  <si>
    <t>РК, г. Алматы, ул.Толе би, д.296, блок 6</t>
  </si>
  <si>
    <t>РК, г. Алматы, ул.Толе би, д.296, блок 7</t>
  </si>
  <si>
    <t>РК, г. Алматы, ул.Толе би, д.296, блок 8</t>
  </si>
  <si>
    <t>2 ось</t>
  </si>
  <si>
    <t>3800*1950*900</t>
  </si>
  <si>
    <t>ТС KZ Е-KZ.0317.00219 от 13.06.2022</t>
  </si>
  <si>
    <t xml:space="preserve">Алтай </t>
  </si>
  <si>
    <t>АО "First Heartland Jusan Bank"</t>
  </si>
  <si>
    <t xml:space="preserve"> TSESKZKA</t>
  </si>
  <si>
    <t>002-2515E30Q13-OK120</t>
  </si>
  <si>
    <t>002-2013</t>
  </si>
  <si>
    <t>002-2513</t>
  </si>
  <si>
    <t>002-2515</t>
  </si>
  <si>
    <t>002-3015</t>
  </si>
  <si>
    <t>002-3515</t>
  </si>
  <si>
    <t>002-4015</t>
  </si>
  <si>
    <t>борт</t>
  </si>
  <si>
    <t>E30</t>
  </si>
  <si>
    <t>E50</t>
  </si>
  <si>
    <t>ступица</t>
  </si>
  <si>
    <t>колеса</t>
  </si>
  <si>
    <t>Q13</t>
  </si>
  <si>
    <t>Q15</t>
  </si>
  <si>
    <t>откатное колесо</t>
  </si>
  <si>
    <t>-OK</t>
  </si>
  <si>
    <t>тент-каркас</t>
  </si>
  <si>
    <t>Прицеп 1 ось</t>
  </si>
  <si>
    <t>цена платформы</t>
  </si>
  <si>
    <t>Прицеп 2 оси</t>
  </si>
  <si>
    <t>Прицеп 2,5*1,5 м (до 750 кг.) 2 оси</t>
  </si>
  <si>
    <t>490 000</t>
  </si>
  <si>
    <t>Прицеп 3,0*1,5 м (до 750 кг.) 2 оси</t>
  </si>
  <si>
    <t>530 000</t>
  </si>
  <si>
    <t>Прицеп 3,5*1,5 м (до 750 кг.) 2 оси</t>
  </si>
  <si>
    <t>580 000</t>
  </si>
  <si>
    <t>Прицеп 4,0*1,5 м (до 750 кг.) 2 оси</t>
  </si>
  <si>
    <t>680 000</t>
  </si>
  <si>
    <t>борт 2*1,25</t>
  </si>
  <si>
    <t>борт 2,5*1,25</t>
  </si>
  <si>
    <t>борт 2,5*1,5</t>
  </si>
  <si>
    <t>борт 3*1,5</t>
  </si>
  <si>
    <t>борт 3,5*1,5</t>
  </si>
  <si>
    <t>борт 4*1,5</t>
  </si>
  <si>
    <t>колесо</t>
  </si>
  <si>
    <t>опорное колесо</t>
  </si>
  <si>
    <t>ОК</t>
  </si>
  <si>
    <t>OK</t>
  </si>
  <si>
    <t>тент 2*1,25</t>
  </si>
  <si>
    <t>тент 2,5*1,25</t>
  </si>
  <si>
    <t>тент 2,5*1,5</t>
  </si>
  <si>
    <t>тент 3*1,5</t>
  </si>
  <si>
    <t>тент 3,5*1,5</t>
  </si>
  <si>
    <t>тент 4*1,5</t>
  </si>
  <si>
    <t>габаритные размеры</t>
  </si>
  <si>
    <t>внутренние размеры кузова</t>
  </si>
  <si>
    <t>высота борта</t>
  </si>
  <si>
    <t>длина</t>
  </si>
  <si>
    <t>ширина</t>
  </si>
  <si>
    <t>высота</t>
  </si>
  <si>
    <t>002-2013E30Q13-OK</t>
  </si>
  <si>
    <t>002-3515E30Q13-OK</t>
  </si>
  <si>
    <t>004-3015E30Q15-OK</t>
  </si>
  <si>
    <t>002-3015E30Q13-OK</t>
  </si>
  <si>
    <t>002-2513E30Q13-OK</t>
  </si>
  <si>
    <t>004-2515QB</t>
  </si>
  <si>
    <t>002-2515QE</t>
  </si>
  <si>
    <t>002-2515E30Q13-OK</t>
  </si>
  <si>
    <t>002-2515E50Q13-OK</t>
  </si>
  <si>
    <t>Номер ОТТС</t>
  </si>
  <si>
    <t>Дата до</t>
  </si>
  <si>
    <t>ТС KZ Е-KZ.0317.00219.П1 от 17.07.2025</t>
  </si>
  <si>
    <t>h борта</t>
  </si>
  <si>
    <t>R</t>
  </si>
  <si>
    <t>тент</t>
  </si>
  <si>
    <t>ступицы</t>
  </si>
  <si>
    <t>Цена с НДС, тенге</t>
  </si>
  <si>
    <t>1 осные</t>
  </si>
  <si>
    <t>002-2013R13</t>
  </si>
  <si>
    <t>Прицеп-платформа 2*1,25м, без запасного, без опорного колеса, без колес, ступица R13</t>
  </si>
  <si>
    <t>002-2013R13-OK</t>
  </si>
  <si>
    <t>Прицеп-платформа 2*1,25м, без колес и без бортов с опорным колесом ступица R13</t>
  </si>
  <si>
    <t>002-2013R13E30</t>
  </si>
  <si>
    <t>Прицеп 2*1,25м, высота борта 30см, без колес, без опорного колеса ступица R13</t>
  </si>
  <si>
    <t>002-2013Q13</t>
  </si>
  <si>
    <t>Прицеп-платформа 2*1,25м, R13 без запасного без опорного колеса с колесами R13</t>
  </si>
  <si>
    <t>002-2013R15</t>
  </si>
  <si>
    <t>Прицеп-платформа 2*1,25м, без колес и без бортов ступица R15</t>
  </si>
  <si>
    <t>002-2013R13E30-60</t>
  </si>
  <si>
    <t>Прицеп 2*1,25м, высота борта 30см, без колес, без опорного колеса ступица R13 тент-каркас 600мм</t>
  </si>
  <si>
    <t>002-2013R13E30-30</t>
  </si>
  <si>
    <t>Прицеп 2*1,25м, высота борта 30см, без колес, без опорного колеса ступица R13 тент-каркас 300мм</t>
  </si>
  <si>
    <t>002-2013R13E30-90</t>
  </si>
  <si>
    <t>Прицеп 2*1,25м, высота борта 30см, без колес, без опорного колеса ступица R13, тент-каркас 900мм</t>
  </si>
  <si>
    <t>002-2013Q13-OK</t>
  </si>
  <si>
    <t>Прицеп-платформа 2*1,25м, R13 без запасного с опорным колесом  с колесами R13</t>
  </si>
  <si>
    <t>002-2013R15-OK</t>
  </si>
  <si>
    <t>Прицеп-платформа 2*1,25м, без колес и без бортов с опорным колесом ступица R15</t>
  </si>
  <si>
    <t>002-2013E30Q13</t>
  </si>
  <si>
    <t>Прицеп 2*1,25м, высота борта 30см, R13 без запасного без опорного колеса  с колесами R13</t>
  </si>
  <si>
    <t>002-2013E30Q13-60</t>
  </si>
  <si>
    <t>Прицеп 2*1,25м, высота борта 30см, без опорного колеса  с колесами R13 тент-каркас 600мм</t>
  </si>
  <si>
    <t>002-2013E30Q13-30</t>
  </si>
  <si>
    <t>Прицеп 2*1,25м, высота борта 30см, без опорного колеса  с колесами R13 тент-каркас 300мм</t>
  </si>
  <si>
    <t>002-2013E30Q13-90</t>
  </si>
  <si>
    <t>Прицеп 2*1,25м, высота борта 30см,  без опорного колеса  с колесами R13 тент-каркас 900мм</t>
  </si>
  <si>
    <t>002-2013R13E30-OK</t>
  </si>
  <si>
    <t>Прицеп 2*1,25м, высота борта 30см, без колес с опорным колесом ступица R13</t>
  </si>
  <si>
    <t>002-2013R13E30-OK60</t>
  </si>
  <si>
    <t>Прицеп 2*1,25м, высота борта 30см, без колес с опорным колесом ступица R13 тент-каркас 600мм</t>
  </si>
  <si>
    <t>002-2013R13E30-OK30</t>
  </si>
  <si>
    <t>Прицеп 2*1,25м, высота борта 30см, без колес с опорным колесом ступица R13 тент-каркас 300мм</t>
  </si>
  <si>
    <t>002-2013R13E30-OK90</t>
  </si>
  <si>
    <t>Прицеп 2*1,25м, высота борта 30см, без колес с опорным колесом ступица R13 тент-каркас 900мм</t>
  </si>
  <si>
    <t>Прицеп 2*1,25м, высота борта 30см, без запасного с опорным колесом  с колесами R13</t>
  </si>
  <si>
    <t>002-2013Q15</t>
  </si>
  <si>
    <t>Прицеп-платформа 2*1,25м, без запасного без опорного колеса с колесами R15</t>
  </si>
  <si>
    <t>002-2013E30Q13-OK60</t>
  </si>
  <si>
    <t>Прицеп 2*1,25м, высота борта 30см,   с опорным колесом с колесами R13 тент-каркас 600мм</t>
  </si>
  <si>
    <t>Прицеп 2*1,25м, высота борта 30см,   с опорным колесом с колесами R13 тент-каркас 300мм</t>
  </si>
  <si>
    <t>002-2013E30Q13-OK90</t>
  </si>
  <si>
    <t>Прицеп 2*1,25м, высота борта 30см,  с опорным колесом  с колесами R13 тент-каркас 900мм</t>
  </si>
  <si>
    <t>002-2013R13E50</t>
  </si>
  <si>
    <t>Прицеп 2*1,25м, высота борта 50см, без колес без опорного колеса ступица R13</t>
  </si>
  <si>
    <t>002-2013Q15-OK</t>
  </si>
  <si>
    <t>Прицеп-платформа 2*1,25м, без запасного с опорным колесом с колесами R15</t>
  </si>
  <si>
    <t>002-2013R13E50-60</t>
  </si>
  <si>
    <t>Прицеп 2*1,25м, высота борта 50см, без колес без опорного колеса ступица R13, тент-каркас 600мм</t>
  </si>
  <si>
    <t>002-2013R13E50-30</t>
  </si>
  <si>
    <t>Прицеп 2*1,25м, высота борта 50см, без колес без опорного колеса ступица R13, тент-каркас 300мм</t>
  </si>
  <si>
    <t>002-2013R13E50-90</t>
  </si>
  <si>
    <t>Прицеп 2*1,25м, высота борта 50см, без колес без опорного колеса ступица R13, тент-каркас 900мм</t>
  </si>
  <si>
    <t>002-2013E50Q13</t>
  </si>
  <si>
    <t>Прицеп 2*1,25м, высота борта 50см, R13 без запасного без опорного колеса  с колесами R13</t>
  </si>
  <si>
    <t>002-2013E50Q13-60</t>
  </si>
  <si>
    <t>Прицеп 2*1,25м, высота борта 50см, без опорного колеса  с колесами R13 тент-каркас 600мм</t>
  </si>
  <si>
    <t>002-2013E50Q13-30</t>
  </si>
  <si>
    <t>Прицеп 2*1,25м, высота борта 50см, без опорного колеса  с колесами R13 тент-каркас 300мм</t>
  </si>
  <si>
    <t>002-2013E50Q13-90</t>
  </si>
  <si>
    <t>Прицеп 2*1,25м, высота борта 50см,  без опорного колеса  с колесами R13 тент-каркас 900мм</t>
  </si>
  <si>
    <t>002-2013R13E50-OK</t>
  </si>
  <si>
    <t>Прицеп 2*1,25м, высота борта 50см, без колес с опорным колесом ступица R13</t>
  </si>
  <si>
    <t>002-2013R13E50-OK60</t>
  </si>
  <si>
    <t>Прицеп 2*1,25м, высота борта 50см, без колес с опорным колесом ступица R13, тент-каркас 600мм</t>
  </si>
  <si>
    <t>002-2013R13E50-OK30</t>
  </si>
  <si>
    <t>Прицеп 2*1,25м, высота борта 50см, без колес с опорным колесом ступица R13, тент-каркас 300мм</t>
  </si>
  <si>
    <t>002-2013R13E50-OK90</t>
  </si>
  <si>
    <t>Прицеп 2*1,25м, высота борта 50см, без колес с опорным колесом ступица R13, тент-каркас 900мм</t>
  </si>
  <si>
    <t>Прицеп 2*1,25м, высота борта 50см,  без запасного с опорным колесом  с колесами R13</t>
  </si>
  <si>
    <t>Прицеп 2*1,25м, высота борта 50см, с опорным колесом  с колесами R13 тент-каркас 600мм</t>
  </si>
  <si>
    <t>002-2013E50Q13-OK30</t>
  </si>
  <si>
    <t>Прицеп 2*1,25м, высота борта 50см, с опорным колесом  с колесами R13 тент-каркас 300мм</t>
  </si>
  <si>
    <t>002-2013E50Q13-OK90</t>
  </si>
  <si>
    <t>Прицеп 2*1,25м, высота борта 50см, с опорным колесом  с колесами R13 тент-каркас 900мм</t>
  </si>
  <si>
    <t>002-2013R15E30</t>
  </si>
  <si>
    <t>Прицеп 2*1,25м, высота борта 30см, без колес без опорного колеса ступица R15</t>
  </si>
  <si>
    <t>002-2013R15E30-60</t>
  </si>
  <si>
    <t>Прицеп 2*1,25м, высота борта 30см, без колес без опорного колеса ступица R15 тент-каркас 600мм</t>
  </si>
  <si>
    <t>002-2013R15E30-30</t>
  </si>
  <si>
    <t>Прицеп 2*1,25м, высота борта 30см, без колес без опорного колеса ступица R15 тент-каркас 300мм</t>
  </si>
  <si>
    <t>002-2013R15E30-90</t>
  </si>
  <si>
    <t>Прицеп 2*1,25м, высота борта 30см, без колес без опорного колеса ступица R15 тент-каркас 900мм</t>
  </si>
  <si>
    <t>002-2013E30Q15</t>
  </si>
  <si>
    <t>Прицеп 2*1,25м, высота борта 30см, без запасного без опорного колеса с колесами R15</t>
  </si>
  <si>
    <t>002-2013E30Q15-60</t>
  </si>
  <si>
    <t>Прицеп 2*1,25м, высота борта 30см, без опорного колеса с колесами R15  тент-каркас 600мм</t>
  </si>
  <si>
    <t>002-2013E30Q15-30</t>
  </si>
  <si>
    <t>Прицеп 2*1,25м, высота борта 30см, без опорного колеса с колесами R15  тент-каркас 300мм</t>
  </si>
  <si>
    <t>002-2013E30Q15-90</t>
  </si>
  <si>
    <t>Прицеп 2*1,25м, высота борта 30см, без опорного колеса с колесами R15 тент-каркас 900мм</t>
  </si>
  <si>
    <t>002-2013R15E30-OK</t>
  </si>
  <si>
    <t>Прицеп 2*1,25м, высота борта 30см, без колес с опорным колесом ступица R15</t>
  </si>
  <si>
    <t>002-2013R15E30-OK60</t>
  </si>
  <si>
    <t>Прицеп 2*1,25м, высота борта 30см, без колес с опорным колесом ступица R15 тент-каркас 600мм</t>
  </si>
  <si>
    <t>002-2013R15E30-OK30</t>
  </si>
  <si>
    <t>Прицеп 2*1,25м, высота борта 30см, без колес с опорным колесом ступица R15 тент-каркас 300мм</t>
  </si>
  <si>
    <t>002-2013R15E30-OK90</t>
  </si>
  <si>
    <t>Прицеп 2*1,25м, высота борта 30см, без колес с опорным колесом ступица R15 тент-каркас 900мм</t>
  </si>
  <si>
    <t>002-2013E30Q15-OK</t>
  </si>
  <si>
    <t>Прицеп 2*1,25м, высота борта 30см, без запасного с опорным колесом с колесами R15</t>
  </si>
  <si>
    <t>002-2013E30Q15-OK60</t>
  </si>
  <si>
    <t>Прицеп 2*1,25м, высота борта 30см, с опорным колесом с колесами R15 тент-каркас 600мм</t>
  </si>
  <si>
    <t>002-2013E30Q15-OK30</t>
  </si>
  <si>
    <t>Прицеп 2*1,25м, высота борта 30см, с опорным колесом с колесами R15 тент-каркас 300мм</t>
  </si>
  <si>
    <t>002-2013E30Q15-OK90</t>
  </si>
  <si>
    <t>Прицеп 2*1,25м, высота борта 30см, с опорным колесом с колесами R15 тент-каркас 900мм</t>
  </si>
  <si>
    <t>002-2013R15E50</t>
  </si>
  <si>
    <t>Прицеп 2*1,25м, высота борта 50см, без колес без опорного колеса ступица R15</t>
  </si>
  <si>
    <t>002-2013R15E50-60</t>
  </si>
  <si>
    <t>Прицеп 2*1,25м, высота борта 50см, без колес без опорного колеса ступица R15 тент-каркас 600мм</t>
  </si>
  <si>
    <t>002-2013R15E50-30</t>
  </si>
  <si>
    <t>Прицеп 2*1,25м, высота борта 50см, без колес без опорного колеса ступица R15 тент-каркас 300мм</t>
  </si>
  <si>
    <t>002-2013R15E50-90</t>
  </si>
  <si>
    <t>Прицеп 2*1,25м, высота борта 50см, без колес без опорного колеса ступица R15 тент-каркас 900мм</t>
  </si>
  <si>
    <t>002-2013E50Q15</t>
  </si>
  <si>
    <t>Прицеп 2*1,25м, высота борта 50см, без запасного без опорного колеса с колесами R15</t>
  </si>
  <si>
    <t>002-2013E50Q15-60</t>
  </si>
  <si>
    <t xml:space="preserve">Прицеп 2*1,25м, высота борта 50см, без опорного колеса с колесами R15 тент-каркас 600мм </t>
  </si>
  <si>
    <t>002-2013E50Q15-30</t>
  </si>
  <si>
    <t>Прицеп 2*1,25м, высота борта 50см, без опорного колеса с колесами R15 тент-каркас 300мм</t>
  </si>
  <si>
    <t>002-2013E50Q15-90</t>
  </si>
  <si>
    <t>Прицеп 2*1,25м, высота борта 50см, без опорного колеса с колесами R15 тент-каркас 900мм</t>
  </si>
  <si>
    <t>002-2013R15E50-OK</t>
  </si>
  <si>
    <t>Прицеп 2*1,25м, высота борта 50см, без колес с опорным колесом ступица R15</t>
  </si>
  <si>
    <t>002-2013R15E50-OK60</t>
  </si>
  <si>
    <t>Прицеп 2*1,25м, высота борта 50см, без колес с опорным колесом ступица R15 тент-каркас 600мм</t>
  </si>
  <si>
    <t>002-2013R15E50-OK30</t>
  </si>
  <si>
    <t>Прицеп 2*1,25м, высота борта 50см, без колес с опорным колесом ступица R15 тент-каркас 300мм</t>
  </si>
  <si>
    <t>002-2013R15E50-OK90</t>
  </si>
  <si>
    <t>Прицеп 2*1,25м, высота борта 50см, без колес с опорным колесом ступица R15 тент-каркас 900мм</t>
  </si>
  <si>
    <t>002-2013E50Q15-OK</t>
  </si>
  <si>
    <t>Прицеп 2*1,25м, высота борта 50см, без запасного с опорным колесом с колесами R15</t>
  </si>
  <si>
    <t>002-2013E50Q15-OK60</t>
  </si>
  <si>
    <t>Прицеп 2*1,25м, высота борта 50см, с опорным колесом с колесами R15 тент-каркас 600мм</t>
  </si>
  <si>
    <t>002-2013E50Q15-OK30</t>
  </si>
  <si>
    <t>Прицеп 2*1,25м, высота борта 50см, с опорным колесом с колесами R15 тент-каркас 300мм</t>
  </si>
  <si>
    <t>002-2013E50Q15-OK90</t>
  </si>
  <si>
    <t>Прицеп 2*1,25м, высота борта 50см, с опорным колесом с колесами R15 тент-каркас 900мм</t>
  </si>
  <si>
    <t>002-2513R13</t>
  </si>
  <si>
    <t>Прицеп-платформа 2,5*1,25м, без запасного, без опорного колеса, без колес, ступица R13</t>
  </si>
  <si>
    <t>002-2513R13E30</t>
  </si>
  <si>
    <t>Прицеп 2,5*1,25м, высота борта 30см, без колес, без опорного колеса ступица R13</t>
  </si>
  <si>
    <t>002-2513R13E30-OK</t>
  </si>
  <si>
    <t>Прицеп 2,5*1,25м, высота борта 30см, без колес с опорным колесом ступица R13</t>
  </si>
  <si>
    <t>002-2513R13E30-60</t>
  </si>
  <si>
    <t>Прицеп 2,5*1,25м, высота борта 30см, без колес, без опорного колеса ступица R13 тент-каркас 600мм</t>
  </si>
  <si>
    <t>002-2513R13E30-30</t>
  </si>
  <si>
    <t>Прицеп 2,5*1,25м, высота борта 30см, без колес, без опорного колеса ступица R13 тент-каркас 300мм</t>
  </si>
  <si>
    <t>002-2513R13E30-OK60</t>
  </si>
  <si>
    <t>Прицеп 2,5*1,25м, высота борта 30см, без колес с опорным колесом ступица R13 тент-каркас 600мм</t>
  </si>
  <si>
    <t>002-2513R13E30-OK30</t>
  </si>
  <si>
    <t>Прицеп 2,5*1,25м, высота борта 30см, без колес с опорным колесом ступица R13 тент-каркас 300мм</t>
  </si>
  <si>
    <t>002-2513R13E30-90</t>
  </si>
  <si>
    <t>Прицеп 2,5*1,25м, высота борта 30см, без колес, без опорного колеса ступица R13, тент-каркас 900мм</t>
  </si>
  <si>
    <t>002-2513R13E30-OK90</t>
  </si>
  <si>
    <t>Прицеп 2,5*1,25м, высота борта 30см, без колес с опорным колесом ступица R13 тент-каркас 900мм</t>
  </si>
  <si>
    <t>002-2513Q13</t>
  </si>
  <si>
    <t>Прицеп-платформа 2,5*1,25м, R13 без запасного без опорного колеса с колесами R13</t>
  </si>
  <si>
    <t>002-2513E30Q13</t>
  </si>
  <si>
    <t>Прицеп 2,5*1,25м, высота борта 30см, R13 без запасного без опорного колеса  с колесами R13</t>
  </si>
  <si>
    <t>Прицеп 2,5*1,25м, высота борта 30см, без запасного с опорным колесом  с колесами R13</t>
  </si>
  <si>
    <t>002-2513R15</t>
  </si>
  <si>
    <t>Прицеп-платформа 2,5*1,25м, без колес и без бортов ступица R15</t>
  </si>
  <si>
    <t>002-2513R15E30</t>
  </si>
  <si>
    <t>Прицеп 2,5*1,25м, высота борта 30см, без колес без опорного колеса ступица R15</t>
  </si>
  <si>
    <t>002-2513R15E30-OK</t>
  </si>
  <si>
    <t>Прицеп 2,5*1,25м, высота борта 30см, без колес с опорным колесом ступица R15</t>
  </si>
  <si>
    <t>002-2513R15E30-60</t>
  </si>
  <si>
    <t>Прицеп 2,5*1,25м, высота борта 30см, без колес без опорного колеса ступица R15 тент-каркас 600мм</t>
  </si>
  <si>
    <t>002-2513R15E30-30</t>
  </si>
  <si>
    <t>Прицеп 2,5*1,25м, высота борта 30см, без колес без опорного колеса ступица R15 тент-каркас 300мм</t>
  </si>
  <si>
    <t>002-2513R15E30-OK60</t>
  </si>
  <si>
    <t>Прицеп 2,5*1,25м, высота борта 30см, без колес с опорным колесом ступица R15 тент-каркас 600мм</t>
  </si>
  <si>
    <t>002-2513R15E30-OK30</t>
  </si>
  <si>
    <t>Прицеп 2,5*1,25м, высота борта 30см, без колес с опорным колесом ступица R15 тент-каркас 300мм</t>
  </si>
  <si>
    <t>002-2513R15E30-90</t>
  </si>
  <si>
    <t>Прицеп 2,5*1,25м, высота борта 30см, без колес без опорного колеса ступица R15 тент-каркас 900мм</t>
  </si>
  <si>
    <t>002-2513R15E30-OK90</t>
  </si>
  <si>
    <t>Прицеп 2,5*1,25м, высота борта 30см, без колес с опорным колесом ступица R15 тент-каркас 900мм</t>
  </si>
  <si>
    <t>002-2513Q15</t>
  </si>
  <si>
    <t>Прицеп-платформа 2,5*1,25м, без запасного без опорного колеса с колесами R15</t>
  </si>
  <si>
    <t>002-2513E30Q15</t>
  </si>
  <si>
    <t>Прицеп 2,5*1,25м, высота борта 30см, без запасного без опорного колеса с колесами R15</t>
  </si>
  <si>
    <t>002-2513E30Q15-OK</t>
  </si>
  <si>
    <t>Прицеп 2,5*1,25м, высота борта 30см, без запасного с опорным колесом с колесами R15</t>
  </si>
  <si>
    <t>002-2513R13-OK</t>
  </si>
  <si>
    <t>Прицеп-платформа 2,5*1,25м, без колес и без бортов с опорным колесом ступица R13</t>
  </si>
  <si>
    <t>002-2513R13E50</t>
  </si>
  <si>
    <t>Прицеп 2,5*1,25м, высота борта 50см, без колес без опорного колеса ступица R13</t>
  </si>
  <si>
    <t>002-2513R13E50-OK</t>
  </si>
  <si>
    <t>Прицеп 2,5*1,25м, высота борта 50см, без колес с опорным колесом ступица R13</t>
  </si>
  <si>
    <t>002-2513R13E50-60</t>
  </si>
  <si>
    <t>Прицеп 2,5*1,25м, высота борта 50см, без колес без опорного колеса ступица R13, тент-каркас 600мм</t>
  </si>
  <si>
    <t>002-2513R13E50-30</t>
  </si>
  <si>
    <t>Прицеп 2,5*1,25м, высота борта 50см, без колес без опорного колеса ступица R13, тент-каркас 300мм</t>
  </si>
  <si>
    <t>002-2513R13E50-OK60</t>
  </si>
  <si>
    <t>Прицеп 2,5*1,25м, высота борта 50см, без колес с опорным колесом ступица R13, тент-каркас 600мм</t>
  </si>
  <si>
    <t>002-2513R13E50-OK30</t>
  </si>
  <si>
    <t>Прицеп 2,5*1,25м, высота борта 50см, без колес с опорным колесом ступица R13, тент-каркас 300мм</t>
  </si>
  <si>
    <t>002-2513R13E50-90</t>
  </si>
  <si>
    <t>Прицеп 2,5*1,25м, высота борта 50см, без колес без опорного колеса ступица R13, тент-каркас 900мм</t>
  </si>
  <si>
    <t>002-2513R13E50-OK90</t>
  </si>
  <si>
    <t>Прицеп 2,5*1,25м, высота борта 50см, без колес с опорным колесом ступица R13, тент-каркас 900мм</t>
  </si>
  <si>
    <t>002-2513Q13-OK</t>
  </si>
  <si>
    <t>Прицеп-платформа 2,5*1,25м, R13 без запасного с опорным колесом  с колесами R13</t>
  </si>
  <si>
    <t>002-2513E50Q13</t>
  </si>
  <si>
    <t>Прицеп 2,5*1,25м, высота борта 50см, R13 без запасного без опорного колеса  с колесами R13</t>
  </si>
  <si>
    <t>002-2513E50Q13-OK</t>
  </si>
  <si>
    <t>Прицеп 2,5*1,25м, высота борта 50см,  без запасного с опорным колесом  с колесами R13</t>
  </si>
  <si>
    <t>002-2513R15-OK</t>
  </si>
  <si>
    <t>Прицеп-платформа 2,5*1,25м, без колес и без бортов с опорным колесом ступица R15</t>
  </si>
  <si>
    <t>002-2513R15E50</t>
  </si>
  <si>
    <t>Прицеп 2,5*1,25м, высота борта 50см, без колес без опорного колеса ступица R15</t>
  </si>
  <si>
    <t>002-2513R15E50-OK</t>
  </si>
  <si>
    <t>Прицеп 2,5*1,25м, высота борта 50см, без колес с опорным колесом ступица R15</t>
  </si>
  <si>
    <t>002-2513R15E50-60</t>
  </si>
  <si>
    <t>Прицеп 2,5*1,25м, высота борта 50см, без колес без опорного колеса ступица R15 тент-каркас 600мм</t>
  </si>
  <si>
    <t>002-2513R15E50-30</t>
  </si>
  <si>
    <t>Прицеп 2,5*1,25м, высота борта 50см, без колес без опорного колеса ступица R15 тент-каркас 300мм</t>
  </si>
  <si>
    <t>002-2513R15E50-OK60</t>
  </si>
  <si>
    <t>Прицеп 2,5*1,25м, высота борта 50см, без колес с опорным колесом ступица R15 тент-каркас 600мм</t>
  </si>
  <si>
    <t>002-2513R15E50-OK30</t>
  </si>
  <si>
    <t>Прицеп 2,5*1,25м, высота борта 50см, без колес с опорным колесом ступица R15 тент-каркас 300мм</t>
  </si>
  <si>
    <t>002-2513R15E50-90</t>
  </si>
  <si>
    <t>Прицеп 2,5*1,25м, высота борта 50см, без колес без опорного колеса ступица R15 тент-каркас 900мм</t>
  </si>
  <si>
    <t>002-2513R15E50-OK90</t>
  </si>
  <si>
    <t>Прицеп 2,5*1,25м, высота борта 50см, без колес с опорным колесом ступица R15 тент-каркас 900мм</t>
  </si>
  <si>
    <t>002-2513Q15-OK</t>
  </si>
  <si>
    <t>Прицеп-платформа 2,5*1,25м, без запасного с опорным колесом с колесами R15</t>
  </si>
  <si>
    <t>002-2513E50Q15</t>
  </si>
  <si>
    <t>Прицеп 2,5*1,25м, высота борта 50см, без запасного без опорного колеса с колесами R15</t>
  </si>
  <si>
    <t>002-2513E50Q15-OK</t>
  </si>
  <si>
    <t>Прицеп 2,5*1,25м, высота борта 50см, без запасного с опорным колесом с колесами R15</t>
  </si>
  <si>
    <t>002-2513E30Q13-60</t>
  </si>
  <si>
    <t>Прицеп 2,5*1,25м, высота борта 30см, без опорного колеса  с колесами R13 тент-каркас 600мм</t>
  </si>
  <si>
    <t>002-2513E30Q13-30</t>
  </si>
  <si>
    <t>Прицеп 2,5*1,25м, высота борта 30см, без опорного колеса  с колесами R13 тент-каркас 300мм</t>
  </si>
  <si>
    <t>002-2513E30Q13-OK60</t>
  </si>
  <si>
    <t>Прицеп 2,5*1,25м, высота борта 30см,   с опорным колесом с колесами R13 тент-каркас 600мм</t>
  </si>
  <si>
    <t>002-2513E30Q13-OK30</t>
  </si>
  <si>
    <t>Прицеп 2,5*1,25м, высота борта 30см,   с опорным колесом с колесами R13 тент-каркас 300мм</t>
  </si>
  <si>
    <t>002-2513E30Q15-60</t>
  </si>
  <si>
    <t>Прицеп 2,5*1,25м, высота борта 30см, без опорного колеса с колесами R15  тент-каркас 600мм</t>
  </si>
  <si>
    <t>002-2513E30Q15-30</t>
  </si>
  <si>
    <t>Прицеп 2,5*1,25м, высота борта 30см, без опорного колеса с колесами R15  тент-каркас 300мм</t>
  </si>
  <si>
    <t>002-2513E30Q15-OK60</t>
  </si>
  <si>
    <t>Прицеп 2,5*1,25м, высота борта 30см, с опорным колесом с колесами R15 тент-каркас 600мм</t>
  </si>
  <si>
    <t>002-2513E30Q15-OK30</t>
  </si>
  <si>
    <t>Прицеп 2,5*1,25м, высота борта 30см, с опорным колесом с колесами R15 тент-каркас 300мм</t>
  </si>
  <si>
    <t>002-2513E50Q13-60</t>
  </si>
  <si>
    <t>Прицеп 2,5*1,25м, высота борта 50см, без опорного колеса  с колесами R13 тент-каркас 600мм</t>
  </si>
  <si>
    <t>002-2513E50Q13-30</t>
  </si>
  <si>
    <t>Прицеп 2,5*1,25м, высота борта 50см, без опорного колеса  с колесами R13 тент-каркас 300мм</t>
  </si>
  <si>
    <t>002-2513E50Q13-OK60</t>
  </si>
  <si>
    <t>Прицеп 2,5*1,25м, высота борта 50см, с опорным колесом  с колесами R13 тент-каркас 600мм</t>
  </si>
  <si>
    <t>002-2513E50Q13-OK30</t>
  </si>
  <si>
    <t>Прицеп 2,5*1,25м, высота борта 50см, с опорным колесом  с колесами R13 тент-каркас 300мм</t>
  </si>
  <si>
    <t>002-2513E50Q15-60</t>
  </si>
  <si>
    <t xml:space="preserve">Прицеп 2,5*1,25м, высота борта 50см, без опорного колеса с колесами R15 тент-каркас 600мм </t>
  </si>
  <si>
    <t>002-2513E50Q15-30</t>
  </si>
  <si>
    <t xml:space="preserve">Прицеп 2,5*1,25м, высота борта 50см, без опорного колеса с колесами R15 тент-каркас 300мм </t>
  </si>
  <si>
    <t>002-2513E50Q15-OK60</t>
  </si>
  <si>
    <t>Прицеп 2,5*1,25м, высота борта 50см, с опорным колесом с колесами R15 тент-каркас 600мм</t>
  </si>
  <si>
    <t>002-2513E50Q15-OK30</t>
  </si>
  <si>
    <t>Прицеп 2,5*1,25м, высота борта 50см, с опорным колесом с колесами R15 тент-каркас 300мм</t>
  </si>
  <si>
    <t>002-2513E30Q13-90</t>
  </si>
  <si>
    <t>Прицеп 2,5*1,25м, высота борта 30см,  без опорного колеса  с колесами R13 тент-каркас 900мм</t>
  </si>
  <si>
    <t>002-2513E30Q13-OK90</t>
  </si>
  <si>
    <t>Прицеп 2,5*1,25м, высота борта 30см,  с опорным колесом  с колесами R13 тент-каркас 900мм</t>
  </si>
  <si>
    <t>002-2513E30Q15-90</t>
  </si>
  <si>
    <t>Прицеп 2,5*1,25м, высота борта 30см, без опорного колеса с колесами R15 тент-каркас 900мм</t>
  </si>
  <si>
    <t>002-2513E30Q15-OK90</t>
  </si>
  <si>
    <t>Прицеп 2,5*1,25м, высота борта 30см, с опорным колесом с колесами R15 тент-каркас 900мм</t>
  </si>
  <si>
    <t>002-2513E50Q13-90</t>
  </si>
  <si>
    <t>Прицеп 2,5*1,25м, высота борта 50см,  без опорного колеса  с колесами R13 тент-каркас 900мм</t>
  </si>
  <si>
    <t>002-2513E50Q13-OK90</t>
  </si>
  <si>
    <t>Прицеп 2,5*1,25м, высота борта 50см, с опорным колесом  с колесами R13 тент-каркас 900мм</t>
  </si>
  <si>
    <t>002-2513E50Q15-90</t>
  </si>
  <si>
    <t>Прицеп 2,5*1,25м, высота борта 50см, без опорного колеса с колесами R15 тент-каркас 900мм</t>
  </si>
  <si>
    <t>002-2513E50Q15-OK90</t>
  </si>
  <si>
    <t>Прицеп 2,5*1,25м, высота борта 50см, с опорным колесом с колесами R15 тент-каркас 900мм</t>
  </si>
  <si>
    <t>002-2515R13</t>
  </si>
  <si>
    <t>Прицеп-платформа 2,5*1,5м, без запасного, без опорного колеса, без колес, ступица R13</t>
  </si>
  <si>
    <t>002-2515R13E30</t>
  </si>
  <si>
    <t>Прицеп 2,5*1,5м, высота борта 30см, без колес, без опорного колеса ступица R13</t>
  </si>
  <si>
    <t>002-2515R13E50</t>
  </si>
  <si>
    <t>Прицеп 2,5*1,5м, высота борта 50см, без колес без опорного колеса ступица R13</t>
  </si>
  <si>
    <t>002-2515R13E30-90</t>
  </si>
  <si>
    <t>Прицеп 2,5*1,5м, высота борта 30см, без колес, без опорного колеса ступица R13 тент-каркас 900мм</t>
  </si>
  <si>
    <t>002-2515R13E50-90</t>
  </si>
  <si>
    <t>Прицеп 2,5*1,5м, высота борта 50см, без колес без опорного колеса ступица R13, тент-каркас 900мм</t>
  </si>
  <si>
    <t>002-2515R13E30-120</t>
  </si>
  <si>
    <t>Прицеп 2,5*1,5м, высота борта 30см, без колес, без опорного колеса ступица R13, тент-каркас 1200мм</t>
  </si>
  <si>
    <t>002-2515R13E50-120</t>
  </si>
  <si>
    <t>Прицеп 2,5*1,5м, высота борта 50см, без колес без опорного колеса ступица R13, тент-каркас 1200мм</t>
  </si>
  <si>
    <t>002-2515Q13</t>
  </si>
  <si>
    <t>Прицеп-платформа 2,5*1,5м, R13 без запасного без опорного колеса с колесами R13</t>
  </si>
  <si>
    <t>002-2515E30Q13</t>
  </si>
  <si>
    <t>Прицеп 2,5*1,5м, высота борта 30см, R13 без запасного без опорного колеса  с колесами R13</t>
  </si>
  <si>
    <t>002-2515E50Q13</t>
  </si>
  <si>
    <t>Прицеп 2,5*1,5м, высота борта 50см, R13 без запасного без опорного колеса  с колесами R13</t>
  </si>
  <si>
    <t>002-2515R15</t>
  </si>
  <si>
    <t>Прицеп-платформа 2,5*1,5м, без колес и без бортов ступица R15</t>
  </si>
  <si>
    <t>002-2515R15E30</t>
  </si>
  <si>
    <t>Прицеп 2,5*1,5м, высота борта 30см, без колес без опорного колеса ступица R15</t>
  </si>
  <si>
    <t>002-2515R15E50</t>
  </si>
  <si>
    <t>Прицеп 2,5*1,5м, высота борта 50см, без колес без опорного колеса ступица R15</t>
  </si>
  <si>
    <t>002-2515R15E30-90</t>
  </si>
  <si>
    <t>Прицеп 2,5*1,5м, высота борта 30см, без колес без опорного колеса ступица R15 тент-каркас 900мм</t>
  </si>
  <si>
    <t>002-2515R15E50-90</t>
  </si>
  <si>
    <t>Прицеп 2,5*1,5м, высота борта 50см, без колес без опорного колеса ступица R15 тент-каркас 900мм</t>
  </si>
  <si>
    <t>002-2515R15E30-120</t>
  </si>
  <si>
    <t>Прицеп 2,5*1,5м, высота борта 30см, без колес без опорного колеса ступица R15 тент-каркас 1200мм</t>
  </si>
  <si>
    <t>002-2515R15E50-120</t>
  </si>
  <si>
    <t>Прицеп 2,5*1,5м, высота борта 50см, без колес без опорного колеса ступица R15 тент-каркас 1200мм</t>
  </si>
  <si>
    <t>002-2515Q15</t>
  </si>
  <si>
    <t>Прицеп-платформа 2,5*1,5м, без запасного без опорного колеса с колесами R15</t>
  </si>
  <si>
    <t>002-2515E30Q15</t>
  </si>
  <si>
    <t>Прицеп 2,5*1,5м, высота борта 30см, без запасного без опорного колеса с колесами R15</t>
  </si>
  <si>
    <t>002-2515E50Q15</t>
  </si>
  <si>
    <t>Прицеп 2,5*1,5м, высота борта 50см, без запасного без опорного колеса с колесами R15</t>
  </si>
  <si>
    <t>002-2515R13-OK</t>
  </si>
  <si>
    <t>Прицеп-платформа 2,5*1,5м, без колес и без бортов с опорным колесом ступица R13</t>
  </si>
  <si>
    <t>002-2515R13E30-OK</t>
  </si>
  <si>
    <t>Прицеп 2,5*1,5м, высота борта 30см, без колес с опорным колесом ступица R13</t>
  </si>
  <si>
    <t>002-2515R13E50-OK</t>
  </si>
  <si>
    <t>Прицеп 2,5*1,5м, высота борта 50см, без колес с опорным колесом ступица R13</t>
  </si>
  <si>
    <t>002-2515R13E30-OK90</t>
  </si>
  <si>
    <t>Прицеп 2,5*1,5м, высота борта 30см, без колес с опорным колесом ступица R13 тент-каркас 900мм</t>
  </si>
  <si>
    <t>002-2515R13E50-OK90</t>
  </si>
  <si>
    <t>Прицеп 2,5*1,5м, высота борта 50см, без колес с опорным колесом ступица R13, тент-каркас 900мм</t>
  </si>
  <si>
    <t>002-2515R13E30-OK120</t>
  </si>
  <si>
    <t>Прицеп 2,5*1,5м, высота борта 30см, без колес с опорным колесом ступица R13 тент-каркас 1200мм</t>
  </si>
  <si>
    <t>002-2515R13E50-OK120</t>
  </si>
  <si>
    <t>Прицеп 2,5*1,5м, высота борта 50см, без колес с опорным колесом ступица R13, тент-каркас 1200мм</t>
  </si>
  <si>
    <t>002-2515Q13-OK</t>
  </si>
  <si>
    <t>Прицеп-платформа 2,5*1,5м, R13 без запасного с опорным колесом  с колесами R13</t>
  </si>
  <si>
    <t>Прицеп 2,5*1,5м, высота борта 30см, без запасного с опорным колесом  с колесами R13</t>
  </si>
  <si>
    <t>Прицеп 2,5*1,5м, высота борта 50см,  без запасного с опорным колесом  с колесами R13</t>
  </si>
  <si>
    <t>002-2515R15-OK</t>
  </si>
  <si>
    <t>Прицеп-платформа 2,5*1,5м, без колес и без бортов с опорным колесом ступица R15</t>
  </si>
  <si>
    <t>002-2515R15E30-OK</t>
  </si>
  <si>
    <t>Прицеп 2,5*1,5м, высота борта 30см, без колес с опорным колесом ступица R15</t>
  </si>
  <si>
    <t>002-2515R15E50-OK</t>
  </si>
  <si>
    <t>Прицеп 2,5*1,5м, высота борта 50см, без колес с опорным колесом ступица R15</t>
  </si>
  <si>
    <t>002-2515R15E30-OK90</t>
  </si>
  <si>
    <t>Прицеп 2,5*1,5м, высота борта 30см, без колес с опорным колесом ступица R15 тент-каркас 900мм</t>
  </si>
  <si>
    <t>002-2515R15E50-OK90</t>
  </si>
  <si>
    <t>Прицеп 2,5*1,5м, высота борта 50см, без колес с опорным колесом ступица R15 тент-каркас 900мм</t>
  </si>
  <si>
    <t>002-2515R15E30-OK120</t>
  </si>
  <si>
    <t>Прицеп 2,5*1,5м, высота борта 30см, без колес с опорным колесом ступица R15 тент-каркас 1200мм</t>
  </si>
  <si>
    <t>002-2515R15E50-OK120</t>
  </si>
  <si>
    <t>Прицеп 2,5*1,5м, высота борта 50см, без колес с опорным колесом ступица R15 тент-каркас 1200мм</t>
  </si>
  <si>
    <t>002-2515Q15-OK</t>
  </si>
  <si>
    <t>Прицеп-платформа 2,5*1,5м, без запасного с опорным колесом с колесами R15</t>
  </si>
  <si>
    <t>002-2515E30Q15-OK</t>
  </si>
  <si>
    <t>Прицеп 2,5*1,5м, высота борта 30см, без запасного с опорным колесом с колесами R15</t>
  </si>
  <si>
    <t>002-2515E50Q15-OK</t>
  </si>
  <si>
    <t>Прицеп 2,5*1,5м, высота борта 50см, без запасного с опорным колесом с колесами R15</t>
  </si>
  <si>
    <t>002-2515E30Q13-90</t>
  </si>
  <si>
    <t>Прицеп 2,5*1,5м, высота борта 30см, без опорного колеса  с колесами R13 тент-каркас 900мм</t>
  </si>
  <si>
    <t>002-2515E50Q13-90</t>
  </si>
  <si>
    <t>Прицеп 2,5*1,5м, высота борта 50см, без опорного колеса  с колесами R13 тент-каркас 900мм</t>
  </si>
  <si>
    <t>002-2515E30Q15-90</t>
  </si>
  <si>
    <t>Прицеп 2,5*1,5м, высота борта 30см, без опорного колеса с колесами R15  тент-каркас 900мм</t>
  </si>
  <si>
    <t>002-2515E50Q15-90</t>
  </si>
  <si>
    <t xml:space="preserve">Прицеп 2,5*1,5м, высота борта 50см, без опорного колеса с колесами R15 тент-каркас 900мм </t>
  </si>
  <si>
    <t>002-2515E30Q13-OK90</t>
  </si>
  <si>
    <t>Прицеп 2,5*1,5м, высота борта 30см,   с опорным колесом с колесами R13 тент-каркас 900мм</t>
  </si>
  <si>
    <t>002-2515E50Q13-OK90</t>
  </si>
  <si>
    <t>Прицеп 2,5*1,5м, высота борта 50см, с опорным колесом  с колесами R13 тент-каркас 900мм</t>
  </si>
  <si>
    <t>002-2515E30Q15-OK90</t>
  </si>
  <si>
    <t>Прицеп 2,5*1,5м, высота борта 30см, с опорным колесом с колесами R15 тент-каркас 900мм</t>
  </si>
  <si>
    <t>002-2515E50Q15-OK90</t>
  </si>
  <si>
    <t>Прицеп 2,5*1,5м, высота борта 50см, с опорным колесом с колесами R15 тент-каркас 900мм</t>
  </si>
  <si>
    <t>002-2515E30Q13-120</t>
  </si>
  <si>
    <t>Прицеп 2,5*1,5м, высота борта 30см,  без опорного колеса  с колесами R13 тент-каркас 1200мм</t>
  </si>
  <si>
    <t>002-2515E50Q13-120</t>
  </si>
  <si>
    <t>Прицеп 2,5*1,5м, высота борта 50см,  без опорного колеса  с колесами R13 тент-каркас 1200мм</t>
  </si>
  <si>
    <t>002-2515E30Q15-120</t>
  </si>
  <si>
    <t>Прицеп 2,5*1,5м, высота борта 30см, без опорного колеса с колесами R15 тент-каркас 1200мм</t>
  </si>
  <si>
    <t>002-2515E50Q15-120</t>
  </si>
  <si>
    <t>Прицеп 2,5*1,5м, высота борта 50см, без опорного колеса с колесами R15 тент-каркас 1200мм</t>
  </si>
  <si>
    <t>Прицеп 2,5*1,5м, высота борта 30см,  с опорным колесом  с колесами R13 тент-каркас 1200мм</t>
  </si>
  <si>
    <t>002-2515E50Q13-OK120</t>
  </si>
  <si>
    <t>Прицеп 2,5*1,5м, высота борта 50см, с опорным колесом  с колесами R13 тент-каркас 1200мм</t>
  </si>
  <si>
    <t>002-2515E30Q15-OK120</t>
  </si>
  <si>
    <t>Прицеп 2,5*1,5м, высота борта 30см, с опорным колесом с колесами R15 тент-каркас 1200мм</t>
  </si>
  <si>
    <t>002-2515E50Q15-OK120</t>
  </si>
  <si>
    <t>Прицеп 2,5*1,5м, высота борта 50см, с опорным колесом с колесами R15 тент-каркас 1200мм</t>
  </si>
  <si>
    <t>Прицеп 3*1,5 м  (до 750 кг.)</t>
  </si>
  <si>
    <t>002-3015R13</t>
  </si>
  <si>
    <t>Прицеп-платформа 3*1,5м, без запасного, без опорного колеса, без колес, ступица R13</t>
  </si>
  <si>
    <t>002-3015R13E30</t>
  </si>
  <si>
    <t>Прицеп 3*1,5м, высота борта 30см, без колес, без опорного колеса ступица R13</t>
  </si>
  <si>
    <t>002-3015R13E50</t>
  </si>
  <si>
    <t>Прицеп 3*1,5м, высота борта 50см, без колес без опорного колеса ступица R13</t>
  </si>
  <si>
    <t>002-3015R13E30-90</t>
  </si>
  <si>
    <t>Прицеп 3*1,5м, высота борта 30см, без колес, без опорного колеса ступица R13 тент-каркас 900мм</t>
  </si>
  <si>
    <t>002-3015R13E50-90</t>
  </si>
  <si>
    <t>Прицеп 3*1,5м, высота борта 50см, без колес без опорного колеса ступица R13, тент-каркас 900мм</t>
  </si>
  <si>
    <t>002-3015R13E30-120</t>
  </si>
  <si>
    <t>Прицеп 3*1,5м, высота борта 30см, без колес, без опорного колеса ступица R13, тент-каркас 1200мм</t>
  </si>
  <si>
    <t>002-3015R13E50-120</t>
  </si>
  <si>
    <t>Прицеп 3*1,5м, высота борта 50см, без колес без опорного колеса ступица R13, тент-каркас 1200мм</t>
  </si>
  <si>
    <t>002-3015Q13</t>
  </si>
  <si>
    <t>Прицеп-платформа 3*1,5м, R13 без запасного без опорного колеса с колесами R13</t>
  </si>
  <si>
    <t>002-3015E30Q13</t>
  </si>
  <si>
    <t>Прицеп 3*1,5м, высота борта 30см, R13 без запасного без опорного колеса  с колесами R13</t>
  </si>
  <si>
    <t>002-3015E50Q13</t>
  </si>
  <si>
    <t>Прицеп 3*1,5м, высота борта 50см, R13 без запасного без опорного колеса  с колесами R13</t>
  </si>
  <si>
    <t>002-3015R15</t>
  </si>
  <si>
    <t>Прицеп-платформа 3*1,5м, без колес и без бортов ступица R15</t>
  </si>
  <si>
    <t>002-3015R15E30</t>
  </si>
  <si>
    <t>Прицеп 3*1,5м, высота борта 30см, без колес без опорного колеса ступица R15</t>
  </si>
  <si>
    <t>002-3015R15E50</t>
  </si>
  <si>
    <t>Прицеп 3*1,5м, высота борта 50см, без колес без опорного колеса ступица R15</t>
  </si>
  <si>
    <t>002-3015R15E30-90</t>
  </si>
  <si>
    <t>Прицеп 3*1,5м, высота борта 30см, без колес без опорного колеса ступица R15 тент-каркас 900мм</t>
  </si>
  <si>
    <t>002-3015R15E50-90</t>
  </si>
  <si>
    <t>Прицеп 3*1,5м, высота борта 50см, без колес без опорного колеса ступица R15 тент-каркас 900мм</t>
  </si>
  <si>
    <t>002-3015R15E30-120</t>
  </si>
  <si>
    <t>Прицеп 3*1,5м, высота борта 30см, без колес без опорного колеса ступица R15 тент-каркас 1200мм</t>
  </si>
  <si>
    <t>002-3015R15E50-120</t>
  </si>
  <si>
    <t>Прицеп 3*1,5м, высота борта 50см, без колес без опорного колеса ступица R15 тент-каркас 1200мм</t>
  </si>
  <si>
    <t>002-3015Q15</t>
  </si>
  <si>
    <t>Прицеп-платформа 3*1,5м, без запасного без опорного колеса с колесами R15</t>
  </si>
  <si>
    <t>002-3015E30Q15</t>
  </si>
  <si>
    <t>Прицеп 3*1,5м, высота борта 30см, без запасного без опорного колеса с колесами R15</t>
  </si>
  <si>
    <t>002-3015E50Q15</t>
  </si>
  <si>
    <t>Прицеп 3*1,5м, высота борта 50см, без запасного без опорного колеса с колесами R15</t>
  </si>
  <si>
    <t>002-3015R13-OK</t>
  </si>
  <si>
    <t>Прицеп-платформа 3*1,5м, без колес и без бортов с опорным колесом ступица R13</t>
  </si>
  <si>
    <t>002-3015R13E30-OK</t>
  </si>
  <si>
    <t>Прицеп 3*1,5м, высота борта 30см, без колес с опорным колесом ступица R13</t>
  </si>
  <si>
    <t>002-3015R13E50-OK</t>
  </si>
  <si>
    <t>Прицеп 3*1,5м, высота борта 50см, без колес с опорным колесом ступица R13</t>
  </si>
  <si>
    <t>002-3015R13E30-OK90</t>
  </si>
  <si>
    <t>Прицеп 3*1,5м, высота борта 30см, без колес с опорным колесом ступица R13 тент-каркас 900мм</t>
  </si>
  <si>
    <t>002-3015R13E50-OK90</t>
  </si>
  <si>
    <t>Прицеп 3*1,5м, высота борта 50см, без колес с опорным колесом ступица R13, тент-каркас 900мм</t>
  </si>
  <si>
    <t>002-3015R13E30-OK120</t>
  </si>
  <si>
    <t>Прицеп 3*1,5м, высота борта 30см, без колес с опорным колесом ступица R13 тент-каркас 1200мм</t>
  </si>
  <si>
    <t>002-3015R13E50-OK120</t>
  </si>
  <si>
    <t>Прицеп 3*1,5м, высота борта 50см, без колес с опорным колесом ступица R13, тент-каркас 1200мм</t>
  </si>
  <si>
    <t>002-3015Q13-OK</t>
  </si>
  <si>
    <t>Прицеп-платформа 3*1,5м, R13 без запасного с опорным колесом  с колесами R13</t>
  </si>
  <si>
    <t>Прицеп 3*1,5м, высота борта 30см, без запасного с опорным колесом  с колесами R13</t>
  </si>
  <si>
    <t>002-3015E50Q13-OK</t>
  </si>
  <si>
    <t>Прицеп 3*1,5м, высота борта 50см,  без запасного с опорным колесом  с колесами R13</t>
  </si>
  <si>
    <t>002-3015R15-OK</t>
  </si>
  <si>
    <t>Прицеп-платформа 3*1,5м, без колес и без бортов с опорным колесом ступица R15</t>
  </si>
  <si>
    <t>002-3015R15E30-OK</t>
  </si>
  <si>
    <t>Прицеп 3*1,5м, высота борта 30см, без колес с опорным колесом ступица R15</t>
  </si>
  <si>
    <t>002-3015R15E50-OK</t>
  </si>
  <si>
    <t>Прицеп 3*1,5м, высота борта 50см, без колес с опорным колесом ступица R15</t>
  </si>
  <si>
    <t>002-3015R15E30-OK90</t>
  </si>
  <si>
    <t>Прицеп 3*1,5м, высота борта 30см, без колес с опорным колесом ступица R15 тент-каркас 900мм</t>
  </si>
  <si>
    <t>002-3015R15E50-OK90</t>
  </si>
  <si>
    <t>Прицеп 3*1,5м, высота борта 50см, без колес с опорным колесом ступица R15 тент-каркас 900мм</t>
  </si>
  <si>
    <t>002-3015R15E30-OK120</t>
  </si>
  <si>
    <t>Прицеп 3*1,5м, высота борта 30см, без колес с опорным колесом ступица R15 тент-каркас 1200мм</t>
  </si>
  <si>
    <t>002-3015R15E50-OK120</t>
  </si>
  <si>
    <t>Прицеп 3*1,5м, высота борта 50см, без колес с опорным колесом ступица R15 тент-каркас 1200мм</t>
  </si>
  <si>
    <t>002-3015Q15-OK</t>
  </si>
  <si>
    <t>Прицеп-платформа 3*1,5м, без запасного с опорным колесом с колесами R15</t>
  </si>
  <si>
    <t>002-3015E30Q15-OK</t>
  </si>
  <si>
    <t>Прицеп 3*1,5м, высота борта 30см, без запасного с опорным колесом с колесами R15</t>
  </si>
  <si>
    <t>002-3015E50Q15-OK</t>
  </si>
  <si>
    <t>Прицеп 3*1,5м, высота борта 50см, без запасного с опорным колесом с колесами R15</t>
  </si>
  <si>
    <t>002-3015E30Q13-90</t>
  </si>
  <si>
    <t>Прицеп 3*1,5м, высота борта 30см, без опорного колеса  с колесами R13 тент-каркас 900мм</t>
  </si>
  <si>
    <t>002-3015E50Q13-90</t>
  </si>
  <si>
    <t>Прицеп 3*1,5м, высота борта 50см, без опорного колеса  с колесами R13 тент-каркас 900мм</t>
  </si>
  <si>
    <t>002-3015E30Q15-90</t>
  </si>
  <si>
    <t>Прицеп 3*1,5м, высота борта 30см, без опорного колеса с колесами R15  тент-каркас 900мм</t>
  </si>
  <si>
    <t>002-3015E50Q15-90</t>
  </si>
  <si>
    <t xml:space="preserve">Прицеп 3*1,5м, высота борта 50см, без опорного колеса с колесами R15 тент-каркас 900мм </t>
  </si>
  <si>
    <t>002-3015E30Q13-OK90</t>
  </si>
  <si>
    <t>Прицеп 3*1,5м, высота борта 30см,   с опорным колесом с колесами R13 тент-каркас 900мм</t>
  </si>
  <si>
    <t>002-3015E50Q13-OK90</t>
  </si>
  <si>
    <t>Прицеп 3*1,5м, высота борта 50см, с опорным колесом  с колесами R13 тент-каркас 900мм</t>
  </si>
  <si>
    <t>002-3015E30Q15-OK90</t>
  </si>
  <si>
    <t>Прицеп 3*1,5м, высота борта 30см, с опорным колесом с колесами R15 тент-каркас 900мм</t>
  </si>
  <si>
    <t>002-3015E50Q15-OK90</t>
  </si>
  <si>
    <t>Прицеп 3*1,5м, высота борта 50см, с опорным колесом с колесами R15 тент-каркас 900мм</t>
  </si>
  <si>
    <t>002-3015E30Q13-120</t>
  </si>
  <si>
    <t>Прицеп 3*1,5м, высота борта 30см,  без опорного колеса  с колесами R13 тент-каркас 1200мм</t>
  </si>
  <si>
    <t>002-3015E50Q13-120</t>
  </si>
  <si>
    <t>Прицеп 3*1,5м, высота борта 50см,  без опорного колеса  с колесами R13 тент-каркас 1200мм</t>
  </si>
  <si>
    <t>002-3015E30Q15-120</t>
  </si>
  <si>
    <t>Прицеп 3*1,5м, высота борта 30см, без опорного колеса с колесами R15 тент-каркас 1200мм</t>
  </si>
  <si>
    <t>002-3015E50Q15-120</t>
  </si>
  <si>
    <t>Прицеп 3*1,5м, высота борта 50см, без опорного колеса с колесами R15 тент-каркас 1200мм</t>
  </si>
  <si>
    <t>002-3015E30Q13-OK120</t>
  </si>
  <si>
    <t>Прицеп 3*1,5м, высота борта 30см,  с опорным колесом  с колесами R13 тент-каркас 1200мм</t>
  </si>
  <si>
    <t>002-3015E50Q13-OK120</t>
  </si>
  <si>
    <t>Прицеп 3*1,5м, высота борта 50см, с опорным колесом  с колесами R13 тент-каркас 1200мм</t>
  </si>
  <si>
    <t>002-3015E30Q15-OK120</t>
  </si>
  <si>
    <t>Прицеп 3*1,5м, высота борта 30см, с опорным колесом с колесами R15 тент-каркас 1200мм</t>
  </si>
  <si>
    <t>002-3015E50Q15-OK120</t>
  </si>
  <si>
    <t>Прицеп 3*1,5м, высота борта 50см, с опорным колесом с колесами R15 тент-каркас 1200мм</t>
  </si>
  <si>
    <t>002-3515R13</t>
  </si>
  <si>
    <t>Прицеп-платформа 3,5*1,5м, без запасного, без опорного колеса, без колес, ступица R13</t>
  </si>
  <si>
    <t>002-3515R13E30</t>
  </si>
  <si>
    <t>Прицеп 3,5*1,5м, высота борта 30см, без колес, без опорного колеса ступица R13</t>
  </si>
  <si>
    <t>002-3515R13E50</t>
  </si>
  <si>
    <t>Прицеп 3,5*1,5м, высота борта 50см, без колес без опорного колеса ступица R13</t>
  </si>
  <si>
    <t>002-3515R13E30-120</t>
  </si>
  <si>
    <t>Прицеп 3,5*1,5м, высота борта 30см, без колес, без опорного колеса ступица R13, тент-каркас 1200мм</t>
  </si>
  <si>
    <t>002-3515R13E50-120</t>
  </si>
  <si>
    <t>Прицеп 3,5*1,5м, высота борта 50см, без колес без опорного колеса ступица R13, тент-каркас 1200мм</t>
  </si>
  <si>
    <t>002-3515Q13</t>
  </si>
  <si>
    <t>Прицеп-платформа 3,5*1,5м, R13 без запасного без опорного колеса с колесами R13</t>
  </si>
  <si>
    <t>002-3515E30Q13</t>
  </si>
  <si>
    <t>Прицеп 3,5*1,5м, высота борта 30см, R13 без запасного без опорного колеса  с колесами R13</t>
  </si>
  <si>
    <t>002-3515E50Q13</t>
  </si>
  <si>
    <t>Прицеп 3,5*1,5м, высота борта 50см, R13 без запасного без опорного колеса  с колесами R13</t>
  </si>
  <si>
    <t>002-3515R15</t>
  </si>
  <si>
    <t>Прицеп-платформа 3,5*1,5м, без колес и без бортов ступица R15</t>
  </si>
  <si>
    <t>002-3515R15E30</t>
  </si>
  <si>
    <t>Прицеп 3,5*1,5м, высота борта 30см, без колес без опорного колеса ступица R15</t>
  </si>
  <si>
    <t>002-3515R15E50</t>
  </si>
  <si>
    <t>Прицеп 3,5*1,5м, высота борта 50см, без колес без опорного колеса ступица R15</t>
  </si>
  <si>
    <t>002-3515R15E30-120</t>
  </si>
  <si>
    <t>Прицеп 3,5*1,5м, высота борта 30см, без колес без опорного колеса ступица R15 тент-каркас 1200мм</t>
  </si>
  <si>
    <t>002-3515R15E50-120</t>
  </si>
  <si>
    <t>Прицеп 3,5*1,5м, высота борта 50см, без колес без опорного колеса ступица R15 тент-каркас 1200мм</t>
  </si>
  <si>
    <t>002-3515Q15</t>
  </si>
  <si>
    <t>Прицеп-платформа 3,5*1,5м, без запасного без опорного колеса с колесами R15</t>
  </si>
  <si>
    <t>002-3515E30Q15</t>
  </si>
  <si>
    <t>Прицеп 3,5*1,5м, высота борта 30см, без запасного без опорного колеса с колесами R15</t>
  </si>
  <si>
    <t>002-3515E50Q15</t>
  </si>
  <si>
    <t>Прицеп 3,5*1,5м, высота борта 50см, без запасного без опорного колеса с колесами R15</t>
  </si>
  <si>
    <t>002-3515R13-OK</t>
  </si>
  <si>
    <t>Прицеп-платформа 3,5*1,5м, без колес и без бортов с опорным колесом ступица R13</t>
  </si>
  <si>
    <t>002-3515R13E30-OK</t>
  </si>
  <si>
    <t>Прицеп 3,5*1,5м, высота борта 30см, без колес с опорным колесом ступица R13</t>
  </si>
  <si>
    <t>002-3515R13E50-OK</t>
  </si>
  <si>
    <t>Прицеп 3,5*1,5м, высота борта 50см, без колес с опорным колесом ступица R13</t>
  </si>
  <si>
    <t>002-3515R13E30-OK120</t>
  </si>
  <si>
    <t>Прицеп 3,5*1,5м, высота борта 30см, без колес с опорным колесом ступица R13 тент-каркас 1200мм</t>
  </si>
  <si>
    <t>002-3515R13E50-OK120</t>
  </si>
  <si>
    <t>Прицеп 3,5*1,5м, высота борта 50см, без колес с опорным колесом ступица R13, тент-каркас 1200мм</t>
  </si>
  <si>
    <t>002-3515Q13-OK</t>
  </si>
  <si>
    <t>Прицеп-платформа 3,5*1,5м, R13 без запасного с опорным колесом  с колесами R13</t>
  </si>
  <si>
    <t>Прицеп 3,5*1,5м, высота борта 30см, без запасного с опорным колесом  с колесами R13</t>
  </si>
  <si>
    <t>002-3515E50Q13-OK</t>
  </si>
  <si>
    <t>Прицеп 3,5*1,5м, высота борта 50см,  без запасного с опорным колесом  с колесами R13</t>
  </si>
  <si>
    <t>002-3515R15-OK</t>
  </si>
  <si>
    <t>Прицеп-платформа 3,5*1,5м, без колес и без бортов с опорным колесом ступица R15</t>
  </si>
  <si>
    <t>002-3515R15E30-OK</t>
  </si>
  <si>
    <t>Прицеп 3,5*1,5м, высота борта 30см, без колес с опорным колесом ступица R15</t>
  </si>
  <si>
    <t>002-3515R15E50-OK</t>
  </si>
  <si>
    <t>Прицеп 3,5*1,5м, высота борта 50см, без колес с опорным колесом ступица R15</t>
  </si>
  <si>
    <t>002-3515R15E30-OK120</t>
  </si>
  <si>
    <t>Прицеп 3,5*1,5м, высота борта 30см, без колес с опорным колесом ступица R15 тент-каркас 1200мм</t>
  </si>
  <si>
    <t>002-3515R15E50-OK120</t>
  </si>
  <si>
    <t>Прицеп 3,5*1,5м, высота борта 50см, без колес с опорным колесом ступица R15 тент-каркас 1200мм</t>
  </si>
  <si>
    <t>002-3515Q15-OK</t>
  </si>
  <si>
    <t>Прицеп-платформа 3,5*1,5м, без запасного с опорным колесом с колесами R15</t>
  </si>
  <si>
    <t>002-3515E30Q15-OK</t>
  </si>
  <si>
    <t>Прицеп 3,5*1,5м, высота борта 30см, без запасного с опорным колесом с колесами R15</t>
  </si>
  <si>
    <t>002-3515E50Q15-OK</t>
  </si>
  <si>
    <t>Прицеп 3,5*1,5м, высота борта 50см, без запасного с опорным колесом с колесами R15</t>
  </si>
  <si>
    <t>002-3515E30Q13-120</t>
  </si>
  <si>
    <t>Прицеп 3,5*1,5м, высота борта 30см,  без опорного колеса  с колесами R13 тент-каркас 1200мм</t>
  </si>
  <si>
    <t>002-3515E50Q13-120</t>
  </si>
  <si>
    <t>Прицеп 3,5*1,5м, высота борта 50см,  без опорного колеса  с колесами R13 тент-каркас 1200мм</t>
  </si>
  <si>
    <t>002-3515E30Q15-120</t>
  </si>
  <si>
    <t>Прицеп 3,5*1,5м, высота борта 30см, без опорного колеса с колесами R15 тент-каркас 1200мм</t>
  </si>
  <si>
    <t>002-3515E50Q15-120</t>
  </si>
  <si>
    <t>Прицеп 3,5*1,5м, высота борта 50см, без опорного колеса с колесами R15 тент-каркас 1200мм</t>
  </si>
  <si>
    <t>002-3515E30Q13-OK120</t>
  </si>
  <si>
    <t>Прицеп 3,5*1,5м, высота борта 30см,  с опорным колесом  с колесами R13 тент-каркас 1200мм</t>
  </si>
  <si>
    <t>002-3515E50Q13-OK120</t>
  </si>
  <si>
    <t>Прицеп 3,5*1,5м, высота борта 50см, с опорным колесом  с колесами R13 тент-каркас 1200мм</t>
  </si>
  <si>
    <t>002-3515E30Q15-OK120</t>
  </si>
  <si>
    <t>Прицеп 3,5*1,5м, высота борта 30см, с опорным колесом с колесами R15 тент-каркас 1200мм</t>
  </si>
  <si>
    <t>002-3515E50Q15-OK120</t>
  </si>
  <si>
    <t>Прицеп 3,5*1,5м, высота борта 50см, с опорным колесом с колесами R15 тент-каркас 1200мм</t>
  </si>
  <si>
    <t>Прицеп 4*1,5 м  (до 750 кг.)</t>
  </si>
  <si>
    <t>002-4015R13</t>
  </si>
  <si>
    <t>Прицеп-платформа 4*1,5м, без запасного, без опорного колеса, без колес, ступица R13</t>
  </si>
  <si>
    <t>002-4015R13E30</t>
  </si>
  <si>
    <t>Прицеп 4*1,5м, высота борта 30см, без колес, без опорного колеса ступица R13</t>
  </si>
  <si>
    <t>002-4015R13E50</t>
  </si>
  <si>
    <t>Прицеп 4*1,5м, высота борта 50см, без колес без опорного колеса ступица R13</t>
  </si>
  <si>
    <t>002-4015R13E30-120</t>
  </si>
  <si>
    <t>Прицеп 4*1,5м, высота борта 30см, без колес, без опорного колеса ступица R13, тент-каркас 1200мм</t>
  </si>
  <si>
    <t>002-4015R13E50-120</t>
  </si>
  <si>
    <t>Прицеп 4*1,5м, высота борта 50см, без колес без опорного колеса ступица R13, тент-каркас 1200мм</t>
  </si>
  <si>
    <t>002-4015Q13</t>
  </si>
  <si>
    <t>Прицеп-платформа 4*1,5м, R13 без запасного без опорного колеса с колесами R13</t>
  </si>
  <si>
    <t>002-4015E30Q13</t>
  </si>
  <si>
    <t>Прицеп 4*1,5м, высота борта 30см, R13 без запасного без опорного колеса  с колесами R13</t>
  </si>
  <si>
    <t>002-4015E50Q13</t>
  </si>
  <si>
    <t>Прицеп 4*1,5м, высота борта 50см, R13 без запасного без опорного колеса  с колесами R13</t>
  </si>
  <si>
    <t>002-4015R15</t>
  </si>
  <si>
    <t>Прицеп-платформа 4*1,5м, без колес и без бортов ступица R15</t>
  </si>
  <si>
    <t>002-4015R15E30</t>
  </si>
  <si>
    <t>Прицеп 4*1,5м, высота борта 30см, без колес без опорного колеса ступица R15</t>
  </si>
  <si>
    <t>002-4015R15E50</t>
  </si>
  <si>
    <t>Прицеп 4*1,5м, высота борта 50см, без колес без опорного колеса ступица R15</t>
  </si>
  <si>
    <t>002-4015R15E30-120</t>
  </si>
  <si>
    <t>Прицеп 4*1,5м, высота борта 30см, без колес без опорного колеса ступица R15 тент-каркас 1200мм</t>
  </si>
  <si>
    <t>002-4015R15E50-120</t>
  </si>
  <si>
    <t>Прицеп 4*1,5м, высота борта 50см, без колес без опорного колеса ступица R15 тент-каркас 1200мм</t>
  </si>
  <si>
    <t>002-4015Q15</t>
  </si>
  <si>
    <t>Прицеп-платформа 4*1,5м, без запасного без опорного колеса с колесами R15</t>
  </si>
  <si>
    <t>002-4015E30Q15</t>
  </si>
  <si>
    <t>Прицеп 4*1,5м, высота борта 30см, без запасного без опорного колеса с колесами R15</t>
  </si>
  <si>
    <t>002-4015E50Q15</t>
  </si>
  <si>
    <t>Прицеп 4*1,5м, высота борта 50см, без запасного без опорного колеса с колесами R15</t>
  </si>
  <si>
    <t>002-4015R13-OK</t>
  </si>
  <si>
    <t>Прицеп-платформа 4*1,5м, без колес и без бортов с опорным колесом ступица R13</t>
  </si>
  <si>
    <t>002-4015R13E30-OK</t>
  </si>
  <si>
    <t>Прицеп 4*1,5м, высота борта 30см, без колес с опорным колесом ступица R13</t>
  </si>
  <si>
    <t>002-4015R13E50-OK</t>
  </si>
  <si>
    <t>Прицеп 4*1,5м, высота борта 50см, без колес с опорным колесом ступица R13</t>
  </si>
  <si>
    <t>002-4015R13E30-OK120</t>
  </si>
  <si>
    <t>Прицеп 4*1,5м, высота борта 30см, без колес с опорным колесом ступица R13 тент-каркас 1200мм</t>
  </si>
  <si>
    <t>002-4015R13E50-OK120</t>
  </si>
  <si>
    <t>Прицеп 4*1,5м, высота борта 50см, без колес с опорным колесом ступица R13, тент-каркас 1200мм</t>
  </si>
  <si>
    <t>002-4015Q13-OK</t>
  </si>
  <si>
    <t>Прицеп-платформа 4*1,5м, R13 без запасного с опорным колесом  с колесами R13</t>
  </si>
  <si>
    <t>002-4015E30Q13-OK</t>
  </si>
  <si>
    <t>Прицеп 4*1,5м, высота борта 30см, без запасного с опорным колесом  с колесами R13</t>
  </si>
  <si>
    <t>002-4015E50Q13-OK</t>
  </si>
  <si>
    <t>Прицеп 4*1,5м, высота борта 50см,  без запасного с опорным колесом  с колесами R13</t>
  </si>
  <si>
    <t>002-4015R15-OK</t>
  </si>
  <si>
    <t>Прицеп-платформа 4*1,5м, без колес и без бортов с опорным колесом ступица R15</t>
  </si>
  <si>
    <t>002-4015R15E30-OK</t>
  </si>
  <si>
    <t>Прицеп 4*1,5м, высота борта 30см, без колес с опорным колесом ступица R15</t>
  </si>
  <si>
    <t>002-4015R15E50-OK</t>
  </si>
  <si>
    <t>Прицеп 4*1,5м, высота борта 50см, без колес с опорным колесом ступица R15</t>
  </si>
  <si>
    <t>002-4015R15E30-OK120</t>
  </si>
  <si>
    <t>Прицеп 4*1,5м, высота борта 30см, без колес с опорным колесом ступица R15 тент-каркас 1200мм</t>
  </si>
  <si>
    <t>002-4015R15E50-OK120</t>
  </si>
  <si>
    <t>Прицеп 4*1,5м, высота борта 50см, без колес с опорным колесом ступица R15 тент-каркас 1200мм</t>
  </si>
  <si>
    <t>002-4015Q15-OK</t>
  </si>
  <si>
    <t>Прицеп-платформа 4*1,5м, без запасного с опорным колесом с колесами R15</t>
  </si>
  <si>
    <t>002-4015E30Q15-OK</t>
  </si>
  <si>
    <t>Прицеп 4*1,5м, высота борта 30см, без запасного с опорным колесом с колесами R15</t>
  </si>
  <si>
    <t>002-4015E50Q15-OK</t>
  </si>
  <si>
    <t>Прицеп 4*1,5м, высота борта 50см, без запасного с опорным колесом с колесами R15</t>
  </si>
  <si>
    <t>002-4015E30Q13-120</t>
  </si>
  <si>
    <t>Прицеп 4*1,5м, высота борта 30см,  без опорного колеса  с колесами R13 тент-каркас 1200мм</t>
  </si>
  <si>
    <t>002-4015E50Q13-120</t>
  </si>
  <si>
    <t>Прицеп 4*1,5м, высота борта 50см,  без опорного колеса  с колесами R13 тент-каркас 1200мм</t>
  </si>
  <si>
    <t>002-4015E30Q15-120</t>
  </si>
  <si>
    <t>Прицеп 4*1,5м, высота борта 30см, без опорного колеса с колесами R15 тент-каркас 1200мм</t>
  </si>
  <si>
    <t>002-4015E50Q15-120</t>
  </si>
  <si>
    <t>Прицеп 4*1,5м, высота борта 50см, без опорного колеса с колесами R15 тент-каркас 1200мм</t>
  </si>
  <si>
    <t>002-4015E30Q13-OK120</t>
  </si>
  <si>
    <t>Прицеп 4*1,5м, высота борта 30см,  с опорным колесом  с колесами R13 тент-каркас 1200мм</t>
  </si>
  <si>
    <t>002-4015E50Q13-OK120</t>
  </si>
  <si>
    <t>Прицеп 4*1,5м, высота борта 50см, с опорным колесом  с колесами R13 тент-каркас 1200мм</t>
  </si>
  <si>
    <t>002-4015E30Q15-OK120</t>
  </si>
  <si>
    <t>Прицеп 4*1,5м, высота борта 30см, с опорным колесом с колесами R15 тент-каркас 1200мм</t>
  </si>
  <si>
    <t>002-4015E50Q15-OK120</t>
  </si>
  <si>
    <t>Прицеп 4*1,5м, высота борта 50см, с опорным колесом с колесами R15 тент-каркас 1200мм</t>
  </si>
  <si>
    <t>2 осные</t>
  </si>
  <si>
    <t>Прицеп 2,5*1,5 м  (до 750 кг.) 2 оси</t>
  </si>
  <si>
    <t>004-2515R13</t>
  </si>
  <si>
    <t>490 000,00</t>
  </si>
  <si>
    <t>004-2515R13E30</t>
  </si>
  <si>
    <t>540 000,00</t>
  </si>
  <si>
    <t>004-2515R13E50</t>
  </si>
  <si>
    <t>560 000,00</t>
  </si>
  <si>
    <t>004-2515R13E30-90</t>
  </si>
  <si>
    <t>640 000,00</t>
  </si>
  <si>
    <t>004-2515R13E50-90</t>
  </si>
  <si>
    <t>660 000,00</t>
  </si>
  <si>
    <t>004-2515R13E30-120</t>
  </si>
  <si>
    <t>650 000,00</t>
  </si>
  <si>
    <t>004-2515R13E50-120</t>
  </si>
  <si>
    <t>670 000,00</t>
  </si>
  <si>
    <t>004-2515Q13</t>
  </si>
  <si>
    <t>550 000,00</t>
  </si>
  <si>
    <t>004-2515E30Q13</t>
  </si>
  <si>
    <t>Прицеп 2,5*1,5м, высота борта 30см, R13 без запасного без опорного колеса с колесами R13</t>
  </si>
  <si>
    <t>600 000,00</t>
  </si>
  <si>
    <t>004-2515E50Q13</t>
  </si>
  <si>
    <t>Прицеп 2,5*1,5м, высота борта 50см, R13 без запасного без опорного колеса с колесами R13</t>
  </si>
  <si>
    <t>620 000,00</t>
  </si>
  <si>
    <t>004-2515R15</t>
  </si>
  <si>
    <t>004-2515R15E30</t>
  </si>
  <si>
    <t>004-2515R15E50</t>
  </si>
  <si>
    <t>004-2515R15E30-90</t>
  </si>
  <si>
    <t>004-2515R15E50-90</t>
  </si>
  <si>
    <t>004-2515R15E30-120</t>
  </si>
  <si>
    <t>004-2515R15E50-120</t>
  </si>
  <si>
    <t>004-2515Q15</t>
  </si>
  <si>
    <t>590 000,00</t>
  </si>
  <si>
    <t>004-2515E30Q15</t>
  </si>
  <si>
    <t>004-2515E50Q15</t>
  </si>
  <si>
    <t>004-2515R13-OK</t>
  </si>
  <si>
    <t>500 000,00</t>
  </si>
  <si>
    <t>004-2515R13E30-OK</t>
  </si>
  <si>
    <t>004-2515R13E50-OK</t>
  </si>
  <si>
    <t>570 000,00</t>
  </si>
  <si>
    <t>004-2515R13E30-OK90</t>
  </si>
  <si>
    <t>004-2515R13E50-OK90</t>
  </si>
  <si>
    <t>004-2515R13E30-OK120</t>
  </si>
  <si>
    <t>004-2515R13E50-OK120</t>
  </si>
  <si>
    <t>680 000,00</t>
  </si>
  <si>
    <t>004-2515Q13-OK</t>
  </si>
  <si>
    <t>Прицеп-платформа 2,5*1,5м, R13 без запасного с опорным колесом с колесами R13</t>
  </si>
  <si>
    <t>Прицеп 2,5*1,5м, высота борта 30см, без запасного с опорным колесом с колесами R13</t>
  </si>
  <si>
    <t>610 000,00</t>
  </si>
  <si>
    <t>Прицеп 2,5*1,5м, высота борта 50см, без запасного с опорным колесом с колесами R13</t>
  </si>
  <si>
    <t>630 000,00</t>
  </si>
  <si>
    <t>004-2515R15-OK</t>
  </si>
  <si>
    <t>004-2515R15E30-OK</t>
  </si>
  <si>
    <t>004-2515R15E50-OK</t>
  </si>
  <si>
    <t>004-2515R15E30-OK90</t>
  </si>
  <si>
    <t>004-2515R15E50-OK90</t>
  </si>
  <si>
    <t>004-2515R15E30-OK120</t>
  </si>
  <si>
    <t>004-2515R15E50-OK120</t>
  </si>
  <si>
    <t>004-2515Q15-OK</t>
  </si>
  <si>
    <t>004-2515E30Q15-OK</t>
  </si>
  <si>
    <t>004-2515E50Q15-OK</t>
  </si>
  <si>
    <t>004-2515E30Q13-90</t>
  </si>
  <si>
    <t>Прицеп 2,5*1,5м, высота борта 30см, без опорного колеса с колесами R13 тент-каркас 900мм</t>
  </si>
  <si>
    <t>700 000,00</t>
  </si>
  <si>
    <t>004-2515E50Q13-90</t>
  </si>
  <si>
    <t>Прицеп 2,5*1,5м, высота борта 50см, без опорного колеса с колесами R13 тент-каркас 900мм</t>
  </si>
  <si>
    <t>720 000,00</t>
  </si>
  <si>
    <t>004-2515E30Q15-90</t>
  </si>
  <si>
    <t>Прицеп 2,5*1,5м, высота борта 30см, без опорного колеса с колесами R15 тент-каркас 900мм</t>
  </si>
  <si>
    <t>740 000,00</t>
  </si>
  <si>
    <t>004-2515E50Q15-90</t>
  </si>
  <si>
    <t>Прицеп 2,5*1,5м, высота борта 50см, без опорного колеса с колесами R15 тент-каркас 900мм</t>
  </si>
  <si>
    <t>760 000,00</t>
  </si>
  <si>
    <t>004-2515E30Q13-OK90</t>
  </si>
  <si>
    <t>Прицеп 2,5*1,5м, высота борта 30см, с опорным колесом с колесами R13 тент-каркас 900мм</t>
  </si>
  <si>
    <t>710 000,00</t>
  </si>
  <si>
    <t>Прицеп 2,5*1,5м, высота борта 50см, с опорным колесом с колесами R13 тент-каркас 900мм</t>
  </si>
  <si>
    <t>730 000,00</t>
  </si>
  <si>
    <t>004-2515E30Q15-OK90</t>
  </si>
  <si>
    <t>750 000,00</t>
  </si>
  <si>
    <t>004-2515E50Q15-OK90</t>
  </si>
  <si>
    <t>770 000,00</t>
  </si>
  <si>
    <t>004-2515E30Q13-120</t>
  </si>
  <si>
    <t>Прицеп 2,5*1,5м, высота борта 30см, без опорного колеса с колесами R13 тент-каркас 1200мм</t>
  </si>
  <si>
    <t>004-2515E50Q13-120</t>
  </si>
  <si>
    <t>Прицеп 2,5*1,5м, высота борта 50см, без опорного колеса с колесами R13 тент-каркас 1200мм</t>
  </si>
  <si>
    <t>004-2515E30Q15-120</t>
  </si>
  <si>
    <t>004-2515E50Q15-120</t>
  </si>
  <si>
    <t>004-2515E30Q13-OK120</t>
  </si>
  <si>
    <t>Прицеп 2,5*1,5м, высота борта 30см, с опорным колесом с колесами R13 тент-каркас 1200мм</t>
  </si>
  <si>
    <t>004-2515E50Q13-OK120</t>
  </si>
  <si>
    <t>Прицеп 2,5*1,5м, высота борта 50см, с опорным колесом с колесами R13 тент-каркас 1200мм</t>
  </si>
  <si>
    <t>004-2515E30Q15-OK120</t>
  </si>
  <si>
    <t>004-2515E50Q15-OK120</t>
  </si>
  <si>
    <t>780 000,00</t>
  </si>
  <si>
    <t>Прицеп 3*1,5 м  (до 750 кг.) 2 оси</t>
  </si>
  <si>
    <t>004-3015R13</t>
  </si>
  <si>
    <t>Прицеп 3*1,5 м (до 750 кг.) 2 оси</t>
  </si>
  <si>
    <t>530 000,00</t>
  </si>
  <si>
    <t>004-3015R13E30</t>
  </si>
  <si>
    <t>580 000,00</t>
  </si>
  <si>
    <t>004-3015R13E30-120</t>
  </si>
  <si>
    <t>004-3015Q13</t>
  </si>
  <si>
    <t>004-3015E30Q13</t>
  </si>
  <si>
    <t>Прицеп 3*1,5м, высота борта 30см, R13 без запасного без опорного колеса с колесами R13</t>
  </si>
  <si>
    <t>004-3015R15</t>
  </si>
  <si>
    <t>004-3015R15E30</t>
  </si>
  <si>
    <t>004-3015R15E30-120</t>
  </si>
  <si>
    <t>004-3015Q15</t>
  </si>
  <si>
    <t>004-3015E30Q15</t>
  </si>
  <si>
    <t>004-3015R13-OK</t>
  </si>
  <si>
    <t>004-3015R13E30-OK</t>
  </si>
  <si>
    <t>004-3015R13E30-OK120</t>
  </si>
  <si>
    <t>004-3015Q13-OK</t>
  </si>
  <si>
    <t>Прицеп-платформа 3*1,5м, R13 без запасного с опорным колесом с колесами R13</t>
  </si>
  <si>
    <t>Прицеп 3*1,5м, высота борта 30см, без запасного с опорным колесом с колесами R13</t>
  </si>
  <si>
    <t>004-3015R15-OK</t>
  </si>
  <si>
    <t>004-3015R15E30-OK</t>
  </si>
  <si>
    <t>004-3015R15E30-OK120</t>
  </si>
  <si>
    <t>004-3015Q15-OK</t>
  </si>
  <si>
    <t>690 000,00</t>
  </si>
  <si>
    <t>004-3015E30Q13-120</t>
  </si>
  <si>
    <t>Прицеп 3*1,5м, высота борта 30см, без опорного колеса с колесами R13 тент-каркас 1200мм</t>
  </si>
  <si>
    <t>004-3015E30Q15-120</t>
  </si>
  <si>
    <t>810 000,00</t>
  </si>
  <si>
    <t>004-3015E30Q13-OK120</t>
  </si>
  <si>
    <t>Прицеп 3*1,5м, высота борта 30см, с опорным колесом с колесами R13 тент-каркас 1200мм</t>
  </si>
  <si>
    <t>004-3015E30Q15-OK120</t>
  </si>
  <si>
    <t>820 000,00</t>
  </si>
  <si>
    <t>004-3015R13E50</t>
  </si>
  <si>
    <t>Прицеп 3*1,5м, высота борта 50см, без колес, без опорного колеса ступица R13</t>
  </si>
  <si>
    <t>004-3015R13E50-120</t>
  </si>
  <si>
    <t>Прицеп 3*1,5м, высота борта 50см, без колес, без опорного колеса ступица R13, тент-каркас 1200мм</t>
  </si>
  <si>
    <t>004-3015E50Q13</t>
  </si>
  <si>
    <t>Прицеп 3*1,5м, высота борта 50см, R13 без запасного без опорного колеса с колесами R13</t>
  </si>
  <si>
    <t>004-3015R15E50</t>
  </si>
  <si>
    <t>004-3015R15E50-120</t>
  </si>
  <si>
    <t>004-3015E50Q15</t>
  </si>
  <si>
    <t>004-3015R13E50-OK</t>
  </si>
  <si>
    <t>004-3015R13E50-OK120</t>
  </si>
  <si>
    <t>Прицеп 3*1,5м, высота борта 50см, без колес с опорным колесом ступица R13 тент-каркас 1200мм</t>
  </si>
  <si>
    <t>Прицеп 3*1,5м, высота борта 50см, без запасного с опорным колесом с колесами R13</t>
  </si>
  <si>
    <t>004-3015R15E50-OK</t>
  </si>
  <si>
    <t>004-3015R15E50-OK120</t>
  </si>
  <si>
    <t>004-3015E50Q15-OK</t>
  </si>
  <si>
    <t>004-3015E50Q13-120</t>
  </si>
  <si>
    <t>Прицеп 3*1,5м, высота борта 50см, без опорного колеса с колесами R13 тент-каркас 1200мм</t>
  </si>
  <si>
    <t>004-3015E50Q15-120</t>
  </si>
  <si>
    <t>004-3015E50Q13-OK120</t>
  </si>
  <si>
    <t>Прицеп 3*1,5м, высота борта 50см, с опорным колесом с колесами R13 тент-каркас 1200мм</t>
  </si>
  <si>
    <t>004-3015E50Q15-OK120</t>
  </si>
  <si>
    <t>Прицеп 3,5*1,5 м  (до 750 кг.) 2 оси</t>
  </si>
  <si>
    <t>004-3515R13</t>
  </si>
  <si>
    <t>004-3515R13E30</t>
  </si>
  <si>
    <t>004-3515R13E30-150</t>
  </si>
  <si>
    <t>790 000,00</t>
  </si>
  <si>
    <t>004-3515Q13</t>
  </si>
  <si>
    <t>004-3515E30Q13</t>
  </si>
  <si>
    <t>Прицеп 3,5*1,5м, высота борта 30см, R13 без запасного без опорного колеса с колесами R13</t>
  </si>
  <si>
    <t>004-3515R15</t>
  </si>
  <si>
    <t>004-3515R15E30</t>
  </si>
  <si>
    <t>004-3515R15E30-150</t>
  </si>
  <si>
    <t>004-3515Q15</t>
  </si>
  <si>
    <t>004-3515E30Q15</t>
  </si>
  <si>
    <t>004-3515R13-OK</t>
  </si>
  <si>
    <t>004-3515R13E30-OK</t>
  </si>
  <si>
    <t>004-3515R13E30-OK150</t>
  </si>
  <si>
    <t>800 000,00</t>
  </si>
  <si>
    <t>004-3515Q13-OK</t>
  </si>
  <si>
    <t>Прицеп-платформа 3,5*1,5м, R13 без запасного с опорным колесом с колесами R13</t>
  </si>
  <si>
    <t>Прицеп 3,5*1,5м, высота борта 30см, без запасного с опорным колесом с колесами R13</t>
  </si>
  <si>
    <t>004-3515R15-OK</t>
  </si>
  <si>
    <t>004-3515R15E30-OK</t>
  </si>
  <si>
    <t>004-3515R15E30-OK150</t>
  </si>
  <si>
    <t>004-3515Q15-OK</t>
  </si>
  <si>
    <t>004-3515E30Q15-OK</t>
  </si>
  <si>
    <t>004-3515E30Q13-150</t>
  </si>
  <si>
    <t>Прицеп 3,5*1,5м, высота борта 30см, без опорного колеса с колесами R13 тент-каркас 1200мм</t>
  </si>
  <si>
    <t>850 000,00</t>
  </si>
  <si>
    <t>004-3515E30Q15-150</t>
  </si>
  <si>
    <t>890 000,00</t>
  </si>
  <si>
    <t>Прицеп 3,5*1,5м, высота борта 30см, с опорным колесом с колесами R13 тент-каркас 1200мм</t>
  </si>
  <si>
    <t>860 000,00</t>
  </si>
  <si>
    <t>900 000,00</t>
  </si>
  <si>
    <t>004-3515R13E50</t>
  </si>
  <si>
    <t>Прицеп 3,5*1,5м, высота борта 50см, без колес, без опорного колеса ступица R13</t>
  </si>
  <si>
    <t>004-3515R13E50-150</t>
  </si>
  <si>
    <t>Прицеп 3,5*1,5м, высота борта 50см, без колес, без опорного колеса ступица R13, тент-каркас 1200мм</t>
  </si>
  <si>
    <t>004-3515E50Q13</t>
  </si>
  <si>
    <t>Прицеп 3,5*1,5м, высота борта 50см, R13 без запасного без опорного колеса с колесами R13</t>
  </si>
  <si>
    <t>004-3515R15E50</t>
  </si>
  <si>
    <t>004-3515R15E50-150</t>
  </si>
  <si>
    <t>004-3515E50Q15</t>
  </si>
  <si>
    <t>004-3515R13E50-OK</t>
  </si>
  <si>
    <t>004-3515R13E50-OK150</t>
  </si>
  <si>
    <t>Прицеп 3,5*1,5м, высота борта 50см, без колес с опорным колесом ступица R13 тент-каркас 1200мм</t>
  </si>
  <si>
    <t>Прицеп 3,5*1,5м, высота борта 50см, без запасного с опорным колесом с колесами R13</t>
  </si>
  <si>
    <t>004-3515R15E50-OK</t>
  </si>
  <si>
    <t>004-3515R15E50-OK150</t>
  </si>
  <si>
    <t>004-3515E50Q15-OK</t>
  </si>
  <si>
    <t>004-3515E50Q13-150</t>
  </si>
  <si>
    <t>Прицеп 3,5*1,5м, высота борта 50см, без опорного колеса с колесами R13 тент-каркас 1200мм</t>
  </si>
  <si>
    <t>004-3515E50Q15-150</t>
  </si>
  <si>
    <t>Прицеп 3,5*1,5м, высота борта 50см, с опорным колесом с колесами R13 тент-каркас 1200мм</t>
  </si>
  <si>
    <t>004-3515E50Q15-OK150</t>
  </si>
  <si>
    <t>Прицеп 4*1,5 м  (до 750 кг.) 2 оси</t>
  </si>
  <si>
    <t>004-4015R13</t>
  </si>
  <si>
    <t>Прицеп 4*1,5 м (до 750 кг.) 2 оси</t>
  </si>
  <si>
    <t>004-4015R13E30</t>
  </si>
  <si>
    <t>004-4015R13E30-150</t>
  </si>
  <si>
    <t>004-4015Q13</t>
  </si>
  <si>
    <t>004-4015E30Q13</t>
  </si>
  <si>
    <t>Прицеп 4*1,5м, высота борта 30см, R13 без запасного без опорного колеса с колесами R13</t>
  </si>
  <si>
    <t>004-4015R15</t>
  </si>
  <si>
    <t>004-4015R15E30</t>
  </si>
  <si>
    <t>004-4015R15E30-150</t>
  </si>
  <si>
    <t>004-4015Q15</t>
  </si>
  <si>
    <t>004-4015E30Q15</t>
  </si>
  <si>
    <t>830 000,00</t>
  </si>
  <si>
    <t>004-4015R13-OK</t>
  </si>
  <si>
    <t>004-4015R13E30-OK</t>
  </si>
  <si>
    <t>004-4015R13E30-OK150</t>
  </si>
  <si>
    <t>910 000,00</t>
  </si>
  <si>
    <t>004-4015Q13-OK</t>
  </si>
  <si>
    <t>Прицеп-платформа 4*1,5м, R13 без запасного с опорным колесом с колесами R13</t>
  </si>
  <si>
    <t>004-4015E30Q13-OK</t>
  </si>
  <si>
    <t>Прицеп 4*1,5м, высота борта 30см, без запасного с опорным колесом с колесами R13</t>
  </si>
  <si>
    <t>004-4015R15-OK</t>
  </si>
  <si>
    <t>004-4015R15E30-OK</t>
  </si>
  <si>
    <t>004-4015R15E30-OK150</t>
  </si>
  <si>
    <t>004-4015Q15-OK</t>
  </si>
  <si>
    <t>004-4015E30Q15-OK</t>
  </si>
  <si>
    <t>840 000,00</t>
  </si>
  <si>
    <t>004-4015E30Q13-150</t>
  </si>
  <si>
    <t>Прицеп 4*1,5м, высота борта 30см, без опорного колеса с колесами R13 тент-каркас 1200мм</t>
  </si>
  <si>
    <t>960 000,00</t>
  </si>
  <si>
    <t>004-4015E30Q15-150</t>
  </si>
  <si>
    <t>1 000 000,00</t>
  </si>
  <si>
    <t>004-4015E30Q13-OK150</t>
  </si>
  <si>
    <t>Прицеп 4*1,5м, высота борта 30см, с опорным колесом с колесами R13 тент-каркас 1200мм</t>
  </si>
  <si>
    <t>970 000,00</t>
  </si>
  <si>
    <t>004-4015E30Q15-OK150</t>
  </si>
  <si>
    <t>1 010 000,00</t>
  </si>
  <si>
    <t>COUNTA of VIN код</t>
  </si>
  <si>
    <t>Общий итог</t>
  </si>
  <si>
    <t>(пусто)</t>
  </si>
  <si>
    <t>В наличии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</si>
</sst>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dd&quot;.&quot;mm&quot;.&quot;yyyy"/>
    <numFmt numFmtId="165" formatCode="m/d/yyyy\ h:mm:ss"/>
    <numFmt numFmtId="166" formatCode="dd\.mm\.yyyy"/>
    <numFmt numFmtId="167" formatCode="d\.m\.yyyy"/>
    <numFmt numFmtId="168" formatCode="d/m"/>
  </numFmts>
  <fonts count="34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FF0000"/>
      <name val="Arial"/>
      <scheme val="minor"/>
    </font>
    <font>
      <b/>
      <sz val="11"/>
      <color rgb="FF000000"/>
      <name val="Calibri"/>
    </font>
    <font>
      <b/>
      <sz val="12"/>
      <color rgb="FF000000"/>
      <name val="&quot;Times New Roman&quot;"/>
    </font>
    <font>
      <sz val="12"/>
      <color rgb="FF000000"/>
      <name val="&quot;Times New Roman&quot;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b/>
      <sz val="12"/>
      <color rgb="FF000000"/>
      <name val="Arial"/>
    </font>
    <font>
      <sz val="12"/>
      <color theme="1"/>
      <name val="Times New Roman"/>
    </font>
    <font>
      <sz val="10"/>
      <color theme="1"/>
      <name val="Times New Roman"/>
    </font>
    <font>
      <sz val="10"/>
      <name val="Arial"/>
    </font>
    <font>
      <b/>
      <u/>
      <sz val="12"/>
      <color rgb="FF000000"/>
      <name val="&quot;Times New Roman&quot;"/>
    </font>
    <font>
      <sz val="10"/>
      <color theme="1"/>
      <name val="Arial"/>
    </font>
    <font>
      <sz val="10"/>
      <color rgb="FF000000"/>
      <name val="Arial"/>
      <scheme val="minor"/>
    </font>
    <font>
      <sz val="10"/>
      <color rgb="FF000000"/>
      <name val="Arial"/>
    </font>
    <font>
      <sz val="9"/>
      <color rgb="FF000000"/>
      <name val="&quot;Google Sans Mono&quot;"/>
    </font>
    <font>
      <sz val="11"/>
      <color theme="1"/>
      <name val="&quot;Times New Roman&quot;"/>
    </font>
    <font>
      <sz val="11"/>
      <color theme="1"/>
      <name val="Calibri"/>
    </font>
    <font>
      <sz val="11"/>
      <color theme="1"/>
      <name val="Times New Roman"/>
    </font>
    <font>
      <sz val="11"/>
      <color rgb="FF000000"/>
      <name val="&quot;Times New Roman&quot;"/>
    </font>
    <font>
      <sz val="11"/>
      <color rgb="FF000000"/>
      <name val="Calibri"/>
    </font>
    <font>
      <sz val="9"/>
      <color rgb="FF1F1F1F"/>
      <name val="Arial"/>
    </font>
    <font>
      <b/>
      <i/>
      <sz val="11"/>
      <color theme="1"/>
      <name val="&quot;Times New Roman&quot;"/>
    </font>
    <font>
      <b/>
      <i/>
      <sz val="11"/>
      <color theme="1"/>
      <name val="Calibri"/>
    </font>
    <font>
      <b/>
      <i/>
      <sz val="10"/>
      <color theme="1"/>
      <name val="Arial"/>
      <scheme val="minor"/>
    </font>
    <font>
      <b/>
      <i/>
      <sz val="11"/>
      <color theme="1"/>
      <name val="Times New Roman"/>
    </font>
    <font>
      <b/>
      <i/>
      <sz val="10"/>
      <color theme="1"/>
      <name val="Arial"/>
    </font>
    <font>
      <b/>
      <sz val="12"/>
      <color rgb="FF000000"/>
      <name val="&quot;Times New Roman&quot;, serif"/>
    </font>
    <font>
      <sz val="12"/>
      <color rgb="FF000000"/>
      <name val="&quot;Times New Roman&quot;, serif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6">
    <xf numFmtId="0" fontId="0" fillId="0" borderId="0" xfId="0" applyFont="1" applyAlignment="1"/>
    <xf numFmtId="1" fontId="1" fillId="2" borderId="1" xfId="0" applyNumberFormat="1" applyFont="1" applyFill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1" fontId="2" fillId="2" borderId="1" xfId="0" applyNumberFormat="1" applyFont="1" applyFill="1" applyBorder="1" applyAlignment="1"/>
    <xf numFmtId="164" fontId="2" fillId="0" borderId="1" xfId="0" applyNumberFormat="1" applyFont="1" applyBorder="1" applyAlignment="1"/>
    <xf numFmtId="0" fontId="3" fillId="0" borderId="1" xfId="0" applyFont="1" applyBorder="1"/>
    <xf numFmtId="0" fontId="2" fillId="0" borderId="0" xfId="0" applyFont="1" applyAlignment="1"/>
    <xf numFmtId="0" fontId="3" fillId="0" borderId="1" xfId="0" applyFont="1" applyBorder="1" applyAlignment="1"/>
    <xf numFmtId="164" fontId="2" fillId="0" borderId="0" xfId="0" applyNumberFormat="1" applyFont="1" applyAlignment="1"/>
    <xf numFmtId="0" fontId="3" fillId="0" borderId="0" xfId="0" applyFont="1" applyAlignment="1"/>
    <xf numFmtId="1" fontId="2" fillId="2" borderId="0" xfId="0" applyNumberFormat="1" applyFont="1" applyFill="1" applyAlignment="1"/>
    <xf numFmtId="0" fontId="3" fillId="0" borderId="0" xfId="0" applyFont="1"/>
    <xf numFmtId="0" fontId="2" fillId="0" borderId="0" xfId="0" applyFont="1" applyAlignment="1"/>
    <xf numFmtId="0" fontId="3" fillId="3" borderId="0" xfId="0" applyFont="1" applyFill="1" applyAlignment="1"/>
    <xf numFmtId="0" fontId="2" fillId="0" borderId="0" xfId="0" applyFont="1"/>
    <xf numFmtId="1" fontId="2" fillId="4" borderId="0" xfId="0" applyNumberFormat="1" applyFont="1" applyFill="1" applyAlignment="1"/>
    <xf numFmtId="164" fontId="2" fillId="4" borderId="0" xfId="0" applyNumberFormat="1" applyFont="1" applyFill="1" applyAlignment="1"/>
    <xf numFmtId="0" fontId="3" fillId="4" borderId="0" xfId="0" applyFont="1" applyFill="1" applyAlignment="1"/>
    <xf numFmtId="0" fontId="2" fillId="4" borderId="0" xfId="0" applyFont="1" applyFill="1" applyAlignment="1"/>
    <xf numFmtId="164" fontId="2" fillId="2" borderId="0" xfId="0" applyNumberFormat="1" applyFont="1" applyFill="1" applyAlignment="1"/>
    <xf numFmtId="1" fontId="2" fillId="2" borderId="0" xfId="0" applyNumberFormat="1" applyFont="1" applyFill="1"/>
    <xf numFmtId="164" fontId="2" fillId="0" borderId="0" xfId="0" applyNumberFormat="1" applyFont="1"/>
    <xf numFmtId="0" fontId="3" fillId="0" borderId="0" xfId="0" applyFont="1"/>
    <xf numFmtId="0" fontId="3" fillId="0" borderId="0" xfId="0" applyFont="1" applyAlignment="1"/>
    <xf numFmtId="165" fontId="2" fillId="0" borderId="0" xfId="0" applyNumberFormat="1" applyFont="1" applyAlignment="1"/>
    <xf numFmtId="14" fontId="2" fillId="0" borderId="0" xfId="0" applyNumberFormat="1" applyFont="1" applyAlignment="1"/>
    <xf numFmtId="0" fontId="2" fillId="3" borderId="0" xfId="0" applyFont="1" applyFill="1" applyAlignment="1"/>
    <xf numFmtId="165" fontId="4" fillId="0" borderId="0" xfId="0" applyNumberFormat="1" applyFont="1" applyAlignment="1"/>
    <xf numFmtId="0" fontId="4" fillId="0" borderId="0" xfId="0" applyFont="1" applyAlignment="1"/>
    <xf numFmtId="14" fontId="4" fillId="0" borderId="0" xfId="0" applyNumberFormat="1" applyFont="1" applyAlignment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/>
    <xf numFmtId="164" fontId="2" fillId="0" borderId="1" xfId="0" applyNumberFormat="1" applyFont="1" applyBorder="1"/>
    <xf numFmtId="0" fontId="2" fillId="0" borderId="1" xfId="0" applyFont="1" applyBorder="1"/>
    <xf numFmtId="14" fontId="2" fillId="0" borderId="1" xfId="0" applyNumberFormat="1" applyFont="1" applyBorder="1"/>
    <xf numFmtId="4" fontId="2" fillId="0" borderId="1" xfId="0" applyNumberFormat="1" applyFont="1" applyBorder="1"/>
    <xf numFmtId="4" fontId="2" fillId="0" borderId="1" xfId="0" applyNumberFormat="1" applyFont="1" applyBorder="1" applyAlignment="1"/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8" fillId="2" borderId="0" xfId="0" applyFont="1" applyFill="1"/>
    <xf numFmtId="0" fontId="7" fillId="2" borderId="0" xfId="0" applyFont="1" applyFill="1" applyAlignment="1"/>
    <xf numFmtId="166" fontId="7" fillId="2" borderId="0" xfId="0" applyNumberFormat="1" applyFont="1" applyFill="1" applyAlignment="1">
      <alignment horizontal="right"/>
    </xf>
    <xf numFmtId="0" fontId="7" fillId="2" borderId="0" xfId="0" applyFont="1" applyFill="1"/>
    <xf numFmtId="0" fontId="11" fillId="2" borderId="0" xfId="0" applyFont="1" applyFill="1" applyAlignment="1">
      <alignment horizontal="center"/>
    </xf>
    <xf numFmtId="0" fontId="8" fillId="2" borderId="0" xfId="0" applyFont="1" applyFill="1" applyAlignment="1"/>
    <xf numFmtId="14" fontId="11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12" fillId="2" borderId="0" xfId="0" applyFont="1" applyFill="1" applyAlignment="1"/>
    <xf numFmtId="0" fontId="7" fillId="2" borderId="0" xfId="0" applyFont="1" applyFill="1" applyAlignment="1">
      <alignment horizontal="left"/>
    </xf>
    <xf numFmtId="0" fontId="6" fillId="2" borderId="8" xfId="0" applyFont="1" applyFill="1" applyBorder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7" fillId="2" borderId="9" xfId="0" applyFont="1" applyFill="1" applyBorder="1" applyAlignment="1">
      <alignment horizontal="left" wrapText="1"/>
    </xf>
    <xf numFmtId="0" fontId="7" fillId="2" borderId="8" xfId="0" applyFont="1" applyFill="1" applyBorder="1" applyAlignment="1">
      <alignment horizontal="left" wrapText="1"/>
    </xf>
    <xf numFmtId="0" fontId="6" fillId="2" borderId="11" xfId="0" applyFont="1" applyFill="1" applyBorder="1" applyAlignment="1">
      <alignment wrapText="1"/>
    </xf>
    <xf numFmtId="0" fontId="6" fillId="2" borderId="12" xfId="0" applyFont="1" applyFill="1" applyBorder="1" applyAlignment="1">
      <alignment horizontal="right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166" fontId="7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wrapText="1"/>
    </xf>
    <xf numFmtId="0" fontId="6" fillId="2" borderId="0" xfId="0" applyFont="1" applyFill="1" applyAlignment="1"/>
    <xf numFmtId="0" fontId="6" fillId="2" borderId="1" xfId="0" applyFont="1" applyFill="1" applyBorder="1" applyAlignment="1">
      <alignment horizontal="center" wrapText="1"/>
    </xf>
    <xf numFmtId="0" fontId="6" fillId="2" borderId="0" xfId="0" applyFont="1" applyFill="1" applyAlignment="1">
      <alignment horizontal="left"/>
    </xf>
    <xf numFmtId="0" fontId="6" fillId="2" borderId="0" xfId="0" applyFont="1" applyFill="1"/>
    <xf numFmtId="0" fontId="6" fillId="5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7" fillId="2" borderId="0" xfId="0" applyFont="1" applyFill="1" applyAlignment="1">
      <alignment horizontal="right"/>
    </xf>
    <xf numFmtId="0" fontId="7" fillId="2" borderId="1" xfId="0" applyFont="1" applyFill="1" applyBorder="1" applyAlignment="1">
      <alignment horizontal="center" wrapText="1"/>
    </xf>
    <xf numFmtId="4" fontId="7" fillId="2" borderId="1" xfId="0" applyNumberFormat="1" applyFont="1" applyFill="1" applyBorder="1" applyAlignment="1">
      <alignment horizontal="center" wrapText="1"/>
    </xf>
    <xf numFmtId="4" fontId="6" fillId="2" borderId="1" xfId="0" applyNumberFormat="1" applyFont="1" applyFill="1" applyBorder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right"/>
    </xf>
    <xf numFmtId="0" fontId="2" fillId="0" borderId="0" xfId="0" applyFont="1"/>
    <xf numFmtId="0" fontId="2" fillId="0" borderId="0" xfId="0" applyFont="1" applyAlignment="1"/>
    <xf numFmtId="0" fontId="2" fillId="0" borderId="0" xfId="0" quotePrefix="1" applyFont="1" applyAlignment="1"/>
    <xf numFmtId="167" fontId="2" fillId="0" borderId="0" xfId="0" applyNumberFormat="1" applyFont="1" applyAlignment="1"/>
    <xf numFmtId="165" fontId="2" fillId="6" borderId="0" xfId="0" applyNumberFormat="1" applyFont="1" applyFill="1" applyAlignment="1"/>
    <xf numFmtId="0" fontId="2" fillId="6" borderId="0" xfId="0" applyFont="1" applyFill="1" applyAlignment="1"/>
    <xf numFmtId="14" fontId="2" fillId="6" borderId="0" xfId="0" applyNumberFormat="1" applyFont="1" applyFill="1" applyAlignment="1"/>
    <xf numFmtId="0" fontId="2" fillId="6" borderId="0" xfId="0" applyFont="1" applyFill="1"/>
    <xf numFmtId="166" fontId="2" fillId="0" borderId="0" xfId="0" applyNumberFormat="1" applyFont="1" applyAlignment="1"/>
    <xf numFmtId="165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 applyAlignment="1"/>
    <xf numFmtId="14" fontId="15" fillId="0" borderId="0" xfId="0" applyNumberFormat="1" applyFont="1" applyAlignment="1">
      <alignment horizontal="right"/>
    </xf>
    <xf numFmtId="0" fontId="2" fillId="0" borderId="0" xfId="0" applyFont="1" applyAlignment="1"/>
    <xf numFmtId="0" fontId="16" fillId="0" borderId="0" xfId="0" applyFont="1" applyAlignment="1"/>
    <xf numFmtId="0" fontId="17" fillId="5" borderId="0" xfId="0" applyFont="1" applyFill="1" applyAlignment="1">
      <alignment horizontal="left"/>
    </xf>
    <xf numFmtId="168" fontId="2" fillId="0" borderId="0" xfId="0" applyNumberFormat="1" applyFont="1" applyAlignment="1"/>
    <xf numFmtId="0" fontId="2" fillId="0" borderId="0" xfId="0" quotePrefix="1" applyFont="1" applyAlignment="1">
      <alignment horizontal="right"/>
    </xf>
    <xf numFmtId="0" fontId="2" fillId="6" borderId="0" xfId="0" quotePrefix="1" applyFont="1" applyFill="1" applyAlignment="1"/>
    <xf numFmtId="165" fontId="15" fillId="0" borderId="0" xfId="0" applyNumberFormat="1" applyFont="1" applyAlignment="1">
      <alignment horizontal="right"/>
    </xf>
    <xf numFmtId="0" fontId="15" fillId="0" borderId="0" xfId="0" applyFont="1" applyAlignment="1"/>
    <xf numFmtId="0" fontId="15" fillId="0" borderId="0" xfId="0" applyFont="1" applyAlignment="1"/>
    <xf numFmtId="0" fontId="15" fillId="0" borderId="0" xfId="0" quotePrefix="1" applyFont="1" applyAlignment="1"/>
    <xf numFmtId="0" fontId="15" fillId="0" borderId="0" xfId="0" applyFont="1" applyAlignment="1">
      <alignment horizontal="right"/>
    </xf>
    <xf numFmtId="0" fontId="18" fillId="5" borderId="0" xfId="0" applyFont="1" applyFill="1"/>
    <xf numFmtId="0" fontId="18" fillId="5" borderId="0" xfId="0" applyFont="1" applyFill="1" applyAlignment="1">
      <alignment horizontal="left"/>
    </xf>
    <xf numFmtId="0" fontId="18" fillId="5" borderId="0" xfId="0" applyFont="1" applyFill="1" applyAlignment="1">
      <alignment horizontal="left"/>
    </xf>
    <xf numFmtId="167" fontId="2" fillId="0" borderId="1" xfId="0" applyNumberFormat="1" applyFont="1" applyBorder="1" applyAlignment="1"/>
    <xf numFmtId="0" fontId="2" fillId="2" borderId="1" xfId="0" applyFont="1" applyFill="1" applyBorder="1" applyAlignment="1"/>
    <xf numFmtId="0" fontId="19" fillId="0" borderId="1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9" fillId="0" borderId="0" xfId="0" applyFont="1" applyAlignment="1">
      <alignment horizontal="center"/>
    </xf>
    <xf numFmtId="3" fontId="20" fillId="0" borderId="0" xfId="0" applyNumberFormat="1" applyFont="1" applyAlignment="1">
      <alignment horizontal="right"/>
    </xf>
    <xf numFmtId="0" fontId="21" fillId="0" borderId="11" xfId="0" applyFont="1" applyBorder="1" applyAlignment="1">
      <alignment horizontal="center"/>
    </xf>
    <xf numFmtId="3" fontId="20" fillId="0" borderId="11" xfId="0" applyNumberFormat="1" applyFont="1" applyBorder="1" applyAlignment="1">
      <alignment horizontal="right"/>
    </xf>
    <xf numFmtId="3" fontId="20" fillId="0" borderId="4" xfId="0" applyNumberFormat="1" applyFont="1" applyBorder="1" applyAlignment="1">
      <alignment horizontal="right"/>
    </xf>
    <xf numFmtId="0" fontId="21" fillId="0" borderId="14" xfId="0" applyFont="1" applyBorder="1" applyAlignment="1">
      <alignment horizontal="center"/>
    </xf>
    <xf numFmtId="3" fontId="20" fillId="0" borderId="12" xfId="0" applyNumberFormat="1" applyFont="1" applyBorder="1" applyAlignment="1">
      <alignment horizontal="right"/>
    </xf>
    <xf numFmtId="0" fontId="22" fillId="0" borderId="1" xfId="0" applyFont="1" applyBorder="1" applyAlignment="1">
      <alignment horizontal="center"/>
    </xf>
    <xf numFmtId="3" fontId="23" fillId="0" borderId="4" xfId="0" applyNumberFormat="1" applyFont="1" applyBorder="1" applyAlignment="1">
      <alignment horizontal="right"/>
    </xf>
    <xf numFmtId="0" fontId="22" fillId="0" borderId="14" xfId="0" applyFont="1" applyBorder="1" applyAlignment="1">
      <alignment horizontal="center"/>
    </xf>
    <xf numFmtId="3" fontId="23" fillId="0" borderId="12" xfId="0" applyNumberFormat="1" applyFont="1" applyBorder="1" applyAlignment="1">
      <alignment horizontal="right"/>
    </xf>
    <xf numFmtId="3" fontId="20" fillId="0" borderId="16" xfId="0" applyNumberFormat="1" applyFont="1" applyBorder="1" applyAlignment="1">
      <alignment horizontal="right"/>
    </xf>
    <xf numFmtId="3" fontId="20" fillId="0" borderId="9" xfId="0" applyNumberFormat="1" applyFont="1" applyBorder="1" applyAlignment="1">
      <alignment horizontal="right"/>
    </xf>
    <xf numFmtId="3" fontId="23" fillId="0" borderId="9" xfId="0" applyNumberFormat="1" applyFont="1" applyBorder="1" applyAlignment="1">
      <alignment horizontal="right"/>
    </xf>
    <xf numFmtId="0" fontId="20" fillId="0" borderId="18" xfId="0" applyFont="1" applyBorder="1" applyAlignment="1">
      <alignment horizontal="right"/>
    </xf>
    <xf numFmtId="3" fontId="20" fillId="0" borderId="18" xfId="0" applyNumberFormat="1" applyFont="1" applyBorder="1" applyAlignment="1">
      <alignment horizontal="right"/>
    </xf>
    <xf numFmtId="0" fontId="20" fillId="0" borderId="19" xfId="0" applyFont="1" applyBorder="1"/>
    <xf numFmtId="0" fontId="20" fillId="0" borderId="12" xfId="0" applyFont="1" applyBorder="1" applyAlignment="1">
      <alignment horizontal="right"/>
    </xf>
    <xf numFmtId="0" fontId="20" fillId="0" borderId="21" xfId="0" applyFont="1" applyBorder="1" applyAlignment="1">
      <alignment horizontal="center"/>
    </xf>
    <xf numFmtId="0" fontId="20" fillId="0" borderId="16" xfId="0" applyFont="1" applyBorder="1" applyAlignment="1">
      <alignment horizontal="right"/>
    </xf>
    <xf numFmtId="0" fontId="20" fillId="0" borderId="23" xfId="0" applyFont="1" applyBorder="1" applyAlignment="1">
      <alignment horizontal="center"/>
    </xf>
    <xf numFmtId="0" fontId="20" fillId="0" borderId="21" xfId="0" applyFont="1" applyBorder="1"/>
    <xf numFmtId="3" fontId="20" fillId="0" borderId="12" xfId="0" applyNumberFormat="1" applyFont="1" applyBorder="1" applyAlignment="1">
      <alignment horizontal="right"/>
    </xf>
    <xf numFmtId="3" fontId="20" fillId="0" borderId="16" xfId="0" applyNumberFormat="1" applyFont="1" applyBorder="1" applyAlignment="1">
      <alignment horizontal="right"/>
    </xf>
    <xf numFmtId="0" fontId="20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right"/>
    </xf>
    <xf numFmtId="0" fontId="20" fillId="0" borderId="21" xfId="0" applyFont="1" applyBorder="1" applyAlignment="1">
      <alignment horizontal="center"/>
    </xf>
    <xf numFmtId="0" fontId="20" fillId="0" borderId="9" xfId="0" applyFont="1" applyBorder="1" applyAlignment="1">
      <alignment horizontal="right"/>
    </xf>
    <xf numFmtId="3" fontId="20" fillId="0" borderId="9" xfId="0" applyNumberFormat="1" applyFont="1" applyBorder="1" applyAlignment="1">
      <alignment horizontal="right"/>
    </xf>
    <xf numFmtId="0" fontId="20" fillId="0" borderId="24" xfId="0" applyFont="1" applyBorder="1" applyAlignment="1">
      <alignment horizontal="center"/>
    </xf>
    <xf numFmtId="0" fontId="20" fillId="0" borderId="1" xfId="0" applyFont="1" applyBorder="1" applyAlignment="1">
      <alignment horizontal="right"/>
    </xf>
    <xf numFmtId="3" fontId="20" fillId="0" borderId="1" xfId="0" applyNumberFormat="1" applyFont="1" applyBorder="1" applyAlignment="1">
      <alignment horizontal="right"/>
    </xf>
    <xf numFmtId="0" fontId="20" fillId="0" borderId="1" xfId="0" applyFont="1" applyBorder="1"/>
    <xf numFmtId="3" fontId="20" fillId="0" borderId="1" xfId="0" applyNumberFormat="1" applyFont="1" applyBorder="1" applyAlignment="1">
      <alignment horizontal="right"/>
    </xf>
    <xf numFmtId="0" fontId="20" fillId="0" borderId="1" xfId="0" applyFont="1" applyBorder="1" applyAlignment="1">
      <alignment horizontal="center"/>
    </xf>
    <xf numFmtId="0" fontId="20" fillId="0" borderId="13" xfId="0" applyFont="1" applyBorder="1" applyAlignment="1">
      <alignment horizontal="right"/>
    </xf>
    <xf numFmtId="3" fontId="20" fillId="0" borderId="13" xfId="0" applyNumberFormat="1" applyFont="1" applyBorder="1" applyAlignment="1">
      <alignment horizontal="right"/>
    </xf>
    <xf numFmtId="0" fontId="20" fillId="0" borderId="13" xfId="0" applyFont="1" applyBorder="1" applyAlignment="1">
      <alignment horizontal="center"/>
    </xf>
    <xf numFmtId="0" fontId="20" fillId="0" borderId="1" xfId="0" applyFont="1" applyBorder="1" applyAlignment="1">
      <alignment horizontal="right"/>
    </xf>
    <xf numFmtId="0" fontId="20" fillId="0" borderId="1" xfId="0" applyFont="1" applyBorder="1" applyAlignment="1">
      <alignment horizontal="center"/>
    </xf>
    <xf numFmtId="0" fontId="20" fillId="0" borderId="0" xfId="0" applyFont="1" applyAlignment="1"/>
    <xf numFmtId="0" fontId="20" fillId="0" borderId="0" xfId="0" applyFont="1" applyAlignment="1"/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4" fillId="5" borderId="0" xfId="0" applyFont="1" applyFill="1" applyAlignment="1"/>
    <xf numFmtId="0" fontId="1" fillId="0" borderId="17" xfId="0" applyFont="1" applyBorder="1" applyAlignment="1"/>
    <xf numFmtId="0" fontId="1" fillId="0" borderId="25" xfId="0" applyFont="1" applyBorder="1" applyAlignment="1"/>
    <xf numFmtId="0" fontId="20" fillId="0" borderId="25" xfId="0" applyFont="1" applyBorder="1" applyAlignment="1"/>
    <xf numFmtId="0" fontId="1" fillId="0" borderId="25" xfId="0" applyFont="1" applyBorder="1" applyAlignment="1">
      <alignment horizontal="right"/>
    </xf>
    <xf numFmtId="0" fontId="1" fillId="0" borderId="26" xfId="0" applyFont="1" applyBorder="1" applyAlignment="1"/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4" fontId="1" fillId="0" borderId="27" xfId="0" applyNumberFormat="1" applyFont="1" applyBorder="1" applyAlignment="1"/>
    <xf numFmtId="0" fontId="25" fillId="7" borderId="9" xfId="0" applyFont="1" applyFill="1" applyBorder="1" applyAlignment="1">
      <alignment horizontal="left"/>
    </xf>
    <xf numFmtId="0" fontId="26" fillId="7" borderId="9" xfId="0" applyFont="1" applyFill="1" applyBorder="1" applyAlignment="1">
      <alignment wrapText="1"/>
    </xf>
    <xf numFmtId="0" fontId="25" fillId="7" borderId="9" xfId="0" applyFont="1" applyFill="1" applyBorder="1" applyAlignment="1">
      <alignment horizontal="center"/>
    </xf>
    <xf numFmtId="0" fontId="26" fillId="7" borderId="9" xfId="0" applyFont="1" applyFill="1" applyBorder="1" applyAlignment="1">
      <alignment horizontal="right"/>
    </xf>
    <xf numFmtId="0" fontId="26" fillId="7" borderId="0" xfId="0" applyFont="1" applyFill="1" applyAlignment="1">
      <alignment horizontal="right"/>
    </xf>
    <xf numFmtId="3" fontId="26" fillId="7" borderId="9" xfId="0" applyNumberFormat="1" applyFont="1" applyFill="1" applyBorder="1" applyAlignment="1">
      <alignment horizontal="right"/>
    </xf>
    <xf numFmtId="3" fontId="26" fillId="7" borderId="0" xfId="0" applyNumberFormat="1" applyFont="1" applyFill="1" applyAlignment="1">
      <alignment horizontal="right"/>
    </xf>
    <xf numFmtId="0" fontId="27" fillId="7" borderId="1" xfId="0" applyFont="1" applyFill="1" applyBorder="1"/>
    <xf numFmtId="0" fontId="27" fillId="7" borderId="0" xfId="0" applyFont="1" applyFill="1"/>
    <xf numFmtId="0" fontId="25" fillId="7" borderId="1" xfId="0" applyFont="1" applyFill="1" applyBorder="1" applyAlignment="1">
      <alignment horizontal="left"/>
    </xf>
    <xf numFmtId="0" fontId="26" fillId="7" borderId="1" xfId="0" applyFont="1" applyFill="1" applyBorder="1" applyAlignment="1">
      <alignment wrapText="1"/>
    </xf>
    <xf numFmtId="0" fontId="25" fillId="7" borderId="1" xfId="0" applyFont="1" applyFill="1" applyBorder="1" applyAlignment="1">
      <alignment horizontal="center"/>
    </xf>
    <xf numFmtId="0" fontId="26" fillId="7" borderId="1" xfId="0" applyFont="1" applyFill="1" applyBorder="1" applyAlignment="1">
      <alignment horizontal="right"/>
    </xf>
    <xf numFmtId="3" fontId="26" fillId="7" borderId="1" xfId="0" applyNumberFormat="1" applyFont="1" applyFill="1" applyBorder="1" applyAlignment="1">
      <alignment horizontal="right"/>
    </xf>
    <xf numFmtId="0" fontId="26" fillId="0" borderId="1" xfId="0" applyFont="1" applyBorder="1" applyAlignment="1">
      <alignment horizontal="left"/>
    </xf>
    <xf numFmtId="0" fontId="26" fillId="0" borderId="1" xfId="0" applyFont="1" applyBorder="1" applyAlignment="1">
      <alignment wrapText="1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right"/>
    </xf>
    <xf numFmtId="0" fontId="26" fillId="0" borderId="1" xfId="0" applyFont="1" applyBorder="1" applyAlignment="1">
      <alignment horizontal="right"/>
    </xf>
    <xf numFmtId="3" fontId="26" fillId="0" borderId="1" xfId="0" applyNumberFormat="1" applyFont="1" applyBorder="1" applyAlignment="1">
      <alignment horizontal="right"/>
    </xf>
    <xf numFmtId="0" fontId="27" fillId="0" borderId="1" xfId="0" applyFont="1" applyBorder="1"/>
    <xf numFmtId="0" fontId="27" fillId="0" borderId="0" xfId="0" applyFont="1"/>
    <xf numFmtId="0" fontId="26" fillId="0" borderId="1" xfId="0" applyFont="1" applyBorder="1" applyAlignment="1">
      <alignment horizontal="left"/>
    </xf>
    <xf numFmtId="0" fontId="26" fillId="0" borderId="1" xfId="0" applyFont="1" applyBorder="1" applyAlignment="1">
      <alignment wrapText="1"/>
    </xf>
    <xf numFmtId="0" fontId="26" fillId="0" borderId="1" xfId="0" applyFont="1" applyBorder="1" applyAlignment="1"/>
    <xf numFmtId="0" fontId="28" fillId="0" borderId="1" xfId="0" applyFont="1" applyBorder="1" applyAlignment="1">
      <alignment horizontal="center"/>
    </xf>
    <xf numFmtId="0" fontId="29" fillId="0" borderId="1" xfId="0" applyFont="1" applyBorder="1" applyAlignment="1"/>
    <xf numFmtId="4" fontId="26" fillId="7" borderId="1" xfId="0" applyNumberFormat="1" applyFont="1" applyFill="1" applyBorder="1" applyAlignment="1">
      <alignment horizontal="right"/>
    </xf>
    <xf numFmtId="4" fontId="26" fillId="0" borderId="1" xfId="0" applyNumberFormat="1" applyFont="1" applyBorder="1" applyAlignment="1">
      <alignment horizontal="right"/>
    </xf>
    <xf numFmtId="0" fontId="26" fillId="2" borderId="1" xfId="0" applyFont="1" applyFill="1" applyBorder="1" applyAlignment="1">
      <alignment horizontal="left"/>
    </xf>
    <xf numFmtId="0" fontId="26" fillId="2" borderId="1" xfId="0" applyFont="1" applyFill="1" applyBorder="1" applyAlignment="1">
      <alignment wrapText="1"/>
    </xf>
    <xf numFmtId="0" fontId="25" fillId="2" borderId="1" xfId="0" applyFont="1" applyFill="1" applyBorder="1" applyAlignment="1">
      <alignment horizontal="center"/>
    </xf>
    <xf numFmtId="0" fontId="26" fillId="2" borderId="1" xfId="0" applyFont="1" applyFill="1" applyBorder="1" applyAlignment="1">
      <alignment horizontal="right"/>
    </xf>
    <xf numFmtId="3" fontId="26" fillId="2" borderId="1" xfId="0" applyNumberFormat="1" applyFont="1" applyFill="1" applyBorder="1" applyAlignment="1">
      <alignment horizontal="right"/>
    </xf>
    <xf numFmtId="4" fontId="26" fillId="2" borderId="1" xfId="0" applyNumberFormat="1" applyFont="1" applyFill="1" applyBorder="1" applyAlignment="1">
      <alignment horizontal="right"/>
    </xf>
    <xf numFmtId="0" fontId="27" fillId="2" borderId="0" xfId="0" applyFont="1" applyFill="1"/>
    <xf numFmtId="0" fontId="26" fillId="2" borderId="1" xfId="0" applyFont="1" applyFill="1" applyBorder="1" applyAlignment="1">
      <alignment horizontal="right"/>
    </xf>
    <xf numFmtId="0" fontId="20" fillId="0" borderId="14" xfId="0" applyFont="1" applyBorder="1" applyAlignment="1"/>
    <xf numFmtId="0" fontId="20" fillId="0" borderId="12" xfId="0" applyFont="1" applyBorder="1" applyAlignment="1">
      <alignment wrapText="1"/>
    </xf>
    <xf numFmtId="0" fontId="19" fillId="0" borderId="12" xfId="0" applyFont="1" applyBorder="1" applyAlignment="1">
      <alignment horizontal="center"/>
    </xf>
    <xf numFmtId="0" fontId="20" fillId="0" borderId="21" xfId="0" applyFont="1" applyBorder="1" applyAlignment="1">
      <alignment horizontal="right"/>
    </xf>
    <xf numFmtId="3" fontId="20" fillId="0" borderId="21" xfId="0" applyNumberFormat="1" applyFont="1" applyBorder="1" applyAlignment="1">
      <alignment horizontal="right"/>
    </xf>
    <xf numFmtId="4" fontId="1" fillId="0" borderId="11" xfId="0" applyNumberFormat="1" applyFont="1" applyBorder="1" applyAlignment="1">
      <alignment horizontal="right"/>
    </xf>
    <xf numFmtId="0" fontId="25" fillId="7" borderId="14" xfId="0" applyFont="1" applyFill="1" applyBorder="1" applyAlignment="1">
      <alignment horizontal="left"/>
    </xf>
    <xf numFmtId="0" fontId="26" fillId="7" borderId="12" xfId="0" applyFont="1" applyFill="1" applyBorder="1" applyAlignment="1">
      <alignment wrapText="1"/>
    </xf>
    <xf numFmtId="0" fontId="25" fillId="7" borderId="12" xfId="0" applyFont="1" applyFill="1" applyBorder="1" applyAlignment="1">
      <alignment horizontal="center"/>
    </xf>
    <xf numFmtId="0" fontId="26" fillId="7" borderId="12" xfId="0" applyFont="1" applyFill="1" applyBorder="1" applyAlignment="1">
      <alignment horizontal="right"/>
    </xf>
    <xf numFmtId="0" fontId="26" fillId="7" borderId="11" xfId="0" applyFont="1" applyFill="1" applyBorder="1" applyAlignment="1">
      <alignment horizontal="right"/>
    </xf>
    <xf numFmtId="3" fontId="26" fillId="7" borderId="12" xfId="0" applyNumberFormat="1" applyFont="1" applyFill="1" applyBorder="1" applyAlignment="1">
      <alignment horizontal="right"/>
    </xf>
    <xf numFmtId="3" fontId="26" fillId="7" borderId="11" xfId="0" applyNumberFormat="1" applyFont="1" applyFill="1" applyBorder="1" applyAlignment="1">
      <alignment horizontal="right"/>
    </xf>
    <xf numFmtId="4" fontId="26" fillId="7" borderId="11" xfId="0" applyNumberFormat="1" applyFont="1" applyFill="1" applyBorder="1" applyAlignment="1">
      <alignment horizontal="right"/>
    </xf>
    <xf numFmtId="0" fontId="25" fillId="7" borderId="1" xfId="0" applyFont="1" applyFill="1" applyBorder="1" applyAlignment="1">
      <alignment horizontal="left"/>
    </xf>
    <xf numFmtId="0" fontId="0" fillId="0" borderId="28" xfId="0" pivotButton="1" applyFont="1" applyBorder="1" applyAlignment="1"/>
    <xf numFmtId="0" fontId="0" fillId="0" borderId="29" xfId="0" applyFont="1" applyBorder="1" applyAlignment="1"/>
    <xf numFmtId="0" fontId="0" fillId="0" borderId="30" xfId="0" pivotButton="1" applyFont="1" applyBorder="1" applyAlignment="1"/>
    <xf numFmtId="0" fontId="0" fillId="0" borderId="30" xfId="0" applyFont="1" applyBorder="1" applyAlignment="1"/>
    <xf numFmtId="0" fontId="0" fillId="0" borderId="31" xfId="0" applyFont="1" applyBorder="1" applyAlignment="1"/>
    <xf numFmtId="0" fontId="0" fillId="0" borderId="32" xfId="0" applyFont="1" applyBorder="1" applyAlignment="1"/>
    <xf numFmtId="0" fontId="0" fillId="0" borderId="33" xfId="0" applyNumberFormat="1" applyFont="1" applyBorder="1" applyAlignment="1"/>
    <xf numFmtId="0" fontId="0" fillId="0" borderId="33" xfId="0" pivotButton="1" applyFont="1" applyBorder="1" applyAlignment="1"/>
    <xf numFmtId="165" fontId="0" fillId="0" borderId="33" xfId="0" applyNumberFormat="1" applyFont="1" applyBorder="1" applyAlignment="1"/>
    <xf numFmtId="0" fontId="0" fillId="0" borderId="33" xfId="0" applyFont="1" applyBorder="1" applyAlignment="1"/>
    <xf numFmtId="0" fontId="0" fillId="0" borderId="34" xfId="0" applyFont="1" applyBorder="1" applyAlignment="1"/>
    <xf numFmtId="0" fontId="0" fillId="0" borderId="28" xfId="0" applyFont="1" applyBorder="1" applyAlignment="1"/>
    <xf numFmtId="0" fontId="0" fillId="0" borderId="35" xfId="0" applyFont="1" applyBorder="1" applyAlignment="1"/>
    <xf numFmtId="0" fontId="0" fillId="0" borderId="28" xfId="0" applyNumberFormat="1" applyFont="1" applyBorder="1" applyAlignment="1"/>
    <xf numFmtId="0" fontId="0" fillId="0" borderId="35" xfId="0" applyNumberFormat="1" applyFont="1" applyBorder="1" applyAlignment="1"/>
    <xf numFmtId="0" fontId="0" fillId="0" borderId="30" xfId="0" applyNumberFormat="1" applyFont="1" applyBorder="1" applyAlignment="1"/>
    <xf numFmtId="0" fontId="0" fillId="0" borderId="36" xfId="0" applyFont="1" applyBorder="1" applyAlignment="1"/>
    <xf numFmtId="0" fontId="0" fillId="0" borderId="37" xfId="0" applyFont="1" applyBorder="1" applyAlignment="1"/>
    <xf numFmtId="0" fontId="0" fillId="0" borderId="37" xfId="0" applyNumberFormat="1" applyFont="1" applyBorder="1" applyAlignment="1"/>
    <xf numFmtId="0" fontId="0" fillId="0" borderId="0" xfId="0" applyNumberFormat="1" applyFont="1" applyAlignment="1"/>
    <xf numFmtId="0" fontId="0" fillId="0" borderId="38" xfId="0" applyNumberFormat="1" applyFont="1" applyBorder="1" applyAlignment="1"/>
    <xf numFmtId="0" fontId="0" fillId="0" borderId="31" xfId="0" applyNumberFormat="1" applyFont="1" applyBorder="1" applyAlignment="1"/>
    <xf numFmtId="0" fontId="0" fillId="0" borderId="39" xfId="0" applyNumberFormat="1" applyFont="1" applyBorder="1" applyAlignment="1"/>
    <xf numFmtId="0" fontId="32" fillId="0" borderId="0" xfId="0" quotePrefix="1" applyFont="1" applyAlignment="1"/>
    <xf numFmtId="0" fontId="7" fillId="2" borderId="13" xfId="0" applyFont="1" applyFill="1" applyBorder="1" applyAlignment="1">
      <alignment horizontal="center" vertical="center" wrapText="1"/>
    </xf>
    <xf numFmtId="0" fontId="13" fillId="0" borderId="15" xfId="0" applyFont="1" applyBorder="1"/>
    <xf numFmtId="0" fontId="13" fillId="0" borderId="14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13" fillId="0" borderId="6" xfId="0" applyFont="1" applyBorder="1"/>
    <xf numFmtId="0" fontId="13" fillId="0" borderId="7" xfId="0" applyFont="1" applyBorder="1"/>
    <xf numFmtId="0" fontId="13" fillId="0" borderId="8" xfId="0" applyFont="1" applyBorder="1"/>
    <xf numFmtId="0" fontId="0" fillId="0" borderId="0" xfId="0" applyFont="1" applyAlignment="1"/>
    <xf numFmtId="0" fontId="13" fillId="0" borderId="9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12" xfId="0" applyFont="1" applyBorder="1"/>
    <xf numFmtId="0" fontId="6" fillId="2" borderId="13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right" wrapText="1"/>
    </xf>
    <xf numFmtId="0" fontId="7" fillId="2" borderId="5" xfId="0" applyFont="1" applyFill="1" applyBorder="1" applyAlignment="1">
      <alignment horizontal="left" wrapText="1"/>
    </xf>
    <xf numFmtId="0" fontId="6" fillId="2" borderId="10" xfId="0" applyFont="1" applyFill="1" applyBorder="1" applyAlignment="1">
      <alignment horizontal="right"/>
    </xf>
    <xf numFmtId="0" fontId="6" fillId="2" borderId="8" xfId="0" applyFont="1" applyFill="1" applyBorder="1" applyAlignment="1">
      <alignment horizontal="left"/>
    </xf>
    <xf numFmtId="0" fontId="6" fillId="2" borderId="8" xfId="0" applyFont="1" applyFill="1" applyBorder="1" applyAlignment="1">
      <alignment wrapText="1"/>
    </xf>
    <xf numFmtId="0" fontId="6" fillId="2" borderId="10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2" borderId="8" xfId="0" applyFont="1" applyFill="1" applyBorder="1" applyAlignment="1">
      <alignment horizontal="left" wrapText="1"/>
    </xf>
    <xf numFmtId="0" fontId="6" fillId="2" borderId="0" xfId="0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left" wrapText="1"/>
    </xf>
    <xf numFmtId="0" fontId="7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6" fillId="2" borderId="2" xfId="0" applyFont="1" applyFill="1" applyBorder="1" applyAlignment="1">
      <alignment horizontal="center" vertical="top" wrapText="1"/>
    </xf>
    <xf numFmtId="0" fontId="13" fillId="0" borderId="3" xfId="0" applyFont="1" applyBorder="1"/>
    <xf numFmtId="0" fontId="13" fillId="0" borderId="4" xfId="0" applyFont="1" applyBorder="1"/>
    <xf numFmtId="0" fontId="6" fillId="2" borderId="2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left" wrapText="1"/>
    </xf>
    <xf numFmtId="0" fontId="6" fillId="2" borderId="5" xfId="0" applyFont="1" applyFill="1" applyBorder="1" applyAlignment="1">
      <alignment horizontal="center" vertical="top" wrapText="1"/>
    </xf>
    <xf numFmtId="0" fontId="14" fillId="2" borderId="5" xfId="0" applyFont="1" applyFill="1" applyBorder="1" applyAlignment="1">
      <alignment horizontal="left"/>
    </xf>
    <xf numFmtId="0" fontId="8" fillId="2" borderId="8" xfId="0" applyFont="1" applyFill="1" applyBorder="1"/>
    <xf numFmtId="0" fontId="6" fillId="2" borderId="5" xfId="0" applyFont="1" applyFill="1" applyBorder="1" applyAlignment="1">
      <alignment horizontal="center" wrapText="1"/>
    </xf>
    <xf numFmtId="4" fontId="7" fillId="2" borderId="2" xfId="0" applyNumberFormat="1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left" wrapText="1"/>
    </xf>
    <xf numFmtId="0" fontId="7" fillId="2" borderId="10" xfId="0" applyFont="1" applyFill="1" applyBorder="1" applyAlignment="1">
      <alignment horizontal="left" wrapText="1"/>
    </xf>
    <xf numFmtId="0" fontId="6" fillId="2" borderId="0" xfId="0" applyFont="1" applyFill="1" applyAlignment="1">
      <alignment horizontal="right"/>
    </xf>
    <xf numFmtId="0" fontId="9" fillId="2" borderId="0" xfId="0" applyFont="1" applyFill="1" applyAlignment="1">
      <alignment wrapText="1"/>
    </xf>
    <xf numFmtId="0" fontId="10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20" fillId="0" borderId="20" xfId="0" applyFont="1" applyBorder="1" applyAlignment="1">
      <alignment horizontal="center"/>
    </xf>
    <xf numFmtId="0" fontId="13" fillId="0" borderId="20" xfId="0" applyFont="1" applyBorder="1"/>
    <xf numFmtId="0" fontId="13" fillId="0" borderId="22" xfId="0" applyFont="1" applyBorder="1"/>
    <xf numFmtId="0" fontId="20" fillId="0" borderId="13" xfId="0" applyFont="1" applyBorder="1" applyAlignment="1">
      <alignment horizontal="center"/>
    </xf>
    <xf numFmtId="0" fontId="20" fillId="0" borderId="17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26" fillId="0" borderId="1" xfId="0" applyNumberFormat="1" applyFont="1" applyBorder="1" applyAlignment="1">
      <alignment horizontal="right"/>
    </xf>
    <xf numFmtId="0" fontId="33" fillId="0" borderId="16" xfId="0" applyFont="1" applyBorder="1" applyAlignment="1">
      <alignment horizontal="center"/>
    </xf>
    <xf numFmtId="0" fontId="33" fillId="0" borderId="23" xfId="0" applyFont="1" applyBorder="1" applyAlignment="1">
      <alignment horizontal="center"/>
    </xf>
  </cellXfs>
  <cellStyles count="1">
    <cellStyle name="Обычный" xfId="0" builtinId="0"/>
  </cellStyles>
  <dxfs count="1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refreshedBy="АДМИН" refreshedDate="46000.409852199075" refreshedVersion="6" recordCount="481">
  <cacheSource type="worksheet">
    <worksheetSource ref="A1:N482" sheet="Прицепы"/>
  </cacheSource>
  <cacheFields count="14">
    <cacheField name="Отметка времени" numFmtId="165">
      <sharedItems containsSemiMixedTypes="0" containsNonDate="0" containsDate="1" containsString="0" minDate="2024-06-04T19:46:17" maxDate="2025-05-12T15:21:04"/>
    </cacheField>
    <cacheField name=" " numFmtId="165">
      <sharedItems containsNonDate="0" containsString="0" containsBlank="1"/>
    </cacheField>
    <cacheField name="VIN код" numFmtId="0">
      <sharedItems containsBlank="1"/>
    </cacheField>
    <cacheField name="Прицеп" numFmtId="0">
      <sharedItems count="6">
        <s v="Прицеп 2,0*1,25 м  (до 750 кг.)"/>
        <s v="Прицеп 2,5*1,25 м  (до 750 кг.)"/>
        <s v="Прицеп 2,5*1,5 м  (до 750 кг.)"/>
        <s v="Прицеп 3,0*1,5 м  (до 750 кг.)"/>
        <s v="Прицеп 3,5*1,5 м  (до 750 кг.)"/>
        <s v="Прицеп 4,0*1,5 м  (до 750 кг.)"/>
      </sharedItems>
    </cacheField>
    <cacheField name="Борт" numFmtId="0">
      <sharedItems containsMixedTypes="1" containsNumber="1" containsInteger="1" minValue="30" maxValue="50" count="3">
        <s v="нет"/>
        <n v="50"/>
        <n v="30"/>
      </sharedItems>
    </cacheField>
    <cacheField name="Колесо" numFmtId="0">
      <sharedItems/>
    </cacheField>
    <cacheField name="Ступица" numFmtId="0">
      <sharedItems/>
    </cacheField>
    <cacheField name="Тент-каркас" numFmtId="0">
      <sharedItems containsMixedTypes="1" containsNumber="1" containsInteger="1" minValue="30" maxValue="150" count="6">
        <s v="нет"/>
        <n v="30"/>
        <n v="60"/>
        <n v="90"/>
        <n v="120"/>
        <n v="150"/>
      </sharedItems>
    </cacheField>
    <cacheField name="Дата выпуска" numFmtId="14">
      <sharedItems containsSemiMixedTypes="0" containsNonDate="0" containsDate="1" containsString="0" minDate="2022-10-07T00:00:00" maxDate="2025-12-04T00:00:00"/>
    </cacheField>
    <cacheField name="Откатное колесо" numFmtId="0">
      <sharedItems/>
    </cacheField>
    <cacheField name="Склад" numFmtId="0">
      <sharedItems count="3">
        <s v="Кокшетау"/>
        <s v="Алматы"/>
        <s v="Астана"/>
      </sharedItems>
    </cacheField>
    <cacheField name="Количество осей" numFmtId="0">
      <sharedItems/>
    </cacheField>
    <cacheField name="Артикул" numFmtId="0">
      <sharedItems/>
    </cacheField>
    <cacheField name="Статус" numFmtId="0">
      <sharedItems count="2">
        <s v="Продано"/>
        <s v="В наличии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OnLoad="1" refreshedBy="АДМИН" refreshedDate="46000.409852430559" refreshedVersion="6" recordCount="861">
  <cacheSource type="worksheet">
    <worksheetSource ref="A1:N862" sheet="Прицепы"/>
  </cacheSource>
  <cacheFields count="14">
    <cacheField name="Отметка времени" numFmtId="165">
      <sharedItems containsNonDate="0" containsDate="1" containsString="0" containsBlank="1" minDate="2024-06-04T19:46:17" maxDate="2025-12-08T10:04:00" count="1205">
        <d v="2024-08-16T17:46:15"/>
        <d v="2024-12-06T13:12:03"/>
        <d v="2024-12-20T10:32:17"/>
        <d v="2024-11-21T13:35:13"/>
        <d v="2024-11-21T12:41:23"/>
        <d v="2024-11-21T12:40:56"/>
        <d v="2024-11-21T12:40:31"/>
        <d v="2024-12-11T18:33:27"/>
        <d v="2024-11-14T15:40:37"/>
        <d v="2024-11-08T10:05:55"/>
        <d v="2024-12-11T19:28:41"/>
        <d v="2024-12-09T12:07:55"/>
        <d v="2024-12-03T14:20:56"/>
        <d v="2024-11-21T12:39:51"/>
        <d v="2024-11-21T14:26:02"/>
        <d v="2024-11-21T12:38:53"/>
        <d v="2024-12-26T11:41:59"/>
        <d v="2024-12-18T13:19:28"/>
        <d v="2024-11-21T12:39:25"/>
        <d v="2024-11-13T12:20:53"/>
        <d v="2024-10-23T12:00:11"/>
        <d v="2024-10-18T14:39:50"/>
        <d v="2024-10-18T14:35:30"/>
        <d v="2024-10-14T17:37:45"/>
        <d v="2024-10-14T17:36:35"/>
        <d v="2024-10-10T16:51:56"/>
        <d v="2024-10-14T18:01:38"/>
        <d v="2024-10-14T18:02:40"/>
        <d v="2024-10-03T11:32:40"/>
        <d v="2024-10-14T17:54:46"/>
        <d v="2024-10-14T17:55:52"/>
        <d v="2024-11-16T11:12:55"/>
        <d v="2024-11-13T10:48:00"/>
        <d v="2024-11-10T12:46:03"/>
        <d v="2024-10-11T15:22:13"/>
        <d v="2024-11-04T14:00:58"/>
        <d v="2024-11-05T18:14:08"/>
        <d v="2024-11-10T11:59:01"/>
        <d v="2024-10-18T17:00:23"/>
        <d v="2024-11-09T13:21:08"/>
        <d v="2024-10-17T12:38:40"/>
        <d v="2024-09-25T12:38:00"/>
        <d v="2024-09-24T18:04:27"/>
        <d v="2024-09-23T18:05:07"/>
        <d v="2024-09-23T16:15:39"/>
        <d v="2024-09-22T16:55:28"/>
        <d v="2024-11-05T12:03:41"/>
        <d v="2024-09-17T18:31:33"/>
        <d v="2024-09-17T13:18:54"/>
        <d v="2024-09-17T11:20:02"/>
        <d v="2024-09-09T11:10:39"/>
        <d v="2024-09-09T11:12:18"/>
        <d v="2024-09-05T10:41:42"/>
        <d v="2024-09-06T11:50:51"/>
        <d v="2024-09-09T11:04:50"/>
        <d v="2024-09-02T10:50:44"/>
        <d v="2024-08-29T11:47:43"/>
        <d v="2024-08-29T11:46:46"/>
        <d v="2024-08-26T17:44:19"/>
        <d v="2024-08-27T10:58:56"/>
        <d v="2024-08-20T16:26:00"/>
        <d v="2024-08-21T12:09:52"/>
        <d v="2024-08-19T12:45:34"/>
        <d v="2024-08-16T11:59:02"/>
        <d v="2024-09-06T14:32:02"/>
        <d v="2024-09-11T11:55:20"/>
        <d v="2024-08-16T11:51:29"/>
        <d v="2024-08-19T13:19:37"/>
        <d v="2024-07-29T12:36:29"/>
        <d v="2024-07-29T12:36:01"/>
        <d v="2024-07-29T12:35:27"/>
        <d v="2024-07-29T12:34:51"/>
        <d v="2024-07-29T12:34:08"/>
        <d v="2024-07-29T12:33:34"/>
        <d v="2024-07-29T12:33:02"/>
        <d v="2024-07-29T12:32:04"/>
        <d v="2024-07-29T12:29:58"/>
        <d v="2024-07-29T12:29:24"/>
        <d v="2024-07-29T12:27:46"/>
        <d v="2024-07-29T12:26:21"/>
        <d v="2024-07-29T12:25:17"/>
        <d v="2024-07-29T12:24:36"/>
        <d v="2024-07-29T12:22:56"/>
        <d v="2024-07-29T12:22:15"/>
        <d v="2024-07-29T12:21:10"/>
        <d v="2024-07-25T12:59:16"/>
        <d v="2024-09-02T17:29:27"/>
        <d v="2024-06-26T17:17:17"/>
        <d v="2024-06-24T16:36:11"/>
        <d v="2024-08-06T15:19:46"/>
        <d v="2024-07-24T12:17:08"/>
        <d v="2024-07-10T17:41:32"/>
        <d v="2024-07-31T15:02:16"/>
        <d v="2024-07-29T12:37:40"/>
        <d v="2024-07-11T15:42:24"/>
        <d v="2024-06-24T15:22:59"/>
        <d v="2024-07-18T10:14:58"/>
        <d v="2024-07-18T09:49:05"/>
        <d v="2024-06-21T12:32:28"/>
        <d v="2024-06-06T15:59:46"/>
        <d v="2024-06-24T16:37:08"/>
        <d v="2024-07-03T16:10:24"/>
        <d v="2024-07-12T13:46:58"/>
        <d v="2024-07-12T13:46:04"/>
        <d v="2024-07-10T17:40:38"/>
        <d v="2024-07-03T10:50:15"/>
        <d v="2024-07-11T16:06:37"/>
        <d v="2024-07-29T12:37:05"/>
        <d v="2024-07-19T10:24:41"/>
        <d v="2024-06-20T17:03:51"/>
        <d v="2024-08-16T11:57:37"/>
        <d v="2024-06-24T16:38:14"/>
        <d v="2024-07-02T16:06:09"/>
        <d v="2024-07-26T12:30:07"/>
        <d v="2024-07-18T11:12:45"/>
        <d v="2024-06-21T12:29:09"/>
        <d v="2024-06-06T16:10:58"/>
        <d v="2024-07-29T12:38:17"/>
        <d v="2024-06-21T12:34:30"/>
        <d v="2024-06-24T16:36:44"/>
        <d v="2024-09-03T11:19:05"/>
        <d v="2024-06-20T16:26:59"/>
        <d v="2024-06-06T15:58:38"/>
        <d v="2024-06-24T15:22:21"/>
        <d v="2024-08-22T11:07:43"/>
        <d v="2024-08-19T15:27:38"/>
        <d v="2024-09-06T10:03:15"/>
        <d v="2024-07-31T17:43:32"/>
        <d v="2024-08-14T14:09:52"/>
        <d v="2024-08-26T10:11:33"/>
        <d v="2024-08-24T11:04:32"/>
        <d v="2024-07-04T17:29:03"/>
        <d v="2024-09-05T18:41:19"/>
        <d v="2024-06-17T17:11:38"/>
        <d v="2024-06-08T11:25:22"/>
        <d v="2024-06-17T17:12:09"/>
        <d v="2024-06-17T17:15:02"/>
        <d v="2024-06-17T17:11:00"/>
        <d v="2024-07-02T13:26:22"/>
        <d v="2024-08-07T16:28:42"/>
        <d v="2024-06-18T15:32:41"/>
        <d v="2024-07-11T16:03:47"/>
        <d v="2024-06-17T17:10:20"/>
        <d v="2024-06-21T12:33:37"/>
        <d v="2024-07-24T12:53:44"/>
        <d v="2024-07-11T16:42:34"/>
        <d v="2024-06-06T16:09:30"/>
        <d v="2024-07-06T12:41:55"/>
        <d v="2024-07-08T18:44:02"/>
        <d v="2024-06-26T14:27:18"/>
        <d v="2024-06-17T17:13:21"/>
        <d v="2024-06-17T17:09:12"/>
        <d v="2024-07-11T16:04:28"/>
        <d v="2024-09-16T15:27:39"/>
        <d v="2024-07-09T11:41:25"/>
        <d v="2024-07-11T16:05:08"/>
        <d v="2024-09-24T10:19:16"/>
        <d v="2024-07-11T16:16:27"/>
        <d v="2024-06-17T17:05:03"/>
        <d v="2024-06-17T17:04:28"/>
        <d v="2024-06-17T17:06:20"/>
        <d v="2024-06-17T17:08:39"/>
        <d v="2024-08-16T11:25:14"/>
        <d v="2024-07-05T17:05:56"/>
        <d v="2024-06-17T17:07:25"/>
        <d v="2024-07-06T11:44:54"/>
        <d v="2024-06-08T15:23:54"/>
        <d v="2024-08-10T13:27:15"/>
        <d v="2024-11-12T10:34:05"/>
        <d v="2024-09-17T11:09:03"/>
        <d v="2024-09-03T10:58:58"/>
        <d v="2024-07-02T16:47:30"/>
        <d v="2024-11-29T14:44:35"/>
        <d v="2024-11-20T10:40:36"/>
        <d v="2024-11-04T11:42:21"/>
        <d v="2024-10-03T16:47:02"/>
        <d v="2024-09-06T11:40:14"/>
        <d v="2024-07-11T12:46:37"/>
        <d v="2024-06-10T18:31:26"/>
        <d v="2024-07-11T16:31:34"/>
        <d v="2024-06-10T18:32:08"/>
        <d v="2024-06-21T13:27:48"/>
        <d v="2024-06-10T18:34:06"/>
        <d v="2024-06-10T18:34:50"/>
        <d v="2024-06-06T16:01:15"/>
        <d v="2024-07-16T12:14:18"/>
        <d v="2024-06-26T17:50:51"/>
        <d v="2024-10-31T17:09:44"/>
        <d v="2024-07-11T16:02:20"/>
        <d v="2024-06-25T14:31:24"/>
        <d v="2024-07-01T12:15:28"/>
        <d v="2024-07-11T16:03:04"/>
        <d v="2024-06-17T17:14:30"/>
        <d v="2024-07-02T13:27:11"/>
        <d v="2024-10-28T12:07:02"/>
        <d v="2024-11-30T12:39:32"/>
        <d v="2024-12-12T12:12:10"/>
        <d v="2024-07-16T12:13:22"/>
        <d v="2024-10-29T17:07:14"/>
        <d v="2024-11-02T14:32:51"/>
        <d v="2024-09-18T11:16:52"/>
        <d v="2024-07-11T16:01:34"/>
        <d v="2024-09-21T15:41:51"/>
        <d v="2024-06-21T13:28:16"/>
        <d v="2024-06-04T19:46:17"/>
        <d v="2024-06-17T17:05:44"/>
        <d v="2024-06-17T17:06:54"/>
        <d v="2024-06-08T11:26:03"/>
        <d v="2024-06-17T17:09:44"/>
        <d v="2024-06-17T17:07:58"/>
        <d v="2024-06-07T16:32:05"/>
        <d v="2024-07-02T13:28:01"/>
        <d v="2024-06-17T12:17:02"/>
        <d v="2024-06-17T17:16:00"/>
        <d v="2024-06-17T17:15:28"/>
        <d v="2024-06-17T17:12:51"/>
        <d v="2024-06-06T11:28:50"/>
        <d v="2024-08-28T12:04:40"/>
        <d v="2024-07-11T16:28:28"/>
        <d v="2024-06-06T16:02:33"/>
        <d v="2024-06-06T16:03:28"/>
        <d v="2024-11-16T13:09:18"/>
        <d v="2024-12-11T18:34:44"/>
        <d v="2024-10-14T17:44:17"/>
        <d v="2024-09-30T13:23:49"/>
        <d v="2024-11-11T12:20:56"/>
        <d v="2024-09-17T11:41:57"/>
        <d v="2024-09-04T16:44:28"/>
        <d v="2024-09-09T16:57:21"/>
        <d v="2024-06-06T16:06:00"/>
        <d v="2024-10-14T17:44:57"/>
        <d v="2024-10-19T11:43:06"/>
        <d v="2024-10-19T11:31:44"/>
        <d v="2024-08-24T11:05:16"/>
        <d v="2024-09-06T11:41:58"/>
        <d v="2024-06-10T14:13:10"/>
        <d v="2024-07-25T13:49:04"/>
        <d v="2024-10-11T14:11:54"/>
        <d v="2024-10-14T17:39:53"/>
        <d v="2024-10-30T15:04:38"/>
        <d v="2024-09-16T13:28:44"/>
        <d v="2024-06-06T16:07:38"/>
        <d v="2024-10-14T17:38:46"/>
        <d v="2024-11-26T15:46:50"/>
        <d v="2024-11-22T11:41:41"/>
        <d v="2024-06-26T11:38:57"/>
        <d v="2024-11-22T16:08:13"/>
        <d v="2024-11-29T15:49:28"/>
        <d v="2024-06-27T12:28:50"/>
        <d v="2024-09-25T16:12:55"/>
        <d v="2024-11-29T18:25:00"/>
        <d v="2025-01-06T12:55:25"/>
        <d v="2025-01-11T12:34:40"/>
        <d v="2025-01-16T11:51:30"/>
        <d v="2025-01-18T11:46:17"/>
        <d v="2025-01-19T12:24:02"/>
        <d v="2025-01-22T12:25:38"/>
        <d v="2025-01-22T12:26:41"/>
        <d v="2025-01-22T12:29:18"/>
        <d v="2025-01-22T12:30:05"/>
        <d v="2025-01-22T12:34:58"/>
        <d v="2025-01-27T13:16:29"/>
        <d v="2025-01-27T13:17:40"/>
        <d v="2025-01-27T15:58:28"/>
        <d v="2025-01-27T15:59:40"/>
        <d v="2025-01-27T16:00:44"/>
        <d v="2025-01-27T16:01:42"/>
        <d v="2025-01-27T17:19:13"/>
        <d v="2025-01-28T11:02:03"/>
        <d v="2025-01-30T13:27:26"/>
        <d v="2025-02-03T15:28:00"/>
        <d v="2025-02-05T11:53:05"/>
        <d v="2025-02-08T13:44:59"/>
        <d v="2025-02-09T15:14:27"/>
        <d v="2025-02-10T13:41:23"/>
        <d v="2025-02-10T13:42:02"/>
        <d v="2025-02-10T13:53:19"/>
        <d v="2025-02-12T12:26:20"/>
        <d v="2025-02-12T14:49:53"/>
        <d v="2025-02-12T16:33:59"/>
        <d v="2025-02-13T11:22:09"/>
        <d v="2025-02-13T11:55:44"/>
        <d v="2025-02-14T12:30:27"/>
        <d v="2025-02-14T16:58:15"/>
        <d v="2025-02-15T16:48:00"/>
        <d v="2025-02-15T16:48:56"/>
        <d v="2025-02-17T11:31:55"/>
        <d v="2025-02-17T11:52:34"/>
        <d v="2025-02-18T10:33:25"/>
        <d v="2025-02-18T10:33:54"/>
        <d v="2025-02-18T10:42:19"/>
        <d v="2025-02-18T10:42:55"/>
        <d v="2025-02-18T15:04:00"/>
        <d v="2025-02-18T15:28:20"/>
        <d v="2025-02-19T12:09:00"/>
        <d v="2025-02-19T14:53:13"/>
        <d v="2025-02-20T13:02:59"/>
        <d v="2025-02-21T09:43:32"/>
        <d v="2025-02-21T10:10:19"/>
        <d v="2025-02-21T16:56:00"/>
        <d v="2025-02-22T10:24:07"/>
        <d v="2025-02-24T10:55:30"/>
        <d v="2025-02-24T11:56:00"/>
        <d v="2025-02-25T11:40:59"/>
        <d v="2025-02-25T11:42:16"/>
        <d v="2025-02-25T16:56:34"/>
        <d v="2025-02-26T12:32:46"/>
        <d v="2025-02-26T15:55:44"/>
        <d v="2025-02-26T15:56:24"/>
        <d v="2025-02-26T17:46:36"/>
        <d v="2025-02-27T10:41:14"/>
        <d v="2025-02-27T16:23:00"/>
        <d v="2025-02-27T17:51:55"/>
        <d v="2025-02-28T11:25:46"/>
        <d v="2025-03-03T11:17:47"/>
        <d v="2025-03-03T13:46:29"/>
        <d v="2025-03-03T16:34:38"/>
        <d v="2025-03-04T11:02:03"/>
        <d v="2025-03-06T11:12:34"/>
        <d v="2025-03-06T14:14:56"/>
        <d v="2025-03-07T16:50:33"/>
        <d v="2025-03-11T09:38:52"/>
        <d v="2025-03-11T10:29:46"/>
        <d v="2025-03-11T10:52:23"/>
        <d v="2025-03-11T11:24:48"/>
        <d v="2025-03-11T14:30:15"/>
        <d v="2025-03-11T15:26:35"/>
        <d v="2025-03-11T15:55:00"/>
        <d v="2025-03-11T16:00:15"/>
        <d v="2025-03-13T13:32:31"/>
        <d v="2025-03-14T10:23:24"/>
        <d v="2025-03-14T18:06:55"/>
        <d v="2025-03-14T18:07:52"/>
        <d v="2025-03-15T11:21:46"/>
        <d v="2025-03-15T14:33:27"/>
        <d v="2025-03-15T14:34:42"/>
        <d v="2025-03-15T14:36:00"/>
        <d v="2025-03-15T14:37:24"/>
        <d v="2025-03-15T14:38:39"/>
        <d v="2025-03-15T14:41:07"/>
        <d v="2025-03-17T11:11:30"/>
        <d v="2025-03-17T11:52:08"/>
        <d v="2025-03-17T14:29:39"/>
        <d v="2025-03-17T15:14:05"/>
        <d v="2025-03-17T18:00:03"/>
        <d v="2025-03-18T12:21:32"/>
        <d v="2025-03-18T14:05:58"/>
        <d v="2025-03-19T10:53:17"/>
        <d v="2025-03-19T10:55:43"/>
        <d v="2025-03-19T10:57:00"/>
        <d v="2025-03-19T10:57:37"/>
        <d v="2025-03-19T10:58:30"/>
        <d v="2025-03-19T10:59:10"/>
        <d v="2025-03-19T10:59:57"/>
        <d v="2025-03-19T11:02:53"/>
        <d v="2025-03-19T11:04:07"/>
        <d v="2025-03-19T11:04:41"/>
        <d v="2025-03-19T11:05:17"/>
        <d v="2025-03-19T11:06:00"/>
        <d v="2025-03-19T11:06:40"/>
        <d v="2025-03-19T11:07:22"/>
        <d v="2025-03-19T11:07:56"/>
        <d v="2025-03-19T11:08:31"/>
        <d v="2025-03-19T11:09:10"/>
        <d v="2025-03-19T11:09:52"/>
        <d v="2025-03-19T11:10:26"/>
        <d v="2025-03-19T11:11:02"/>
        <d v="2025-03-19T11:13:01"/>
        <d v="2025-03-19T11:14:05"/>
        <d v="2025-03-19T11:14:34"/>
        <d v="2025-03-19T11:15:54"/>
        <d v="2025-03-19T11:16:39"/>
        <d v="2025-03-19T11:17:14"/>
        <d v="2025-03-19T11:17:50"/>
        <d v="2025-03-19T11:18:25"/>
        <d v="2025-03-19T13:15:40"/>
        <d v="2025-03-20T10:00:02"/>
        <d v="2025-03-26T13:10:59"/>
        <d v="2025-03-26T16:55:17"/>
        <d v="2025-03-27T15:49:49"/>
        <d v="2025-03-28T11:22:11"/>
        <d v="2025-03-28T11:56:20"/>
        <d v="2025-03-29T11:53:58"/>
        <d v="2025-03-29T13:02:49"/>
        <d v="2025-03-31T15:03:45"/>
        <d v="2025-04-01T16:55:51"/>
        <d v="2025-04-02T11:05:48"/>
        <d v="2025-04-02T13:14:17"/>
        <d v="2025-04-02T16:02:25"/>
        <d v="2025-04-02T17:04:44"/>
        <d v="2025-04-03T12:27:28"/>
        <d v="2025-04-04T12:12:54"/>
        <d v="2025-04-04T13:18:58"/>
        <d v="2025-04-04T14:23:35"/>
        <d v="2025-04-07T15:01:29"/>
        <d v="2025-04-07T15:20:33"/>
        <d v="2025-04-07T15:36:07"/>
        <d v="2025-04-07T15:37:18"/>
        <d v="2025-04-07T15:39:35"/>
        <d v="2025-04-07T15:42:37"/>
        <d v="2025-04-07T15:43:15"/>
        <d v="2025-04-07T15:48:34"/>
        <d v="2025-04-08T12:59:19"/>
        <d v="2025-04-10T17:39:54"/>
        <d v="2025-04-10T17:40:29"/>
        <d v="2025-04-10T17:41:17"/>
        <d v="2025-04-10T17:41:51"/>
        <d v="2025-04-10T17:42:32"/>
        <d v="2025-04-10T17:44:01"/>
        <d v="2025-04-10T17:44:41"/>
        <d v="2025-04-10T17:45:21"/>
        <d v="2025-04-10T17:45:58"/>
        <d v="2025-04-10T17:46:32"/>
        <d v="2025-04-14T12:07:51"/>
        <d v="2025-04-14T12:08:29"/>
        <d v="2025-04-15T11:23:07"/>
        <d v="2025-04-15T13:26:22"/>
        <d v="2025-04-15T13:58:19"/>
        <d v="2025-04-15T16:15:59"/>
        <d v="2025-04-15T16:37:49"/>
        <d v="2025-04-16T10:08:52"/>
        <d v="2025-04-16T11:11:32"/>
        <d v="2025-04-17T10:31:22"/>
        <d v="2025-04-17T11:43:20"/>
        <d v="2025-04-17T15:04:01"/>
        <d v="2025-04-19T13:55:20"/>
        <d v="2025-04-19T20:04:50"/>
        <d v="2025-04-21T13:28:49"/>
        <d v="2025-04-21T14:05:33"/>
        <d v="2025-04-21T14:06:24"/>
        <d v="2025-04-21T14:38:31"/>
        <d v="2025-04-21T14:39:09"/>
        <d v="2025-04-22T13:25:51"/>
        <d v="2025-04-22T15:41:25"/>
        <d v="2025-04-23T11:15:05"/>
        <d v="2025-04-23T11:15:41"/>
        <d v="2025-04-23T11:57:34"/>
        <d v="2025-04-24T11:49:13"/>
        <d v="2025-04-24T15:33:22"/>
        <d v="2025-04-24T15:43:25"/>
        <d v="2025-04-24T17:03:57"/>
        <d v="2025-04-24T17:15:23"/>
        <d v="2025-04-25T14:14:25"/>
        <d v="2025-04-25T15:11:28"/>
        <d v="2025-04-25T16:45:42"/>
        <d v="2025-04-26T14:45:18"/>
        <d v="2025-04-28T10:03:51"/>
        <d v="2025-04-28T10:44:32"/>
        <d v="2025-04-28T16:22:57"/>
        <d v="2025-04-29T09:35:37"/>
        <d v="2025-04-30T12:48:04"/>
        <d v="2025-04-30T16:23:53"/>
        <d v="2025-05-04T13:28:10"/>
        <d v="2025-05-05T10:15:50"/>
        <d v="2025-05-05T11:59:05"/>
        <d v="2025-05-05T12:15:55"/>
        <d v="2025-05-05T15:22:09"/>
        <d v="2025-05-05T17:50:53"/>
        <d v="2025-05-05T17:51:39"/>
        <d v="2025-05-05T17:52:50"/>
        <d v="2025-05-05T17:53:55"/>
        <d v="2025-05-05T17:55:03"/>
        <d v="2025-05-05T17:55:48"/>
        <d v="2025-05-06T10:36:25"/>
        <d v="2025-05-06T10:55:05"/>
        <d v="2025-05-06T16:08:44"/>
        <d v="2025-05-06T18:10:31"/>
        <d v="2025-05-12T15:21:04"/>
        <d v="2025-05-12T18:13:16"/>
        <d v="2025-05-13T14:49:33"/>
        <d v="2025-05-13T15:19:35"/>
        <d v="2025-05-14T13:40:08"/>
        <d v="2025-05-14T13:44:24"/>
        <d v="2025-05-14T13:46:51"/>
        <d v="2025-05-14T13:47:38"/>
        <d v="2025-05-14T13:48:47"/>
        <d v="2025-05-14T17:43:33"/>
        <d v="2025-05-15T16:03:57"/>
        <d v="2025-05-16T18:27:33"/>
        <d v="2025-05-17T09:44:30"/>
        <d v="2025-05-17T14:20:48"/>
        <d v="2025-05-19T10:28:03"/>
        <d v="2025-05-19T12:12:29"/>
        <d v="2025-05-19T12:37:37"/>
        <d v="2025-05-19T14:48:40"/>
        <d v="2025-05-19T16:31:37"/>
        <d v="2025-05-19T16:59:27"/>
        <d v="2025-05-19T17:00:03"/>
        <d v="2025-05-19T17:00:43"/>
        <d v="2025-05-19T17:01:45"/>
        <d v="2025-05-19T17:02:24"/>
        <d v="2025-05-19T17:03:01"/>
        <d v="2025-05-20T13:58:47"/>
        <d v="2025-05-21T12:19:00"/>
        <d v="2025-05-21T17:50:53"/>
        <d v="2025-05-22T14:02:11"/>
        <d v="2025-05-22T14:03:15"/>
        <d v="2025-05-23T13:28:04"/>
        <d v="2025-05-23T13:30:23"/>
        <d v="2025-05-23T14:05:40"/>
        <d v="2025-05-23T15:47:25"/>
        <d v="2025-05-24T16:15:53"/>
        <d v="2025-05-26T13:14:24"/>
        <d v="2025-05-26T15:24:53"/>
        <d v="2025-05-26T16:41:28"/>
        <d v="2025-05-27T10:00:49"/>
        <d v="2025-05-27T10:18:46"/>
        <d v="2025-05-27T11:16:59"/>
        <d v="2025-05-27T12:50:07"/>
        <d v="2025-05-27T15:43:46"/>
        <d v="2025-05-27T17:01:24"/>
        <d v="2025-05-28T10:45:12"/>
        <d v="2025-05-29T13:33:56"/>
        <d v="2025-05-29T14:47:37"/>
        <d v="2025-05-30T11:28:04"/>
        <d v="2025-05-30T13:40:51"/>
        <d v="2025-05-30T13:45:26"/>
        <d v="2025-05-30T14:39:07"/>
        <d v="2025-06-02T12:28:07"/>
        <d v="2025-06-02T12:29:20"/>
        <d v="2025-06-02T12:29:57"/>
        <d v="2025-06-02T15:40:41"/>
        <d v="2025-06-02T16:13:56"/>
        <d v="2025-06-03T10:45:13"/>
        <d v="2025-06-03T12:32:33"/>
        <d v="2025-06-03T17:41:55"/>
        <d v="2025-06-05T10:56:07"/>
        <d v="2025-06-05T11:38:01"/>
        <d v="2025-06-05T15:31:02"/>
        <d v="2025-06-06T14:12:18"/>
        <d v="2025-06-06T14:30:17"/>
        <d v="2025-06-10T09:52:02"/>
        <d v="2025-06-10T14:30:04"/>
        <d v="2025-06-11T10:41:21"/>
        <d v="2025-06-11T16:57:13"/>
        <d v="2025-06-11T17:34:57"/>
        <d v="2025-06-13T15:42:03"/>
        <d v="2025-06-15T12:55:30"/>
        <d v="2025-06-15T12:56:11"/>
        <d v="2025-06-15T12:56:46"/>
        <d v="2025-06-16T10:05:44"/>
        <d v="2025-06-16T17:53:17"/>
        <d v="2025-06-17T16:59:55"/>
        <d v="2025-06-18T11:19:47"/>
        <d v="2025-06-18T16:59:26"/>
        <d v="2025-06-19T10:17:10"/>
        <d v="2025-06-20T16:57:57"/>
        <d v="2025-06-21T12:20:55"/>
        <d v="2025-06-21T13:02:48"/>
        <d v="2025-06-22T10:36:57"/>
        <d v="2025-06-23T11:12:45"/>
        <d v="2025-06-23T11:14:18"/>
        <d v="2025-06-23T11:51:27"/>
        <d v="2025-06-23T13:39:37"/>
        <d v="2025-06-23T15:25:48"/>
        <d v="2025-06-23T15:52:59"/>
        <d v="2025-06-23T16:52:09"/>
        <d v="2025-06-24T14:03:31"/>
        <d v="2025-06-24T14:58:08"/>
        <d v="2025-06-24T15:16:32"/>
        <d v="2025-06-24T17:50:32"/>
        <d v="2025-06-25T12:12:53"/>
        <d v="2025-06-25T16:15:01"/>
        <d v="2025-06-27T09:58:52"/>
        <d v="2025-06-30T10:35:44"/>
        <d v="2025-07-01T10:15:04"/>
        <d v="2025-07-01T13:29:36"/>
        <d v="2025-07-01T14:47:57"/>
        <d v="2025-07-02T14:13:54"/>
        <d v="2025-07-02T16:10:38"/>
        <d v="2025-07-04T11:24:41"/>
        <d v="2025-07-04T15:31:21"/>
        <d v="2025-07-05T10:20:54"/>
        <d v="2025-07-08T17:52:06"/>
        <d v="2025-07-10T14:53:00"/>
        <d v="2025-07-10T17:01:16"/>
        <d v="2025-07-11T10:11:49"/>
        <d v="2025-07-11T11:13:52"/>
        <d v="2025-07-14T12:16:15"/>
        <d v="2025-07-14T12:18:27"/>
        <d v="2025-07-14T12:20:22"/>
        <d v="2025-07-14T12:21:26"/>
        <d v="2025-07-14T12:22:15"/>
        <d v="2025-07-14T15:18:19"/>
        <d v="2025-07-15T13:07:30"/>
        <d v="2025-07-15T13:08:39"/>
        <d v="2025-07-16T15:22:50"/>
        <d v="2025-07-16T16:43:40"/>
        <d v="2025-07-16T16:44:37"/>
        <d v="2025-07-17T11:05:43"/>
        <d v="2025-07-17T12:00:14"/>
        <d v="2025-07-17T16:25:30"/>
        <d v="2025-07-17T16:52:10"/>
        <d v="2025-07-18T13:32:12"/>
        <d v="2025-07-18T15:17:34"/>
        <d v="2025-07-21T10:50:22"/>
        <d v="2025-07-24T13:34:30"/>
        <d v="2025-07-24T16:32:37"/>
        <d v="2025-07-29T14:53:51"/>
        <d v="2025-07-29T14:54:38"/>
        <d v="2025-07-29T14:56:04"/>
        <d v="2025-07-30T09:54:51"/>
        <d v="2025-07-30T09:55:32"/>
        <d v="2025-07-30T18:31:20"/>
        <d v="2025-07-30T18:31:54"/>
        <d v="2025-07-30T18:32:29"/>
        <d v="2025-07-30T18:33:11"/>
        <d v="2025-07-31T10:05:07"/>
        <d v="2025-07-31T10:06:01"/>
        <d v="2025-07-31T10:06:44"/>
        <d v="2025-07-31T10:07:58"/>
        <d v="2025-07-31T10:08:47"/>
        <d v="2025-07-31T10:09:30"/>
        <d v="2025-07-31T10:10:18"/>
        <d v="2025-07-31T10:12:14"/>
        <d v="2025-07-31T10:13:19"/>
        <d v="2025-07-31T10:14:11"/>
        <d v="2025-07-31T10:19:49"/>
        <d v="2025-07-31T10:20:52"/>
        <d v="2025-08-05T12:46:07"/>
        <d v="2025-08-05T15:52:36"/>
        <d v="2025-08-06T15:15:47"/>
        <d v="2025-08-08T17:49:11"/>
        <d v="2025-08-11T11:48:59"/>
        <d v="2025-08-14T11:16:17"/>
        <d v="2025-08-14T13:08:09"/>
        <d v="2025-08-14T13:59:38"/>
        <d v="2025-08-15T14:38:46"/>
        <d v="2025-08-16T13:05:18"/>
        <d v="2025-08-18T14:44:20"/>
        <d v="2025-08-18T15:25:34"/>
        <d v="2025-08-18T18:14:17"/>
        <d v="2025-08-19T16:05:39"/>
        <d v="2025-08-19T16:06:17"/>
        <d v="2025-08-19T16:06:52"/>
        <d v="2025-08-20T10:22:07"/>
        <d v="2025-08-20T13:09:57"/>
        <d v="2025-08-20T13:10:30"/>
        <d v="2025-08-20T13:11:07"/>
        <d v="2025-08-20T13:12:30"/>
        <d v="2025-08-20T18:01:50"/>
        <d v="2025-08-21T13:11:33"/>
        <d v="2025-08-22T11:12:13"/>
        <d v="2025-08-25T11:13:11"/>
        <d v="2025-08-25T14:46:20"/>
        <d v="2025-08-28T10:39:11"/>
        <d v="2025-08-28T11:59:59"/>
        <d v="2025-08-28T12:16:48"/>
        <d v="2025-08-28T19:11:30"/>
        <d v="2025-08-29T16:05:56"/>
        <d v="2025-09-02T11:57:02"/>
        <d v="2025-09-02T16:12:01"/>
        <d v="2025-09-04T10:17:53"/>
        <d v="2025-09-08T09:32:38"/>
        <d v="2025-09-08T09:33:10"/>
        <d v="2025-09-08T09:33:44"/>
        <d v="2025-09-08T09:34:22"/>
        <d v="2025-09-08T13:05:45"/>
        <d v="2025-09-08T13:06:23"/>
        <d v="2025-09-08T13:07:14"/>
        <d v="2025-09-08T13:08:59"/>
        <d v="2025-09-09T13:03:14"/>
        <d v="2025-09-09T14:54:19"/>
        <d v="2025-09-10T10:02:57"/>
        <d v="2025-09-10T10:04:23"/>
        <d v="2025-09-10T12:34:52"/>
        <d v="2025-09-10T16:57:36"/>
        <d v="2025-09-12T11:07:10"/>
        <d v="2025-09-12T11:48:57"/>
        <d v="2025-09-15T10:10:00"/>
        <d v="2025-09-15T11:08:16"/>
        <d v="2025-09-15T12:40:43"/>
        <d v="2025-09-16T14:37:22"/>
        <d v="2025-09-18T13:35:10"/>
        <d v="2025-09-18T15:26:46"/>
        <d v="2025-09-18T15:58:32"/>
        <d v="2025-09-18T17:24:49"/>
        <d v="2025-09-19T15:10:09"/>
        <d v="2025-09-19T17:32:15"/>
        <d v="2025-09-21T10:56:02"/>
        <d v="2025-09-22T11:02:20"/>
        <d v="2025-09-22T12:14:51"/>
        <d v="2025-09-22T12:27:55"/>
        <d v="2025-09-22T15:48:19"/>
        <d v="2025-09-22T17:16:25"/>
        <d v="2025-09-23T13:19:15"/>
        <d v="2025-09-23T13:32:12"/>
        <d v="2025-09-23T15:15:14"/>
        <d v="2025-09-24T13:18:11"/>
        <d v="2025-09-25T11:11:13"/>
        <d v="2025-09-26T10:09:34"/>
        <d v="2025-09-26T11:18:34"/>
        <d v="2025-09-29T11:51:27"/>
        <d v="2025-09-29T12:31:11"/>
        <d v="2025-09-29T17:14:59"/>
        <d v="2025-09-30T15:45:45"/>
        <d v="2025-09-30T15:47:37"/>
        <d v="2025-10-02T11:55:49"/>
        <d v="2025-10-03T12:10:43"/>
        <d v="2025-10-03T13:42:04"/>
        <d v="2025-10-06T13:36:34"/>
        <d v="2025-10-06T14:57:56"/>
        <d v="2025-10-07T12:14:05"/>
        <d v="2025-10-07T16:13:26"/>
        <d v="2025-10-09T10:22:29"/>
        <d v="2025-10-09T15:22:07"/>
        <d v="2025-10-09T15:43:13"/>
        <d v="2025-10-10T15:19:57"/>
        <d v="2025-10-11T12:02:25"/>
        <d v="2025-10-13T11:12:09"/>
        <d v="2025-10-13T11:12:44"/>
        <d v="2025-10-13T15:15:34"/>
        <d v="2025-10-14T13:34:56"/>
        <d v="2025-10-14T13:59:33"/>
        <d v="2025-10-14T16:03:43"/>
        <d v="2025-10-15T12:34:30"/>
        <d v="2025-10-16T10:54:07"/>
        <d v="2025-10-17T14:58:05"/>
        <d v="2025-10-17T17:35:41"/>
        <d v="2025-10-20T13:14:30"/>
        <d v="2025-10-20T13:31:20"/>
        <d v="2025-10-20T15:35:55"/>
        <d v="2025-10-20T19:01:29"/>
        <d v="2025-10-22T15:38:01"/>
        <d v="2025-10-24T16:27:38"/>
        <d v="2025-10-28T11:19:36"/>
        <d v="2025-10-28T12:14:40"/>
        <d v="2025-10-29T12:28:12"/>
        <d v="2025-10-29T13:05:53"/>
        <d v="2025-10-29T18:14:36"/>
        <d v="2025-10-30T12:27:21"/>
        <d v="2025-10-30T15:51:24"/>
        <d v="2025-10-31T12:30:20"/>
        <d v="2025-11-03T10:09:11"/>
        <d v="2025-11-04T15:30:59"/>
        <d v="2025-11-04T16:01:42"/>
        <d v="2025-11-05T15:45:35"/>
        <d v="2025-11-06T13:41:25"/>
        <d v="2025-11-10T13:47:41"/>
        <d v="2025-11-11T10:30:23"/>
        <d v="2025-11-11T11:42:03"/>
        <d v="2025-11-11T11:42:39"/>
        <d v="2025-11-11T13:33:43"/>
        <d v="2025-11-12T10:58:10"/>
        <d v="2025-11-12T15:19:02"/>
        <d v="2025-11-13T10:27:50"/>
        <d v="2025-11-13T10:28:28"/>
        <d v="2025-11-13T14:36:46"/>
        <d v="2025-11-13T16:57:05"/>
        <d v="2025-11-14T11:02:16"/>
        <d v="2025-11-14T15:04:23"/>
        <d v="2025-11-18T12:49:19"/>
        <d v="2025-11-19T15:31:50"/>
        <d v="2025-11-20T10:16:39"/>
        <d v="2025-11-21T12:23:09"/>
        <d v="2025-11-21T18:20:12"/>
        <d v="2025-11-23T17:20:25"/>
        <d v="2025-11-24T11:31:04"/>
        <d v="2025-11-24T15:53:57"/>
        <d v="2025-11-25T13:59:23"/>
        <d v="2025-11-25T14:23:56"/>
        <d v="2025-11-25T15:22:11"/>
        <d v="2025-11-26T12:29:07"/>
        <d v="2025-11-26T14:52:04"/>
        <d v="2025-11-26T14:52:40"/>
        <d v="2025-11-26T14:53:24"/>
        <d v="2025-11-26T14:54:37"/>
        <d v="2025-11-26T16:22:13"/>
        <d v="2025-11-28T12:09:07"/>
        <d v="2025-11-28T14:13:43"/>
        <d v="2025-12-01T11:40:10"/>
        <d v="2025-12-01T13:21:29"/>
        <d v="2025-12-01T13:48:01"/>
        <d v="2025-12-02T15:47:15"/>
        <d v="2025-12-03T12:33:34"/>
        <d v="2025-12-03T16:47:38"/>
        <d v="2025-12-05T12:50:12"/>
        <d v="2025-12-05T16:06:27"/>
        <d v="2025-12-07T14:12:34"/>
        <d v="2025-12-08T10:04:00"/>
        <m/>
        <d v="2025-02-20T13:02:58" u="1"/>
        <d v="2025-03-19T11:17:49" u="1"/>
        <d v="2025-10-29T12:28:11" u="1"/>
        <d v="2024-06-24T15:22:20" u="1"/>
        <d v="2025-04-07T15:48:33" u="1"/>
        <d v="2025-06-23T11:14:17" u="1"/>
        <d v="2024-06-17T17:15:27" u="1"/>
        <d v="2024-07-24T12:17:07" u="1"/>
        <d v="2025-07-14T12:22:14" u="1"/>
        <d v="2025-09-12T11:48:56" u="1"/>
        <d v="2025-04-07T15:43:14" u="1"/>
        <d v="2025-07-04T15:31:20" u="1"/>
        <d v="2025-09-02T11:57:01" u="1"/>
        <d v="2024-07-06T12:41:54" u="1"/>
        <d v="2025-11-19T15:31:49" u="1"/>
        <d v="2025-02-03T15:27:59" u="1"/>
        <d v="2025-04-24T17:15:22" u="1"/>
        <d v="2024-09-17T11:09:02" u="1"/>
        <d v="2025-08-18T18:14:16" u="1"/>
        <d v="2025-06-15T12:56:45" u="1"/>
        <d v="2025-08-14T13:59:37" u="1"/>
        <d v="2025-09-04T10:17:52" u="1"/>
        <d v="2025-10-13T15:15:33" u="1"/>
        <d v="2025-01-27T17:19:12" u="1"/>
        <d v="2025-04-22T13:25:50" u="1"/>
        <d v="2024-11-13T12:20:52" u="1"/>
        <d v="2024-06-18T15:32:40" u="1"/>
        <d v="2025-11-10T13:47:40" u="1"/>
        <d v="2025-05-19T14:48:39" u="1"/>
        <d v="2025-02-18T10:42:54" u="1"/>
        <d v="2024-06-24T16:36:43" u="1"/>
        <d v="2025-03-11T10:52:22" u="1"/>
        <d v="2025-04-19T13:55:19" u="1"/>
        <d v="2025-05-19T12:12:28" u="1"/>
        <d v="2025-02-18T15:28:19" u="1"/>
        <d v="2025-06-13T15:42:02" u="1"/>
        <d v="2025-07-01T10:15:03" u="1"/>
        <d v="2025-11-26T14:54:36" u="1"/>
        <d v="2025-05-29T13:33:55" u="1"/>
        <d v="2025-06-06T14:12:17" u="1"/>
        <d v="2025-05-21T12:18:59" u="1"/>
        <d v="2025-10-24T16:27:37" u="1"/>
        <d v="2024-06-25T14:31:23" u="1"/>
        <d v="2025-08-28T19:11:29" u="1"/>
        <d v="2024-11-21T12:40:55" u="1"/>
        <d v="2024-11-29T18:24:59" u="1"/>
        <d v="2025-03-26T16:55:16" u="1"/>
        <d v="2025-08-20T10:22:06" u="1"/>
        <d v="2025-11-13T16:57:04" u="1"/>
        <d v="2024-08-28T12:04:39" u="1"/>
        <d v="2025-10-28T11:19:35" u="1"/>
        <d v="2025-05-05T12:15:54" u="1"/>
        <d v="2024-10-18T14:35:29" u="1"/>
        <d v="2025-05-14T13:44:23" u="1"/>
        <d v="2025-05-27T12:50:06" u="1"/>
        <d v="2025-02-10T13:41:22" u="1"/>
        <d v="2024-07-11T16:01:33" u="1"/>
        <d v="2024-07-18T10:14:57" u="1"/>
        <d v="2024-06-20T16:26:58" u="1"/>
        <d v="2025-04-28T10:44:31" u="1"/>
        <d v="2025-03-14T18:07:51" u="1"/>
        <d v="2024-06-26T14:27:17" u="1"/>
        <d v="2024-07-26T12:30:06" u="1"/>
        <d v="2025-06-24T14:58:07" u="1"/>
        <d v="2025-11-26T12:29:06" u="1"/>
        <d v="2024-07-12T13:46:57" u="1"/>
        <d v="2024-09-03T11:19:04" u="1"/>
        <d v="2025-05-19T17:03:00" u="1"/>
        <d v="2024-09-05T10:41:41" u="1"/>
        <d v="2025-03-15T14:34:41" u="1"/>
        <d v="2024-06-21T12:32:27" u="1"/>
        <d v="2025-02-18T10:33:24" u="1"/>
        <d v="2025-07-14T12:20:21" u="1"/>
        <d v="2025-03-19T11:04:06" u="1"/>
        <d v="2024-07-29T12:24:35" u="1"/>
        <d v="2025-10-31T12:30:19" u="1"/>
        <d v="2025-04-01T16:55:50" u="1"/>
        <d v="2024-12-18T13:19:27" u="1"/>
        <d v="2025-01-19T12:24:01" u="1"/>
        <d v="2024-06-17T17:15:01" u="1"/>
        <d v="2025-03-15T14:38:38" u="1"/>
        <d v="2025-03-03T13:46:28" u="1"/>
        <d v="2025-02-22T10:24:06" u="1"/>
        <d v="2024-06-06T16:02:32" u="1"/>
        <d v="2025-06-02T12:29:19" u="1"/>
        <d v="2025-02-08T13:44:58" u="1"/>
        <d v="2025-07-16T15:22:49" u="1"/>
        <d v="2024-06-08T15:23:53" u="1"/>
        <d v="2025-01-22T12:29:17" u="1"/>
        <d v="2025-10-16T10:54:06" u="1"/>
        <d v="2025-03-19T11:05:16" u="1"/>
        <d v="2025-10-09T15:43:12" u="1"/>
        <d v="2025-11-11T11:42:02" u="1"/>
        <d v="2025-12-02T15:47:14" u="1"/>
        <d v="2025-10-29T13:05:52" u="1"/>
        <d v="2024-10-30T15:04:37" u="1"/>
        <d v="2024-09-24T10:19:15" u="1"/>
        <d v="2025-08-14T11:16:16" u="1"/>
        <d v="2025-09-23T15:15:13" u="1"/>
        <d v="2025-07-29T14:53:50" u="1"/>
        <d v="2024-09-17T13:18:53" u="1"/>
        <d v="2025-09-29T11:51:26" u="1"/>
        <d v="2024-07-11T16:06:36" u="1"/>
        <d v="2024-10-18T17:00:22" u="1"/>
        <d v="2025-04-10T17:41:16" u="1"/>
        <d v="2024-06-17T17:12:08" u="1"/>
        <d v="2024-07-29T12:36:28" u="1"/>
        <d v="2025-07-30T18:32:28" u="1"/>
        <d v="2025-07-14T12:21:25" u="1"/>
        <d v="2025-07-17T16:25:29" u="1"/>
        <d v="2025-04-10T17:46:31" u="1"/>
        <d v="2025-05-30T14:39:06" u="1"/>
        <d v="2025-03-19T11:17:13" u="1"/>
        <d v="2025-05-20T13:58:46" u="1"/>
        <d v="2024-10-03T16:47:01" u="1"/>
        <d v="2025-04-22T15:41:24" u="1"/>
        <d v="2025-03-19T11:10:25" u="1"/>
        <d v="2024-12-26T11:41:58" u="1"/>
        <d v="2024-06-17T17:13:20" u="1"/>
        <d v="2025-03-19T11:09:09" u="1"/>
        <d v="2025-08-14T13:08:08" u="1"/>
        <d v="2025-04-28T10:03:50" u="1"/>
        <d v="2025-09-29T17:14:58" u="1"/>
        <d v="2024-08-16T11:57:36" u="1"/>
        <d v="2025-12-03T12:33:33" u="1"/>
        <d v="2024-07-16T12:13:21" u="1"/>
        <d v="2024-10-29T17:07:13" u="1"/>
        <d v="2024-07-03T16:10:23" u="1"/>
        <d v="2025-10-30T15:51:23" u="1"/>
        <d v="2025-03-19T10:53:16" u="1"/>
        <d v="2025-02-19T14:53:12" u="1"/>
        <d v="2025-06-27T09:58:51" u="1"/>
        <d v="2024-06-10T14:13:09" u="1"/>
        <d v="2024-10-31T17:09:43" u="1"/>
        <d v="2025-04-07T15:39:34" u="1"/>
        <d v="2025-03-04T11:02:02" u="1"/>
        <d v="2025-03-19T10:58:29" u="1"/>
        <d v="2025-07-31T10:09:29" u="1"/>
        <d v="2024-07-11T16:42:33" u="1"/>
        <d v="2025-05-06T16:08:43" u="1"/>
        <d v="2024-08-27T10:58:55" u="1"/>
        <d v="2025-10-20T19:01:28" u="1"/>
        <d v="2025-03-11T14:30:14" u="1"/>
        <d v="2024-06-17T17:09:11" u="1"/>
        <d v="2025-03-19T10:55:42" u="1"/>
        <d v="2025-01-27T15:58:27" u="1"/>
        <d v="2024-10-14T17:38:45" u="1"/>
        <d v="2025-04-19T20:04:49" u="1"/>
        <d v="2025-02-18T10:42:18" u="1"/>
        <d v="2025-03-17T11:11:29" u="1"/>
        <d v="2025-02-13T11:22:08" u="1"/>
        <d v="2025-05-12T15:21:03" u="1"/>
        <d v="2024-11-22T11:41:40" u="1"/>
        <d v="2024-06-21T13:27:47" u="1"/>
        <d v="2024-12-09T12:07:54" u="1"/>
        <d v="2025-05-30T13:45:25" u="1"/>
        <d v="2025-05-05T17:52:49" u="1"/>
        <d v="2025-04-26T14:45:17" u="1"/>
        <d v="2025-09-22T15:48:18" u="1"/>
        <d v="2025-11-06T13:41:24" u="1"/>
        <d v="2025-01-27T15:59:39" u="1"/>
        <d v="2024-10-14T17:54:45" u="1"/>
        <d v="2024-11-04T14:00:57" u="1"/>
        <d v="2024-06-17T17:11:37" u="1"/>
        <d v="2025-05-30T11:28:03" u="1"/>
        <d v="2024-06-26T17:17:16" u="1"/>
        <d v="2025-06-19T10:17:09" u="1"/>
        <d v="2024-06-21T12:34:29" u="1"/>
        <d v="2025-05-14T13:47:37" u="1"/>
        <d v="2025-03-14T10:23:23" u="1"/>
        <d v="2025-09-16T14:37:21" u="1"/>
        <d v="2025-09-23T13:32:11" u="1"/>
        <d v="2024-06-17T17:10:19" u="1"/>
        <d v="2025-09-22T12:27:54" u="1"/>
        <d v="2025-05-19T16:31:36" u="1"/>
        <d v="2024-07-05T17:05:55" u="1"/>
        <d v="2025-10-09T10:22:28" u="1"/>
        <d v="2024-08-24T11:05:15" u="1"/>
        <d v="2025-05-16T18:27:32" u="1"/>
        <d v="2025-08-08T17:49:10" u="1"/>
        <d v="2025-02-26T12:32:45" u="1"/>
        <d v="2025-07-30T18:31:53" u="1"/>
        <d v="2024-09-09T11:04:49" u="1"/>
        <d v="2025-03-19T11:16:38" u="1"/>
        <d v="2025-07-31T10:13:18" u="1"/>
        <d v="2025-04-10T17:44:40" u="1"/>
        <d v="2025-05-19T17:00:42" u="1"/>
        <d v="2024-07-02T16:47:29" u="1"/>
        <d v="2025-07-14T15:18:18" u="1"/>
        <d v="2025-06-22T10:36:56" u="1"/>
        <d v="2024-06-17T12:17:01" u="1"/>
        <d v="2025-12-05T16:06:26" u="1"/>
        <d v="2025-05-27T10:00:48" u="1"/>
        <d v="2025-10-20T15:35:54" u="1"/>
        <d v="2025-11-13T10:27:49" u="1"/>
        <d v="2024-07-29T12:32:03" u="1"/>
        <d v="2024-07-16T12:14:17" u="1"/>
        <d v="2025-08-28T11:59:58" u="1"/>
        <d v="2025-01-28T11:02:02" u="1"/>
        <d v="2025-02-24T10:55:29" u="1"/>
        <d v="2024-12-03T14:20:55" u="1"/>
        <d v="2025-04-25T15:11:27" u="1"/>
        <d v="2024-06-10T18:31:25" u="1"/>
        <d v="2024-10-18T14:39:49" u="1"/>
        <d v="2025-10-15T12:34:29" u="1"/>
        <d v="2025-10-20T13:14:29" u="1"/>
        <d v="2025-03-13T13:32:30" u="1"/>
        <d v="2024-07-29T12:36:00" u="1"/>
        <d v="2025-08-25T11:13:10" u="1"/>
        <d v="2024-06-24T16:37:07" u="1"/>
        <d v="2024-07-18T11:12:44" u="1"/>
        <d v="2025-02-17T11:52:33" u="1"/>
        <d v="2024-08-19T15:27:37" u="1"/>
        <d v="2025-04-08T12:59:18" u="1"/>
        <d v="2025-08-19T16:06:16" u="1"/>
        <d v="2024-09-18T11:16:51" u="1"/>
        <d v="2025-01-27T13:16:28" u="1"/>
        <d v="2025-07-15T13:08:38" u="1"/>
        <d v="2024-07-18T09:49:04" u="1"/>
        <d v="2024-09-23T18:05:06" u="1"/>
        <d v="2025-06-05T11:38:00" u="1"/>
        <d v="2025-06-10T14:30:03" u="1"/>
        <d v="2024-11-16T11:12:54" u="1"/>
        <d v="2025-07-21T10:50:21" u="1"/>
        <d v="2025-11-11T10:30:22" u="1"/>
        <d v="2025-07-30T18:33:10" u="1"/>
        <d v="2025-09-09T14:54:18" u="1"/>
        <d v="2025-03-19T11:02:52" u="1"/>
        <d v="2024-11-29T15:49:27" u="1"/>
        <d v="2025-01-22T12:25:37" u="1"/>
        <d v="2024-07-10T17:40:37" u="1"/>
        <d v="2025-05-06T10:36:24" u="1"/>
        <d v="2025-04-07T15:01:28" u="1"/>
        <d v="2025-07-31T10:20:51" u="1"/>
        <d v="2025-08-05T12:46:06" u="1"/>
        <d v="2024-07-02T13:27:10" u="1"/>
        <d v="2025-02-27T16:22:59" u="1"/>
        <d v="2025-02-28T11:25:45" u="1"/>
        <d v="2025-03-11T09:38:51" u="1"/>
        <d v="2024-07-19T10:24:40" u="1"/>
        <d v="2025-11-26T14:53:23" u="1"/>
        <d v="2024-09-17T18:31:32" u="1"/>
        <d v="2024-09-06T10:03:14" u="1"/>
        <d v="2024-10-11T15:22:12" u="1"/>
        <d v="2024-08-29T11:47:42" u="1"/>
        <d v="2025-07-31T10:08:46" u="1"/>
        <d v="2024-08-20T16:25:59" u="1"/>
        <d v="2025-02-18T15:03:59" u="1"/>
        <d v="2024-11-08T10:05:54" u="1"/>
        <d v="2025-09-08T09:32:37" u="1"/>
        <d v="2025-05-23T15:47:24" u="1"/>
        <d v="2024-07-25T13:49:03" u="1"/>
        <d v="2024-06-17T17:04:27" u="1"/>
        <d v="2025-08-28T12:16:47" u="1"/>
        <d v="2025-05-05T17:50:52" u="1"/>
        <d v="2024-07-29T12:22:14" u="1"/>
        <d v="2025-09-08T13:05:44" u="1"/>
        <d v="2025-11-26T14:52:03" u="1"/>
        <d v="2024-07-11T16:16:26" u="1"/>
        <d v="2025-03-27T15:49:48" u="1"/>
        <d v="2025-10-09T15:22:06" u="1"/>
        <d v="2025-09-15T12:40:42" u="1"/>
        <d v="2025-05-17T09:44:29" u="1"/>
        <d v="2025-07-16T16:44:36" u="1"/>
        <d v="2024-08-10T13:27:14" u="1"/>
        <d v="2025-10-03T13:42:03" u="1"/>
        <d v="2025-10-06T14:57:55" u="1"/>
        <d v="2024-06-17T17:06:53" u="1"/>
        <d v="2025-11-13T14:36:45" u="1"/>
        <d v="2025-05-23T14:05:39" u="1"/>
        <d v="2025-07-31T10:14:10" u="1"/>
        <d v="2025-11-28T12:09:06" u="1"/>
        <d v="2025-02-15T16:47:59" u="1"/>
        <d v="2025-08-29T16:05:55" u="1"/>
        <d v="2025-05-05T17:55:02" u="1"/>
        <d v="2024-07-11T16:03:03" u="1"/>
        <d v="2024-07-31T17:43:31" u="1"/>
        <d v="2025-09-24T13:18:10" u="1"/>
        <d v="2025-11-04T16:01:41" u="1"/>
        <d v="2025-04-23T11:15:04" u="1"/>
        <d v="2025-12-05T12:50:11" u="1"/>
        <d v="2025-04-28T16:22:56" u="1"/>
        <d v="2025-07-30T09:55:31" u="1"/>
        <d v="2025-03-29T13:02:48" u="1"/>
        <d v="2025-09-08T09:33:43" u="1"/>
        <d v="2025-02-26T15:56:23" u="1"/>
        <d v="2025-03-15T14:33:26" u="1"/>
        <d v="2025-09-10T10:04:22" u="1"/>
        <d v="2024-09-25T12:37:59" u="1"/>
        <d v="2025-09-12T11:07:09" u="1"/>
        <d v="2025-05-15T16:03:56" u="1"/>
        <d v="2025-05-05T10:15:49" u="1"/>
        <d v="2024-07-29T12:34:07" u="1"/>
        <d v="2025-03-19T11:15:53" u="1"/>
        <d v="2025-04-07T15:42:36" u="1"/>
        <d v="2025-02-10T13:53:18" u="1"/>
        <d v="2025-07-31T10:06:00" u="1"/>
        <d v="2024-11-12T10:34:04" u="1"/>
        <d v="2025-07-30T18:31:19" u="1"/>
        <d v="2025-03-07T16:50:32" u="1"/>
        <d v="2024-09-09T11:12:17" u="1"/>
        <d v="2025-03-20T10:00:01" u="1"/>
        <d v="2025-05-21T17:50:52" u="1"/>
        <d v="2024-06-21T12:33:36" u="1"/>
        <d v="2025-08-19T16:06:51" u="1"/>
        <d v="2025-04-04T12:12:53" u="1"/>
        <d v="2025-07-18T15:17:33" u="1"/>
        <d v="2025-10-20T13:31:19" u="1"/>
        <d v="2024-07-10T17:41:31" u="1"/>
        <d v="2024-10-14T18:01:37" u="1"/>
        <d v="2024-06-08T11:25:21" u="1"/>
        <d v="2024-06-26T11:38:56" u="1"/>
        <d v="2025-08-20T13:11:06" u="1"/>
        <d v="2025-09-10T12:34:51" u="1"/>
        <d v="2025-03-28T11:56:19" u="1"/>
        <d v="2024-10-14T17:37:44" u="1"/>
        <d v="2025-02-14T12:30:26" u="1"/>
        <d v="2025-10-03T12:10:42" u="1"/>
        <d v="2025-03-17T11:52:07" u="1"/>
        <d v="2024-09-02T17:29:26" u="1"/>
        <d v="2024-06-10T18:32:07" u="1"/>
        <d v="2025-11-11T13:33:42" u="1"/>
        <d v="2024-06-21T13:28:15" u="1"/>
        <d v="2025-04-10T17:42:31" u="1"/>
        <d v="2025-04-02T13:14:16" u="1"/>
        <d v="2025-05-19T17:00:02" u="1"/>
        <d v="2025-10-14T13:34:55" u="1"/>
        <d v="2025-05-05T17:55:47" u="1"/>
        <d v="2024-06-06T15:58:37" u="1"/>
        <d v="2024-07-09T11:41:24" u="1"/>
        <d v="2025-04-04T14:23:34" u="1"/>
        <d v="2025-07-10T17:01:15" u="1"/>
        <d v="2025-07-11T10:11:48" u="1"/>
        <d v="2025-10-30T12:27:20" u="1"/>
        <d v="2024-09-09T11:10:38" u="1"/>
        <d v="2024-07-11T16:03:46" u="1"/>
        <d v="2025-09-10T16:57:35" u="1"/>
        <d v="2025-06-11T10:41:20" u="1"/>
        <d v="2025-10-07T16:13:25" u="1"/>
        <d v="2024-07-29T12:37:39" u="1"/>
        <d v="2025-09-22T12:14:50" u="1"/>
        <d v="2025-02-15T16:48:55" u="1"/>
        <d v="2025-05-24T16:15:52" u="1"/>
        <d v="2025-08-15T14:38:45" u="1"/>
        <d v="2025-09-02T16:12:00" u="1"/>
        <d v="2025-03-19T13:15:39" u="1"/>
        <d v="2025-06-15T12:56:10" u="1"/>
        <d v="2025-12-08T10:03:59" u="1"/>
        <d v="2024-08-19T12:45:33" u="1"/>
        <d v="2024-11-21T12:40:30" u="1"/>
        <d v="2024-08-06T15:19:45" u="1"/>
        <d v="2025-02-21T10:10:18" u="1"/>
        <d v="2025-08-22T11:12:12" u="1"/>
        <d v="2024-07-29T12:34:50" u="1"/>
        <d v="2025-04-30T16:23:52" u="1"/>
        <d v="2025-09-26T10:09:33" u="1"/>
        <d v="2025-09-29T12:31:10" u="1"/>
        <d v="2025-05-05T17:51:38" u="1"/>
        <d v="2025-04-21T14:06:23" u="1"/>
        <d v="2024-06-24T16:36:10" u="1"/>
        <d v="2025-03-19T10:56:59" u="1"/>
        <d v="2025-03-15T14:41:06" u="1"/>
        <d v="2025-09-30T15:45:44" u="1"/>
        <d v="2025-11-28T14:13:42" u="1"/>
        <d v="2025-01-18T11:46:16" u="1"/>
        <d v="2024-10-14T17:44:16" u="1"/>
        <d v="2025-09-19T17:32:14" u="1"/>
        <d v="2025-07-31T10:07:57" u="1"/>
        <d v="2024-09-05T18:41:18" u="1"/>
        <d v="2024-07-11T16:05:07" u="1"/>
        <d v="2024-09-06T14:32:01" u="1"/>
        <d v="2024-06-06T11:28:49" u="1"/>
        <d v="2025-09-08T13:08:58" u="1"/>
        <d v="2024-06-06T16:05:59" u="1"/>
        <d v="2025-04-02T11:05:47" u="1"/>
        <d v="2025-04-16T11:11:31" u="1"/>
        <d v="2025-03-06T11:12:33" u="1"/>
        <d v="2025-07-30T09:54:50" u="1"/>
        <d v="2024-06-06T16:03:27" u="1"/>
        <d v="2025-03-18T14:05:57" u="1"/>
        <d v="2025-06-02T16:13:55" u="1"/>
        <d v="2024-10-23T12:00:10" u="1"/>
        <d v="2025-06-16T17:53:16" u="1"/>
        <d v="2024-10-28T12:07:01" u="1"/>
        <d v="2024-11-10T11:59:00" u="1"/>
        <d v="2025-06-11T16:57:12" u="1"/>
        <d v="2025-06-06T14:30:16" u="1"/>
        <d v="2024-10-10T16:51:55" u="1"/>
        <d v="2024-07-04T17:29:02" u="1"/>
        <d v="2025-10-02T11:55:48" u="1"/>
        <d v="2025-03-19T11:04:40" u="1"/>
        <d v="2025-04-30T12:48:03" u="1"/>
        <d v="2024-09-09T16:57:20" u="1"/>
        <d v="2024-06-17T17:06:19" u="1"/>
        <d v="2025-11-03T10:09:10" u="1"/>
        <d v="2024-07-02T16:06:08" u="1"/>
        <d v="2024-07-29T12:29:23" u="1"/>
        <d v="2025-08-20T13:10:29" u="1"/>
        <d v="2024-11-05T12:03:40" u="1"/>
        <d v="2025-11-24T11:31:03" u="1"/>
        <d v="2024-12-11T18:33:26" u="1"/>
        <d v="2024-09-17T11:20:01" u="1"/>
        <d v="2024-08-29T11:46:45" u="1"/>
        <d v="2025-06-21T12:20:54" u="1"/>
        <d v="2024-10-17T12:38:39" u="1"/>
        <d v="2025-11-11T11:42:38" u="1"/>
        <d v="2025-04-07T15:20:32" u="1"/>
        <d v="2025-09-08T09:33:09" u="1"/>
        <d v="2025-11-21T18:20:11" u="1"/>
        <d v="2025-02-10T13:42:01" u="1"/>
        <d v="2025-03-19T11:09:51" u="1"/>
        <d v="2024-08-22T11:07:42" u="1"/>
        <d v="2024-07-11T16:31:33" u="1"/>
        <d v="2024-11-16T13:09:17" u="1"/>
        <d v="2025-01-22T12:30:04" u="1"/>
        <d v="2025-07-31T10:19:48" u="1"/>
        <d v="2025-06-25T12:12:52" u="1"/>
        <d v="2025-12-01T13:48:00" u="1"/>
        <d v="2025-05-14T13:48:46" u="1"/>
        <d v="2025-05-05T17:53:54" u="1"/>
        <d v="2025-01-30T13:27:25" u="1"/>
        <d v="2025-07-16T16:43:39" u="1"/>
        <d v="2024-07-29T12:25:16" u="1"/>
        <d v="2025-09-08T09:34:21" u="1"/>
      </sharedItems>
    </cacheField>
    <cacheField name=" " numFmtId="0">
      <sharedItems containsNonDate="0" containsString="0" containsBlank="1"/>
    </cacheField>
    <cacheField name="VIN код" numFmtId="0">
      <sharedItems containsBlank="1"/>
    </cacheField>
    <cacheField name="Прицеп" numFmtId="0">
      <sharedItems containsBlank="1" count="7">
        <s v="Прицеп 2,0*1,25 м  (до 750 кг.)"/>
        <s v="Прицеп 2,5*1,25 м  (до 750 кг.)"/>
        <s v="Прицеп 2,5*1,5 м  (до 750 кг.)"/>
        <s v="Прицеп 3,0*1,5 м  (до 750 кг.)"/>
        <s v="Прицеп 3,5*1,5 м  (до 750 кг.)"/>
        <s v="Прицеп 4,0*1,5 м  (до 750 кг.)"/>
        <m/>
      </sharedItems>
    </cacheField>
    <cacheField name="Борт" numFmtId="0">
      <sharedItems containsBlank="1" containsMixedTypes="1" containsNumber="1" containsInteger="1" minValue="30" maxValue="50" count="4">
        <s v="нет"/>
        <n v="50"/>
        <n v="30"/>
        <m/>
      </sharedItems>
    </cacheField>
    <cacheField name="Колесо" numFmtId="0">
      <sharedItems containsBlank="1"/>
    </cacheField>
    <cacheField name="Ступица" numFmtId="0">
      <sharedItems containsBlank="1"/>
    </cacheField>
    <cacheField name="Тент-каркас" numFmtId="0">
      <sharedItems containsBlank="1" containsMixedTypes="1" containsNumber="1" containsInteger="1" minValue="30" maxValue="150" count="7">
        <s v="нет"/>
        <n v="30"/>
        <n v="60"/>
        <n v="90"/>
        <n v="120"/>
        <n v="150"/>
        <m/>
      </sharedItems>
    </cacheField>
    <cacheField name="Дата выпуска" numFmtId="14">
      <sharedItems containsNonDate="0" containsDate="1" containsString="0" containsBlank="1" minDate="2022-10-07T00:00:00" maxDate="2025-12-06T00:00:00"/>
    </cacheField>
    <cacheField name="Откатное колесо" numFmtId="0">
      <sharedItems containsBlank="1"/>
    </cacheField>
    <cacheField name="Склад" numFmtId="0">
      <sharedItems containsBlank="1" count="4">
        <s v="Кокшетау"/>
        <s v="Алматы"/>
        <s v="Астана"/>
        <m/>
      </sharedItems>
    </cacheField>
    <cacheField name="Количество осей" numFmtId="0">
      <sharedItems containsBlank="1"/>
    </cacheField>
    <cacheField name="Артикул" numFmtId="0">
      <sharedItems containsBlank="1"/>
    </cacheField>
    <cacheField name="Статус" numFmtId="0">
      <sharedItems containsBlank="1" count="3">
        <s v="Продано"/>
        <s v="В наличии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1">
  <r>
    <d v="2024-08-16T17:46:15"/>
    <m/>
    <s v="MX4000003R0001752"/>
    <x v="0"/>
    <x v="0"/>
    <s v="нет"/>
    <s v="R13"/>
    <x v="0"/>
    <d v="2024-08-16T00:00:00"/>
    <s v="есть"/>
    <x v="0"/>
    <s v="1 ось"/>
    <s v="002-2013-OK"/>
    <x v="0"/>
  </r>
  <r>
    <d v="2024-12-06T13:12:03"/>
    <m/>
    <s v="MX4000002R0001856"/>
    <x v="0"/>
    <x v="1"/>
    <s v="R13"/>
    <s v="R13"/>
    <x v="0"/>
    <d v="2024-12-02T00:00:00"/>
    <s v="есть"/>
    <x v="1"/>
    <s v="1 ось"/>
    <s v="002-2013E50Q13-OK"/>
    <x v="0"/>
  </r>
  <r>
    <d v="2024-12-20T10:32:17"/>
    <m/>
    <s v="MX4000002R0001852"/>
    <x v="0"/>
    <x v="1"/>
    <s v="R13"/>
    <s v="R13"/>
    <x v="0"/>
    <d v="2024-12-15T00:00:00"/>
    <s v="есть"/>
    <x v="1"/>
    <s v="1 ось"/>
    <s v="002-2013E50Q13-OK"/>
    <x v="0"/>
  </r>
  <r>
    <d v="2024-11-21T13:35:13"/>
    <m/>
    <s v="MX4000002R0001849"/>
    <x v="0"/>
    <x v="1"/>
    <s v="R13"/>
    <s v="R13"/>
    <x v="0"/>
    <d v="2024-11-21T00:00:00"/>
    <s v="есть"/>
    <x v="1"/>
    <s v="1 ось"/>
    <s v="002-2013E50Q13-OK"/>
    <x v="0"/>
  </r>
  <r>
    <d v="2024-11-21T12:41:23"/>
    <m/>
    <s v="MX4000002R0001848"/>
    <x v="0"/>
    <x v="1"/>
    <s v="R13"/>
    <s v="R13"/>
    <x v="0"/>
    <d v="2024-11-21T00:00:00"/>
    <s v="есть"/>
    <x v="1"/>
    <s v="1 ось"/>
    <s v="002-2013E50Q13-OK"/>
    <x v="0"/>
  </r>
  <r>
    <d v="2024-11-21T12:40:56"/>
    <m/>
    <s v="MX4000002R0001847"/>
    <x v="0"/>
    <x v="1"/>
    <s v="R13"/>
    <s v="R13"/>
    <x v="0"/>
    <d v="2024-11-21T00:00:00"/>
    <s v="есть"/>
    <x v="1"/>
    <s v="1 ось"/>
    <s v="002-2013E50Q13-OK"/>
    <x v="0"/>
  </r>
  <r>
    <d v="2024-11-21T12:40:31"/>
    <m/>
    <s v="MX4000002R0001846"/>
    <x v="0"/>
    <x v="1"/>
    <s v="R13"/>
    <s v="R13"/>
    <x v="0"/>
    <d v="2024-11-21T00:00:00"/>
    <s v="есть"/>
    <x v="1"/>
    <s v="1 ось"/>
    <s v="002-2013E50Q13-OK"/>
    <x v="0"/>
  </r>
  <r>
    <d v="2024-12-11T18:33:27"/>
    <m/>
    <s v="MX4000002R0001838"/>
    <x v="0"/>
    <x v="1"/>
    <s v="R13"/>
    <s v="R13"/>
    <x v="0"/>
    <d v="2024-12-11T00:00:00"/>
    <s v="есть"/>
    <x v="2"/>
    <s v="1 ось"/>
    <s v="002-2013E50Q13-OK"/>
    <x v="0"/>
  </r>
  <r>
    <d v="2024-11-14T15:40:37"/>
    <m/>
    <s v="MX4000002R0001837"/>
    <x v="0"/>
    <x v="1"/>
    <s v="R13"/>
    <s v="R13"/>
    <x v="1"/>
    <d v="2024-11-14T00:00:00"/>
    <s v="есть"/>
    <x v="0"/>
    <s v="1 ось"/>
    <s v="002-2013E50Q13-OK30"/>
    <x v="0"/>
  </r>
  <r>
    <d v="2024-11-08T10:05:55"/>
    <m/>
    <s v="MX4000002R0001836"/>
    <x v="0"/>
    <x v="1"/>
    <s v="R13"/>
    <s v="R13"/>
    <x v="0"/>
    <d v="2024-11-08T00:00:00"/>
    <s v="есть"/>
    <x v="0"/>
    <s v="1 ось"/>
    <s v="002-2013E50Q13-OK"/>
    <x v="0"/>
  </r>
  <r>
    <d v="2024-12-11T19:28:41"/>
    <m/>
    <s v="MX4000002R0001831"/>
    <x v="0"/>
    <x v="2"/>
    <s v="R13"/>
    <s v="R13"/>
    <x v="0"/>
    <d v="2024-12-11T00:00:00"/>
    <s v="есть"/>
    <x v="2"/>
    <s v="1 ось"/>
    <s v="002-2013E30Q13-OK"/>
    <x v="0"/>
  </r>
  <r>
    <d v="2024-12-09T12:07:55"/>
    <m/>
    <s v="MX4000002R0001830"/>
    <x v="0"/>
    <x v="1"/>
    <s v="R13"/>
    <s v="R13"/>
    <x v="0"/>
    <d v="2024-12-02T00:00:00"/>
    <s v="есть"/>
    <x v="2"/>
    <s v="1 ось"/>
    <s v="002-2013E50Q13-OK"/>
    <x v="0"/>
  </r>
  <r>
    <d v="2024-12-03T14:20:56"/>
    <m/>
    <s v="MX4000002R0001827"/>
    <x v="0"/>
    <x v="1"/>
    <s v="R13"/>
    <s v="R13"/>
    <x v="0"/>
    <d v="2024-12-03T00:00:00"/>
    <s v="есть"/>
    <x v="1"/>
    <s v="1 ось"/>
    <s v="002-2013E50Q13-OK"/>
    <x v="0"/>
  </r>
  <r>
    <d v="2024-11-21T12:39:51"/>
    <m/>
    <s v="MX4000002R0001826"/>
    <x v="0"/>
    <x v="1"/>
    <s v="R13"/>
    <s v="R13"/>
    <x v="0"/>
    <d v="2024-11-21T00:00:00"/>
    <s v="есть"/>
    <x v="1"/>
    <s v="1 ось"/>
    <s v="002-2013E50Q13-OK"/>
    <x v="0"/>
  </r>
  <r>
    <d v="2024-11-21T14:26:02"/>
    <m/>
    <s v="MX4000002R0001825"/>
    <x v="0"/>
    <x v="2"/>
    <s v="R13"/>
    <s v="R13"/>
    <x v="0"/>
    <d v="2024-11-21T00:00:00"/>
    <s v="есть"/>
    <x v="1"/>
    <s v="1 ось"/>
    <s v="002-2013E30Q13-OK"/>
    <x v="0"/>
  </r>
  <r>
    <d v="2024-11-21T12:38:53"/>
    <m/>
    <s v="MX4000002R0001824"/>
    <x v="0"/>
    <x v="1"/>
    <s v="R13"/>
    <s v="R13"/>
    <x v="0"/>
    <d v="2024-11-21T00:00:00"/>
    <s v="есть"/>
    <x v="1"/>
    <s v="1 ось"/>
    <s v="002-2013E50Q13-OK"/>
    <x v="0"/>
  </r>
  <r>
    <d v="2024-12-26T11:41:59"/>
    <m/>
    <s v="MX4000002R0001823"/>
    <x v="0"/>
    <x v="2"/>
    <s v="R13"/>
    <s v="R13"/>
    <x v="0"/>
    <d v="2024-12-26T00:00:00"/>
    <s v="есть"/>
    <x v="1"/>
    <s v="1 ось"/>
    <s v="002-2013E30Q13-OK"/>
    <x v="0"/>
  </r>
  <r>
    <d v="2024-12-18T13:19:28"/>
    <m/>
    <s v="MX4000002R0001822"/>
    <x v="0"/>
    <x v="1"/>
    <s v="R13"/>
    <s v="R13"/>
    <x v="0"/>
    <d v="2024-12-03T00:00:00"/>
    <s v="есть"/>
    <x v="1"/>
    <s v="1 ось"/>
    <s v="002-2013E50Q13-OK"/>
    <x v="0"/>
  </r>
  <r>
    <d v="2024-11-21T12:39:25"/>
    <m/>
    <s v="MX4000002R0001821"/>
    <x v="0"/>
    <x v="1"/>
    <s v="R13"/>
    <s v="R13"/>
    <x v="0"/>
    <d v="2024-11-21T00:00:00"/>
    <s v="есть"/>
    <x v="1"/>
    <s v="1 ось"/>
    <s v="002-2013E50Q13-OK"/>
    <x v="0"/>
  </r>
  <r>
    <d v="2024-11-13T12:20:53"/>
    <m/>
    <s v="MX4000002R0001820"/>
    <x v="0"/>
    <x v="1"/>
    <s v="R13"/>
    <s v="R13"/>
    <x v="0"/>
    <d v="2024-11-13T00:00:00"/>
    <s v="есть"/>
    <x v="1"/>
    <s v="1 ось"/>
    <s v="002-2013E50Q13-OK"/>
    <x v="0"/>
  </r>
  <r>
    <d v="2024-10-23T12:00:11"/>
    <m/>
    <s v="MX4000002R0001817"/>
    <x v="0"/>
    <x v="1"/>
    <s v="R13"/>
    <s v="R13"/>
    <x v="1"/>
    <d v="2024-10-23T00:00:00"/>
    <s v="есть"/>
    <x v="0"/>
    <s v="1 ось"/>
    <s v="002-2013E50Q13-OK30"/>
    <x v="0"/>
  </r>
  <r>
    <d v="2024-10-18T14:39:50"/>
    <m/>
    <s v="MX4000002R0001816"/>
    <x v="0"/>
    <x v="1"/>
    <s v="R13"/>
    <s v="R13"/>
    <x v="1"/>
    <d v="2024-10-18T00:00:00"/>
    <s v="есть"/>
    <x v="2"/>
    <s v="1 ось"/>
    <s v="002-2013E50Q13-OK30"/>
    <x v="0"/>
  </r>
  <r>
    <d v="2024-10-18T14:35:30"/>
    <m/>
    <s v="MX4000002R0001815"/>
    <x v="0"/>
    <x v="2"/>
    <s v="R13"/>
    <s v="R13"/>
    <x v="2"/>
    <d v="2024-10-18T00:00:00"/>
    <s v="есть"/>
    <x v="2"/>
    <s v="1 ось"/>
    <s v="002-2013E30Q13-OK60"/>
    <x v="0"/>
  </r>
  <r>
    <d v="2024-10-14T17:37:45"/>
    <m/>
    <s v="MX4000002R0001813"/>
    <x v="0"/>
    <x v="2"/>
    <s v="R13"/>
    <s v="R13"/>
    <x v="0"/>
    <d v="2024-10-14T00:00:00"/>
    <s v="есть"/>
    <x v="2"/>
    <s v="1 ось"/>
    <s v="002-2013E30Q13-OK"/>
    <x v="0"/>
  </r>
  <r>
    <d v="2024-10-14T17:36:35"/>
    <m/>
    <s v="MX4000002R0001812"/>
    <x v="0"/>
    <x v="1"/>
    <s v="R13"/>
    <s v="R13"/>
    <x v="0"/>
    <d v="2024-10-14T00:00:00"/>
    <s v="есть"/>
    <x v="2"/>
    <s v="1 ось"/>
    <s v="002-2013E50Q13-OK"/>
    <x v="0"/>
  </r>
  <r>
    <d v="2024-10-10T16:51:56"/>
    <m/>
    <s v="MX4000002R0001811"/>
    <x v="0"/>
    <x v="1"/>
    <s v="R13"/>
    <s v="R13"/>
    <x v="0"/>
    <d v="2024-10-10T00:00:00"/>
    <s v="есть"/>
    <x v="0"/>
    <s v="1 ось"/>
    <s v="002-2013E50Q13-OK"/>
    <x v="0"/>
  </r>
  <r>
    <d v="2024-10-14T18:01:38"/>
    <m/>
    <s v="MX4000002R0001804"/>
    <x v="0"/>
    <x v="1"/>
    <s v="R13"/>
    <s v="R13"/>
    <x v="0"/>
    <d v="2024-10-14T00:00:00"/>
    <s v="есть"/>
    <x v="2"/>
    <s v="1 ось"/>
    <s v="002-2013E50Q13-OK"/>
    <x v="0"/>
  </r>
  <r>
    <d v="2024-10-14T18:02:40"/>
    <m/>
    <s v="MX4000002R0001803"/>
    <x v="0"/>
    <x v="2"/>
    <s v="R13"/>
    <s v="R13"/>
    <x v="2"/>
    <d v="2024-10-14T00:00:00"/>
    <s v="есть"/>
    <x v="2"/>
    <s v="1 ось"/>
    <s v="002-2013E30Q13-OK60"/>
    <x v="0"/>
  </r>
  <r>
    <d v="2024-10-03T11:32:40"/>
    <m/>
    <s v="MX4000002R0001802"/>
    <x v="0"/>
    <x v="1"/>
    <s v="R13"/>
    <s v="R13"/>
    <x v="1"/>
    <d v="2024-10-03T00:00:00"/>
    <s v="есть"/>
    <x v="0"/>
    <s v="1 ось"/>
    <s v="002-2013E50Q13-OK30"/>
    <x v="0"/>
  </r>
  <r>
    <d v="2024-10-14T17:54:46"/>
    <m/>
    <s v="MX4000002R0001801"/>
    <x v="0"/>
    <x v="1"/>
    <s v="R13"/>
    <s v="R13"/>
    <x v="1"/>
    <d v="2024-10-14T00:00:00"/>
    <s v="есть"/>
    <x v="2"/>
    <s v="1 ось"/>
    <s v="002-2013E50Q13-OK30"/>
    <x v="0"/>
  </r>
  <r>
    <d v="2024-10-14T17:55:52"/>
    <m/>
    <s v="MX4000002R0001800"/>
    <x v="0"/>
    <x v="1"/>
    <s v="R15"/>
    <s v="R15"/>
    <x v="1"/>
    <d v="2024-10-14T00:00:00"/>
    <s v="есть"/>
    <x v="2"/>
    <s v="1 ось"/>
    <s v="002-2013E50Q15-OK30"/>
    <x v="0"/>
  </r>
  <r>
    <d v="2024-11-16T11:12:55"/>
    <m/>
    <s v="MX4000002R0001790"/>
    <x v="0"/>
    <x v="1"/>
    <s v="R13"/>
    <s v="R13"/>
    <x v="0"/>
    <d v="2024-11-16T00:00:00"/>
    <s v="есть"/>
    <x v="1"/>
    <s v="1 ось"/>
    <s v="002-2013E50Q13-OK"/>
    <x v="0"/>
  </r>
  <r>
    <d v="2024-11-13T10:48:00"/>
    <m/>
    <s v="MX4000002R0001789"/>
    <x v="0"/>
    <x v="1"/>
    <s v="R13"/>
    <s v="R13"/>
    <x v="0"/>
    <d v="2024-11-13T00:00:00"/>
    <s v="есть"/>
    <x v="1"/>
    <s v="1 ось"/>
    <s v="002-2013E50Q13-OK"/>
    <x v="0"/>
  </r>
  <r>
    <d v="2024-11-10T12:46:03"/>
    <m/>
    <s v="MX4000002R0001788"/>
    <x v="0"/>
    <x v="2"/>
    <s v="R13"/>
    <s v="R13"/>
    <x v="0"/>
    <d v="2024-11-10T00:00:00"/>
    <s v="есть"/>
    <x v="1"/>
    <s v="1 ось"/>
    <s v="002-2013E30Q13-OK"/>
    <x v="0"/>
  </r>
  <r>
    <d v="2024-10-11T15:22:13"/>
    <m/>
    <s v="MX4000002R0001787"/>
    <x v="0"/>
    <x v="1"/>
    <s v="R13"/>
    <s v="R13"/>
    <x v="0"/>
    <d v="2024-10-11T00:00:00"/>
    <s v="есть"/>
    <x v="1"/>
    <s v="1 ось"/>
    <s v="002-2013E50Q13-OK"/>
    <x v="0"/>
  </r>
  <r>
    <d v="2024-11-04T14:00:58"/>
    <m/>
    <s v="MX4000002R0001786"/>
    <x v="0"/>
    <x v="1"/>
    <s v="R13"/>
    <s v="R13"/>
    <x v="0"/>
    <d v="2024-11-04T00:00:00"/>
    <s v="есть"/>
    <x v="1"/>
    <s v="1 ось"/>
    <s v="002-2013E50Q13-OK"/>
    <x v="0"/>
  </r>
  <r>
    <d v="2024-11-05T18:14:08"/>
    <m/>
    <s v="MX4000002R0001785"/>
    <x v="0"/>
    <x v="1"/>
    <s v="R13"/>
    <s v="R13"/>
    <x v="0"/>
    <d v="2024-11-04T00:00:00"/>
    <s v="есть"/>
    <x v="1"/>
    <s v="1 ось"/>
    <s v="002-2013E50Q13-OK"/>
    <x v="0"/>
  </r>
  <r>
    <d v="2024-11-10T11:59:01"/>
    <m/>
    <s v="MX4000002R0001784"/>
    <x v="0"/>
    <x v="2"/>
    <s v="R13"/>
    <s v="R13"/>
    <x v="0"/>
    <d v="2024-11-10T00:00:00"/>
    <s v="есть"/>
    <x v="1"/>
    <s v="1 ось"/>
    <s v="002-2013E30Q13-OK"/>
    <x v="0"/>
  </r>
  <r>
    <d v="2024-10-18T17:00:23"/>
    <m/>
    <s v="MX4000002R0001783"/>
    <x v="0"/>
    <x v="1"/>
    <s v="R13"/>
    <s v="R13"/>
    <x v="0"/>
    <d v="2024-10-18T00:00:00"/>
    <s v="есть"/>
    <x v="1"/>
    <s v="1 ось"/>
    <s v="002-2013E50Q13-OK"/>
    <x v="0"/>
  </r>
  <r>
    <d v="2024-11-09T13:21:08"/>
    <m/>
    <s v="MX4000002R0001782"/>
    <x v="0"/>
    <x v="1"/>
    <s v="R13"/>
    <s v="R13"/>
    <x v="0"/>
    <d v="2024-11-09T00:00:00"/>
    <s v="есть"/>
    <x v="1"/>
    <s v="1 ось"/>
    <s v="002-2013E50Q13-OK"/>
    <x v="0"/>
  </r>
  <r>
    <d v="2024-10-17T12:38:40"/>
    <m/>
    <s v="MX4000002R0001781"/>
    <x v="0"/>
    <x v="1"/>
    <s v="R13"/>
    <s v="R13"/>
    <x v="0"/>
    <d v="2024-10-17T00:00:00"/>
    <s v="есть"/>
    <x v="0"/>
    <s v="1 ось"/>
    <s v="002-2013E50Q13-OK"/>
    <x v="0"/>
  </r>
  <r>
    <d v="2024-09-25T12:38:00"/>
    <m/>
    <s v="MX4000002R0001779"/>
    <x v="0"/>
    <x v="1"/>
    <s v="R13"/>
    <s v="R13"/>
    <x v="0"/>
    <d v="2024-09-25T00:00:00"/>
    <s v="есть"/>
    <x v="0"/>
    <s v="1 ось"/>
    <s v="002-2013E50Q13-OK"/>
    <x v="0"/>
  </r>
  <r>
    <d v="2024-09-24T18:04:27"/>
    <m/>
    <s v="MX4000002R0001778"/>
    <x v="0"/>
    <x v="1"/>
    <s v="R13"/>
    <s v="R13"/>
    <x v="0"/>
    <d v="2024-09-24T00:00:00"/>
    <s v="есть"/>
    <x v="2"/>
    <s v="1 ось"/>
    <s v="002-2013E50Q13-OK"/>
    <x v="0"/>
  </r>
  <r>
    <d v="2024-09-23T18:05:07"/>
    <m/>
    <s v="MX4000002R0001777"/>
    <x v="0"/>
    <x v="1"/>
    <s v="R13"/>
    <s v="R13"/>
    <x v="2"/>
    <d v="2024-09-23T00:00:00"/>
    <s v="есть"/>
    <x v="2"/>
    <s v="1 ось"/>
    <s v="002-2013E50Q13-OK60"/>
    <x v="0"/>
  </r>
  <r>
    <d v="2024-09-23T16:15:39"/>
    <m/>
    <s v="MX4000002R0001776"/>
    <x v="0"/>
    <x v="1"/>
    <s v="R13"/>
    <s v="R13"/>
    <x v="2"/>
    <d v="2024-09-23T00:00:00"/>
    <s v="есть"/>
    <x v="2"/>
    <s v="1 ось"/>
    <s v="002-2013E50Q13-OK60"/>
    <x v="0"/>
  </r>
  <r>
    <d v="2024-09-22T16:55:28"/>
    <m/>
    <s v="MX4000002R0001775"/>
    <x v="0"/>
    <x v="1"/>
    <s v="R13"/>
    <s v="R13"/>
    <x v="1"/>
    <d v="2024-09-22T00:00:00"/>
    <s v="есть"/>
    <x v="2"/>
    <s v="1 ось"/>
    <s v="002-2013E50Q13-OK30"/>
    <x v="0"/>
  </r>
  <r>
    <d v="2024-11-05T12:03:41"/>
    <m/>
    <s v="MX4000002R0001774"/>
    <x v="0"/>
    <x v="2"/>
    <s v="R13"/>
    <s v="R13"/>
    <x v="0"/>
    <d v="2024-11-04T00:00:00"/>
    <s v="есть"/>
    <x v="2"/>
    <s v="1 ось"/>
    <s v="002-2013E30Q13-OK"/>
    <x v="0"/>
  </r>
  <r>
    <d v="2024-09-17T18:31:33"/>
    <m/>
    <s v="MX4000002R0001773"/>
    <x v="0"/>
    <x v="2"/>
    <s v="R13"/>
    <s v="R13"/>
    <x v="0"/>
    <d v="2024-09-17T00:00:00"/>
    <s v="есть"/>
    <x v="0"/>
    <s v="1 ось"/>
    <s v="002-2013E30Q13-OK"/>
    <x v="0"/>
  </r>
  <r>
    <d v="2024-09-17T13:18:54"/>
    <m/>
    <s v="MX4000002R0001772"/>
    <x v="0"/>
    <x v="2"/>
    <s v="R13"/>
    <s v="R13"/>
    <x v="1"/>
    <d v="2024-09-17T00:00:00"/>
    <s v="есть"/>
    <x v="0"/>
    <s v="1 ось"/>
    <s v="002-2013E30Q13-OK30"/>
    <x v="0"/>
  </r>
  <r>
    <d v="2024-09-17T11:20:02"/>
    <m/>
    <s v="MX4000002R0001770"/>
    <x v="0"/>
    <x v="1"/>
    <s v="R13"/>
    <s v="R13"/>
    <x v="0"/>
    <d v="2024-09-17T00:00:00"/>
    <s v="есть"/>
    <x v="2"/>
    <s v="1 ось"/>
    <s v="002-2013E50Q13-OK"/>
    <x v="0"/>
  </r>
  <r>
    <d v="2024-09-09T11:10:39"/>
    <m/>
    <s v="MX4000002R0001768"/>
    <x v="0"/>
    <x v="2"/>
    <s v="R13"/>
    <s v="R13"/>
    <x v="0"/>
    <d v="2024-09-09T00:00:00"/>
    <s v="есть"/>
    <x v="2"/>
    <s v="1 ось"/>
    <s v="002-2013E30Q13-OK"/>
    <x v="0"/>
  </r>
  <r>
    <d v="2024-09-09T11:12:18"/>
    <m/>
    <s v="MX4000002R0001767"/>
    <x v="0"/>
    <x v="1"/>
    <s v="R13"/>
    <s v="R13"/>
    <x v="1"/>
    <d v="2024-09-09T00:00:00"/>
    <s v="есть"/>
    <x v="2"/>
    <s v="1 ось"/>
    <s v="002-2013E50Q13-OK30"/>
    <x v="0"/>
  </r>
  <r>
    <d v="2024-09-05T10:41:42"/>
    <m/>
    <s v="MX4000002R0001765"/>
    <x v="0"/>
    <x v="1"/>
    <s v="R13"/>
    <s v="R13"/>
    <x v="0"/>
    <d v="2024-09-05T00:00:00"/>
    <s v="есть"/>
    <x v="0"/>
    <s v="1 ось"/>
    <s v="002-2013E50Q13-OK"/>
    <x v="0"/>
  </r>
  <r>
    <d v="2024-09-06T11:50:51"/>
    <m/>
    <s v="MX4000002R0001764"/>
    <x v="0"/>
    <x v="1"/>
    <s v="R13"/>
    <s v="R13"/>
    <x v="0"/>
    <d v="2024-09-06T00:00:00"/>
    <s v="есть"/>
    <x v="2"/>
    <s v="1 ось"/>
    <s v="002-2013E50Q13-OK"/>
    <x v="0"/>
  </r>
  <r>
    <d v="2024-09-09T11:04:50"/>
    <m/>
    <s v="MX4000002R0001763"/>
    <x v="0"/>
    <x v="1"/>
    <s v="R13"/>
    <s v="R13"/>
    <x v="0"/>
    <d v="2024-09-09T00:00:00"/>
    <s v="есть"/>
    <x v="2"/>
    <s v="1 ось"/>
    <s v="002-2013E50Q13-OK"/>
    <x v="0"/>
  </r>
  <r>
    <d v="2024-09-02T10:50:44"/>
    <m/>
    <s v="MX4000002R0001762"/>
    <x v="0"/>
    <x v="1"/>
    <s v="R13"/>
    <s v="R13"/>
    <x v="0"/>
    <d v="2024-09-02T00:00:00"/>
    <s v="есть"/>
    <x v="0"/>
    <s v="1 ось"/>
    <s v="002-2013E50Q13-OK"/>
    <x v="0"/>
  </r>
  <r>
    <d v="2024-08-29T11:47:43"/>
    <m/>
    <s v="MX4000002R0001761"/>
    <x v="0"/>
    <x v="1"/>
    <s v="R13"/>
    <s v="R13"/>
    <x v="1"/>
    <d v="2024-08-29T00:00:00"/>
    <s v="есть"/>
    <x v="2"/>
    <s v="1 ось"/>
    <s v="002-2013E50Q13-OK30"/>
    <x v="0"/>
  </r>
  <r>
    <d v="2024-08-29T11:46:46"/>
    <m/>
    <s v="MX4000002R0001760"/>
    <x v="0"/>
    <x v="1"/>
    <s v="R13"/>
    <s v="R13"/>
    <x v="1"/>
    <d v="2024-08-29T00:00:00"/>
    <s v="есть"/>
    <x v="2"/>
    <s v="1 ось"/>
    <s v="002-2013E50Q13-OK30"/>
    <x v="0"/>
  </r>
  <r>
    <d v="2024-08-26T17:44:19"/>
    <m/>
    <s v="MX4000002R0001759"/>
    <x v="0"/>
    <x v="1"/>
    <s v="R13"/>
    <s v="R13"/>
    <x v="1"/>
    <d v="2024-08-26T00:00:00"/>
    <s v="есть"/>
    <x v="2"/>
    <s v="1 ось"/>
    <s v="002-2013E50Q13-OK30"/>
    <x v="0"/>
  </r>
  <r>
    <d v="2024-08-27T10:58:56"/>
    <m/>
    <s v="MX4000002R0001758"/>
    <x v="0"/>
    <x v="2"/>
    <s v="R13"/>
    <s v="R13"/>
    <x v="0"/>
    <d v="2024-08-27T00:00:00"/>
    <s v="есть"/>
    <x v="2"/>
    <s v="1 ось"/>
    <s v="002-2013E30Q13-OK"/>
    <x v="0"/>
  </r>
  <r>
    <d v="2024-08-20T16:26:00"/>
    <m/>
    <s v="MX4000002R0001757"/>
    <x v="0"/>
    <x v="1"/>
    <s v="R13"/>
    <s v="R13"/>
    <x v="0"/>
    <d v="2024-08-20T00:00:00"/>
    <s v="есть"/>
    <x v="0"/>
    <s v="1 ось"/>
    <s v="002-2013E50Q13-OK"/>
    <x v="0"/>
  </r>
  <r>
    <d v="2024-08-21T12:09:52"/>
    <m/>
    <s v="MX4000002R0001751"/>
    <x v="0"/>
    <x v="2"/>
    <s v="R13"/>
    <s v="R13"/>
    <x v="0"/>
    <d v="2024-08-21T00:00:00"/>
    <s v="есть"/>
    <x v="2"/>
    <s v="1 ось"/>
    <s v="002-2013E30Q13-OK"/>
    <x v="0"/>
  </r>
  <r>
    <d v="2024-08-19T12:45:34"/>
    <m/>
    <s v="MX4000002R0001750"/>
    <x v="0"/>
    <x v="2"/>
    <s v="R13"/>
    <s v="R13"/>
    <x v="0"/>
    <d v="2024-08-19T00:00:00"/>
    <s v="есть"/>
    <x v="2"/>
    <s v="1 ось"/>
    <s v="002-2013E30Q13-OK"/>
    <x v="0"/>
  </r>
  <r>
    <d v="2024-08-16T11:59:02"/>
    <m/>
    <s v="MX4000002R0001749"/>
    <x v="0"/>
    <x v="2"/>
    <s v="R13"/>
    <s v="R13"/>
    <x v="0"/>
    <d v="2024-08-16T00:00:00"/>
    <s v="есть"/>
    <x v="2"/>
    <s v="1 ось"/>
    <s v="002-2013E30Q13-OK"/>
    <x v="0"/>
  </r>
  <r>
    <d v="2024-09-06T14:32:02"/>
    <m/>
    <s v="MX4000002R0001747"/>
    <x v="0"/>
    <x v="1"/>
    <s v="R13"/>
    <s v="R13"/>
    <x v="0"/>
    <d v="2024-09-06T00:00:00"/>
    <s v="есть"/>
    <x v="1"/>
    <s v="1 ось"/>
    <s v="002-2013E50Q13-OK"/>
    <x v="0"/>
  </r>
  <r>
    <d v="2024-09-11T11:55:20"/>
    <m/>
    <s v="MX4000002R0001746"/>
    <x v="0"/>
    <x v="1"/>
    <s v="R13"/>
    <s v="R13"/>
    <x v="0"/>
    <d v="2024-09-11T00:00:00"/>
    <s v="есть"/>
    <x v="1"/>
    <s v="1 ось"/>
    <s v="002-2013E50Q13-OK"/>
    <x v="0"/>
  </r>
  <r>
    <d v="2024-08-16T11:51:29"/>
    <m/>
    <s v="MX4000002R0001745"/>
    <x v="0"/>
    <x v="2"/>
    <s v="R13"/>
    <s v="R13"/>
    <x v="0"/>
    <d v="2024-08-12T00:00:00"/>
    <s v="есть"/>
    <x v="0"/>
    <s v="1 ось"/>
    <s v="002-2013E30Q13-OK"/>
    <x v="0"/>
  </r>
  <r>
    <d v="2024-08-19T13:19:37"/>
    <m/>
    <s v="MX4000002R0001744"/>
    <x v="0"/>
    <x v="1"/>
    <s v="R13"/>
    <s v="R13"/>
    <x v="1"/>
    <d v="2024-08-19T00:00:00"/>
    <s v="есть"/>
    <x v="0"/>
    <s v="1 ось"/>
    <s v="002-2013E50Q13-OK30"/>
    <x v="0"/>
  </r>
  <r>
    <d v="2024-07-29T12:36:29"/>
    <m/>
    <s v="MX4000002R0001743"/>
    <x v="0"/>
    <x v="2"/>
    <s v="R13"/>
    <s v="R13"/>
    <x v="0"/>
    <d v="2024-07-26T00:00:00"/>
    <s v="нет"/>
    <x v="1"/>
    <s v="1 ось"/>
    <s v="002-2013E30Q13"/>
    <x v="0"/>
  </r>
  <r>
    <d v="2024-07-29T12:36:01"/>
    <m/>
    <s v="MX4000002R0001742"/>
    <x v="0"/>
    <x v="1"/>
    <s v="R13"/>
    <s v="R13"/>
    <x v="0"/>
    <d v="2024-07-26T00:00:00"/>
    <s v="есть"/>
    <x v="1"/>
    <s v="1 ось"/>
    <s v="002-2013E50Q13-OK"/>
    <x v="0"/>
  </r>
  <r>
    <d v="2024-07-29T12:35:27"/>
    <m/>
    <s v="MX4000002R0001741"/>
    <x v="0"/>
    <x v="1"/>
    <s v="R13"/>
    <s v="R13"/>
    <x v="0"/>
    <d v="2024-07-26T00:00:00"/>
    <s v="есть"/>
    <x v="1"/>
    <s v="1 ось"/>
    <s v="002-2013E50Q13-OK"/>
    <x v="0"/>
  </r>
  <r>
    <d v="2024-07-29T12:34:51"/>
    <m/>
    <s v="MX4000002R0001740"/>
    <x v="0"/>
    <x v="1"/>
    <s v="R13"/>
    <s v="R13"/>
    <x v="0"/>
    <d v="2024-07-26T00:00:00"/>
    <s v="есть"/>
    <x v="1"/>
    <s v="1 ось"/>
    <s v="002-2013E50Q13-OK"/>
    <x v="0"/>
  </r>
  <r>
    <d v="2024-07-29T12:34:08"/>
    <m/>
    <s v="MX4000002R0001739"/>
    <x v="0"/>
    <x v="1"/>
    <s v="R13"/>
    <s v="R13"/>
    <x v="0"/>
    <d v="2024-07-26T00:00:00"/>
    <s v="есть"/>
    <x v="1"/>
    <s v="1 ось"/>
    <s v="002-2013E50Q13-OK"/>
    <x v="0"/>
  </r>
  <r>
    <d v="2024-07-29T12:33:34"/>
    <m/>
    <s v="MX4000002R0001738"/>
    <x v="0"/>
    <x v="2"/>
    <s v="R13"/>
    <s v="R13"/>
    <x v="0"/>
    <d v="2024-07-26T00:00:00"/>
    <s v="есть"/>
    <x v="1"/>
    <s v="1 ось"/>
    <s v="002-2013E30Q13-OK"/>
    <x v="0"/>
  </r>
  <r>
    <d v="2024-07-29T12:33:02"/>
    <m/>
    <s v="MX4000002R0001737"/>
    <x v="0"/>
    <x v="2"/>
    <s v="R13"/>
    <s v="R13"/>
    <x v="0"/>
    <d v="2024-07-26T00:00:00"/>
    <s v="есть"/>
    <x v="1"/>
    <s v="1 ось"/>
    <s v="002-2013E30Q13-OK"/>
    <x v="0"/>
  </r>
  <r>
    <d v="2024-07-29T12:32:04"/>
    <m/>
    <s v="MX4000002R0001736"/>
    <x v="0"/>
    <x v="1"/>
    <s v="R13"/>
    <s v="R13"/>
    <x v="0"/>
    <d v="2024-07-26T00:00:00"/>
    <s v="есть"/>
    <x v="1"/>
    <s v="1 ось"/>
    <s v="002-2013E50Q13-OK"/>
    <x v="0"/>
  </r>
  <r>
    <d v="2024-07-29T12:29:58"/>
    <m/>
    <s v="MX4000002R0001735"/>
    <x v="0"/>
    <x v="1"/>
    <s v="R13"/>
    <s v="R13"/>
    <x v="0"/>
    <d v="2024-07-26T00:00:00"/>
    <s v="есть"/>
    <x v="1"/>
    <s v="1 ось"/>
    <s v="002-2013E50Q13-OK"/>
    <x v="0"/>
  </r>
  <r>
    <d v="2024-07-29T12:29:24"/>
    <m/>
    <s v="MX4000002R0001734"/>
    <x v="0"/>
    <x v="1"/>
    <s v="R13"/>
    <s v="R13"/>
    <x v="1"/>
    <d v="2024-07-26T00:00:00"/>
    <s v="есть"/>
    <x v="1"/>
    <s v="1 ось"/>
    <s v="002-2013E50Q13-OK30"/>
    <x v="0"/>
  </r>
  <r>
    <d v="2024-07-29T12:27:46"/>
    <m/>
    <s v="MX4000002R0001733"/>
    <x v="0"/>
    <x v="2"/>
    <s v="R13"/>
    <s v="R13"/>
    <x v="0"/>
    <d v="2024-07-26T00:00:00"/>
    <s v="есть"/>
    <x v="1"/>
    <s v="1 ось"/>
    <s v="002-2013E30Q13-OK"/>
    <x v="0"/>
  </r>
  <r>
    <d v="2024-07-29T12:26:21"/>
    <m/>
    <s v="MX4000002R0001732"/>
    <x v="0"/>
    <x v="2"/>
    <s v="R13"/>
    <s v="R13"/>
    <x v="0"/>
    <d v="2024-07-26T00:00:00"/>
    <s v="есть"/>
    <x v="1"/>
    <s v="1 ось"/>
    <s v="002-2013E30Q13-OK"/>
    <x v="0"/>
  </r>
  <r>
    <d v="2024-07-29T12:25:17"/>
    <m/>
    <s v="MX4000002R0001731"/>
    <x v="0"/>
    <x v="2"/>
    <s v="R13"/>
    <s v="R13"/>
    <x v="0"/>
    <d v="2024-07-26T00:00:00"/>
    <s v="есть"/>
    <x v="1"/>
    <s v="1 ось"/>
    <s v="002-2013E30Q13-OK"/>
    <x v="0"/>
  </r>
  <r>
    <d v="2024-07-29T12:24:36"/>
    <m/>
    <s v="MX4000002R0001730"/>
    <x v="0"/>
    <x v="1"/>
    <s v="R13"/>
    <s v="R13"/>
    <x v="1"/>
    <d v="2024-07-26T00:00:00"/>
    <s v="есть"/>
    <x v="1"/>
    <s v="1 ось"/>
    <s v="002-2013E50Q13-OK30"/>
    <x v="0"/>
  </r>
  <r>
    <d v="2024-07-29T12:22:56"/>
    <m/>
    <s v="MX4000002R0001729"/>
    <x v="0"/>
    <x v="1"/>
    <s v="R13"/>
    <s v="R13"/>
    <x v="0"/>
    <d v="2024-07-26T00:00:00"/>
    <s v="есть"/>
    <x v="1"/>
    <s v="1 ось"/>
    <s v="002-2013E50Q13-OK"/>
    <x v="0"/>
  </r>
  <r>
    <d v="2024-07-29T12:22:15"/>
    <m/>
    <s v="MX4000002R0001728"/>
    <x v="0"/>
    <x v="1"/>
    <s v="R13"/>
    <s v="R13"/>
    <x v="0"/>
    <d v="2024-07-26T00:00:00"/>
    <s v="есть"/>
    <x v="1"/>
    <s v="1 ось"/>
    <s v="002-2013E50Q13-OK"/>
    <x v="0"/>
  </r>
  <r>
    <d v="2024-07-29T12:21:10"/>
    <m/>
    <s v="MX4000002R0001727"/>
    <x v="0"/>
    <x v="1"/>
    <s v="R13"/>
    <s v="R13"/>
    <x v="0"/>
    <d v="2024-07-26T00:00:00"/>
    <s v="есть"/>
    <x v="1"/>
    <s v="1 ось"/>
    <s v="002-2013E50Q13-OK"/>
    <x v="0"/>
  </r>
  <r>
    <d v="2024-07-25T12:59:16"/>
    <m/>
    <s v="MX4000002R0001725"/>
    <x v="0"/>
    <x v="2"/>
    <s v="R15"/>
    <s v="R15"/>
    <x v="0"/>
    <d v="2024-07-25T00:00:00"/>
    <s v="есть"/>
    <x v="0"/>
    <s v="1 ось"/>
    <s v="002-2013E30Q15-OK"/>
    <x v="0"/>
  </r>
  <r>
    <d v="2024-09-02T17:29:27"/>
    <m/>
    <s v="MX4000002R0001723"/>
    <x v="0"/>
    <x v="1"/>
    <s v="R13"/>
    <s v="R13"/>
    <x v="2"/>
    <d v="2024-09-02T00:00:00"/>
    <s v="есть"/>
    <x v="1"/>
    <s v="1 ось"/>
    <s v="002-2013E50Q13-OK60"/>
    <x v="0"/>
  </r>
  <r>
    <d v="2024-06-26T17:17:17"/>
    <m/>
    <s v="MX4000002R0001722"/>
    <x v="0"/>
    <x v="1"/>
    <s v="R13"/>
    <s v="R13"/>
    <x v="0"/>
    <d v="2024-06-26T00:00:00"/>
    <s v="есть"/>
    <x v="0"/>
    <s v="1 ось"/>
    <s v="002-2013E50Q13-OK"/>
    <x v="0"/>
  </r>
  <r>
    <d v="2024-06-24T16:36:11"/>
    <m/>
    <s v="MX4000002R0001698"/>
    <x v="0"/>
    <x v="1"/>
    <s v="R13"/>
    <s v="R13"/>
    <x v="0"/>
    <d v="2024-06-24T00:00:00"/>
    <s v="есть"/>
    <x v="0"/>
    <s v="1 ось"/>
    <s v="002-2013E50Q13-OK"/>
    <x v="0"/>
  </r>
  <r>
    <d v="2024-08-06T15:19:46"/>
    <m/>
    <s v="MX4000002R0001696"/>
    <x v="0"/>
    <x v="1"/>
    <s v="R13"/>
    <s v="R13"/>
    <x v="2"/>
    <d v="2024-08-06T00:00:00"/>
    <s v="есть"/>
    <x v="0"/>
    <s v="1 ось"/>
    <s v="002-2013E50Q13-OK60"/>
    <x v="0"/>
  </r>
  <r>
    <d v="2024-07-24T12:17:08"/>
    <m/>
    <s v="MX4000002R0001693"/>
    <x v="0"/>
    <x v="1"/>
    <s v="R13"/>
    <s v="R13"/>
    <x v="0"/>
    <d v="2024-07-24T00:00:00"/>
    <s v="есть"/>
    <x v="2"/>
    <s v="1 ось"/>
    <s v="002-2013E50Q13-OK"/>
    <x v="0"/>
  </r>
  <r>
    <d v="2024-07-10T17:41:32"/>
    <m/>
    <s v="MX4000002R0001692"/>
    <x v="0"/>
    <x v="2"/>
    <s v="R13"/>
    <s v="R13"/>
    <x v="0"/>
    <d v="2024-07-10T00:00:00"/>
    <s v="есть"/>
    <x v="2"/>
    <s v="1 ось"/>
    <s v="002-2013E30Q13-OK"/>
    <x v="0"/>
  </r>
  <r>
    <d v="2024-07-31T15:02:16"/>
    <m/>
    <s v="MX4000002R0001691"/>
    <x v="0"/>
    <x v="1"/>
    <s v="R13"/>
    <s v="R13"/>
    <x v="0"/>
    <d v="2024-07-31T00:00:00"/>
    <s v="есть"/>
    <x v="0"/>
    <s v="1 ось"/>
    <s v="002-2013E50Q13-OK"/>
    <x v="0"/>
  </r>
  <r>
    <d v="2024-07-29T12:37:40"/>
    <m/>
    <s v="MX4000002R0001690"/>
    <x v="0"/>
    <x v="1"/>
    <s v="R13"/>
    <s v="R13"/>
    <x v="0"/>
    <d v="2024-07-26T00:00:00"/>
    <s v="есть"/>
    <x v="1"/>
    <s v="1 ось"/>
    <s v="002-2013E50Q13-OK"/>
    <x v="0"/>
  </r>
  <r>
    <d v="2024-07-11T15:42:24"/>
    <m/>
    <s v="MX4000002R0001689"/>
    <x v="0"/>
    <x v="2"/>
    <s v="R13"/>
    <s v="R13"/>
    <x v="0"/>
    <d v="2024-07-11T00:00:00"/>
    <s v="есть"/>
    <x v="0"/>
    <s v="1 ось"/>
    <s v="002-2013E30Q13-OK"/>
    <x v="0"/>
  </r>
  <r>
    <d v="2024-06-24T15:22:59"/>
    <m/>
    <s v="MX4000002R0001687"/>
    <x v="0"/>
    <x v="1"/>
    <s v="R13"/>
    <s v="R13"/>
    <x v="0"/>
    <d v="2024-06-24T00:00:00"/>
    <s v="есть"/>
    <x v="2"/>
    <s v="1 ось"/>
    <s v="002-2013E50Q13-OK"/>
    <x v="0"/>
  </r>
  <r>
    <d v="2024-07-18T10:14:58"/>
    <m/>
    <s v="MX4000002R0001683"/>
    <x v="0"/>
    <x v="1"/>
    <s v="R13"/>
    <s v="R13"/>
    <x v="0"/>
    <d v="2024-07-18T00:00:00"/>
    <s v="есть"/>
    <x v="2"/>
    <s v="1 ось"/>
    <s v="002-2013E50Q13-OK"/>
    <x v="0"/>
  </r>
  <r>
    <d v="2024-07-18T09:49:05"/>
    <m/>
    <s v="MX4000002R0001682"/>
    <x v="0"/>
    <x v="1"/>
    <s v="R13"/>
    <s v="R13"/>
    <x v="0"/>
    <d v="2024-07-18T00:00:00"/>
    <s v="есть"/>
    <x v="2"/>
    <s v="1 ось"/>
    <s v="002-2013E50Q13-OK"/>
    <x v="0"/>
  </r>
  <r>
    <d v="2024-06-21T12:32:28"/>
    <m/>
    <s v="MX4000002R0001680"/>
    <x v="0"/>
    <x v="1"/>
    <s v="R13"/>
    <s v="R13"/>
    <x v="0"/>
    <d v="2024-06-21T00:00:00"/>
    <s v="есть"/>
    <x v="2"/>
    <s v="1 ось"/>
    <s v="002-2013E50Q13-OK"/>
    <x v="0"/>
  </r>
  <r>
    <d v="2024-06-06T15:59:46"/>
    <m/>
    <s v="MX4000002R0001679"/>
    <x v="0"/>
    <x v="2"/>
    <s v="R13"/>
    <s v="R13"/>
    <x v="0"/>
    <d v="2024-04-02T00:00:00"/>
    <s v="есть"/>
    <x v="2"/>
    <s v="1 ось"/>
    <s v="002-2013E30Q13-OK"/>
    <x v="0"/>
  </r>
  <r>
    <d v="2024-06-24T16:37:08"/>
    <m/>
    <s v="MX4000002R0001678"/>
    <x v="0"/>
    <x v="1"/>
    <s v="R13"/>
    <s v="R13"/>
    <x v="0"/>
    <d v="2024-06-24T00:00:00"/>
    <s v="есть"/>
    <x v="2"/>
    <s v="1 ось"/>
    <s v="002-2013E50Q13-OK"/>
    <x v="0"/>
  </r>
  <r>
    <d v="2024-07-03T16:10:24"/>
    <m/>
    <s v="MX4000002R0001677"/>
    <x v="0"/>
    <x v="1"/>
    <s v="R13"/>
    <s v="R13"/>
    <x v="0"/>
    <d v="2024-07-03T00:00:00"/>
    <s v="есть"/>
    <x v="0"/>
    <s v="1 ось"/>
    <s v="002-2013E50Q13-OK"/>
    <x v="0"/>
  </r>
  <r>
    <d v="2024-07-12T13:46:58"/>
    <m/>
    <s v="MX4000002R0001675"/>
    <x v="0"/>
    <x v="1"/>
    <s v="R13"/>
    <s v="R13"/>
    <x v="0"/>
    <d v="2024-07-12T00:00:00"/>
    <s v="есть"/>
    <x v="2"/>
    <s v="1 ось"/>
    <s v="002-2013E50Q13-OK"/>
    <x v="0"/>
  </r>
  <r>
    <d v="2024-07-12T13:46:04"/>
    <m/>
    <s v="MX4000002R0001674"/>
    <x v="0"/>
    <x v="2"/>
    <s v="R13"/>
    <s v="R13"/>
    <x v="0"/>
    <d v="2024-07-12T00:00:00"/>
    <s v="есть"/>
    <x v="2"/>
    <s v="1 ось"/>
    <s v="002-2013E30Q13-OK"/>
    <x v="0"/>
  </r>
  <r>
    <d v="2024-07-10T17:40:38"/>
    <m/>
    <s v="MX4000002R0001672"/>
    <x v="0"/>
    <x v="1"/>
    <s v="R13"/>
    <s v="R13"/>
    <x v="0"/>
    <d v="2024-07-10T00:00:00"/>
    <s v="есть"/>
    <x v="2"/>
    <s v="1 ось"/>
    <s v="002-2013E50Q13-OK"/>
    <x v="0"/>
  </r>
  <r>
    <d v="2024-07-03T10:50:15"/>
    <m/>
    <s v="MX4000002R0001671"/>
    <x v="0"/>
    <x v="2"/>
    <s v="R13"/>
    <s v="R13"/>
    <x v="0"/>
    <d v="2024-07-02T00:00:00"/>
    <s v="есть"/>
    <x v="0"/>
    <s v="1 ось"/>
    <s v="002-2013E30Q13-OK"/>
    <x v="0"/>
  </r>
  <r>
    <d v="2024-07-11T16:06:37"/>
    <m/>
    <s v="MX4000002R0001670"/>
    <x v="0"/>
    <x v="1"/>
    <s v="R13"/>
    <s v="R13"/>
    <x v="1"/>
    <d v="2024-07-11T00:00:00"/>
    <s v="есть"/>
    <x v="0"/>
    <s v="1 ось"/>
    <s v="002-2013E50Q13-OK30"/>
    <x v="0"/>
  </r>
  <r>
    <d v="2024-07-29T12:37:05"/>
    <m/>
    <s v="MX4000002R0001668"/>
    <x v="0"/>
    <x v="2"/>
    <s v="R13"/>
    <s v="R13"/>
    <x v="1"/>
    <d v="2024-07-26T00:00:00"/>
    <s v="есть"/>
    <x v="1"/>
    <s v="1 ось"/>
    <s v="002-2013E30Q13-OK30"/>
    <x v="0"/>
  </r>
  <r>
    <d v="2024-07-19T10:24:41"/>
    <m/>
    <s v="MX4000002R0001667"/>
    <x v="0"/>
    <x v="1"/>
    <s v="R13"/>
    <s v="R13"/>
    <x v="0"/>
    <d v="2024-07-19T00:00:00"/>
    <s v="есть"/>
    <x v="0"/>
    <s v="1 ось"/>
    <s v="002-2013E50Q13-OK"/>
    <x v="0"/>
  </r>
  <r>
    <d v="2024-06-20T17:03:51"/>
    <m/>
    <s v="MX4000002R0001666"/>
    <x v="0"/>
    <x v="2"/>
    <s v="R13"/>
    <s v="R13"/>
    <x v="0"/>
    <d v="2024-06-20T00:00:00"/>
    <s v="есть"/>
    <x v="2"/>
    <s v="1 ось"/>
    <s v="002-2013E30Q13-OK"/>
    <x v="0"/>
  </r>
  <r>
    <d v="2024-08-16T11:57:37"/>
    <m/>
    <s v="MX4000002R0001665"/>
    <x v="0"/>
    <x v="1"/>
    <s v="R13"/>
    <s v="R13"/>
    <x v="0"/>
    <d v="2024-08-16T00:00:00"/>
    <s v="есть"/>
    <x v="2"/>
    <s v="1 ось"/>
    <s v="002-2013E50Q13-OK"/>
    <x v="0"/>
  </r>
  <r>
    <d v="2024-06-24T16:38:14"/>
    <m/>
    <s v="MX4000002R0001664"/>
    <x v="0"/>
    <x v="1"/>
    <s v="R13"/>
    <s v="R13"/>
    <x v="0"/>
    <d v="2024-06-24T00:00:00"/>
    <s v="есть"/>
    <x v="0"/>
    <s v="1 ось"/>
    <s v="002-2013E50Q13-OK"/>
    <x v="0"/>
  </r>
  <r>
    <d v="2024-07-02T16:06:09"/>
    <m/>
    <s v="MX4000002R0001663"/>
    <x v="0"/>
    <x v="1"/>
    <s v="R13"/>
    <s v="R13"/>
    <x v="0"/>
    <d v="2024-07-02T00:00:00"/>
    <s v="есть"/>
    <x v="0"/>
    <s v="1 ось"/>
    <s v="002-2013E50Q13-OK"/>
    <x v="0"/>
  </r>
  <r>
    <d v="2024-07-26T12:30:07"/>
    <m/>
    <s v="MX4000002R0001662"/>
    <x v="0"/>
    <x v="1"/>
    <s v="R13"/>
    <s v="R13"/>
    <x v="0"/>
    <d v="2024-07-25T00:00:00"/>
    <s v="есть"/>
    <x v="0"/>
    <s v="1 ось"/>
    <s v="002-2013E50Q13-OK"/>
    <x v="0"/>
  </r>
  <r>
    <d v="2024-07-18T11:12:45"/>
    <m/>
    <s v="MX4000002R0001661"/>
    <x v="0"/>
    <x v="1"/>
    <s v="R13"/>
    <s v="R13"/>
    <x v="1"/>
    <d v="2024-07-17T00:00:00"/>
    <s v="есть"/>
    <x v="0"/>
    <s v="1 ось"/>
    <s v="002-2013E50Q13-OK30"/>
    <x v="0"/>
  </r>
  <r>
    <d v="2024-06-21T12:29:09"/>
    <m/>
    <s v="MX4000002R0001660"/>
    <x v="0"/>
    <x v="2"/>
    <s v="R13"/>
    <s v="R13"/>
    <x v="0"/>
    <d v="2024-06-21T00:00:00"/>
    <s v="есть"/>
    <x v="2"/>
    <s v="1 ось"/>
    <s v="002-2013E30Q13-OK"/>
    <x v="0"/>
  </r>
  <r>
    <d v="2024-06-06T16:10:58"/>
    <m/>
    <s v="MX4000002R0001659"/>
    <x v="0"/>
    <x v="1"/>
    <s v="R13"/>
    <s v="R13"/>
    <x v="0"/>
    <d v="2024-05-06T00:00:00"/>
    <s v="есть"/>
    <x v="2"/>
    <s v="1 ось"/>
    <s v="002-2013E50Q13-OK"/>
    <x v="0"/>
  </r>
  <r>
    <d v="2024-07-29T12:38:17"/>
    <m/>
    <s v="MX4000002R0001658"/>
    <x v="0"/>
    <x v="2"/>
    <s v="R13"/>
    <s v="R13"/>
    <x v="0"/>
    <d v="2024-07-26T00:00:00"/>
    <s v="есть"/>
    <x v="1"/>
    <s v="1 ось"/>
    <s v="002-2013E30Q13-OK"/>
    <x v="0"/>
  </r>
  <r>
    <d v="2024-06-21T12:34:30"/>
    <m/>
    <s v="MX4000002R0001657"/>
    <x v="0"/>
    <x v="2"/>
    <s v="R13"/>
    <s v="R13"/>
    <x v="0"/>
    <d v="2024-06-21T00:00:00"/>
    <s v="есть"/>
    <x v="2"/>
    <s v="1 ось"/>
    <s v="002-2013E30Q13-OK"/>
    <x v="0"/>
  </r>
  <r>
    <d v="2024-06-24T16:36:44"/>
    <m/>
    <s v="MX4000002R0001656"/>
    <x v="0"/>
    <x v="1"/>
    <s v="R13"/>
    <s v="R13"/>
    <x v="0"/>
    <d v="2024-06-24T00:00:00"/>
    <s v="есть"/>
    <x v="2"/>
    <s v="1 ось"/>
    <s v="002-2013E50Q13-OK"/>
    <x v="0"/>
  </r>
  <r>
    <d v="2024-09-03T11:19:05"/>
    <m/>
    <s v="MX4000002R0001655"/>
    <x v="0"/>
    <x v="2"/>
    <s v="R13"/>
    <s v="R13"/>
    <x v="1"/>
    <d v="2024-09-03T00:00:00"/>
    <s v="есть"/>
    <x v="0"/>
    <s v="1 ось"/>
    <s v="002-2013E30Q13-OK30"/>
    <x v="0"/>
  </r>
  <r>
    <d v="2024-06-20T16:26:59"/>
    <m/>
    <s v="MX4000002R0001654"/>
    <x v="0"/>
    <x v="1"/>
    <s v="R13"/>
    <s v="R13"/>
    <x v="0"/>
    <d v="2024-06-20T00:00:00"/>
    <s v="есть"/>
    <x v="2"/>
    <s v="1 ось"/>
    <s v="002-2013E50Q13-OK"/>
    <x v="0"/>
  </r>
  <r>
    <d v="2024-06-06T15:58:38"/>
    <m/>
    <s v="MX4000002R0001653"/>
    <x v="0"/>
    <x v="2"/>
    <s v="R13"/>
    <s v="R13"/>
    <x v="0"/>
    <d v="2024-05-04T00:00:00"/>
    <s v="есть"/>
    <x v="2"/>
    <s v="1 ось"/>
    <s v="002-2013E30Q13-OK"/>
    <x v="0"/>
  </r>
  <r>
    <d v="2024-06-24T15:22:21"/>
    <m/>
    <s v="MX4000002R0001650"/>
    <x v="0"/>
    <x v="1"/>
    <s v="R13"/>
    <s v="R13"/>
    <x v="0"/>
    <d v="2024-06-24T00:00:00"/>
    <s v="есть"/>
    <x v="2"/>
    <s v="1 ось"/>
    <s v="002-2013E50Q13-OK"/>
    <x v="0"/>
  </r>
  <r>
    <d v="2024-08-22T11:07:43"/>
    <m/>
    <s v="MX4000002R0001585"/>
    <x v="0"/>
    <x v="1"/>
    <s v="R13"/>
    <s v="R13"/>
    <x v="0"/>
    <d v="2024-08-22T00:00:00"/>
    <s v="есть"/>
    <x v="1"/>
    <s v="1 ось"/>
    <s v="002-2013E50Q13-OK"/>
    <x v="0"/>
  </r>
  <r>
    <d v="2024-08-19T15:27:38"/>
    <m/>
    <s v="MX4000002R0001584"/>
    <x v="0"/>
    <x v="1"/>
    <s v="R13"/>
    <s v="R13"/>
    <x v="0"/>
    <d v="2024-08-19T00:00:00"/>
    <s v="есть"/>
    <x v="1"/>
    <s v="1 ось"/>
    <s v="002-2013E50Q13-OK"/>
    <x v="0"/>
  </r>
  <r>
    <d v="2024-09-06T10:03:15"/>
    <m/>
    <s v="MX4000002R0001583"/>
    <x v="0"/>
    <x v="2"/>
    <s v="R13"/>
    <s v="R13"/>
    <x v="0"/>
    <d v="2024-09-06T00:00:00"/>
    <s v="есть"/>
    <x v="1"/>
    <s v="1 ось"/>
    <s v="002-2013E30Q13-OK"/>
    <x v="0"/>
  </r>
  <r>
    <d v="2024-07-31T17:43:32"/>
    <m/>
    <s v="MX4000002R0001582"/>
    <x v="0"/>
    <x v="1"/>
    <s v="R13"/>
    <s v="R13"/>
    <x v="1"/>
    <d v="2024-07-31T00:00:00"/>
    <s v="есть"/>
    <x v="1"/>
    <s v="1 ось"/>
    <s v="002-2013E50Q13-OK30"/>
    <x v="0"/>
  </r>
  <r>
    <d v="2024-08-14T14:09:52"/>
    <m/>
    <s v="MX4000002R0001581"/>
    <x v="0"/>
    <x v="2"/>
    <s v="R13"/>
    <s v="R13"/>
    <x v="2"/>
    <d v="2024-08-14T00:00:00"/>
    <s v="есть"/>
    <x v="1"/>
    <s v="1 ось"/>
    <s v="002-2013E30Q13-OK60"/>
    <x v="0"/>
  </r>
  <r>
    <d v="2024-08-26T10:11:33"/>
    <m/>
    <s v="MX4000002R0001580"/>
    <x v="0"/>
    <x v="2"/>
    <s v="R13"/>
    <s v="R13"/>
    <x v="0"/>
    <d v="2024-08-26T00:00:00"/>
    <s v="есть"/>
    <x v="1"/>
    <s v="1 ось"/>
    <s v="002-2013E30Q13-OK"/>
    <x v="0"/>
  </r>
  <r>
    <d v="2024-08-24T11:04:32"/>
    <m/>
    <s v="MX4000002R0001579"/>
    <x v="0"/>
    <x v="2"/>
    <s v="R13"/>
    <s v="R13"/>
    <x v="0"/>
    <d v="2024-08-24T00:00:00"/>
    <s v="есть"/>
    <x v="1"/>
    <s v="1 ось"/>
    <s v="002-2013E30Q13-OK"/>
    <x v="0"/>
  </r>
  <r>
    <d v="2024-07-04T17:29:03"/>
    <m/>
    <s v="MX4000002R0001578"/>
    <x v="0"/>
    <x v="2"/>
    <s v="R13"/>
    <s v="R13"/>
    <x v="0"/>
    <d v="2024-07-04T00:00:00"/>
    <s v="есть"/>
    <x v="1"/>
    <s v="1 ось"/>
    <s v="002-2013E30Q13-OK"/>
    <x v="0"/>
  </r>
  <r>
    <d v="2024-09-05T18:41:19"/>
    <m/>
    <s v="MX4000002R0001577"/>
    <x v="0"/>
    <x v="2"/>
    <s v="R13"/>
    <s v="R13"/>
    <x v="0"/>
    <d v="2024-09-05T00:00:00"/>
    <s v="есть"/>
    <x v="1"/>
    <s v="1 ось"/>
    <s v="002-2013E30Q13-OK"/>
    <x v="1"/>
  </r>
  <r>
    <d v="2024-06-17T17:11:38"/>
    <m/>
    <s v="MX4000002R0001574"/>
    <x v="0"/>
    <x v="1"/>
    <s v="R13"/>
    <s v="R13"/>
    <x v="0"/>
    <d v="2024-06-17T00:00:00"/>
    <s v="есть"/>
    <x v="1"/>
    <s v="1 ось"/>
    <s v="002-2013E50Q13-OK"/>
    <x v="0"/>
  </r>
  <r>
    <d v="2024-06-08T11:25:22"/>
    <m/>
    <s v="MX4000002R0001573"/>
    <x v="0"/>
    <x v="2"/>
    <s v="R13"/>
    <s v="R13"/>
    <x v="0"/>
    <d v="2024-06-07T00:00:00"/>
    <s v="есть"/>
    <x v="1"/>
    <s v="1 ось"/>
    <s v="002-2013E30Q13-OK"/>
    <x v="0"/>
  </r>
  <r>
    <d v="2024-06-17T17:12:09"/>
    <m/>
    <s v="MX4000002R0001572"/>
    <x v="0"/>
    <x v="1"/>
    <s v="R13"/>
    <s v="R13"/>
    <x v="0"/>
    <d v="2024-06-17T00:00:00"/>
    <s v="есть"/>
    <x v="1"/>
    <s v="1 ось"/>
    <s v="002-2013E50Q13-OK"/>
    <x v="0"/>
  </r>
  <r>
    <d v="2024-06-17T17:15:02"/>
    <m/>
    <s v="MX4000002R0001571"/>
    <x v="0"/>
    <x v="1"/>
    <s v="R13"/>
    <s v="R13"/>
    <x v="0"/>
    <d v="2024-06-17T00:00:00"/>
    <s v="есть"/>
    <x v="1"/>
    <s v="1 ось"/>
    <s v="002-2013E50Q13-OK"/>
    <x v="0"/>
  </r>
  <r>
    <d v="2024-06-17T17:11:00"/>
    <m/>
    <s v="MX4000002R0001569"/>
    <x v="0"/>
    <x v="1"/>
    <s v="R13"/>
    <s v="R13"/>
    <x v="0"/>
    <d v="2024-06-17T00:00:00"/>
    <s v="есть"/>
    <x v="1"/>
    <s v="1 ось"/>
    <s v="002-2013E50Q13-OK"/>
    <x v="0"/>
  </r>
  <r>
    <d v="2024-07-02T13:26:22"/>
    <m/>
    <s v="MX4000002R0001560"/>
    <x v="0"/>
    <x v="2"/>
    <s v="R13"/>
    <s v="R13"/>
    <x v="0"/>
    <d v="2024-07-02T00:00:00"/>
    <s v="есть"/>
    <x v="1"/>
    <s v="1 ось"/>
    <s v="002-2013E30Q13-OK"/>
    <x v="0"/>
  </r>
  <r>
    <d v="2024-08-07T16:28:42"/>
    <m/>
    <s v="MX4000002R0001552"/>
    <x v="0"/>
    <x v="2"/>
    <s v="R13"/>
    <s v="R13"/>
    <x v="0"/>
    <d v="2024-08-07T00:00:00"/>
    <s v="есть"/>
    <x v="1"/>
    <s v="1 ось"/>
    <s v="002-2013E30Q13-OK"/>
    <x v="0"/>
  </r>
  <r>
    <d v="2024-06-18T15:32:41"/>
    <m/>
    <s v="MX4000002R0001538"/>
    <x v="0"/>
    <x v="2"/>
    <s v="R13"/>
    <s v="R13"/>
    <x v="0"/>
    <d v="2024-06-18T00:00:00"/>
    <s v="есть"/>
    <x v="1"/>
    <s v="1 ось"/>
    <s v="002-2013E30Q13-OK"/>
    <x v="0"/>
  </r>
  <r>
    <d v="2024-07-11T16:03:47"/>
    <m/>
    <s v="MX4000002R0001501"/>
    <x v="0"/>
    <x v="2"/>
    <s v="R13"/>
    <s v="R13"/>
    <x v="0"/>
    <d v="2024-07-11T00:00:00"/>
    <s v="есть"/>
    <x v="1"/>
    <s v="1 ось"/>
    <s v="002-2013E30Q13-OK"/>
    <x v="0"/>
  </r>
  <r>
    <d v="2024-06-17T17:10:20"/>
    <m/>
    <s v="MX4000002R0001500"/>
    <x v="0"/>
    <x v="2"/>
    <s v="R13"/>
    <s v="R13"/>
    <x v="0"/>
    <d v="2024-06-17T00:00:00"/>
    <s v="есть"/>
    <x v="1"/>
    <s v="1 ось"/>
    <s v="002-2013E30Q13-OK"/>
    <x v="0"/>
  </r>
  <r>
    <d v="2024-06-21T12:33:37"/>
    <m/>
    <s v="MX4000002R0001497"/>
    <x v="0"/>
    <x v="1"/>
    <s v="R13"/>
    <s v="R13"/>
    <x v="0"/>
    <d v="2024-06-21T00:00:00"/>
    <s v="есть"/>
    <x v="2"/>
    <s v="1 ось"/>
    <s v="002-2013E50Q13-OK"/>
    <x v="0"/>
  </r>
  <r>
    <d v="2024-07-24T12:53:44"/>
    <m/>
    <s v="MX4000002R0001495"/>
    <x v="0"/>
    <x v="2"/>
    <s v="R13"/>
    <s v="R13"/>
    <x v="0"/>
    <d v="2024-07-24T00:00:00"/>
    <s v="есть"/>
    <x v="1"/>
    <s v="1 ось"/>
    <s v="002-2013E30Q13-OK"/>
    <x v="0"/>
  </r>
  <r>
    <d v="2024-07-11T16:42:34"/>
    <m/>
    <s v="MX4000002R0001491"/>
    <x v="0"/>
    <x v="2"/>
    <s v="R13"/>
    <s v="R13"/>
    <x v="0"/>
    <d v="2024-07-11T00:00:00"/>
    <s v="есть"/>
    <x v="1"/>
    <s v="1 ось"/>
    <s v="002-2013E30Q13-OK"/>
    <x v="0"/>
  </r>
  <r>
    <d v="2024-06-06T16:09:30"/>
    <m/>
    <s v="MX4000002R0001490"/>
    <x v="0"/>
    <x v="2"/>
    <s v="R13"/>
    <s v="R13"/>
    <x v="0"/>
    <d v="2024-05-06T00:00:00"/>
    <s v="есть"/>
    <x v="2"/>
    <s v="1 ось"/>
    <s v="002-2013E30Q13-OK"/>
    <x v="0"/>
  </r>
  <r>
    <d v="2024-07-06T12:41:55"/>
    <m/>
    <s v="MX4000002R0001487"/>
    <x v="0"/>
    <x v="2"/>
    <s v="R13"/>
    <s v="R13"/>
    <x v="0"/>
    <d v="2024-07-05T00:00:00"/>
    <s v="есть"/>
    <x v="1"/>
    <s v="1 ось"/>
    <s v="002-2013E30Q13-OK"/>
    <x v="0"/>
  </r>
  <r>
    <d v="2024-07-08T18:44:02"/>
    <m/>
    <s v="MX4000002R0001484"/>
    <x v="0"/>
    <x v="1"/>
    <s v="R13"/>
    <s v="R13"/>
    <x v="0"/>
    <d v="2024-07-08T00:00:00"/>
    <s v="есть"/>
    <x v="1"/>
    <s v="1 ось"/>
    <s v="002-2013E50Q13-OK"/>
    <x v="0"/>
  </r>
  <r>
    <d v="2024-06-26T14:27:18"/>
    <m/>
    <s v="MX4000002R0001483"/>
    <x v="0"/>
    <x v="1"/>
    <s v="R13"/>
    <s v="R13"/>
    <x v="0"/>
    <d v="2024-06-26T00:00:00"/>
    <s v="есть"/>
    <x v="1"/>
    <s v="1 ось"/>
    <s v="002-2013E50Q13-OK"/>
    <x v="0"/>
  </r>
  <r>
    <d v="2024-06-17T17:13:21"/>
    <m/>
    <s v="MX4000002R0001482"/>
    <x v="0"/>
    <x v="2"/>
    <s v="R13"/>
    <s v="R13"/>
    <x v="0"/>
    <d v="2024-06-17T00:00:00"/>
    <s v="есть"/>
    <x v="1"/>
    <s v="1 ось"/>
    <s v="002-2013E30Q13-OK"/>
    <x v="0"/>
  </r>
  <r>
    <d v="2024-06-17T17:09:12"/>
    <m/>
    <s v="MX4000002R0001481"/>
    <x v="0"/>
    <x v="1"/>
    <s v="R13"/>
    <s v="R13"/>
    <x v="0"/>
    <d v="2024-06-17T00:00:00"/>
    <s v="есть"/>
    <x v="1"/>
    <s v="1 ось"/>
    <s v="002-2013E50Q13-OK"/>
    <x v="0"/>
  </r>
  <r>
    <d v="2024-07-11T16:04:28"/>
    <m/>
    <s v="MX4000002R0001478"/>
    <x v="0"/>
    <x v="2"/>
    <s v="R13"/>
    <s v="R13"/>
    <x v="0"/>
    <d v="2024-07-11T00:00:00"/>
    <s v="есть"/>
    <x v="1"/>
    <s v="1 ось"/>
    <s v="002-2013E30Q13-OK"/>
    <x v="0"/>
  </r>
  <r>
    <d v="2024-07-11T16:42:34"/>
    <m/>
    <s v="MX4000002R0001477"/>
    <x v="0"/>
    <x v="2"/>
    <s v="R13"/>
    <s v="R13"/>
    <x v="0"/>
    <d v="2024-07-11T00:00:00"/>
    <s v="есть"/>
    <x v="1"/>
    <s v="1 ось"/>
    <s v="002-2013E30Q13-OK"/>
    <x v="0"/>
  </r>
  <r>
    <d v="2024-09-16T15:27:39"/>
    <m/>
    <s v="MX4000002R0001476"/>
    <x v="0"/>
    <x v="2"/>
    <s v="R13"/>
    <s v="R13"/>
    <x v="0"/>
    <d v="2024-09-16T00:00:00"/>
    <s v="есть"/>
    <x v="1"/>
    <s v="1 ось"/>
    <s v="002-2013E30Q13-OK"/>
    <x v="0"/>
  </r>
  <r>
    <d v="2024-07-09T11:41:25"/>
    <m/>
    <s v="MX4000002R0001475"/>
    <x v="0"/>
    <x v="1"/>
    <s v="R13"/>
    <s v="R13"/>
    <x v="0"/>
    <d v="2024-07-09T00:00:00"/>
    <s v="есть"/>
    <x v="1"/>
    <s v="1 ось"/>
    <s v="002-2013E50Q13-OK"/>
    <x v="0"/>
  </r>
  <r>
    <d v="2024-07-11T16:05:08"/>
    <m/>
    <s v="MX4000002R0001472"/>
    <x v="0"/>
    <x v="1"/>
    <s v="R13"/>
    <s v="R13"/>
    <x v="0"/>
    <d v="2024-07-11T00:00:00"/>
    <s v="есть"/>
    <x v="1"/>
    <s v="1 ось"/>
    <s v="002-2013E50Q13-OK"/>
    <x v="0"/>
  </r>
  <r>
    <d v="2024-09-24T10:19:16"/>
    <m/>
    <s v="MX4000002R0001471"/>
    <x v="0"/>
    <x v="2"/>
    <s v="R13"/>
    <s v="R13"/>
    <x v="0"/>
    <d v="2024-09-24T00:00:00"/>
    <s v="есть"/>
    <x v="1"/>
    <s v="1 ось"/>
    <s v="002-2013E30Q13-OK"/>
    <x v="0"/>
  </r>
  <r>
    <d v="2024-07-11T16:16:27"/>
    <m/>
    <s v="MX4000002R0001470"/>
    <x v="0"/>
    <x v="1"/>
    <s v="R13"/>
    <s v="R13"/>
    <x v="0"/>
    <d v="2024-07-11T00:00:00"/>
    <s v="есть"/>
    <x v="1"/>
    <s v="1 ось"/>
    <s v="002-2013E50Q13-OK"/>
    <x v="0"/>
  </r>
  <r>
    <d v="2024-07-11T16:42:34"/>
    <m/>
    <s v="MX4000002R0001469"/>
    <x v="0"/>
    <x v="1"/>
    <s v="R13"/>
    <s v="R13"/>
    <x v="0"/>
    <d v="2024-07-11T00:00:00"/>
    <s v="есть"/>
    <x v="1"/>
    <s v="1 ось"/>
    <s v="002-2013E50Q13-OK"/>
    <x v="0"/>
  </r>
  <r>
    <d v="2024-06-17T17:05:03"/>
    <m/>
    <s v="MX4000002R0001468"/>
    <x v="0"/>
    <x v="1"/>
    <s v="R13"/>
    <s v="R13"/>
    <x v="0"/>
    <d v="2024-06-17T00:00:00"/>
    <s v="есть"/>
    <x v="1"/>
    <s v="1 ось"/>
    <s v="002-2013E50Q13-OK"/>
    <x v="0"/>
  </r>
  <r>
    <d v="2024-07-11T16:42:34"/>
    <m/>
    <s v="MX4000002R0001467"/>
    <x v="0"/>
    <x v="2"/>
    <s v="R13"/>
    <s v="R13"/>
    <x v="1"/>
    <d v="2024-07-11T00:00:00"/>
    <s v="есть"/>
    <x v="1"/>
    <s v="1 ось"/>
    <s v="002-2013E30Q13-OK30"/>
    <x v="0"/>
  </r>
  <r>
    <d v="2024-07-11T16:42:34"/>
    <m/>
    <s v="MX4000002R0001466"/>
    <x v="0"/>
    <x v="2"/>
    <s v="R13"/>
    <s v="R13"/>
    <x v="0"/>
    <d v="2024-07-11T00:00:00"/>
    <s v="есть"/>
    <x v="1"/>
    <s v="1 ось"/>
    <s v="002-2013E30Q13-OK"/>
    <x v="0"/>
  </r>
  <r>
    <d v="2024-06-17T17:04:28"/>
    <m/>
    <s v="MX4000002R0001464"/>
    <x v="0"/>
    <x v="2"/>
    <s v="R13"/>
    <s v="R13"/>
    <x v="0"/>
    <d v="2024-06-17T00:00:00"/>
    <s v="есть"/>
    <x v="1"/>
    <s v="1 ось"/>
    <s v="002-2013E30Q13-OK"/>
    <x v="0"/>
  </r>
  <r>
    <d v="2024-06-17T17:06:20"/>
    <m/>
    <s v="MX4000002R0001463"/>
    <x v="0"/>
    <x v="1"/>
    <s v="R13"/>
    <s v="R13"/>
    <x v="0"/>
    <d v="2024-06-17T00:00:00"/>
    <s v="есть"/>
    <x v="1"/>
    <s v="1 ось"/>
    <s v="002-2013E50Q13-OK"/>
    <x v="0"/>
  </r>
  <r>
    <d v="2024-06-17T17:08:39"/>
    <m/>
    <s v="MX4000002R0001462"/>
    <x v="0"/>
    <x v="1"/>
    <s v="R13"/>
    <s v="R13"/>
    <x v="0"/>
    <d v="2024-06-17T00:00:00"/>
    <s v="есть"/>
    <x v="1"/>
    <s v="1 ось"/>
    <s v="002-2013E50Q13-OK"/>
    <x v="0"/>
  </r>
  <r>
    <d v="2024-08-16T11:25:14"/>
    <m/>
    <s v="MX4000002R0001461"/>
    <x v="0"/>
    <x v="2"/>
    <s v="R13"/>
    <s v="R13"/>
    <x v="0"/>
    <d v="2024-08-16T00:00:00"/>
    <s v="есть"/>
    <x v="1"/>
    <s v="1 ось"/>
    <s v="002-2013E30Q13-OK"/>
    <x v="0"/>
  </r>
  <r>
    <d v="2024-07-05T17:05:56"/>
    <m/>
    <s v="MX4000002R0001460"/>
    <x v="0"/>
    <x v="1"/>
    <s v="R13"/>
    <s v="R13"/>
    <x v="0"/>
    <d v="2024-07-05T00:00:00"/>
    <s v="есть"/>
    <x v="1"/>
    <s v="1 ось"/>
    <s v="002-2013E50Q13-OK"/>
    <x v="0"/>
  </r>
  <r>
    <d v="2024-06-17T17:07:25"/>
    <m/>
    <s v="MX4000002R0001459"/>
    <x v="0"/>
    <x v="1"/>
    <s v="R13"/>
    <s v="R13"/>
    <x v="0"/>
    <d v="2024-06-17T00:00:00"/>
    <s v="есть"/>
    <x v="2"/>
    <s v="1 ось"/>
    <s v="002-2013E50Q13-OK"/>
    <x v="0"/>
  </r>
  <r>
    <d v="2024-07-06T11:44:54"/>
    <m/>
    <s v="MX4000002R0001456"/>
    <x v="0"/>
    <x v="2"/>
    <s v="R13"/>
    <s v="R13"/>
    <x v="0"/>
    <d v="2024-07-06T00:00:00"/>
    <s v="есть"/>
    <x v="1"/>
    <s v="1 ось"/>
    <s v="002-2013E30Q13-OK"/>
    <x v="0"/>
  </r>
  <r>
    <d v="2024-06-08T15:23:54"/>
    <m/>
    <s v="MX4000002R0001455"/>
    <x v="0"/>
    <x v="1"/>
    <s v="R13"/>
    <s v="R13"/>
    <x v="0"/>
    <d v="2024-06-08T00:00:00"/>
    <s v="есть"/>
    <x v="1"/>
    <s v="1 ось"/>
    <s v="002-2013E50Q13-OK"/>
    <x v="0"/>
  </r>
  <r>
    <d v="2024-08-10T13:27:15"/>
    <m/>
    <s v="MX4000002R0001453"/>
    <x v="0"/>
    <x v="1"/>
    <s v="R13"/>
    <s v="R13"/>
    <x v="0"/>
    <d v="2024-08-10T00:00:00"/>
    <s v="есть"/>
    <x v="2"/>
    <s v="1 ось"/>
    <s v="002-2013E50Q13-OK"/>
    <x v="0"/>
  </r>
  <r>
    <d v="2024-11-12T10:34:05"/>
    <m/>
    <s v="MX4000002P0001060"/>
    <x v="0"/>
    <x v="2"/>
    <s v="R13"/>
    <s v="R13"/>
    <x v="0"/>
    <d v="2024-11-12T00:00:00"/>
    <s v="есть"/>
    <x v="1"/>
    <s v="1 ось"/>
    <s v="002-2013E30Q13-OK"/>
    <x v="0"/>
  </r>
  <r>
    <d v="2024-09-17T11:09:03"/>
    <m/>
    <s v="MX4000002N0000964"/>
    <x v="0"/>
    <x v="1"/>
    <s v="R13"/>
    <s v="R13"/>
    <x v="0"/>
    <d v="2024-09-17T00:00:00"/>
    <s v="есть"/>
    <x v="2"/>
    <s v="1 ось"/>
    <s v="002-2013E50Q13-OK"/>
    <x v="0"/>
  </r>
  <r>
    <d v="2024-09-03T10:58:58"/>
    <m/>
    <s v="MX4000002N0000672"/>
    <x v="0"/>
    <x v="2"/>
    <s v="R13"/>
    <s v="R13"/>
    <x v="2"/>
    <d v="2022-12-31T00:00:00"/>
    <s v="есть"/>
    <x v="0"/>
    <s v="1 ось"/>
    <s v="002-2013E30Q13-OK60"/>
    <x v="0"/>
  </r>
  <r>
    <d v="2024-07-02T16:47:30"/>
    <m/>
    <s v="MX4000004R0001606"/>
    <x v="1"/>
    <x v="2"/>
    <s v="R13"/>
    <s v="R13"/>
    <x v="0"/>
    <d v="2024-07-02T00:00:00"/>
    <s v="есть"/>
    <x v="2"/>
    <s v="2 оси"/>
    <s v="004-2513E30Q13-OK"/>
    <x v="0"/>
  </r>
  <r>
    <d v="2024-11-29T14:44:35"/>
    <m/>
    <s v="MX4000002R0001867"/>
    <x v="1"/>
    <x v="1"/>
    <s v="R13"/>
    <s v="R13"/>
    <x v="0"/>
    <d v="2024-11-29T00:00:00"/>
    <s v="есть"/>
    <x v="2"/>
    <s v="1 ось"/>
    <s v="002-2513E50Q13-OK"/>
    <x v="0"/>
  </r>
  <r>
    <d v="2024-11-20T10:40:36"/>
    <m/>
    <s v="MX4000002R0001843"/>
    <x v="1"/>
    <x v="1"/>
    <s v="R15"/>
    <s v="R15"/>
    <x v="3"/>
    <d v="2024-11-20T00:00:00"/>
    <s v="есть"/>
    <x v="0"/>
    <s v="1 ось"/>
    <s v="002-2513E50Q15-OK90"/>
    <x v="0"/>
  </r>
  <r>
    <d v="2024-11-04T11:42:21"/>
    <m/>
    <s v="MX4000002R0001835"/>
    <x v="1"/>
    <x v="1"/>
    <s v="R13"/>
    <s v="R13"/>
    <x v="0"/>
    <d v="2024-11-04T00:00:00"/>
    <s v="есть"/>
    <x v="0"/>
    <s v="1 ось"/>
    <s v="002-2513E50Q13-OK"/>
    <x v="0"/>
  </r>
  <r>
    <d v="2024-10-03T16:47:02"/>
    <m/>
    <s v="MX4000002R0001805"/>
    <x v="1"/>
    <x v="2"/>
    <s v="R13"/>
    <s v="R13"/>
    <x v="0"/>
    <d v="2024-10-03T00:00:00"/>
    <s v="есть"/>
    <x v="0"/>
    <s v="1 ось"/>
    <s v="002-2513E30Q13-OK"/>
    <x v="0"/>
  </r>
  <r>
    <d v="2024-09-06T11:40:14"/>
    <m/>
    <s v="MX4000002R0001766"/>
    <x v="1"/>
    <x v="2"/>
    <s v="R13"/>
    <s v="R13"/>
    <x v="4"/>
    <d v="2024-09-06T00:00:00"/>
    <s v="есть"/>
    <x v="2"/>
    <s v="1 ось"/>
    <s v="002-2513E30Q13-OK120"/>
    <x v="0"/>
  </r>
  <r>
    <d v="2024-07-11T12:46:37"/>
    <m/>
    <s v="MX4000002R0001711"/>
    <x v="1"/>
    <x v="1"/>
    <s v="R13"/>
    <s v="R13"/>
    <x v="3"/>
    <d v="2024-07-09T00:00:00"/>
    <s v="есть"/>
    <x v="0"/>
    <s v="1 ось"/>
    <s v="002-2513E50Q13-OK90"/>
    <x v="0"/>
  </r>
  <r>
    <d v="2024-06-10T18:31:26"/>
    <m/>
    <s v="MX4000002R0001710"/>
    <x v="1"/>
    <x v="1"/>
    <s v="R13"/>
    <s v="R13"/>
    <x v="0"/>
    <d v="2024-06-10T00:00:00"/>
    <s v="есть"/>
    <x v="0"/>
    <s v="1 ось"/>
    <s v="002-2513E50Q13-OK"/>
    <x v="0"/>
  </r>
  <r>
    <d v="2024-07-11T16:31:34"/>
    <m/>
    <s v="MX4000002R0001708"/>
    <x v="1"/>
    <x v="2"/>
    <s v="R13"/>
    <s v="R13"/>
    <x v="0"/>
    <d v="2024-07-11T00:00:00"/>
    <s v="есть"/>
    <x v="1"/>
    <s v="1 ось"/>
    <s v="002-2513E30Q13-OK"/>
    <x v="0"/>
  </r>
  <r>
    <d v="2024-07-11T16:31:34"/>
    <m/>
    <s v="MX4000002R0001707"/>
    <x v="1"/>
    <x v="2"/>
    <s v="R13"/>
    <s v="R13"/>
    <x v="0"/>
    <d v="2024-07-11T00:00:00"/>
    <s v="есть"/>
    <x v="1"/>
    <s v="1 ось"/>
    <s v="002-2513E30Q13-OK"/>
    <x v="0"/>
  </r>
  <r>
    <d v="2024-07-11T16:31:34"/>
    <m/>
    <s v="MX4000002R0001706"/>
    <x v="1"/>
    <x v="1"/>
    <s v="R13"/>
    <s v="R13"/>
    <x v="0"/>
    <d v="2024-07-11T00:00:00"/>
    <s v="есть"/>
    <x v="1"/>
    <s v="1 ось"/>
    <s v="002-2513E50Q13-OK"/>
    <x v="0"/>
  </r>
  <r>
    <d v="2024-07-11T16:31:34"/>
    <m/>
    <s v="MX4000002R0001705"/>
    <x v="1"/>
    <x v="2"/>
    <s v="R13"/>
    <s v="R13"/>
    <x v="0"/>
    <d v="2024-07-11T00:00:00"/>
    <s v="есть"/>
    <x v="1"/>
    <s v="1 ось"/>
    <s v="002-2513E30Q13-OK"/>
    <x v="0"/>
  </r>
  <r>
    <d v="2024-07-11T16:31:34"/>
    <m/>
    <s v="MX4000002R0001704"/>
    <x v="1"/>
    <x v="1"/>
    <s v="R13"/>
    <s v="R13"/>
    <x v="0"/>
    <d v="2024-07-11T00:00:00"/>
    <s v="есть"/>
    <x v="1"/>
    <s v="1 ось"/>
    <s v="002-2513E50Q13-OK"/>
    <x v="0"/>
  </r>
  <r>
    <d v="2024-06-10T18:32:08"/>
    <m/>
    <s v="MX4000002R0001701"/>
    <x v="1"/>
    <x v="2"/>
    <s v="R13"/>
    <s v="R13"/>
    <x v="0"/>
    <d v="2024-06-10T00:00:00"/>
    <s v="есть"/>
    <x v="0"/>
    <s v="1 ось"/>
    <s v="002-2513E30Q13-OK"/>
    <x v="0"/>
  </r>
  <r>
    <d v="2024-06-21T13:27:48"/>
    <m/>
    <s v="MX4000002R0001647"/>
    <x v="1"/>
    <x v="1"/>
    <s v="R13"/>
    <s v="R13"/>
    <x v="0"/>
    <d v="2024-06-21T00:00:00"/>
    <s v="есть"/>
    <x v="2"/>
    <s v="1 ось"/>
    <s v="002-2513E50Q13-OK"/>
    <x v="0"/>
  </r>
  <r>
    <d v="2024-06-10T18:34:06"/>
    <m/>
    <s v="MX4000002R0001646"/>
    <x v="1"/>
    <x v="2"/>
    <s v="R13"/>
    <s v="R13"/>
    <x v="0"/>
    <d v="2024-06-10T00:00:00"/>
    <s v="есть"/>
    <x v="2"/>
    <s v="1 ось"/>
    <s v="002-2513E30Q13-OK"/>
    <x v="0"/>
  </r>
  <r>
    <d v="2024-06-10T18:34:50"/>
    <m/>
    <s v="MX4000002R0001643"/>
    <x v="1"/>
    <x v="1"/>
    <s v="R13"/>
    <s v="R13"/>
    <x v="0"/>
    <d v="2024-06-10T00:00:00"/>
    <s v="есть"/>
    <x v="0"/>
    <s v="1 ось"/>
    <s v="002-2513E50Q13-OK"/>
    <x v="0"/>
  </r>
  <r>
    <d v="2024-06-06T16:01:15"/>
    <m/>
    <s v="MX4000002R0001642"/>
    <x v="1"/>
    <x v="1"/>
    <s v="R13"/>
    <s v="R13"/>
    <x v="2"/>
    <d v="2024-04-02T00:00:00"/>
    <s v="есть"/>
    <x v="2"/>
    <s v="1 ось"/>
    <s v="002-2513E50Q13-OK60"/>
    <x v="0"/>
  </r>
  <r>
    <d v="2024-07-16T12:14:18"/>
    <m/>
    <s v="MX4000002R0001639"/>
    <x v="1"/>
    <x v="2"/>
    <s v="R13"/>
    <s v="R13"/>
    <x v="0"/>
    <d v="2024-07-16T00:00:00"/>
    <s v="есть"/>
    <x v="2"/>
    <s v="1 ось"/>
    <s v="002-2513E30Q13-OK"/>
    <x v="0"/>
  </r>
  <r>
    <d v="2024-06-26T17:50:51"/>
    <m/>
    <s v="MX4000002R0001638"/>
    <x v="1"/>
    <x v="1"/>
    <s v="R13"/>
    <s v="R13"/>
    <x v="0"/>
    <d v="2024-06-26T00:00:00"/>
    <s v="есть"/>
    <x v="1"/>
    <s v="1 ось"/>
    <s v="002-2513E50Q13-OK"/>
    <x v="0"/>
  </r>
  <r>
    <d v="2024-10-31T17:09:44"/>
    <m/>
    <s v="MX4000002R0001636"/>
    <x v="1"/>
    <x v="1"/>
    <s v="R13"/>
    <s v="R13"/>
    <x v="0"/>
    <d v="2024-10-31T00:00:00"/>
    <s v="есть"/>
    <x v="1"/>
    <s v="1 ось"/>
    <s v="002-2513E50Q13-OK"/>
    <x v="0"/>
  </r>
  <r>
    <d v="2024-07-11T16:02:20"/>
    <m/>
    <s v="MX4000002R0001635"/>
    <x v="1"/>
    <x v="1"/>
    <s v="R13"/>
    <s v="R13"/>
    <x v="0"/>
    <d v="2024-07-11T00:00:00"/>
    <s v="есть"/>
    <x v="1"/>
    <s v="1 ось"/>
    <s v="002-2513E50Q13-OK"/>
    <x v="0"/>
  </r>
  <r>
    <d v="2024-06-25T14:31:24"/>
    <m/>
    <s v="MX4000002R0001634"/>
    <x v="1"/>
    <x v="1"/>
    <s v="R13"/>
    <s v="R13"/>
    <x v="0"/>
    <d v="2024-06-25T00:00:00"/>
    <s v="есть"/>
    <x v="1"/>
    <s v="1 ось"/>
    <s v="002-2513E50Q13-OK"/>
    <x v="0"/>
  </r>
  <r>
    <d v="2024-07-01T12:15:28"/>
    <m/>
    <s v="MX4000002R0001633"/>
    <x v="1"/>
    <x v="1"/>
    <s v="R13"/>
    <s v="R13"/>
    <x v="0"/>
    <d v="2024-07-01T00:00:00"/>
    <s v="есть"/>
    <x v="0"/>
    <s v="1 ось"/>
    <s v="002-2513E50Q13-OK"/>
    <x v="0"/>
  </r>
  <r>
    <d v="2024-07-11T16:03:04"/>
    <m/>
    <s v="MX4000002R0001630"/>
    <x v="1"/>
    <x v="1"/>
    <s v="R13"/>
    <s v="R13"/>
    <x v="0"/>
    <d v="2024-07-11T00:00:00"/>
    <s v="есть"/>
    <x v="1"/>
    <s v="1 ось"/>
    <s v="002-2513E50Q13-OK"/>
    <x v="0"/>
  </r>
  <r>
    <d v="2024-06-17T17:14:30"/>
    <m/>
    <s v="MX4000002R0001628"/>
    <x v="1"/>
    <x v="2"/>
    <s v="R13"/>
    <s v="R13"/>
    <x v="0"/>
    <d v="2024-06-17T00:00:00"/>
    <s v="есть"/>
    <x v="1"/>
    <s v="1 ось"/>
    <s v="002-2513E30Q13-OK"/>
    <x v="0"/>
  </r>
  <r>
    <d v="2024-07-02T13:27:11"/>
    <m/>
    <s v="MX4000002R0001627"/>
    <x v="1"/>
    <x v="2"/>
    <s v="R13"/>
    <s v="R13"/>
    <x v="0"/>
    <d v="2024-07-02T00:00:00"/>
    <s v="есть"/>
    <x v="1"/>
    <s v="1 ось"/>
    <s v="002-2513E30Q13-OK"/>
    <x v="0"/>
  </r>
  <r>
    <d v="2024-07-11T16:31:34"/>
    <m/>
    <s v="MX4000002R0001625"/>
    <x v="1"/>
    <x v="2"/>
    <s v="R13"/>
    <s v="R13"/>
    <x v="0"/>
    <d v="2024-07-11T00:00:00"/>
    <s v="есть"/>
    <x v="1"/>
    <s v="1 ось"/>
    <s v="002-2513E30Q13-OK"/>
    <x v="0"/>
  </r>
  <r>
    <d v="2024-07-11T16:31:34"/>
    <m/>
    <s v="MX4000002R0001624"/>
    <x v="1"/>
    <x v="2"/>
    <s v="R13"/>
    <s v="R13"/>
    <x v="0"/>
    <d v="2024-07-11T00:00:00"/>
    <s v="есть"/>
    <x v="1"/>
    <s v="1 ось"/>
    <s v="002-2513E30Q13-OK"/>
    <x v="0"/>
  </r>
  <r>
    <d v="2024-07-11T16:31:34"/>
    <m/>
    <s v="MX4000002R0001623"/>
    <x v="1"/>
    <x v="1"/>
    <s v="R13"/>
    <s v="R13"/>
    <x v="0"/>
    <d v="2024-07-11T00:00:00"/>
    <s v="есть"/>
    <x v="1"/>
    <s v="1 ось"/>
    <s v="002-2513E50Q13-OK"/>
    <x v="0"/>
  </r>
  <r>
    <d v="2024-07-11T16:31:34"/>
    <m/>
    <s v="MX4000002R0001622"/>
    <x v="1"/>
    <x v="1"/>
    <s v="R13"/>
    <s v="R13"/>
    <x v="0"/>
    <d v="2024-07-11T00:00:00"/>
    <s v="есть"/>
    <x v="1"/>
    <s v="1 ось"/>
    <s v="002-2513E50Q13-OK"/>
    <x v="0"/>
  </r>
  <r>
    <d v="2024-07-11T16:31:34"/>
    <m/>
    <s v="MX4000002R0001621"/>
    <x v="1"/>
    <x v="2"/>
    <s v="R13"/>
    <s v="R13"/>
    <x v="2"/>
    <d v="2024-07-11T00:00:00"/>
    <s v="есть"/>
    <x v="1"/>
    <s v="1 ось"/>
    <s v="002-2513E30Q13-OK60"/>
    <x v="0"/>
  </r>
  <r>
    <d v="2024-10-28T12:07:02"/>
    <m/>
    <s v="MX4000002R0001619"/>
    <x v="1"/>
    <x v="1"/>
    <s v="R13"/>
    <s v="R13"/>
    <x v="0"/>
    <d v="2024-10-28T00:00:00"/>
    <s v="есть"/>
    <x v="1"/>
    <s v="1 ось"/>
    <s v="002-2513E50Q13-OK"/>
    <x v="0"/>
  </r>
  <r>
    <d v="2024-11-30T12:39:32"/>
    <m/>
    <s v="MX4000002R0001616"/>
    <x v="1"/>
    <x v="1"/>
    <s v="R13"/>
    <s v="R13"/>
    <x v="0"/>
    <d v="2024-11-30T00:00:00"/>
    <s v="есть"/>
    <x v="1"/>
    <s v="1 ось"/>
    <s v="002-2513E50Q13-OK"/>
    <x v="0"/>
  </r>
  <r>
    <d v="2024-12-12T12:12:10"/>
    <m/>
    <s v="MX4000002R0001612"/>
    <x v="1"/>
    <x v="2"/>
    <s v="R13"/>
    <s v="R13"/>
    <x v="0"/>
    <d v="2024-12-12T00:00:00"/>
    <s v="нет"/>
    <x v="1"/>
    <s v="1 ось"/>
    <s v="002-2513E30Q13"/>
    <x v="0"/>
  </r>
  <r>
    <d v="2024-07-16T12:13:22"/>
    <m/>
    <s v="MX4000002R0001611"/>
    <x v="1"/>
    <x v="1"/>
    <s v="R13"/>
    <s v="R13"/>
    <x v="0"/>
    <d v="2024-07-16T00:00:00"/>
    <s v="есть"/>
    <x v="2"/>
    <s v="1 ось"/>
    <s v="002-2513E50Q13-OK"/>
    <x v="0"/>
  </r>
  <r>
    <d v="2024-10-29T17:07:14"/>
    <m/>
    <s v="MX4000002R0001609"/>
    <x v="1"/>
    <x v="2"/>
    <s v="R13"/>
    <s v="R13"/>
    <x v="0"/>
    <d v="2024-10-28T00:00:00"/>
    <s v="нет"/>
    <x v="0"/>
    <s v="1 ось"/>
    <s v="002-2513E30Q13"/>
    <x v="0"/>
  </r>
  <r>
    <d v="2024-11-02T14:32:51"/>
    <m/>
    <s v="MX4000002R0001607"/>
    <x v="1"/>
    <x v="1"/>
    <s v="R13"/>
    <s v="R13"/>
    <x v="0"/>
    <d v="2024-11-02T00:00:00"/>
    <s v="есть"/>
    <x v="1"/>
    <s v="1 ось"/>
    <s v="002-2513E50Q13-OK"/>
    <x v="0"/>
  </r>
  <r>
    <d v="2024-09-18T11:16:52"/>
    <m/>
    <s v="MX4000002R0001605"/>
    <x v="1"/>
    <x v="1"/>
    <s v="R13"/>
    <s v="R13"/>
    <x v="0"/>
    <d v="2024-09-17T00:00:00"/>
    <s v="есть"/>
    <x v="2"/>
    <s v="1 ось"/>
    <s v="002-2513E50Q13-OK"/>
    <x v="0"/>
  </r>
  <r>
    <d v="2024-07-11T16:01:34"/>
    <m/>
    <s v="MX4000002R0001604"/>
    <x v="1"/>
    <x v="1"/>
    <s v="R13"/>
    <s v="R13"/>
    <x v="0"/>
    <d v="2024-07-11T00:00:00"/>
    <s v="есть"/>
    <x v="1"/>
    <s v="1 ось"/>
    <s v="002-2513E50Q13-OK"/>
    <x v="0"/>
  </r>
  <r>
    <d v="2024-09-21T15:41:51"/>
    <m/>
    <s v="MX4000002R0001603"/>
    <x v="1"/>
    <x v="1"/>
    <s v="R15"/>
    <s v="R15"/>
    <x v="0"/>
    <d v="2024-09-17T00:00:00"/>
    <s v="есть"/>
    <x v="1"/>
    <s v="1 ось"/>
    <s v="002-2513E50Q15-OK"/>
    <x v="0"/>
  </r>
  <r>
    <d v="2024-06-21T13:28:16"/>
    <m/>
    <s v="MX4000002R0001602"/>
    <x v="1"/>
    <x v="1"/>
    <s v="R13"/>
    <s v="R13"/>
    <x v="0"/>
    <d v="2024-06-21T00:00:00"/>
    <s v="есть"/>
    <x v="2"/>
    <s v="1 ось"/>
    <s v="002-2513E50Q13-OK"/>
    <x v="0"/>
  </r>
  <r>
    <d v="2024-06-04T19:46:17"/>
    <m/>
    <s v="MX4000002R0001522"/>
    <x v="1"/>
    <x v="2"/>
    <s v="R13"/>
    <s v="R13"/>
    <x v="0"/>
    <d v="2024-06-03T00:00:00"/>
    <s v="есть"/>
    <x v="1"/>
    <s v="1 ось"/>
    <s v="002-2513E30Q13-OK"/>
    <x v="0"/>
  </r>
  <r>
    <d v="2024-06-17T17:05:44"/>
    <m/>
    <s v="MX4000002R0001521"/>
    <x v="1"/>
    <x v="2"/>
    <s v="R13"/>
    <s v="R13"/>
    <x v="0"/>
    <d v="2024-06-17T00:00:00"/>
    <s v="есть"/>
    <x v="1"/>
    <s v="1 ось"/>
    <s v="002-2513E30Q13-OK"/>
    <x v="0"/>
  </r>
  <r>
    <d v="2024-06-17T17:06:54"/>
    <m/>
    <s v="MX4000002R0001519"/>
    <x v="1"/>
    <x v="1"/>
    <s v="R13"/>
    <s v="R13"/>
    <x v="0"/>
    <d v="2024-06-17T00:00:00"/>
    <s v="есть"/>
    <x v="1"/>
    <s v="1 ось"/>
    <s v="002-2513E50Q13-OK"/>
    <x v="0"/>
  </r>
  <r>
    <d v="2024-06-08T11:26:03"/>
    <m/>
    <s v="MX4000002R0001518"/>
    <x v="1"/>
    <x v="1"/>
    <s v="R13"/>
    <s v="R13"/>
    <x v="0"/>
    <d v="2024-06-07T00:00:00"/>
    <s v="нет"/>
    <x v="1"/>
    <s v="1 ось"/>
    <s v="002-2513E50Q13"/>
    <x v="0"/>
  </r>
  <r>
    <d v="2024-06-17T17:09:44"/>
    <m/>
    <s v="MX4000002R0001517"/>
    <x v="1"/>
    <x v="1"/>
    <s v="R13"/>
    <s v="R13"/>
    <x v="0"/>
    <d v="2024-06-17T00:00:00"/>
    <s v="есть"/>
    <x v="1"/>
    <s v="1 ось"/>
    <s v="002-2513E50Q13-OK"/>
    <x v="0"/>
  </r>
  <r>
    <d v="2024-06-17T17:07:58"/>
    <m/>
    <s v="MX4000002R0001516"/>
    <x v="1"/>
    <x v="1"/>
    <s v="R13"/>
    <s v="R13"/>
    <x v="0"/>
    <d v="2024-06-17T00:00:00"/>
    <s v="есть"/>
    <x v="1"/>
    <s v="1 ось"/>
    <s v="002-2513E50Q13-OK"/>
    <x v="0"/>
  </r>
  <r>
    <d v="2024-06-07T16:32:05"/>
    <m/>
    <s v="MX4000002R0001511"/>
    <x v="1"/>
    <x v="2"/>
    <s v="R13"/>
    <s v="R13"/>
    <x v="0"/>
    <d v="2024-06-06T00:00:00"/>
    <s v="есть"/>
    <x v="1"/>
    <s v="1 ось"/>
    <s v="002-2513E30Q13-OK"/>
    <x v="0"/>
  </r>
  <r>
    <d v="2024-07-02T13:28:01"/>
    <m/>
    <s v="MX4000002R0001509"/>
    <x v="1"/>
    <x v="2"/>
    <s v="R13"/>
    <s v="R13"/>
    <x v="0"/>
    <d v="2024-07-02T00:00:00"/>
    <s v="есть"/>
    <x v="1"/>
    <s v="1 ось"/>
    <s v="002-2513E30Q13-OK"/>
    <x v="0"/>
  </r>
  <r>
    <d v="2024-06-17T12:17:02"/>
    <m/>
    <s v="MX4000002R0001508"/>
    <x v="1"/>
    <x v="2"/>
    <s v="R13"/>
    <s v="R13"/>
    <x v="0"/>
    <d v="2024-06-17T00:00:00"/>
    <s v="есть"/>
    <x v="1"/>
    <s v="1 ось"/>
    <s v="002-2513E30Q13-OK"/>
    <x v="0"/>
  </r>
  <r>
    <d v="2024-06-17T17:16:00"/>
    <m/>
    <s v="MX4000002R0001507"/>
    <x v="1"/>
    <x v="2"/>
    <s v="R13"/>
    <s v="R13"/>
    <x v="0"/>
    <d v="2024-06-17T00:00:00"/>
    <s v="есть"/>
    <x v="1"/>
    <s v="1 ось"/>
    <s v="002-2513E30Q13-OK"/>
    <x v="0"/>
  </r>
  <r>
    <d v="2024-06-17T17:15:28"/>
    <m/>
    <s v="MX4000002R0001506"/>
    <x v="1"/>
    <x v="2"/>
    <s v="R13"/>
    <s v="R13"/>
    <x v="0"/>
    <d v="2024-06-17T00:00:00"/>
    <s v="есть"/>
    <x v="1"/>
    <s v="1 ось"/>
    <s v="002-2513E30Q13-OK"/>
    <x v="0"/>
  </r>
  <r>
    <d v="2024-06-17T17:12:51"/>
    <m/>
    <s v="MX4000002R0001503"/>
    <x v="1"/>
    <x v="2"/>
    <s v="R13"/>
    <s v="R13"/>
    <x v="0"/>
    <d v="2024-06-17T00:00:00"/>
    <s v="есть"/>
    <x v="1"/>
    <s v="1 ось"/>
    <s v="002-2513E30Q13-OK"/>
    <x v="0"/>
  </r>
  <r>
    <d v="2024-06-06T11:28:50"/>
    <m/>
    <s v="MX4000002R0001502"/>
    <x v="1"/>
    <x v="1"/>
    <s v="R13"/>
    <s v="R13"/>
    <x v="0"/>
    <d v="2024-06-06T00:00:00"/>
    <s v="есть"/>
    <x v="1"/>
    <s v="1 ось"/>
    <s v="002-2513E50Q13-OK"/>
    <x v="0"/>
  </r>
  <r>
    <d v="2024-08-28T12:04:40"/>
    <m/>
    <s v="MX4000002R0001447"/>
    <x v="1"/>
    <x v="1"/>
    <s v="R13"/>
    <s v="R13"/>
    <x v="0"/>
    <d v="2024-08-28T00:00:00"/>
    <s v="есть"/>
    <x v="0"/>
    <s v="1 ось"/>
    <s v="002-2513E50Q13-OK"/>
    <x v="0"/>
  </r>
  <r>
    <d v="2024-07-11T16:28:28"/>
    <m/>
    <s v="MX4000002R0001425"/>
    <x v="1"/>
    <x v="2"/>
    <s v="R13"/>
    <s v="R13"/>
    <x v="0"/>
    <d v="2024-07-11T00:00:00"/>
    <s v="есть"/>
    <x v="1"/>
    <s v="1 ось"/>
    <s v="002-2513E30Q13-OK"/>
    <x v="1"/>
  </r>
  <r>
    <d v="2024-06-06T16:02:33"/>
    <m/>
    <s v="MX4000002P0001445"/>
    <x v="1"/>
    <x v="2"/>
    <s v="R13"/>
    <s v="R13"/>
    <x v="0"/>
    <d v="2024-02-02T00:00:00"/>
    <s v="есть"/>
    <x v="2"/>
    <s v="1 ось"/>
    <s v="002-2513E30Q13-OK"/>
    <x v="0"/>
  </r>
  <r>
    <d v="2024-06-06T16:03:28"/>
    <m/>
    <s v="MX4000002P0001444"/>
    <x v="1"/>
    <x v="2"/>
    <s v="R13"/>
    <s v="R13"/>
    <x v="0"/>
    <d v="2024-01-15T00:00:00"/>
    <s v="есть"/>
    <x v="2"/>
    <s v="1 ось"/>
    <s v="002-2513E30Q13-OK"/>
    <x v="0"/>
  </r>
  <r>
    <d v="2024-11-16T13:09:18"/>
    <m/>
    <s v="MX4000002P0001425"/>
    <x v="1"/>
    <x v="2"/>
    <s v="R13"/>
    <s v="R13"/>
    <x v="0"/>
    <d v="2023-12-16T00:00:00"/>
    <s v="есть"/>
    <x v="1"/>
    <s v="1 ось"/>
    <s v="002-2513E30Q13-OK"/>
    <x v="0"/>
  </r>
  <r>
    <d v="2024-12-11T18:34:44"/>
    <m/>
    <s v="MX4000004R0001819"/>
    <x v="2"/>
    <x v="2"/>
    <s v="R13"/>
    <s v="R13"/>
    <x v="0"/>
    <d v="2024-12-11T00:00:00"/>
    <s v="есть"/>
    <x v="2"/>
    <s v="2 оси"/>
    <s v="004-2515E30Q13-OK"/>
    <x v="0"/>
  </r>
  <r>
    <d v="2024-10-14T17:44:17"/>
    <m/>
    <s v="MX4000004R0001807"/>
    <x v="2"/>
    <x v="2"/>
    <s v="R13"/>
    <s v="R13"/>
    <x v="3"/>
    <d v="2024-10-14T00:00:00"/>
    <s v="есть"/>
    <x v="2"/>
    <s v="2 оси"/>
    <s v="004-2515E30Q13-OK"/>
    <x v="0"/>
  </r>
  <r>
    <d v="2024-09-30T13:23:49"/>
    <m/>
    <s v="MX4000004R0001799"/>
    <x v="2"/>
    <x v="1"/>
    <s v="R13"/>
    <s v="R13"/>
    <x v="0"/>
    <d v="2024-09-30T00:00:00"/>
    <s v="есть"/>
    <x v="0"/>
    <s v="2 оси"/>
    <s v="002-2515E50Q13-OK"/>
    <x v="0"/>
  </r>
  <r>
    <d v="2024-11-11T12:20:56"/>
    <m/>
    <s v="MX4000004R0001792"/>
    <x v="2"/>
    <x v="1"/>
    <s v="R13"/>
    <s v="R13"/>
    <x v="0"/>
    <d v="2024-11-11T00:00:00"/>
    <s v="есть"/>
    <x v="1"/>
    <s v="2 оси"/>
    <s v="004-2515E30Q13-OK"/>
    <x v="0"/>
  </r>
  <r>
    <d v="2024-09-17T11:41:57"/>
    <m/>
    <s v="MX4000004R0001769"/>
    <x v="2"/>
    <x v="2"/>
    <s v="R13"/>
    <s v="R13"/>
    <x v="0"/>
    <d v="2024-09-17T00:00:00"/>
    <s v="есть"/>
    <x v="2"/>
    <s v="2 оси"/>
    <s v="004-2515E30Q13-OK"/>
    <x v="0"/>
  </r>
  <r>
    <d v="2024-09-04T16:44:28"/>
    <m/>
    <s v="MX4000004R0001756"/>
    <x v="2"/>
    <x v="1"/>
    <s v="R13"/>
    <s v="R13"/>
    <x v="3"/>
    <d v="2024-09-04T00:00:00"/>
    <s v="есть"/>
    <x v="1"/>
    <s v="2 оси"/>
    <s v="004-2515E50Q13-OK90"/>
    <x v="0"/>
  </r>
  <r>
    <d v="2024-09-09T16:57:21"/>
    <m/>
    <s v="MX4000004R0001755"/>
    <x v="2"/>
    <x v="1"/>
    <s v="R13"/>
    <s v="R13"/>
    <x v="0"/>
    <d v="2024-09-09T00:00:00"/>
    <s v="есть"/>
    <x v="1"/>
    <s v="2 оси"/>
    <s v="004-2515E50Q13-OK"/>
    <x v="0"/>
  </r>
  <r>
    <d v="2024-06-06T16:06:00"/>
    <m/>
    <s v="MX4000004N0000934"/>
    <x v="2"/>
    <x v="2"/>
    <s v="R13"/>
    <s v="R13"/>
    <x v="0"/>
    <d v="2022-10-07T00:00:00"/>
    <s v="есть"/>
    <x v="2"/>
    <s v="2 оси"/>
    <s v="004-2515E30Q13-OK"/>
    <x v="0"/>
  </r>
  <r>
    <d v="2024-10-14T17:44:57"/>
    <m/>
    <s v="MX4000002R0001808"/>
    <x v="2"/>
    <x v="1"/>
    <s v="R13"/>
    <s v="R13"/>
    <x v="0"/>
    <d v="2024-10-14T00:00:00"/>
    <s v="есть"/>
    <x v="2"/>
    <s v="1 ось"/>
    <s v="002-2515E50Q13-OK"/>
    <x v="0"/>
  </r>
  <r>
    <d v="2024-10-19T11:43:06"/>
    <m/>
    <s v="MX4000002R0001796"/>
    <x v="2"/>
    <x v="2"/>
    <s v="R13"/>
    <s v="R13"/>
    <x v="0"/>
    <d v="2024-10-18T00:00:00"/>
    <s v="есть"/>
    <x v="1"/>
    <s v="1 ось"/>
    <s v="002-2515E30Q13-OK"/>
    <x v="0"/>
  </r>
  <r>
    <d v="2024-10-19T11:31:44"/>
    <m/>
    <s v="MX4000002R0001754"/>
    <x v="2"/>
    <x v="1"/>
    <s v="R13"/>
    <s v="R13"/>
    <x v="0"/>
    <d v="2024-10-18T00:00:00"/>
    <s v="есть"/>
    <x v="1"/>
    <s v="1 ось"/>
    <s v="002-2515E50Q13-OK"/>
    <x v="0"/>
  </r>
  <r>
    <d v="2024-08-24T11:05:16"/>
    <m/>
    <s v="MX4000002R0001753"/>
    <x v="2"/>
    <x v="0"/>
    <s v="R13"/>
    <s v="R13"/>
    <x v="0"/>
    <d v="2024-08-24T00:00:00"/>
    <s v="есть"/>
    <x v="1"/>
    <s v="1 ось"/>
    <s v="002-2515Q13-OK"/>
    <x v="0"/>
  </r>
  <r>
    <d v="2024-09-06T11:41:58"/>
    <m/>
    <s v="MX4000002R0001724"/>
    <x v="2"/>
    <x v="2"/>
    <s v="R13"/>
    <s v="R13"/>
    <x v="0"/>
    <d v="2024-09-06T00:00:00"/>
    <s v="есть"/>
    <x v="2"/>
    <s v="1 ось"/>
    <s v="002-2515E30Q13-OK"/>
    <x v="0"/>
  </r>
  <r>
    <d v="2024-06-10T14:13:10"/>
    <m/>
    <s v="MX4000002R0001719"/>
    <x v="2"/>
    <x v="1"/>
    <s v="R13"/>
    <s v="R13"/>
    <x v="2"/>
    <d v="2024-06-09T00:00:00"/>
    <s v="есть"/>
    <x v="0"/>
    <s v="1 ось"/>
    <s v="002-2515E50Q13-OK60"/>
    <x v="0"/>
  </r>
  <r>
    <d v="2024-07-25T13:49:04"/>
    <m/>
    <s v="MX4000002P0001412"/>
    <x v="2"/>
    <x v="2"/>
    <s v="R13"/>
    <s v="R13"/>
    <x v="0"/>
    <d v="2023-12-31T00:00:00"/>
    <s v="есть"/>
    <x v="2"/>
    <s v="1 ось"/>
    <s v="002-2515E30Q13-OK"/>
    <x v="0"/>
  </r>
  <r>
    <d v="2024-10-11T14:11:54"/>
    <m/>
    <s v="MX4000005R0001814"/>
    <x v="3"/>
    <x v="0"/>
    <s v="R13"/>
    <s v="R13"/>
    <x v="0"/>
    <d v="2024-10-11T00:00:00"/>
    <s v="есть"/>
    <x v="0"/>
    <s v="2 оси"/>
    <s v="004-3015E30Q13-OK"/>
    <x v="0"/>
  </r>
  <r>
    <d v="2024-10-14T17:39:53"/>
    <m/>
    <s v="MX4000004R0001809"/>
    <x v="3"/>
    <x v="1"/>
    <s v="R13"/>
    <s v="R13"/>
    <x v="0"/>
    <d v="2024-10-14T00:00:00"/>
    <s v="есть"/>
    <x v="2"/>
    <s v="2 оси"/>
    <s v="004-3015E30Q13-OK"/>
    <x v="0"/>
  </r>
  <r>
    <d v="2024-10-30T15:04:38"/>
    <m/>
    <s v="MX4000004R0001793"/>
    <x v="3"/>
    <x v="2"/>
    <s v="R13"/>
    <s v="R13"/>
    <x v="0"/>
    <d v="2024-10-30T00:00:00"/>
    <s v="есть"/>
    <x v="1"/>
    <s v="2 оси"/>
    <s v="002-3015E30Q13-OK"/>
    <x v="0"/>
  </r>
  <r>
    <d v="2024-09-16T13:28:44"/>
    <m/>
    <s v="MX4000004R0001771"/>
    <x v="3"/>
    <x v="2"/>
    <s v="R13"/>
    <s v="R13"/>
    <x v="5"/>
    <d v="2024-09-16T00:00:00"/>
    <s v="есть"/>
    <x v="0"/>
    <s v="2 оси"/>
    <s v="004-3015E30Q13-OK150"/>
    <x v="0"/>
  </r>
  <r>
    <d v="2024-06-06T16:07:38"/>
    <m/>
    <s v="MX4000004N0000876"/>
    <x v="3"/>
    <x v="2"/>
    <s v="R13"/>
    <s v="R13"/>
    <x v="3"/>
    <d v="2023-03-03T00:00:00"/>
    <s v="есть"/>
    <x v="2"/>
    <s v="2 оси"/>
    <s v="004-3015E30Q13-OK90"/>
    <x v="0"/>
  </r>
  <r>
    <d v="2024-10-14T17:38:46"/>
    <m/>
    <s v="MX4000002R0001810"/>
    <x v="3"/>
    <x v="2"/>
    <s v="R13"/>
    <s v="R13"/>
    <x v="0"/>
    <d v="2024-10-14T00:00:00"/>
    <s v="есть"/>
    <x v="2"/>
    <s v="1 ось"/>
    <s v="002-3015E30Q13-OK"/>
    <x v="1"/>
  </r>
  <r>
    <d v="2024-11-26T15:46:50"/>
    <m/>
    <s v="MX4000004R0001863"/>
    <x v="4"/>
    <x v="2"/>
    <s v="R15"/>
    <s v="R15"/>
    <x v="5"/>
    <d v="2024-11-26T00:00:00"/>
    <s v="есть"/>
    <x v="1"/>
    <s v="2 оси"/>
    <s v="004-3515E30Q15-OK150"/>
    <x v="0"/>
  </r>
  <r>
    <d v="2024-11-22T11:41:41"/>
    <m/>
    <s v="MX4000004R0001850"/>
    <x v="4"/>
    <x v="2"/>
    <s v="R13"/>
    <s v="R13"/>
    <x v="5"/>
    <d v="2024-11-22T00:00:00"/>
    <s v="нет"/>
    <x v="0"/>
    <s v="2 оси"/>
    <s v="004-3515E30Q13-OK150"/>
    <x v="0"/>
  </r>
  <r>
    <d v="2024-06-26T11:38:57"/>
    <m/>
    <s v="MX4000004R0001721"/>
    <x v="4"/>
    <x v="1"/>
    <s v="R13"/>
    <s v="R13"/>
    <x v="5"/>
    <d v="2024-06-26T00:00:00"/>
    <s v="есть"/>
    <x v="0"/>
    <s v="2 оси"/>
    <s v="004-3515E50Q13-OK150"/>
    <x v="0"/>
  </r>
  <r>
    <d v="2024-11-22T16:08:13"/>
    <m/>
    <s v="MX4000002R0001845"/>
    <x v="4"/>
    <x v="2"/>
    <s v="R13"/>
    <s v="R13"/>
    <x v="5"/>
    <d v="2024-11-22T00:00:00"/>
    <s v="есть"/>
    <x v="2"/>
    <s v="1 ось"/>
    <s v="002-3515E30Q13-OK150"/>
    <x v="0"/>
  </r>
  <r>
    <d v="2024-11-29T15:49:28"/>
    <m/>
    <s v="MX4000002R0001844"/>
    <x v="4"/>
    <x v="2"/>
    <s v="R13"/>
    <s v="R13"/>
    <x v="0"/>
    <d v="2024-11-29T00:00:00"/>
    <s v="есть"/>
    <x v="1"/>
    <s v="1 ось"/>
    <s v="002-3515E30Q13-OK"/>
    <x v="0"/>
  </r>
  <r>
    <d v="2024-06-27T12:28:50"/>
    <m/>
    <s v="MX4000002R0001720"/>
    <x v="4"/>
    <x v="2"/>
    <s v="R13"/>
    <s v="R13"/>
    <x v="0"/>
    <d v="2024-06-27T00:00:00"/>
    <s v="есть"/>
    <x v="1"/>
    <s v="1 ось"/>
    <s v="002-3515E30Q13-OK"/>
    <x v="0"/>
  </r>
  <r>
    <d v="2024-09-25T16:12:55"/>
    <m/>
    <s v="MX4000005R0001780"/>
    <x v="5"/>
    <x v="0"/>
    <s v="R13"/>
    <s v="R13"/>
    <x v="0"/>
    <d v="2024-09-25T00:00:00"/>
    <s v="есть"/>
    <x v="0"/>
    <s v="2 оси"/>
    <s v="002-4015Q13-OK"/>
    <x v="0"/>
  </r>
  <r>
    <d v="2024-11-29T18:25:00"/>
    <m/>
    <s v="MX4000002R0001876"/>
    <x v="5"/>
    <x v="2"/>
    <s v="R13"/>
    <s v="R13"/>
    <x v="0"/>
    <d v="2024-11-29T00:00:00"/>
    <s v="есть"/>
    <x v="2"/>
    <s v="1 ось"/>
    <s v="002-4015E30Q13-OK"/>
    <x v="0"/>
  </r>
  <r>
    <d v="2025-01-06T12:55:25"/>
    <m/>
    <s v="MX4000002R0001620"/>
    <x v="1"/>
    <x v="2"/>
    <s v="R13"/>
    <s v="R13"/>
    <x v="0"/>
    <d v="2024-12-24T00:00:00"/>
    <s v="есть"/>
    <x v="1"/>
    <s v="1 ось"/>
    <s v="002-2513E30Q13-OK"/>
    <x v="0"/>
  </r>
  <r>
    <d v="2025-01-11T12:34:40"/>
    <m/>
    <s v="MX4000002R0001829"/>
    <x v="0"/>
    <x v="2"/>
    <s v="R13"/>
    <s v="R13"/>
    <x v="0"/>
    <d v="2024-12-31T00:00:00"/>
    <s v="есть"/>
    <x v="1"/>
    <s v="1 ось"/>
    <s v="002-2013E30Q13-OK"/>
    <x v="0"/>
  </r>
  <r>
    <d v="2025-01-16T11:51:30"/>
    <m/>
    <s v="MX4000002R0001933"/>
    <x v="0"/>
    <x v="1"/>
    <s v="R13"/>
    <s v="R13"/>
    <x v="1"/>
    <d v="2024-12-30T00:00:00"/>
    <s v="есть"/>
    <x v="0"/>
    <s v="1 ось"/>
    <s v="002-2013E50Q13-OK30"/>
    <x v="0"/>
  </r>
  <r>
    <d v="2025-01-18T11:46:17"/>
    <m/>
    <s v="MX4000002R0001877"/>
    <x v="0"/>
    <x v="1"/>
    <s v="R13"/>
    <s v="R13"/>
    <x v="0"/>
    <d v="2024-12-30T00:00:00"/>
    <s v="есть"/>
    <x v="2"/>
    <s v="1 ось"/>
    <s v="002-2013E50Q13-OK"/>
    <x v="0"/>
  </r>
  <r>
    <d v="2025-01-19T12:24:02"/>
    <m/>
    <s v="MX4000002R0001906"/>
    <x v="0"/>
    <x v="1"/>
    <s v="R13"/>
    <s v="R13"/>
    <x v="0"/>
    <d v="2024-12-30T00:00:00"/>
    <s v="есть"/>
    <x v="2"/>
    <s v="1 ось"/>
    <s v="002-2013E50Q13-OK"/>
    <x v="0"/>
  </r>
  <r>
    <d v="2025-01-22T12:25:38"/>
    <m/>
    <s v="MX4000004S0001949"/>
    <x v="3"/>
    <x v="1"/>
    <s v="R13"/>
    <s v="R13"/>
    <x v="0"/>
    <d v="2025-01-22T00:00:00"/>
    <s v="есть"/>
    <x v="2"/>
    <s v="2 оси"/>
    <s v="002-3015E50Q13-OK"/>
    <x v="0"/>
  </r>
  <r>
    <d v="2025-01-22T12:26:41"/>
    <m/>
    <s v="MX4000002S0001948"/>
    <x v="3"/>
    <x v="2"/>
    <s v="R13"/>
    <s v="R13"/>
    <x v="0"/>
    <d v="2025-01-22T00:00:00"/>
    <s v="есть"/>
    <x v="2"/>
    <s v="1 ось"/>
    <s v="002-3015E30Q13-OK"/>
    <x v="0"/>
  </r>
  <r>
    <d v="2025-01-22T12:29:18"/>
    <m/>
    <s v="MX4000002R0001903"/>
    <x v="1"/>
    <x v="2"/>
    <s v="R13"/>
    <s v="R13"/>
    <x v="0"/>
    <d v="2025-01-22T00:00:00"/>
    <s v="есть"/>
    <x v="2"/>
    <s v="1 ось"/>
    <s v="002-2513E30Q13-OK"/>
    <x v="0"/>
  </r>
  <r>
    <d v="2025-01-22T12:30:05"/>
    <m/>
    <s v="MX4000002R0001904"/>
    <x v="1"/>
    <x v="1"/>
    <s v="R13"/>
    <s v="R13"/>
    <x v="0"/>
    <d v="2025-01-22T00:00:00"/>
    <s v="есть"/>
    <x v="2"/>
    <s v="1 ось"/>
    <s v="002-2513E50Q13-OK"/>
    <x v="0"/>
  </r>
  <r>
    <d v="2025-01-22T12:34:58"/>
    <m/>
    <s v="MX4000002R0001878"/>
    <x v="1"/>
    <x v="1"/>
    <s v="R13"/>
    <s v="R13"/>
    <x v="0"/>
    <d v="2024-12-30T00:00:00"/>
    <s v="есть"/>
    <x v="2"/>
    <s v="1 ось"/>
    <s v="002-2513E50Q13-OK"/>
    <x v="0"/>
  </r>
  <r>
    <d v="2025-01-27T13:16:29"/>
    <m/>
    <s v="MX4000002S0001950"/>
    <x v="0"/>
    <x v="1"/>
    <s v="R13"/>
    <s v="R13"/>
    <x v="0"/>
    <d v="2025-01-27T00:00:00"/>
    <s v="есть"/>
    <x v="2"/>
    <s v="1 ось"/>
    <s v="002-2013E50Q13-OK"/>
    <x v="0"/>
  </r>
  <r>
    <d v="2025-01-27T13:17:40"/>
    <m/>
    <s v="MX4000002R0001645"/>
    <x v="1"/>
    <x v="1"/>
    <s v="R13"/>
    <s v="R13"/>
    <x v="0"/>
    <d v="2024-12-18T00:00:00"/>
    <s v="нет"/>
    <x v="1"/>
    <s v="1 ось"/>
    <s v="002-2513E50Q13"/>
    <x v="0"/>
  </r>
  <r>
    <d v="2025-01-27T15:58:28"/>
    <m/>
    <s v="MX4000002R0001935"/>
    <x v="1"/>
    <x v="2"/>
    <s v="R13"/>
    <s v="R13"/>
    <x v="0"/>
    <d v="2025-05-11T00:00:00"/>
    <s v="есть"/>
    <x v="2"/>
    <s v="1 ось"/>
    <s v="002-2513E30Q13-OK"/>
    <x v="0"/>
  </r>
  <r>
    <d v="2025-01-27T15:59:40"/>
    <m/>
    <s v="MX4000002S0001952"/>
    <x v="0"/>
    <x v="1"/>
    <s v="R13"/>
    <s v="R13"/>
    <x v="3"/>
    <d v="2025-01-27T00:00:00"/>
    <s v="есть"/>
    <x v="2"/>
    <s v="1 ось"/>
    <s v="002-2013E50Q13-OK90"/>
    <x v="0"/>
  </r>
  <r>
    <d v="2025-01-27T16:00:44"/>
    <m/>
    <s v="MX4000002S0001953"/>
    <x v="0"/>
    <x v="2"/>
    <s v="R13"/>
    <s v="R13"/>
    <x v="0"/>
    <d v="2025-01-27T00:00:00"/>
    <s v="есть"/>
    <x v="2"/>
    <s v="1 ось"/>
    <s v="002-2013E30Q13-OK"/>
    <x v="0"/>
  </r>
  <r>
    <d v="2025-01-27T16:01:42"/>
    <m/>
    <s v="MX4000002S0001951"/>
    <x v="0"/>
    <x v="2"/>
    <s v="R13"/>
    <s v="R13"/>
    <x v="0"/>
    <d v="2025-01-27T00:00:00"/>
    <s v="есть"/>
    <x v="2"/>
    <s v="1 ось"/>
    <s v="002-2013E30Q13-OK"/>
    <x v="0"/>
  </r>
  <r>
    <d v="2025-01-27T17:19:13"/>
    <m/>
    <s v="MX4000002S0001947"/>
    <x v="0"/>
    <x v="2"/>
    <s v="R13"/>
    <s v="R13"/>
    <x v="0"/>
    <d v="2025-01-20T00:00:00"/>
    <s v="есть"/>
    <x v="2"/>
    <s v="1 ось"/>
    <s v="002-2013E30Q13-OK"/>
    <x v="0"/>
  </r>
  <r>
    <d v="2025-01-28T11:02:03"/>
    <m/>
    <s v="MX4000002R0001936"/>
    <x v="1"/>
    <x v="2"/>
    <s v="R13"/>
    <s v="R13"/>
    <x v="0"/>
    <d v="2024-12-30T00:00:00"/>
    <s v="есть"/>
    <x v="0"/>
    <s v="1 ось"/>
    <s v="002-2513E30Q13-OK"/>
    <x v="0"/>
  </r>
  <r>
    <d v="2025-01-30T13:27:26"/>
    <m/>
    <s v="MX4000002R0001600"/>
    <x v="1"/>
    <x v="2"/>
    <s v="R13"/>
    <s v="R13"/>
    <x v="0"/>
    <d v="2024-12-19T00:00:00"/>
    <s v="есть"/>
    <x v="1"/>
    <s v="1 ось"/>
    <s v="002-2513E30Q13-OK"/>
    <x v="0"/>
  </r>
  <r>
    <d v="2025-02-03T15:28:00"/>
    <m/>
    <s v="MX4000002R0001644"/>
    <x v="1"/>
    <x v="1"/>
    <s v="R13"/>
    <s v="R13"/>
    <x v="0"/>
    <d v="2024-12-30T00:00:00"/>
    <s v="есть"/>
    <x v="1"/>
    <s v="1 ось"/>
    <s v="002-2513E50Q13-OK"/>
    <x v="0"/>
  </r>
  <r>
    <d v="2025-02-05T11:53:05"/>
    <m/>
    <s v="MX4000002S0001959"/>
    <x v="0"/>
    <x v="1"/>
    <s v="R13"/>
    <s v="R13"/>
    <x v="0"/>
    <d v="2025-05-02T00:00:00"/>
    <s v="есть"/>
    <x v="2"/>
    <s v="1 ось"/>
    <s v="002-2013E50Q13-OK"/>
    <x v="0"/>
  </r>
  <r>
    <d v="2025-02-08T13:44:59"/>
    <m/>
    <s v="MX4000002R0001853"/>
    <x v="0"/>
    <x v="2"/>
    <s v="R13"/>
    <s v="R13"/>
    <x v="0"/>
    <d v="2024-12-30T00:00:00"/>
    <s v="есть"/>
    <x v="1"/>
    <s v="1 ось"/>
    <s v="002-2013E30Q13-OK"/>
    <x v="0"/>
  </r>
  <r>
    <d v="2025-02-09T15:14:27"/>
    <m/>
    <s v="MX4000002R0001797"/>
    <x v="3"/>
    <x v="2"/>
    <s v="R13"/>
    <s v="R13"/>
    <x v="0"/>
    <d v="2024-12-30T00:00:00"/>
    <s v="есть"/>
    <x v="1"/>
    <s v="1 ось"/>
    <s v="002-3015E30Q13-OK"/>
    <x v="0"/>
  </r>
  <r>
    <d v="2025-02-10T13:41:23"/>
    <m/>
    <s v="MX4000002S0001958"/>
    <x v="0"/>
    <x v="1"/>
    <s v="R13"/>
    <s v="R13"/>
    <x v="2"/>
    <d v="2025-02-10T00:00:00"/>
    <s v="есть"/>
    <x v="2"/>
    <s v="1 ось"/>
    <s v="002-2013E50Q13-OK60"/>
    <x v="0"/>
  </r>
  <r>
    <d v="2025-02-10T13:42:02"/>
    <m/>
    <s v="MX4000002S0001970"/>
    <x v="0"/>
    <x v="1"/>
    <s v="R13"/>
    <s v="R13"/>
    <x v="0"/>
    <d v="2025-02-10T00:00:00"/>
    <s v="есть"/>
    <x v="2"/>
    <s v="1 ось"/>
    <s v="002-2013E50Q13-OK"/>
    <x v="0"/>
  </r>
  <r>
    <d v="2025-02-10T13:53:19"/>
    <m/>
    <s v="MX4000002S0001971"/>
    <x v="0"/>
    <x v="1"/>
    <s v="R13"/>
    <s v="R13"/>
    <x v="0"/>
    <d v="2025-02-10T00:00:00"/>
    <s v="есть"/>
    <x v="2"/>
    <s v="1 ось"/>
    <s v="002-2013E50Q13-OK"/>
    <x v="0"/>
  </r>
  <r>
    <d v="2025-02-12T12:26:20"/>
    <m/>
    <s v="MX4000002R0001795"/>
    <x v="2"/>
    <x v="2"/>
    <s v="R15"/>
    <s v="R15"/>
    <x v="0"/>
    <d v="2024-12-30T00:00:00"/>
    <s v="есть"/>
    <x v="1"/>
    <s v="1 ось"/>
    <s v="002-2515E30Q15-OK"/>
    <x v="0"/>
  </r>
  <r>
    <d v="2025-02-12T14:49:53"/>
    <m/>
    <s v="MX4000002R0001973"/>
    <x v="1"/>
    <x v="1"/>
    <s v="R13"/>
    <s v="R13"/>
    <x v="0"/>
    <d v="2025-02-10T00:00:00"/>
    <s v="есть"/>
    <x v="0"/>
    <s v="1 ось"/>
    <s v="002-2513E50Q13-OK"/>
    <x v="0"/>
  </r>
  <r>
    <d v="2025-02-12T16:33:59"/>
    <m/>
    <s v="MX4000002R0001828"/>
    <x v="0"/>
    <x v="1"/>
    <s v="R13"/>
    <s v="R13"/>
    <x v="0"/>
    <d v="2024-12-30T00:00:00"/>
    <s v="есть"/>
    <x v="1"/>
    <s v="1 ось"/>
    <s v="002-2013E50Q13-OK"/>
    <x v="0"/>
  </r>
  <r>
    <d v="2025-02-13T11:22:09"/>
    <m/>
    <s v="MX4000002S0001974"/>
    <x v="0"/>
    <x v="1"/>
    <s v="R13"/>
    <s v="R13"/>
    <x v="2"/>
    <d v="2025-02-13T00:00:00"/>
    <s v="есть"/>
    <x v="2"/>
    <s v="1 ось"/>
    <s v="002-2013E50Q13-OK60"/>
    <x v="0"/>
  </r>
  <r>
    <d v="2025-02-13T11:55:44"/>
    <m/>
    <s v="MX4000004S0001987"/>
    <x v="2"/>
    <x v="1"/>
    <s v="R13"/>
    <s v="R13"/>
    <x v="0"/>
    <d v="2025-02-13T00:00:00"/>
    <s v="есть"/>
    <x v="2"/>
    <s v="2 оси"/>
    <s v="002-2515E50Q13-OK"/>
    <x v="0"/>
  </r>
  <r>
    <d v="2025-02-14T12:30:27"/>
    <m/>
    <s v="MX4000002R0001649"/>
    <x v="1"/>
    <x v="1"/>
    <s v="R13"/>
    <s v="R13"/>
    <x v="0"/>
    <d v="2024-12-30T00:00:00"/>
    <s v="есть"/>
    <x v="1"/>
    <s v="1 ось"/>
    <s v="002-2513E50Q13-OK"/>
    <x v="0"/>
  </r>
  <r>
    <d v="2025-02-14T16:58:15"/>
    <m/>
    <s v="MX4000002S0001998"/>
    <x v="0"/>
    <x v="1"/>
    <s v="R13"/>
    <s v="R13"/>
    <x v="0"/>
    <d v="2025-02-14T00:00:00"/>
    <s v="есть"/>
    <x v="0"/>
    <s v="1 ось"/>
    <s v="002-2013E50Q13-OK"/>
    <x v="0"/>
  </r>
  <r>
    <d v="2025-02-15T16:48:00"/>
    <m/>
    <s v="MX4000002S0001999"/>
    <x v="0"/>
    <x v="1"/>
    <s v="R13"/>
    <s v="R13"/>
    <x v="0"/>
    <d v="2025-02-15T00:00:00"/>
    <s v="есть"/>
    <x v="2"/>
    <s v="1 ось"/>
    <s v="002-2013E50Q13-OK"/>
    <x v="0"/>
  </r>
  <r>
    <d v="2025-02-15T16:48:56"/>
    <m/>
    <s v="MX4000002R0001934"/>
    <x v="0"/>
    <x v="2"/>
    <s v="R13"/>
    <s v="R13"/>
    <x v="0"/>
    <d v="2024-12-31T00:00:00"/>
    <s v="есть"/>
    <x v="2"/>
    <s v="1 ось"/>
    <s v="002-2013E30Q13-OK"/>
    <x v="0"/>
  </r>
  <r>
    <d v="2025-02-17T11:31:55"/>
    <m/>
    <s v="MX4000002S0002000"/>
    <x v="0"/>
    <x v="1"/>
    <s v="R13"/>
    <s v="R13"/>
    <x v="0"/>
    <d v="2025-02-17T00:00:00"/>
    <s v="есть"/>
    <x v="0"/>
    <s v="1 ось"/>
    <s v="002-2013E50Q13-OK"/>
    <x v="0"/>
  </r>
  <r>
    <d v="2025-02-17T11:52:34"/>
    <m/>
    <s v="MX4000002S0002001"/>
    <x v="1"/>
    <x v="1"/>
    <s v="R13"/>
    <s v="R13"/>
    <x v="0"/>
    <d v="2025-02-17T00:00:00"/>
    <s v="есть"/>
    <x v="0"/>
    <s v="1 ось"/>
    <s v="002-2513E50Q13-OK"/>
    <x v="0"/>
  </r>
  <r>
    <d v="2025-02-18T10:33:25"/>
    <m/>
    <s v="MX4000002S0001975"/>
    <x v="1"/>
    <x v="1"/>
    <s v="R13"/>
    <s v="R13"/>
    <x v="0"/>
    <d v="2025-02-18T00:00:00"/>
    <s v="есть"/>
    <x v="2"/>
    <s v="1 ось"/>
    <s v="002-2513E50Q13-OK"/>
    <x v="0"/>
  </r>
  <r>
    <d v="2025-02-18T10:33:54"/>
    <m/>
    <s v="MX4000002S0001980"/>
    <x v="1"/>
    <x v="1"/>
    <s v="R13"/>
    <s v="R13"/>
    <x v="0"/>
    <d v="2025-02-18T00:00:00"/>
    <s v="есть"/>
    <x v="2"/>
    <s v="1 ось"/>
    <s v="002-2513E50Q13-OK"/>
    <x v="0"/>
  </r>
  <r>
    <d v="2025-02-18T10:42:19"/>
    <m/>
    <s v="MX4000002S0002003"/>
    <x v="0"/>
    <x v="1"/>
    <s v="R13"/>
    <s v="R13"/>
    <x v="2"/>
    <d v="2025-02-18T00:00:00"/>
    <s v="есть"/>
    <x v="2"/>
    <s v="1 ось"/>
    <s v="002-2013E50Q13-OK60"/>
    <x v="0"/>
  </r>
  <r>
    <d v="2025-02-18T10:42:55"/>
    <m/>
    <s v="MX4000002S0002002"/>
    <x v="0"/>
    <x v="1"/>
    <s v="R13"/>
    <s v="R13"/>
    <x v="0"/>
    <d v="2025-02-18T00:00:00"/>
    <s v="есть"/>
    <x v="2"/>
    <s v="1 ось"/>
    <s v="002-2013E50Q13-OK"/>
    <x v="0"/>
  </r>
  <r>
    <d v="2025-02-18T15:04:00"/>
    <m/>
    <s v="MX4000002S0002005"/>
    <x v="0"/>
    <x v="1"/>
    <s v="R13"/>
    <s v="R13"/>
    <x v="1"/>
    <d v="2025-02-18T00:00:00"/>
    <s v="есть"/>
    <x v="2"/>
    <s v="1 ось"/>
    <s v="002-2013E50Q13-OK30"/>
    <x v="0"/>
  </r>
  <r>
    <d v="2025-02-18T15:28:20"/>
    <m/>
    <s v="MX4000002S0002004"/>
    <x v="0"/>
    <x v="1"/>
    <s v="R13"/>
    <s v="R13"/>
    <x v="0"/>
    <d v="2025-02-18T00:00:00"/>
    <s v="есть"/>
    <x v="0"/>
    <s v="1 ось"/>
    <s v="002-2013E50Q13-OK"/>
    <x v="0"/>
  </r>
  <r>
    <d v="2025-02-19T12:09:00"/>
    <m/>
    <s v="MX4000002S0002006"/>
    <x v="0"/>
    <x v="1"/>
    <s v="R13"/>
    <s v="R13"/>
    <x v="1"/>
    <d v="2025-02-19T00:00:00"/>
    <s v="есть"/>
    <x v="2"/>
    <s v="1 ось"/>
    <s v="002-2013E50Q13-OK30"/>
    <x v="0"/>
  </r>
  <r>
    <d v="2025-02-19T14:53:13"/>
    <m/>
    <s v="MX4000002R0001859"/>
    <x v="0"/>
    <x v="2"/>
    <s v="R13"/>
    <s v="R13"/>
    <x v="0"/>
    <d v="2024-12-12T00:00:00"/>
    <s v="есть"/>
    <x v="1"/>
    <s v="1 ось"/>
    <s v="002-2013E30Q13-OK"/>
    <x v="0"/>
  </r>
  <r>
    <d v="2025-02-20T13:02:59"/>
    <m/>
    <s v="MX4000002R0001854"/>
    <x v="0"/>
    <x v="1"/>
    <s v="R13"/>
    <s v="R13"/>
    <x v="0"/>
    <d v="2024-12-12T00:00:00"/>
    <s v="есть"/>
    <x v="1"/>
    <s v="1 ось"/>
    <s v="002-2013E50Q13-OK"/>
    <x v="0"/>
  </r>
  <r>
    <d v="2025-02-21T09:43:32"/>
    <m/>
    <s v="MX4000002S0002008"/>
    <x v="0"/>
    <x v="1"/>
    <s v="R13"/>
    <s v="R13"/>
    <x v="0"/>
    <d v="2025-02-17T00:00:00"/>
    <s v="есть"/>
    <x v="2"/>
    <s v="1 ось"/>
    <s v="002-2013E50Q13-OK"/>
    <x v="0"/>
  </r>
  <r>
    <d v="2025-02-21T10:10:19"/>
    <m/>
    <s v="MX4000002S0002009"/>
    <x v="0"/>
    <x v="1"/>
    <s v="R13"/>
    <s v="R13"/>
    <x v="0"/>
    <d v="2025-02-18T00:00:00"/>
    <s v="есть"/>
    <x v="2"/>
    <s v="1 ось"/>
    <s v="002-2013E50Q13-OK"/>
    <x v="0"/>
  </r>
  <r>
    <d v="2025-02-21T16:56:00"/>
    <m/>
    <s v="MX4000002S0001972"/>
    <x v="0"/>
    <x v="2"/>
    <s v="R13"/>
    <s v="R13"/>
    <x v="0"/>
    <d v="2025-02-18T00:00:00"/>
    <s v="есть"/>
    <x v="0"/>
    <s v="1 ось"/>
    <s v="002-2013E30Q13-OK"/>
    <x v="0"/>
  </r>
  <r>
    <d v="2025-02-22T10:24:07"/>
    <m/>
    <s v="MX4000002S0002007"/>
    <x v="0"/>
    <x v="1"/>
    <s v="R13"/>
    <s v="R13"/>
    <x v="1"/>
    <d v="2025-02-22T00:00:00"/>
    <s v="есть"/>
    <x v="0"/>
    <s v="1 ось"/>
    <s v="002-2013E50Q13-OK30"/>
    <x v="0"/>
  </r>
  <r>
    <d v="2025-02-24T10:55:30"/>
    <m/>
    <s v="MX4000002R0001798"/>
    <x v="3"/>
    <x v="1"/>
    <s v="R13"/>
    <s v="R13"/>
    <x v="0"/>
    <d v="2024-12-12T00:00:00"/>
    <s v="есть"/>
    <x v="1"/>
    <s v="1 ось"/>
    <s v="002-3015E50Q13-OK"/>
    <x v="0"/>
  </r>
  <r>
    <d v="2025-02-24T11:56:00"/>
    <m/>
    <s v="MX4000002R0001857"/>
    <x v="0"/>
    <x v="1"/>
    <s v="R13"/>
    <s v="R13"/>
    <x v="0"/>
    <d v="2024-12-12T00:00:00"/>
    <s v="есть"/>
    <x v="1"/>
    <s v="1 ось"/>
    <s v="002-2013E50Q13-OK"/>
    <x v="0"/>
  </r>
  <r>
    <d v="2025-02-25T11:40:59"/>
    <m/>
    <s v="MX4000002S0002011"/>
    <x v="1"/>
    <x v="1"/>
    <s v="R13"/>
    <s v="R13"/>
    <x v="0"/>
    <d v="2025-02-25T00:00:00"/>
    <s v="есть"/>
    <x v="2"/>
    <s v="1 ось"/>
    <s v="002-2513E50Q13-OK"/>
    <x v="0"/>
  </r>
  <r>
    <d v="2025-02-25T11:42:16"/>
    <m/>
    <s v="MX4000002S0002010"/>
    <x v="1"/>
    <x v="1"/>
    <s v="R13"/>
    <s v="R13"/>
    <x v="1"/>
    <d v="2025-02-25T00:00:00"/>
    <s v="есть"/>
    <x v="2"/>
    <s v="1 ось"/>
    <s v="002-2513E50Q13-OK30"/>
    <x v="0"/>
  </r>
  <r>
    <d v="2025-02-25T16:56:34"/>
    <m/>
    <s v="MX4000002S0002014"/>
    <x v="0"/>
    <x v="1"/>
    <s v="R13"/>
    <s v="R13"/>
    <x v="0"/>
    <d v="2025-02-25T00:00:00"/>
    <s v="есть"/>
    <x v="0"/>
    <s v="1 ось"/>
    <s v="002-2013E50Q13-OK"/>
    <x v="0"/>
  </r>
  <r>
    <d v="2025-02-26T12:32:46"/>
    <m/>
    <s v="MX4000002R0001855"/>
    <x v="0"/>
    <x v="2"/>
    <s v="R13"/>
    <s v="R13"/>
    <x v="0"/>
    <d v="2024-12-20T00:00:00"/>
    <s v="есть"/>
    <x v="1"/>
    <s v="1 ось"/>
    <s v="002-2013E30Q13-OK"/>
    <x v="0"/>
  </r>
  <r>
    <d v="2025-02-26T15:55:44"/>
    <m/>
    <s v="MX4000002S0002012"/>
    <x v="0"/>
    <x v="1"/>
    <s v="R13"/>
    <s v="R13"/>
    <x v="0"/>
    <d v="2025-02-06T00:00:00"/>
    <s v="есть"/>
    <x v="2"/>
    <s v="1 ось"/>
    <s v="002-2013E50Q13-OK"/>
    <x v="0"/>
  </r>
  <r>
    <d v="2025-02-26T15:56:24"/>
    <m/>
    <s v="MX4000002S0002013"/>
    <x v="0"/>
    <x v="1"/>
    <s v="R13"/>
    <s v="R13"/>
    <x v="1"/>
    <d v="2025-02-26T00:00:00"/>
    <s v="есть"/>
    <x v="2"/>
    <s v="1 ось"/>
    <s v="002-2013E50Q13-OK30"/>
    <x v="0"/>
  </r>
  <r>
    <d v="2025-02-26T17:46:36"/>
    <m/>
    <s v="MX4000002S0002017"/>
    <x v="0"/>
    <x v="1"/>
    <s v="R13"/>
    <s v="R13"/>
    <x v="0"/>
    <d v="2025-02-26T00:00:00"/>
    <s v="есть"/>
    <x v="0"/>
    <s v="1 ось"/>
    <s v="002-2013E50Q13-OK"/>
    <x v="0"/>
  </r>
  <r>
    <d v="2025-02-27T10:41:14"/>
    <m/>
    <s v="MX4000002S0002015"/>
    <x v="1"/>
    <x v="1"/>
    <s v="R13"/>
    <s v="R13"/>
    <x v="0"/>
    <d v="2025-02-27T00:00:00"/>
    <s v="есть"/>
    <x v="0"/>
    <s v="1 ось"/>
    <s v="002-2513E50Q13-OK"/>
    <x v="0"/>
  </r>
  <r>
    <d v="2025-02-27T16:23:00"/>
    <m/>
    <s v="MX4000004R0001791"/>
    <x v="2"/>
    <x v="1"/>
    <s v="R13"/>
    <s v="R13"/>
    <x v="3"/>
    <d v="2024-12-30T00:00:00"/>
    <s v="есть"/>
    <x v="1"/>
    <s v="2 оси"/>
    <s v="002-2515E50Q13-OK90"/>
    <x v="0"/>
  </r>
  <r>
    <d v="2025-02-27T17:51:55"/>
    <m/>
    <s v="MX4000002R0001865"/>
    <x v="2"/>
    <x v="1"/>
    <s v="R15"/>
    <s v="R15"/>
    <x v="0"/>
    <d v="2024-12-13T00:00:00"/>
    <s v="есть"/>
    <x v="1"/>
    <s v="1 ось"/>
    <s v="002-2515E50Q15-OK"/>
    <x v="0"/>
  </r>
  <r>
    <d v="2025-02-28T11:25:46"/>
    <m/>
    <s v="MX4000002S0002021"/>
    <x v="1"/>
    <x v="1"/>
    <s v="R13"/>
    <s v="R13"/>
    <x v="0"/>
    <d v="2025-02-27T00:00:00"/>
    <s v="есть"/>
    <x v="0"/>
    <s v="1 ось"/>
    <s v="002-2513E50Q13-OK"/>
    <x v="0"/>
  </r>
  <r>
    <d v="2025-03-03T11:17:47"/>
    <m/>
    <s v="MX4000002S0002025"/>
    <x v="1"/>
    <x v="2"/>
    <s v="R13"/>
    <s v="R13"/>
    <x v="1"/>
    <d v="2025-03-03T00:00:00"/>
    <s v="есть"/>
    <x v="0"/>
    <s v="1 ось"/>
    <s v="002-2513E30Q13-OK30"/>
    <x v="0"/>
  </r>
  <r>
    <d v="2025-03-03T13:46:29"/>
    <m/>
    <s v="MX4000002R0001858"/>
    <x v="0"/>
    <x v="1"/>
    <s v="R13"/>
    <s v="R13"/>
    <x v="0"/>
    <d v="2024-12-13T00:00:00"/>
    <s v="есть"/>
    <x v="1"/>
    <s v="1 ось"/>
    <s v="002-2013E50Q13-OK"/>
    <x v="0"/>
  </r>
  <r>
    <d v="2025-03-03T16:34:38"/>
    <m/>
    <s v="MX4000002R0001598"/>
    <x v="1"/>
    <x v="1"/>
    <s v="R13"/>
    <s v="R13"/>
    <x v="0"/>
    <d v="2024-12-12T00:00:00"/>
    <s v="есть"/>
    <x v="1"/>
    <s v="1 ось"/>
    <s v="002-2513E50Q13-OK"/>
    <x v="0"/>
  </r>
  <r>
    <d v="2025-03-04T11:02:03"/>
    <m/>
    <s v="MX4000002S0002022"/>
    <x v="1"/>
    <x v="1"/>
    <s v="R13"/>
    <s v="R13"/>
    <x v="0"/>
    <d v="2025-03-03T00:00:00"/>
    <s v="есть"/>
    <x v="0"/>
    <s v="1 ось"/>
    <s v="002-2513E50Q13-OK"/>
    <x v="0"/>
  </r>
  <r>
    <d v="2025-03-06T11:12:34"/>
    <m/>
    <s v="MX4000002R0001648"/>
    <x v="1"/>
    <x v="1"/>
    <s v="R15"/>
    <s v="R15"/>
    <x v="0"/>
    <d v="2024-12-11T00:00:00"/>
    <s v="нет"/>
    <x v="1"/>
    <s v="1 ось"/>
    <s v="002-2513E50Q15"/>
    <x v="0"/>
  </r>
  <r>
    <d v="2025-03-06T14:14:56"/>
    <m/>
    <s v="MX4000002R0001869"/>
    <x v="0"/>
    <x v="2"/>
    <s v="R13"/>
    <s v="R13"/>
    <x v="0"/>
    <d v="2024-12-30T00:00:00"/>
    <s v="есть"/>
    <x v="1"/>
    <s v="1 ось"/>
    <s v="002-2013E30Q13-OK"/>
    <x v="0"/>
  </r>
  <r>
    <d v="2025-03-07T16:50:33"/>
    <m/>
    <s v="MX4000002S0002040"/>
    <x v="1"/>
    <x v="2"/>
    <s v="R13"/>
    <s v="R13"/>
    <x v="0"/>
    <d v="2025-03-07T00:00:00"/>
    <s v="есть"/>
    <x v="0"/>
    <s v="1 ось"/>
    <s v="002-2513E30Q13-OK"/>
    <x v="0"/>
  </r>
  <r>
    <d v="2025-03-11T09:38:52"/>
    <m/>
    <s v="MX4000004R0001794"/>
    <x v="3"/>
    <x v="1"/>
    <s v="R13"/>
    <s v="R13"/>
    <x v="4"/>
    <d v="2024-12-11T00:00:00"/>
    <s v="есть"/>
    <x v="1"/>
    <s v="2 оси"/>
    <s v="002-3015E50Q13-OK120"/>
    <x v="0"/>
  </r>
  <r>
    <d v="2025-03-11T10:29:46"/>
    <m/>
    <s v="MX4000002S0002026"/>
    <x v="1"/>
    <x v="2"/>
    <s v="R13"/>
    <s v="R13"/>
    <x v="2"/>
    <d v="2025-03-03T00:00:00"/>
    <s v="есть"/>
    <x v="0"/>
    <s v="1 ось"/>
    <s v="002-2513E30Q13-OK60"/>
    <x v="0"/>
  </r>
  <r>
    <d v="2025-03-11T10:52:23"/>
    <m/>
    <s v="MX4000002S0002018"/>
    <x v="0"/>
    <x v="1"/>
    <s v="R13"/>
    <s v="R13"/>
    <x v="1"/>
    <d v="2025-03-03T00:00:00"/>
    <s v="есть"/>
    <x v="0"/>
    <s v="1 ось"/>
    <s v="002-2013E50Q13-OK30"/>
    <x v="0"/>
  </r>
  <r>
    <d v="2025-03-11T11:24:48"/>
    <m/>
    <s v="MX4000002S0002020"/>
    <x v="0"/>
    <x v="2"/>
    <s v="R13"/>
    <s v="R13"/>
    <x v="0"/>
    <d v="2025-03-11T00:00:00"/>
    <s v="есть"/>
    <x v="2"/>
    <s v="1 ось"/>
    <s v="002-2013E30Q13-OK"/>
    <x v="0"/>
  </r>
  <r>
    <d v="2025-03-11T14:30:15"/>
    <m/>
    <s v="MX4000002R0001601"/>
    <x v="1"/>
    <x v="1"/>
    <s v="R13"/>
    <s v="R13"/>
    <x v="0"/>
    <d v="2024-12-11T00:00:00"/>
    <s v="есть"/>
    <x v="1"/>
    <s v="1 ось"/>
    <s v="002-2513E50Q13-OK"/>
    <x v="0"/>
  </r>
  <r>
    <d v="2025-03-11T15:26:35"/>
    <m/>
    <s v="MX4000002R0001868"/>
    <x v="0"/>
    <x v="2"/>
    <s v="R13"/>
    <s v="R13"/>
    <x v="0"/>
    <d v="2024-12-11T00:00:00"/>
    <s v="есть"/>
    <x v="1"/>
    <s v="1 ось"/>
    <s v="002-2013E30Q13-OK"/>
    <x v="0"/>
  </r>
  <r>
    <d v="2025-03-11T15:55:00"/>
    <m/>
    <s v="MX4000002S0002041"/>
    <x v="0"/>
    <x v="1"/>
    <s v="R13"/>
    <s v="R13"/>
    <x v="1"/>
    <d v="2025-03-11T00:00:00"/>
    <s v="есть"/>
    <x v="0"/>
    <s v="1 ось"/>
    <s v="002-2013E50Q13-OK30"/>
    <x v="0"/>
  </r>
  <r>
    <d v="2025-03-11T16:00:15"/>
    <m/>
    <s v="MX4000002S0002029"/>
    <x v="0"/>
    <x v="1"/>
    <s v="R13"/>
    <s v="R13"/>
    <x v="0"/>
    <d v="2025-03-11T00:00:00"/>
    <s v="есть"/>
    <x v="2"/>
    <s v="1 ось"/>
    <s v="002-2013E50Q13-OK"/>
    <x v="0"/>
  </r>
  <r>
    <d v="2025-03-13T13:32:31"/>
    <m/>
    <s v="MX4000002R0001875"/>
    <x v="0"/>
    <x v="1"/>
    <s v="R15"/>
    <s v="R15"/>
    <x v="0"/>
    <d v="2024-12-12T00:00:00"/>
    <s v="есть"/>
    <x v="1"/>
    <s v="1 ось"/>
    <s v="002-2013E50Q15-OK"/>
    <x v="0"/>
  </r>
  <r>
    <d v="2025-03-14T10:23:24"/>
    <m/>
    <s v="MX4000002R0001874"/>
    <x v="0"/>
    <x v="1"/>
    <s v="R13"/>
    <s v="R13"/>
    <x v="0"/>
    <d v="2024-12-12T00:00:00"/>
    <s v="есть"/>
    <x v="1"/>
    <s v="1 ось"/>
    <s v="002-2013E50Q13-OK"/>
    <x v="0"/>
  </r>
  <r>
    <d v="2025-03-14T18:06:55"/>
    <m/>
    <s v="MX4000002S0002042"/>
    <x v="0"/>
    <x v="1"/>
    <s v="R13"/>
    <s v="R13"/>
    <x v="1"/>
    <d v="2025-03-14T00:00:00"/>
    <s v="есть"/>
    <x v="2"/>
    <s v="1 ось"/>
    <s v="002-2013E50Q13-OK30"/>
    <x v="0"/>
  </r>
  <r>
    <d v="2025-03-14T18:07:52"/>
    <m/>
    <s v="MX4000002S0002043"/>
    <x v="0"/>
    <x v="1"/>
    <s v="R13"/>
    <s v="R13"/>
    <x v="0"/>
    <d v="2025-03-14T00:00:00"/>
    <s v="есть"/>
    <x v="2"/>
    <s v="1 ось"/>
    <s v="002-2013E50Q13-OK"/>
    <x v="0"/>
  </r>
  <r>
    <d v="2025-03-15T11:21:46"/>
    <m/>
    <s v="MX4000002S0002027"/>
    <x v="0"/>
    <x v="1"/>
    <s v="R13"/>
    <s v="R13"/>
    <x v="2"/>
    <d v="2025-03-11T00:00:00"/>
    <s v="есть"/>
    <x v="0"/>
    <s v="1 ось"/>
    <s v="002-2013E50Q13-OK60"/>
    <x v="0"/>
  </r>
  <r>
    <d v="2025-03-15T14:33:27"/>
    <m/>
    <s v="MX4000002S0002016"/>
    <x v="2"/>
    <x v="2"/>
    <s v="R13"/>
    <s v="R13"/>
    <x v="0"/>
    <d v="2025-12-03T00:00:00"/>
    <s v="есть"/>
    <x v="2"/>
    <s v="1 ось"/>
    <s v="002-2515E30Q13-OK"/>
    <x v="0"/>
  </r>
  <r>
    <d v="2025-03-15T14:34:42"/>
    <m/>
    <s v="MX4000002S0002023"/>
    <x v="0"/>
    <x v="1"/>
    <s v="R13"/>
    <s v="R13"/>
    <x v="0"/>
    <d v="2025-12-03T00:00:00"/>
    <s v="есть"/>
    <x v="2"/>
    <s v="1 ось"/>
    <s v="002-2013E50Q13-OK"/>
    <x v="0"/>
  </r>
  <r>
    <d v="2025-03-15T14:36:00"/>
    <m/>
    <s v="MX4000002S0002024"/>
    <x v="0"/>
    <x v="2"/>
    <s v="R13"/>
    <s v="R13"/>
    <x v="0"/>
    <d v="2025-12-03T00:00:00"/>
    <s v="есть"/>
    <x v="2"/>
    <s v="1 ось"/>
    <s v="002-2013E30Q13-OK"/>
    <x v="0"/>
  </r>
  <r>
    <d v="2025-03-15T14:37:24"/>
    <m/>
    <s v="MX4000002R0001726"/>
    <x v="2"/>
    <x v="1"/>
    <s v="R15"/>
    <s v="R15"/>
    <x v="0"/>
    <d v="2024-12-30T00:00:00"/>
    <s v="есть"/>
    <x v="2"/>
    <s v="1 ось"/>
    <s v="002-2515E50Q15-OK"/>
    <x v="0"/>
  </r>
  <r>
    <d v="2025-03-15T14:38:39"/>
    <m/>
    <s v="MX4000002S0002019"/>
    <x v="0"/>
    <x v="1"/>
    <s v="R13"/>
    <s v="R13"/>
    <x v="2"/>
    <d v="2025-03-15T00:00:00"/>
    <s v="есть"/>
    <x v="2"/>
    <s v="1 ось"/>
    <s v="002-2013E50Q13-OK60"/>
    <x v="0"/>
  </r>
  <r>
    <d v="2025-03-15T14:41:07"/>
    <m/>
    <s v="MX4000002S0002028"/>
    <x v="0"/>
    <x v="1"/>
    <s v="R13"/>
    <s v="R13"/>
    <x v="0"/>
    <d v="2025-03-15T00:00:00"/>
    <s v="есть"/>
    <x v="2"/>
    <s v="1 ось"/>
    <s v="002-2013E50Q13-OK"/>
    <x v="0"/>
  </r>
  <r>
    <d v="2025-03-17T11:11:30"/>
    <m/>
    <s v="MX4000002S0001886"/>
    <x v="0"/>
    <x v="2"/>
    <s v="R13"/>
    <s v="R13"/>
    <x v="0"/>
    <d v="2025-02-14T00:00:00"/>
    <s v="есть"/>
    <x v="1"/>
    <s v="1 ось"/>
    <s v="002-2013E30Q13-OK"/>
    <x v="0"/>
  </r>
  <r>
    <d v="2025-03-17T11:52:08"/>
    <m/>
    <s v="MX4000002S0002044"/>
    <x v="0"/>
    <x v="1"/>
    <s v="R13"/>
    <s v="R13"/>
    <x v="2"/>
    <d v="2025-03-17T00:00:00"/>
    <s v="есть"/>
    <x v="0"/>
    <s v="1 ось"/>
    <s v="002-2013E50Q13-OK60"/>
    <x v="0"/>
  </r>
  <r>
    <d v="2025-03-17T14:29:39"/>
    <m/>
    <s v="MX4000002S0001879"/>
    <x v="0"/>
    <x v="1"/>
    <s v="R13"/>
    <s v="R13"/>
    <x v="0"/>
    <d v="2025-03-17T00:00:00"/>
    <s v="есть"/>
    <x v="1"/>
    <s v="1 ось"/>
    <s v="002-2013E50Q13-OK"/>
    <x v="0"/>
  </r>
  <r>
    <d v="2025-03-17T15:14:05"/>
    <m/>
    <s v="MX4000003S0001955"/>
    <x v="2"/>
    <x v="0"/>
    <s v="R13"/>
    <s v="R13"/>
    <x v="0"/>
    <d v="2025-02-12T00:00:00"/>
    <s v="есть"/>
    <x v="0"/>
    <s v="1 ось"/>
    <s v="002-2515Q13-OK"/>
    <x v="0"/>
  </r>
  <r>
    <d v="2025-03-17T18:00:03"/>
    <m/>
    <s v="MX4000002R0001851"/>
    <x v="0"/>
    <x v="1"/>
    <s v="R13"/>
    <s v="R13"/>
    <x v="2"/>
    <d v="2024-12-12T00:00:00"/>
    <s v="есть"/>
    <x v="1"/>
    <s v="1 ось"/>
    <s v="002-2013E50Q13-OK60"/>
    <x v="0"/>
  </r>
  <r>
    <d v="2025-03-18T12:21:32"/>
    <m/>
    <s v="MX4000002S0001885"/>
    <x v="0"/>
    <x v="2"/>
    <s v="R13"/>
    <s v="R13"/>
    <x v="0"/>
    <d v="2025-03-18T00:00:00"/>
    <s v="есть"/>
    <x v="1"/>
    <s v="1 ось"/>
    <s v="002-2013E30Q13-OK"/>
    <x v="0"/>
  </r>
  <r>
    <d v="2025-03-18T14:05:58"/>
    <m/>
    <s v="MX4000002R0001873"/>
    <x v="0"/>
    <x v="1"/>
    <s v="R13"/>
    <s v="R13"/>
    <x v="0"/>
    <d v="2024-12-12T00:00:00"/>
    <s v="есть"/>
    <x v="1"/>
    <s v="1 ось"/>
    <s v="002-2013E50Q13-OK"/>
    <x v="0"/>
  </r>
  <r>
    <d v="2025-03-19T10:53:17"/>
    <m/>
    <s v="MX4000002R0001641"/>
    <x v="1"/>
    <x v="1"/>
    <s v="R13"/>
    <s v="R13"/>
    <x v="0"/>
    <d v="2024-12-30T00:00:00"/>
    <s v="нет"/>
    <x v="1"/>
    <s v="1 ось"/>
    <s v="002-2513E50Q13"/>
    <x v="0"/>
  </r>
  <r>
    <d v="2025-03-19T10:55:43"/>
    <m/>
    <s v="MX4000002R0001862"/>
    <x v="0"/>
    <x v="1"/>
    <s v="R13"/>
    <s v="R13"/>
    <x v="0"/>
    <d v="2024-12-30T00:00:00"/>
    <s v="есть"/>
    <x v="1"/>
    <s v="1 ось"/>
    <s v="002-2013E50Q13-OK"/>
    <x v="0"/>
  </r>
  <r>
    <d v="2025-03-19T10:57:00"/>
    <m/>
    <s v="MX4000002R0001861"/>
    <x v="0"/>
    <x v="1"/>
    <s v="R13"/>
    <s v="R13"/>
    <x v="0"/>
    <d v="2024-12-30T00:00:00"/>
    <s v="есть"/>
    <x v="1"/>
    <s v="1 ось"/>
    <s v="002-2013E50Q13-OK"/>
    <x v="0"/>
  </r>
  <r>
    <d v="2025-03-19T10:57:37"/>
    <m/>
    <s v="MX4000002R0001872"/>
    <x v="0"/>
    <x v="2"/>
    <s v="R13"/>
    <s v="R13"/>
    <x v="0"/>
    <d v="2024-12-30T00:00:00"/>
    <s v="нет"/>
    <x v="1"/>
    <s v="1 ось"/>
    <s v="002-2013E30Q13"/>
    <x v="0"/>
  </r>
  <r>
    <d v="2025-03-19T10:58:30"/>
    <m/>
    <s v="MX4000002R0001864"/>
    <x v="4"/>
    <x v="2"/>
    <s v="R13"/>
    <s v="R13"/>
    <x v="0"/>
    <d v="2024-12-31T00:00:00"/>
    <s v="есть"/>
    <x v="1"/>
    <s v="1 ось"/>
    <s v="002-3515E30Q13-OK"/>
    <x v="0"/>
  </r>
  <r>
    <d v="2025-03-19T10:59:10"/>
    <m/>
    <s v="MX4000002R0001613"/>
    <x v="1"/>
    <x v="2"/>
    <s v="R13"/>
    <s v="R13"/>
    <x v="0"/>
    <d v="2024-12-30T00:00:00"/>
    <s v="есть"/>
    <x v="1"/>
    <s v="1 ось"/>
    <s v="002-2513E30Q13-OK"/>
    <x v="0"/>
  </r>
  <r>
    <d v="2025-03-19T10:59:57"/>
    <m/>
    <s v="MX4000004R0001866"/>
    <x v="2"/>
    <x v="2"/>
    <s v="R13"/>
    <s v="R13"/>
    <x v="0"/>
    <d v="2024-12-30T00:00:00"/>
    <s v="есть"/>
    <x v="1"/>
    <s v="2 оси"/>
    <s v="002-2515E30Q13-OK"/>
    <x v="0"/>
  </r>
  <r>
    <d v="2025-03-19T11:02:53"/>
    <m/>
    <s v="MX4000002S0001891"/>
    <x v="0"/>
    <x v="1"/>
    <s v="R13"/>
    <s v="R13"/>
    <x v="0"/>
    <d v="2025-03-04T00:00:00"/>
    <s v="есть"/>
    <x v="1"/>
    <s v="1 ось"/>
    <s v="002-2013E50Q13-OK"/>
    <x v="0"/>
  </r>
  <r>
    <d v="2025-03-19T11:04:07"/>
    <m/>
    <s v="MX4000002S0001898"/>
    <x v="0"/>
    <x v="1"/>
    <s v="R15"/>
    <s v="R13"/>
    <x v="0"/>
    <d v="2025-04-03T00:00:00"/>
    <s v="есть"/>
    <x v="1"/>
    <s v="1 ось"/>
    <s v="002-2013E50Q15-OK"/>
    <x v="0"/>
  </r>
  <r>
    <d v="2025-03-19T11:04:41"/>
    <m/>
    <s v="MX4000002S0001899"/>
    <x v="0"/>
    <x v="1"/>
    <s v="R13"/>
    <s v="R13"/>
    <x v="0"/>
    <d v="2025-03-04T00:00:00"/>
    <s v="есть"/>
    <x v="1"/>
    <s v="1 ось"/>
    <s v="002-2013E50Q13-OK"/>
    <x v="0"/>
  </r>
  <r>
    <d v="2025-03-19T11:05:17"/>
    <m/>
    <s v="MX4000002S0001900"/>
    <x v="0"/>
    <x v="1"/>
    <s v="R13"/>
    <s v="R13"/>
    <x v="0"/>
    <d v="2025-03-04T00:00:00"/>
    <s v="есть"/>
    <x v="1"/>
    <s v="1 ось"/>
    <s v="002-2013E50Q13-OK"/>
    <x v="0"/>
  </r>
  <r>
    <d v="2025-03-19T11:06:00"/>
    <m/>
    <s v="MX4000002S0001901"/>
    <x v="0"/>
    <x v="2"/>
    <s v="R13"/>
    <s v="R13"/>
    <x v="0"/>
    <d v="2025-03-04T00:00:00"/>
    <s v="есть"/>
    <x v="1"/>
    <s v="1 ось"/>
    <s v="002-2013E30Q13-OK"/>
    <x v="0"/>
  </r>
  <r>
    <d v="2025-03-19T11:06:40"/>
    <m/>
    <s v="MX4000002S0001902"/>
    <x v="0"/>
    <x v="1"/>
    <s v="R13"/>
    <s v="R13"/>
    <x v="0"/>
    <d v="2025-03-04T00:00:00"/>
    <s v="есть"/>
    <x v="1"/>
    <s v="1 ось"/>
    <s v="002-2013E50Q13-OK"/>
    <x v="0"/>
  </r>
  <r>
    <d v="2025-03-19T11:07:22"/>
    <m/>
    <s v="MX4000002S0001892"/>
    <x v="0"/>
    <x v="1"/>
    <s v="R13"/>
    <s v="R13"/>
    <x v="0"/>
    <d v="2025-03-04T00:00:00"/>
    <s v="есть"/>
    <x v="1"/>
    <s v="1 ось"/>
    <s v="002-2013E50Q13-OK"/>
    <x v="0"/>
  </r>
  <r>
    <d v="2025-03-19T11:07:56"/>
    <m/>
    <s v="MX4000002S0001893"/>
    <x v="0"/>
    <x v="1"/>
    <s v="R13"/>
    <s v="R13"/>
    <x v="0"/>
    <d v="2025-03-04T00:00:00"/>
    <s v="есть"/>
    <x v="1"/>
    <s v="1 ось"/>
    <s v="002-2013E50Q13-OK"/>
    <x v="0"/>
  </r>
  <r>
    <d v="2025-03-19T11:08:31"/>
    <m/>
    <s v="MX4000002S0001894"/>
    <x v="0"/>
    <x v="1"/>
    <s v="R13"/>
    <s v="R13"/>
    <x v="0"/>
    <d v="2025-04-03T00:00:00"/>
    <s v="есть"/>
    <x v="1"/>
    <s v="1 ось"/>
    <s v="002-2013E50Q13-OK"/>
    <x v="0"/>
  </r>
  <r>
    <d v="2025-03-19T11:09:10"/>
    <m/>
    <s v="MX4000002S0001895"/>
    <x v="0"/>
    <x v="2"/>
    <s v="R13"/>
    <s v="R13"/>
    <x v="0"/>
    <d v="2025-03-04T00:00:00"/>
    <s v="есть"/>
    <x v="1"/>
    <s v="1 ось"/>
    <s v="002-2013E30Q13-OK"/>
    <x v="0"/>
  </r>
  <r>
    <d v="2025-03-19T11:09:52"/>
    <m/>
    <s v="MX4000002S0001896"/>
    <x v="0"/>
    <x v="2"/>
    <s v="R13"/>
    <s v="R13"/>
    <x v="0"/>
    <d v="2025-03-04T00:00:00"/>
    <s v="есть"/>
    <x v="1"/>
    <s v="1 ось"/>
    <s v="002-2013E30Q13-OK"/>
    <x v="0"/>
  </r>
  <r>
    <d v="2025-03-19T11:10:26"/>
    <m/>
    <m/>
    <x v="0"/>
    <x v="1"/>
    <s v="R13"/>
    <s v="R13"/>
    <x v="0"/>
    <d v="2025-04-03T00:00:00"/>
    <s v="есть"/>
    <x v="1"/>
    <s v="1 ось"/>
    <s v="002-2013E50Q13-OK"/>
    <x v="1"/>
  </r>
  <r>
    <d v="2025-03-19T11:11:02"/>
    <m/>
    <s v="MX4000002S0001890"/>
    <x v="0"/>
    <x v="1"/>
    <s v="R13"/>
    <s v="R13"/>
    <x v="0"/>
    <d v="2025-03-04T00:00:00"/>
    <s v="есть"/>
    <x v="1"/>
    <s v="1 ось"/>
    <s v="002-2013E50Q13-OK"/>
    <x v="0"/>
  </r>
  <r>
    <d v="2025-03-19T11:13:01"/>
    <m/>
    <s v="MX4000002S0001887"/>
    <x v="0"/>
    <x v="1"/>
    <s v="R13"/>
    <s v="R13"/>
    <x v="0"/>
    <d v="2025-03-04T00:00:00"/>
    <s v="есть"/>
    <x v="1"/>
    <s v="1 ось"/>
    <s v="002-2013E50Q13-OK"/>
    <x v="0"/>
  </r>
  <r>
    <d v="2025-03-19T11:14:05"/>
    <m/>
    <s v="MX4000002S0001888"/>
    <x v="0"/>
    <x v="1"/>
    <s v="R13"/>
    <s v="R13"/>
    <x v="0"/>
    <d v="2025-03-04T00:00:00"/>
    <s v="есть"/>
    <x v="1"/>
    <s v="1 ось"/>
    <s v="002-2013E50Q13-OK"/>
    <x v="0"/>
  </r>
  <r>
    <d v="2025-03-19T11:14:34"/>
    <m/>
    <s v="MX4000002S0001889"/>
    <x v="0"/>
    <x v="1"/>
    <s v="R13"/>
    <s v="R13"/>
    <x v="0"/>
    <d v="2025-03-04T00:00:00"/>
    <s v="есть"/>
    <x v="1"/>
    <s v="1 ось"/>
    <s v="002-2013E50Q13-OK"/>
    <x v="0"/>
  </r>
  <r>
    <d v="2025-03-19T11:15:54"/>
    <m/>
    <s v="MX4000002S0001880"/>
    <x v="0"/>
    <x v="2"/>
    <s v="R13"/>
    <s v="R13"/>
    <x v="0"/>
    <d v="2025-03-04T00:00:00"/>
    <s v="есть"/>
    <x v="1"/>
    <s v="1 ось"/>
    <s v="002-2013E30Q13-OK"/>
    <x v="0"/>
  </r>
  <r>
    <d v="2025-03-19T11:16:39"/>
    <m/>
    <s v="MX4000002S0001881"/>
    <x v="0"/>
    <x v="1"/>
    <s v="R13"/>
    <s v="R13"/>
    <x v="0"/>
    <d v="2025-03-04T00:00:00"/>
    <s v="есть"/>
    <x v="1"/>
    <s v="1 ось"/>
    <s v="002-2013E50Q13-OK"/>
    <x v="0"/>
  </r>
  <r>
    <d v="2025-03-19T11:17:14"/>
    <m/>
    <s v="MX4000002S0001882"/>
    <x v="0"/>
    <x v="0"/>
    <s v="R13"/>
    <s v="R13"/>
    <x v="0"/>
    <d v="2025-03-04T00:00:00"/>
    <s v="есть"/>
    <x v="1"/>
    <s v="1 ось"/>
    <s v="002-2013Q13-OK"/>
    <x v="0"/>
  </r>
  <r>
    <d v="2025-03-19T11:17:50"/>
    <m/>
    <s v="MX4000002S0001883"/>
    <x v="0"/>
    <x v="2"/>
    <s v="R13"/>
    <s v="R13"/>
    <x v="0"/>
    <d v="2025-03-04T00:00:00"/>
    <s v="есть"/>
    <x v="1"/>
    <s v="1 ось"/>
    <s v="002-2013E30Q13-OK"/>
    <x v="0"/>
  </r>
  <r>
    <d v="2025-03-19T11:18:25"/>
    <m/>
    <s v="MX4000002S0001884"/>
    <x v="0"/>
    <x v="2"/>
    <s v="R13"/>
    <s v="R13"/>
    <x v="0"/>
    <d v="2025-03-04T00:00:00"/>
    <s v="есть"/>
    <x v="1"/>
    <s v="1 ось"/>
    <s v="002-2013E30Q13-OK"/>
    <x v="0"/>
  </r>
  <r>
    <d v="2025-03-19T13:15:40"/>
    <m/>
    <s v="MX4000002S0002047"/>
    <x v="0"/>
    <x v="1"/>
    <s v="R13"/>
    <s v="R13"/>
    <x v="0"/>
    <d v="2025-03-19T00:00:00"/>
    <s v="есть"/>
    <x v="0"/>
    <s v="1 ось"/>
    <s v="002-2013E50Q13-OK"/>
    <x v="0"/>
  </r>
  <r>
    <d v="2025-03-20T10:00:02"/>
    <m/>
    <s v="MX4000002S0002046"/>
    <x v="1"/>
    <x v="2"/>
    <s v="R13"/>
    <s v="R13"/>
    <x v="0"/>
    <d v="2025-03-20T00:00:00"/>
    <s v="есть"/>
    <x v="0"/>
    <s v="1 ось"/>
    <s v="002-2513E30Q13-OK"/>
    <x v="0"/>
  </r>
  <r>
    <d v="2025-03-26T13:10:59"/>
    <m/>
    <s v="MX4000002S0002051"/>
    <x v="0"/>
    <x v="1"/>
    <s v="R13"/>
    <s v="R13"/>
    <x v="0"/>
    <d v="2025-03-26T00:00:00"/>
    <s v="есть"/>
    <x v="0"/>
    <s v="1 ось"/>
    <s v="002-2013E50Q13-OK"/>
    <x v="0"/>
  </r>
  <r>
    <d v="2025-03-26T16:55:17"/>
    <m/>
    <s v="MX4000002R0001860"/>
    <x v="0"/>
    <x v="2"/>
    <s v="R13"/>
    <s v="R13"/>
    <x v="0"/>
    <d v="2024-12-12T00:00:00"/>
    <s v="нет"/>
    <x v="1"/>
    <s v="1 ось"/>
    <s v="002-2013E30Q13"/>
    <x v="0"/>
  </r>
  <r>
    <d v="2025-03-27T15:49:49"/>
    <m/>
    <s v="MX4000002R0001608"/>
    <x v="1"/>
    <x v="1"/>
    <s v="R13"/>
    <s v="R13"/>
    <x v="0"/>
    <d v="2024-12-12T00:00:00"/>
    <s v="есть"/>
    <x v="0"/>
    <s v="1 ось"/>
    <s v="002-2513E50Q13-OK"/>
    <x v="0"/>
  </r>
  <r>
    <d v="2025-03-28T11:22:11"/>
    <m/>
    <s v="MX4000002S0002048"/>
    <x v="1"/>
    <x v="1"/>
    <s v="R13"/>
    <s v="R13"/>
    <x v="1"/>
    <d v="2025-03-28T00:00:00"/>
    <s v="есть"/>
    <x v="0"/>
    <s v="1 ось"/>
    <s v="002-2513E50Q13-OK30"/>
    <x v="0"/>
  </r>
  <r>
    <d v="2025-03-28T11:56:20"/>
    <m/>
    <s v="MX4000002S0001965"/>
    <x v="1"/>
    <x v="1"/>
    <s v="R13"/>
    <s v="R13"/>
    <x v="0"/>
    <d v="2025-03-28T00:00:00"/>
    <s v="есть"/>
    <x v="0"/>
    <s v="1 ось"/>
    <s v="002-2513E50Q13-OK"/>
    <x v="0"/>
  </r>
  <r>
    <d v="2025-03-29T11:53:58"/>
    <m/>
    <s v="MX4000002S0001976"/>
    <x v="1"/>
    <x v="1"/>
    <s v="R13"/>
    <s v="R13"/>
    <x v="0"/>
    <d v="2025-03-29T00:00:00"/>
    <s v="есть"/>
    <x v="2"/>
    <s v="1 ось"/>
    <s v="002-2513E50Q13-OK"/>
    <x v="0"/>
  </r>
  <r>
    <d v="2025-03-29T13:02:49"/>
    <m/>
    <s v="MX4000002S0002058"/>
    <x v="0"/>
    <x v="2"/>
    <s v="R13"/>
    <s v="R13"/>
    <x v="0"/>
    <d v="2025-03-27T00:00:00"/>
    <s v="есть"/>
    <x v="0"/>
    <s v="1 ось"/>
    <s v="002-2013E30Q13-OK"/>
    <x v="0"/>
  </r>
  <r>
    <d v="2025-03-31T15:03:45"/>
    <m/>
    <s v="MX4000002S0002057"/>
    <x v="0"/>
    <x v="1"/>
    <s v="R13"/>
    <s v="R13"/>
    <x v="1"/>
    <d v="2025-03-31T00:00:00"/>
    <s v="есть"/>
    <x v="0"/>
    <s v="1 ось"/>
    <s v="002-2013E50Q13-OK30"/>
    <x v="0"/>
  </r>
  <r>
    <d v="2025-04-01T16:55:51"/>
    <m/>
    <s v="MX4000002S0002053"/>
    <x v="2"/>
    <x v="2"/>
    <s v="R13"/>
    <s v="R13"/>
    <x v="0"/>
    <d v="2025-04-01T00:00:00"/>
    <s v="есть"/>
    <x v="1"/>
    <s v="1 ось"/>
    <s v="002-2515E30Q13-OK"/>
    <x v="0"/>
  </r>
  <r>
    <d v="2025-04-02T11:05:48"/>
    <m/>
    <s v="MX4000002S0002059"/>
    <x v="0"/>
    <x v="2"/>
    <s v="R13"/>
    <s v="R13"/>
    <x v="2"/>
    <d v="2025-04-02T00:00:00"/>
    <s v="есть"/>
    <x v="0"/>
    <s v="1 ось"/>
    <s v="002-2013E30Q13-OK60"/>
    <x v="0"/>
  </r>
  <r>
    <d v="2025-04-02T13:14:17"/>
    <m/>
    <s v="MX4000002R0001870"/>
    <x v="0"/>
    <x v="2"/>
    <s v="R13"/>
    <s v="R13"/>
    <x v="0"/>
    <d v="2024-12-12T00:00:00"/>
    <s v="есть"/>
    <x v="1"/>
    <s v="1 ось"/>
    <s v="002-2013E30Q13-OK"/>
    <x v="0"/>
  </r>
  <r>
    <d v="2025-04-02T16:02:25"/>
    <m/>
    <s v="MX4000002R0001871"/>
    <x v="0"/>
    <x v="1"/>
    <s v="R13"/>
    <s v="R13"/>
    <x v="0"/>
    <d v="2024-12-13T00:00:00"/>
    <s v="есть"/>
    <x v="1"/>
    <s v="1 ось"/>
    <s v="002-2013E50Q13-OK"/>
    <x v="0"/>
  </r>
  <r>
    <d v="2025-04-02T17:04:44"/>
    <m/>
    <s v="MX4000002R0001637"/>
    <x v="1"/>
    <x v="1"/>
    <s v="R13"/>
    <s v="R13"/>
    <x v="0"/>
    <d v="2024-12-13T00:00:00"/>
    <s v="есть"/>
    <x v="1"/>
    <s v="1 ось"/>
    <s v="002-2513E50Q13-OK"/>
    <x v="0"/>
  </r>
  <r>
    <d v="2025-04-03T12:27:28"/>
    <m/>
    <s v="MX4000002S0002056"/>
    <x v="1"/>
    <x v="1"/>
    <s v="R13"/>
    <s v="R13"/>
    <x v="0"/>
    <d v="2025-04-03T00:00:00"/>
    <s v="есть"/>
    <x v="2"/>
    <s v="1 ось"/>
    <s v="002-2513E50Q13-OK"/>
    <x v="0"/>
  </r>
  <r>
    <d v="2025-04-04T12:12:54"/>
    <m/>
    <s v="MX4000002S0002085"/>
    <x v="0"/>
    <x v="1"/>
    <s v="R13"/>
    <s v="R13"/>
    <x v="0"/>
    <d v="2025-04-04T00:00:00"/>
    <s v="есть"/>
    <x v="0"/>
    <s v="1 ось"/>
    <s v="002-2013E50Q13-OK"/>
    <x v="0"/>
  </r>
  <r>
    <d v="2025-04-04T13:18:58"/>
    <m/>
    <s v="MX4000002S0002073"/>
    <x v="0"/>
    <x v="1"/>
    <s v="R13"/>
    <s v="R13"/>
    <x v="0"/>
    <d v="2025-04-04T00:00:00"/>
    <s v="есть"/>
    <x v="0"/>
    <s v="1 ось"/>
    <s v="002-2013E50Q13-OK"/>
    <x v="0"/>
  </r>
  <r>
    <d v="2025-04-04T14:23:35"/>
    <m/>
    <s v="MX4000002S0002070"/>
    <x v="2"/>
    <x v="2"/>
    <s v="R13"/>
    <s v="R13"/>
    <x v="4"/>
    <d v="2025-04-01T00:00:00"/>
    <s v="есть"/>
    <x v="0"/>
    <s v="1 ось"/>
    <s v="002-2515E30Q13-OK120"/>
    <x v="0"/>
  </r>
  <r>
    <d v="2025-04-07T15:01:29"/>
    <m/>
    <s v="MX4000002S0002086"/>
    <x v="0"/>
    <x v="1"/>
    <s v="R13"/>
    <s v="R13"/>
    <x v="0"/>
    <d v="2025-04-07T00:00:00"/>
    <s v="есть"/>
    <x v="0"/>
    <s v="1 ось"/>
    <s v="002-2013E50Q13-OK"/>
    <x v="0"/>
  </r>
  <r>
    <d v="2025-04-07T15:20:33"/>
    <m/>
    <s v="MX4000002S0002084"/>
    <x v="0"/>
    <x v="1"/>
    <s v="R13"/>
    <s v="R13"/>
    <x v="2"/>
    <d v="2025-04-07T00:00:00"/>
    <s v="есть"/>
    <x v="0"/>
    <s v="1 ось"/>
    <s v="002-2013E50Q13-OK60"/>
    <x v="0"/>
  </r>
  <r>
    <d v="2025-04-07T15:36:07"/>
    <m/>
    <s v="MX4000002S0002055"/>
    <x v="0"/>
    <x v="1"/>
    <s v="R13"/>
    <s v="R13"/>
    <x v="0"/>
    <d v="2025-04-07T00:00:00"/>
    <s v="есть"/>
    <x v="2"/>
    <s v="1 ось"/>
    <s v="002-2013E50Q13-OK"/>
    <x v="0"/>
  </r>
  <r>
    <d v="2025-04-07T15:37:18"/>
    <m/>
    <s v="MX4000002S0002054"/>
    <x v="0"/>
    <x v="1"/>
    <s v="R13"/>
    <s v="R13"/>
    <x v="0"/>
    <d v="2025-04-07T00:00:00"/>
    <s v="есть"/>
    <x v="2"/>
    <s v="1 ось"/>
    <s v="002-2013E50Q13-OK"/>
    <x v="0"/>
  </r>
  <r>
    <d v="2025-04-07T15:39:35"/>
    <m/>
    <s v="MX4000004S0001956"/>
    <x v="3"/>
    <x v="1"/>
    <s v="R13"/>
    <s v="R13"/>
    <x v="4"/>
    <d v="2025-07-04T00:00:00"/>
    <s v="есть"/>
    <x v="2"/>
    <s v="2 оси"/>
    <s v="002-3015E50Q13-OK120"/>
    <x v="0"/>
  </r>
  <r>
    <d v="2025-04-07T15:42:37"/>
    <m/>
    <s v="MX4000002S0001977"/>
    <x v="1"/>
    <x v="1"/>
    <s v="R15"/>
    <s v="R15"/>
    <x v="0"/>
    <d v="2025-07-04T00:00:00"/>
    <s v="есть"/>
    <x v="2"/>
    <s v="1 ось"/>
    <s v="002-2513E50Q15-OK"/>
    <x v="0"/>
  </r>
  <r>
    <d v="2025-04-07T15:43:15"/>
    <m/>
    <s v="MX4000002S0001982"/>
    <x v="1"/>
    <x v="1"/>
    <s v="R13"/>
    <s v="R13"/>
    <x v="0"/>
    <d v="2025-07-04T00:00:00"/>
    <s v="есть"/>
    <x v="2"/>
    <s v="1 ось"/>
    <s v="002-2513E50Q13-OK"/>
    <x v="0"/>
  </r>
  <r>
    <d v="2025-04-07T15:48:34"/>
    <m/>
    <s v="MX4000002S0001897"/>
    <x v="0"/>
    <x v="1"/>
    <s v="R13"/>
    <s v="R13"/>
    <x v="0"/>
    <d v="2025-04-01T00:00:00"/>
    <s v="есть"/>
    <x v="1"/>
    <s v="1 ось"/>
    <s v="002-2013E50Q13-OK"/>
    <x v="0"/>
  </r>
  <r>
    <d v="2025-04-08T12:59:19"/>
    <m/>
    <s v="MX4000002S0002045"/>
    <x v="0"/>
    <x v="1"/>
    <s v="R13"/>
    <s v="R13"/>
    <x v="1"/>
    <d v="2025-04-08T00:00:00"/>
    <s v="есть"/>
    <x v="0"/>
    <s v="1 ось"/>
    <s v="002-2013E50Q13-OK30"/>
    <x v="0"/>
  </r>
  <r>
    <d v="2025-04-10T17:39:54"/>
    <m/>
    <s v="MX4000004S0002075"/>
    <x v="4"/>
    <x v="1"/>
    <s v="R13"/>
    <s v="R13"/>
    <x v="4"/>
    <d v="2025-04-10T00:00:00"/>
    <s v="есть"/>
    <x v="2"/>
    <s v="2 оси"/>
    <s v="002-3515E50Q13-OK120"/>
    <x v="0"/>
  </r>
  <r>
    <d v="2025-04-10T17:40:29"/>
    <m/>
    <s v="MX4000004S0002077"/>
    <x v="4"/>
    <x v="1"/>
    <s v="R13"/>
    <s v="R13"/>
    <x v="4"/>
    <d v="2025-04-10T00:00:00"/>
    <s v="есть"/>
    <x v="2"/>
    <s v="2 оси"/>
    <s v="002-3515E50Q13-OK120"/>
    <x v="0"/>
  </r>
  <r>
    <d v="2025-04-10T17:41:17"/>
    <m/>
    <s v="MX4000004S0002074"/>
    <x v="4"/>
    <x v="1"/>
    <s v="R13"/>
    <s v="R13"/>
    <x v="4"/>
    <d v="2025-04-10T00:00:00"/>
    <s v="есть"/>
    <x v="2"/>
    <s v="2 оси"/>
    <s v="002-3515E50Q13-OK120"/>
    <x v="0"/>
  </r>
  <r>
    <d v="2025-04-10T17:41:51"/>
    <m/>
    <s v="MX4000004S0002072"/>
    <x v="4"/>
    <x v="1"/>
    <s v="R13"/>
    <s v="R13"/>
    <x v="4"/>
    <d v="2025-04-10T00:00:00"/>
    <s v="есть"/>
    <x v="2"/>
    <s v="2 оси"/>
    <s v="002-3515E50Q13-OK120"/>
    <x v="0"/>
  </r>
  <r>
    <d v="2025-04-10T17:42:32"/>
    <m/>
    <s v="MX4000004S0002076"/>
    <x v="4"/>
    <x v="1"/>
    <s v="R13"/>
    <s v="R13"/>
    <x v="4"/>
    <d v="2025-04-10T00:00:00"/>
    <s v="есть"/>
    <x v="2"/>
    <s v="2 оси"/>
    <s v="002-3515E50Q13-OK120"/>
    <x v="0"/>
  </r>
  <r>
    <d v="2025-04-10T17:44:01"/>
    <m/>
    <s v="MX4000004S0002071"/>
    <x v="4"/>
    <x v="1"/>
    <s v="R13"/>
    <s v="R13"/>
    <x v="4"/>
    <d v="2025-04-10T00:00:00"/>
    <s v="есть"/>
    <x v="2"/>
    <s v="2 оси"/>
    <s v="002-3515E50Q13-OK120"/>
    <x v="0"/>
  </r>
  <r>
    <d v="2025-04-10T17:44:41"/>
    <m/>
    <s v="MX4000004S0002078"/>
    <x v="4"/>
    <x v="1"/>
    <s v="R13"/>
    <s v="R13"/>
    <x v="4"/>
    <d v="2025-04-10T00:00:00"/>
    <s v="есть"/>
    <x v="2"/>
    <s v="2 оси"/>
    <s v="002-3515E50Q13-OK120"/>
    <x v="0"/>
  </r>
  <r>
    <d v="2025-04-10T17:45:21"/>
    <m/>
    <s v="MX4000004S0002079"/>
    <x v="4"/>
    <x v="1"/>
    <s v="R13"/>
    <s v="R13"/>
    <x v="4"/>
    <d v="2024-04-10T00:00:00"/>
    <s v="есть"/>
    <x v="2"/>
    <s v="2 оси"/>
    <s v="002-3515E50Q13-OK120"/>
    <x v="0"/>
  </r>
  <r>
    <d v="2025-04-10T17:45:58"/>
    <m/>
    <s v="MX4000004S0001985"/>
    <x v="4"/>
    <x v="1"/>
    <s v="R13"/>
    <s v="R13"/>
    <x v="4"/>
    <d v="2025-04-10T00:00:00"/>
    <s v="есть"/>
    <x v="2"/>
    <s v="2 оси"/>
    <s v="002-3515E50Q13-OK120"/>
    <x v="0"/>
  </r>
  <r>
    <d v="2025-04-10T17:46:32"/>
    <m/>
    <s v="MX4000004S0001986"/>
    <x v="4"/>
    <x v="1"/>
    <s v="R13"/>
    <s v="R13"/>
    <x v="4"/>
    <d v="2025-04-10T00:00:00"/>
    <s v="есть"/>
    <x v="2"/>
    <s v="2 оси"/>
    <s v="002-3515E50Q13-OK120"/>
    <x v="0"/>
  </r>
  <r>
    <d v="2025-04-14T12:07:51"/>
    <m/>
    <s v="MX4000002S0001978"/>
    <x v="1"/>
    <x v="2"/>
    <s v="R13"/>
    <s v="R13"/>
    <x v="0"/>
    <d v="2025-03-06T00:00:00"/>
    <s v="есть"/>
    <x v="0"/>
    <s v="1 ось"/>
    <s v="002-2513E30Q13-OK"/>
    <x v="0"/>
  </r>
  <r>
    <d v="2025-04-14T12:08:29"/>
    <m/>
    <s v="MX4000002S0001983"/>
    <x v="1"/>
    <x v="2"/>
    <s v="R13"/>
    <s v="R13"/>
    <x v="0"/>
    <d v="2025-03-06T00:00:00"/>
    <s v="есть"/>
    <x v="0"/>
    <s v="1 ось"/>
    <s v="002-2513E30Q13-OK"/>
    <x v="0"/>
  </r>
  <r>
    <d v="2025-04-15T11:23:07"/>
    <m/>
    <s v="MX4000002S0001910"/>
    <x v="0"/>
    <x v="2"/>
    <s v="R13"/>
    <s v="R13"/>
    <x v="0"/>
    <d v="2025-03-19T00:00:00"/>
    <s v="есть"/>
    <x v="1"/>
    <s v="1 ось"/>
    <s v="002-2013E30Q13-OK"/>
    <x v="0"/>
  </r>
  <r>
    <d v="2025-04-15T13:26:22"/>
    <m/>
    <s v="MX4000002S0002081"/>
    <x v="0"/>
    <x v="1"/>
    <s v="R13"/>
    <s v="R13"/>
    <x v="1"/>
    <d v="2025-04-15T00:00:00"/>
    <s v="есть"/>
    <x v="0"/>
    <s v="1 ось"/>
    <s v="002-2013E50Q13-OK30"/>
    <x v="0"/>
  </r>
  <r>
    <d v="2025-04-15T13:58:19"/>
    <m/>
    <s v="MX4000002S0001924"/>
    <x v="0"/>
    <x v="1"/>
    <s v="R13"/>
    <s v="R13"/>
    <x v="0"/>
    <d v="2025-04-15T00:00:00"/>
    <s v="есть"/>
    <x v="1"/>
    <s v="1 ось"/>
    <s v="002-2013E50Q13-OK"/>
    <x v="0"/>
  </r>
  <r>
    <d v="2025-04-15T16:15:59"/>
    <m/>
    <s v="MX4000002S0001984"/>
    <x v="1"/>
    <x v="1"/>
    <s v="R13"/>
    <s v="R13"/>
    <x v="2"/>
    <d v="2025-04-14T00:00:00"/>
    <s v="есть"/>
    <x v="0"/>
    <s v="1 ось"/>
    <s v="002-2513E50Q13-OK60"/>
    <x v="0"/>
  </r>
  <r>
    <d v="2025-04-15T16:37:49"/>
    <m/>
    <s v="MX4000002S0002080"/>
    <x v="0"/>
    <x v="1"/>
    <s v="R13"/>
    <s v="R13"/>
    <x v="2"/>
    <d v="2025-04-14T00:00:00"/>
    <s v="есть"/>
    <x v="0"/>
    <s v="1 ось"/>
    <s v="002-2013E50Q13-OK60"/>
    <x v="0"/>
  </r>
  <r>
    <d v="2025-04-16T10:08:52"/>
    <m/>
    <s v="MX4000002S0002087"/>
    <x v="0"/>
    <x v="1"/>
    <s v="R13"/>
    <s v="R13"/>
    <x v="0"/>
    <d v="2025-04-02T00:00:00"/>
    <s v="есть"/>
    <x v="0"/>
    <s v="1 ось"/>
    <s v="002-2013E50Q13-OK"/>
    <x v="0"/>
  </r>
  <r>
    <d v="2025-04-16T11:11:32"/>
    <m/>
    <s v="MX4000002S0002088"/>
    <x v="0"/>
    <x v="1"/>
    <s v="R13"/>
    <s v="R13"/>
    <x v="1"/>
    <d v="2025-04-09T00:00:00"/>
    <s v="есть"/>
    <x v="0"/>
    <s v="1 ось"/>
    <s v="002-2013E50Q13-OK30"/>
    <x v="0"/>
  </r>
  <r>
    <d v="2025-04-17T10:31:22"/>
    <m/>
    <s v="MX4000002S0002092"/>
    <x v="0"/>
    <x v="1"/>
    <s v="R13"/>
    <s v="R13"/>
    <x v="0"/>
    <d v="2025-03-19T00:00:00"/>
    <s v="есть"/>
    <x v="0"/>
    <s v="1 ось"/>
    <s v="002-2013E50Q13-OK"/>
    <x v="0"/>
  </r>
  <r>
    <d v="2025-04-17T11:43:20"/>
    <m/>
    <s v="MX4000003S0002093"/>
    <x v="0"/>
    <x v="0"/>
    <s v="R13"/>
    <s v="R13"/>
    <x v="0"/>
    <d v="2025-04-16T00:00:00"/>
    <s v="есть"/>
    <x v="0"/>
    <s v="1 ось"/>
    <s v="002-2013Q13-OK"/>
    <x v="0"/>
  </r>
  <r>
    <d v="2025-04-17T15:04:01"/>
    <m/>
    <s v="MX4000004S0002089"/>
    <x v="3"/>
    <x v="2"/>
    <s v="R13"/>
    <s v="R13"/>
    <x v="0"/>
    <d v="2025-04-17T00:00:00"/>
    <s v="есть"/>
    <x v="2"/>
    <s v="2 оси"/>
    <s v="002-3015E30Q13-OK"/>
    <x v="0"/>
  </r>
  <r>
    <d v="2025-04-19T13:55:20"/>
    <m/>
    <s v="MX4000002S0001911"/>
    <x v="0"/>
    <x v="2"/>
    <s v="R13"/>
    <s v="R13"/>
    <x v="0"/>
    <d v="2025-04-02T00:00:00"/>
    <s v="нет"/>
    <x v="1"/>
    <s v="1 ось"/>
    <s v="002-2013E30Q13"/>
    <x v="0"/>
  </r>
  <r>
    <d v="2025-04-19T20:04:50"/>
    <m/>
    <s v="MX4000002S0001925"/>
    <x v="0"/>
    <x v="1"/>
    <s v="R13"/>
    <s v="R13"/>
    <x v="0"/>
    <d v="2025-03-13T00:00:00"/>
    <s v="есть"/>
    <x v="1"/>
    <s v="1 ось"/>
    <s v="002-2013E50Q13-OK"/>
    <x v="0"/>
  </r>
  <r>
    <d v="2025-04-21T13:28:49"/>
    <m/>
    <s v="MX4000002S0002094"/>
    <x v="0"/>
    <x v="1"/>
    <s v="R13"/>
    <s v="R13"/>
    <x v="0"/>
    <d v="2025-04-21T00:00:00"/>
    <s v="есть"/>
    <x v="0"/>
    <s v="1 ось"/>
    <s v="002-2013E50Q13-OK"/>
    <x v="0"/>
  </r>
  <r>
    <d v="2025-04-21T14:05:33"/>
    <m/>
    <s v="MX4000002S0002095"/>
    <x v="0"/>
    <x v="1"/>
    <s v="R13"/>
    <s v="R13"/>
    <x v="0"/>
    <d v="2025-04-21T00:00:00"/>
    <s v="есть"/>
    <x v="2"/>
    <s v="1 ось"/>
    <s v="002-2013E50Q13-OK"/>
    <x v="1"/>
  </r>
  <r>
    <d v="2025-04-21T14:06:24"/>
    <m/>
    <s v="MX4000002S0002097"/>
    <x v="0"/>
    <x v="1"/>
    <s v="R13"/>
    <s v="R13"/>
    <x v="1"/>
    <d v="2025-04-21T00:00:00"/>
    <s v="есть"/>
    <x v="2"/>
    <s v="1 ось"/>
    <s v="002-2013E50Q13-OK30"/>
    <x v="0"/>
  </r>
  <r>
    <d v="2025-04-21T14:38:31"/>
    <m/>
    <s v="MX4000002S0002100"/>
    <x v="0"/>
    <x v="1"/>
    <s v="R13"/>
    <s v="R13"/>
    <x v="1"/>
    <d v="2025-04-21T00:00:00"/>
    <s v="есть"/>
    <x v="2"/>
    <s v="1 ось"/>
    <s v="002-2013E50Q13-OK30"/>
    <x v="1"/>
  </r>
  <r>
    <d v="2025-04-21T14:39:09"/>
    <m/>
    <s v="MX4000002S0002101"/>
    <x v="0"/>
    <x v="1"/>
    <s v="R13"/>
    <s v="R13"/>
    <x v="0"/>
    <d v="2025-04-21T00:00:00"/>
    <s v="есть"/>
    <x v="2"/>
    <s v="1 ось"/>
    <s v="002-2013E50Q13-OK"/>
    <x v="0"/>
  </r>
  <r>
    <d v="2025-04-22T13:25:51"/>
    <m/>
    <s v="MX4000002S0002105"/>
    <x v="2"/>
    <x v="2"/>
    <s v="R13"/>
    <s v="R13"/>
    <x v="0"/>
    <d v="2025-04-02T00:00:00"/>
    <s v="есть"/>
    <x v="1"/>
    <s v="1 ось"/>
    <s v="002-2515E30Q13-OK"/>
    <x v="0"/>
  </r>
  <r>
    <d v="2025-04-22T15:41:25"/>
    <m/>
    <s v="MX4000002S0002082"/>
    <x v="0"/>
    <x v="2"/>
    <s v="R13"/>
    <s v="R13"/>
    <x v="1"/>
    <d v="2025-04-22T00:00:00"/>
    <s v="есть"/>
    <x v="0"/>
    <s v="1 ось"/>
    <s v="002-2013E30Q13-OK30"/>
    <x v="0"/>
  </r>
  <r>
    <d v="2025-04-23T11:15:05"/>
    <m/>
    <s v="MX4000002S0002103"/>
    <x v="0"/>
    <x v="1"/>
    <s v="R13"/>
    <s v="R13"/>
    <x v="0"/>
    <d v="2025-04-22T00:00:00"/>
    <s v="есть"/>
    <x v="2"/>
    <s v="1 ось"/>
    <s v="002-2013E50Q13-OK"/>
    <x v="0"/>
  </r>
  <r>
    <d v="2025-04-23T11:15:41"/>
    <m/>
    <s v="MX4000002S0002104"/>
    <x v="0"/>
    <x v="2"/>
    <s v="R13"/>
    <s v="R13"/>
    <x v="1"/>
    <d v="2025-04-22T00:00:00"/>
    <s v="есть"/>
    <x v="2"/>
    <s v="1 ось"/>
    <s v="002-2013E30Q13-OK30"/>
    <x v="0"/>
  </r>
  <r>
    <d v="2025-04-23T11:57:34"/>
    <m/>
    <s v="MX4000004S0002107"/>
    <x v="3"/>
    <x v="1"/>
    <s v="R13"/>
    <s v="R13"/>
    <x v="0"/>
    <d v="2025-04-22T00:00:00"/>
    <s v="есть"/>
    <x v="0"/>
    <s v="2 оси"/>
    <s v="002-3015E50Q13-OK"/>
    <x v="0"/>
  </r>
  <r>
    <d v="2025-04-24T11:49:13"/>
    <m/>
    <s v="MX4000002S0002108"/>
    <x v="0"/>
    <x v="1"/>
    <s v="R13"/>
    <s v="R13"/>
    <x v="1"/>
    <d v="2025-04-24T00:00:00"/>
    <s v="есть"/>
    <x v="2"/>
    <s v="1 ось"/>
    <s v="002-2013E50Q13-OK30"/>
    <x v="0"/>
  </r>
  <r>
    <d v="2025-04-24T15:33:22"/>
    <m/>
    <s v="MX4000002S0002083"/>
    <x v="0"/>
    <x v="2"/>
    <s v="R13"/>
    <s v="R13"/>
    <x v="0"/>
    <d v="2025-04-24T00:00:00"/>
    <s v="есть"/>
    <x v="0"/>
    <s v="1 ось"/>
    <s v="002-2013E30Q13-OK"/>
    <x v="0"/>
  </r>
  <r>
    <d v="2025-04-24T15:43:25"/>
    <m/>
    <s v="MX4000002S0002098"/>
    <x v="1"/>
    <x v="2"/>
    <s v="R13"/>
    <s v="R13"/>
    <x v="0"/>
    <d v="2025-04-24T00:00:00"/>
    <s v="есть"/>
    <x v="2"/>
    <s v="1 ось"/>
    <s v="002-2513E30Q13-OK"/>
    <x v="0"/>
  </r>
  <r>
    <d v="2025-04-24T17:03:57"/>
    <m/>
    <s v="MX4000005S0002112"/>
    <x v="2"/>
    <x v="0"/>
    <s v="R13"/>
    <s v="R13"/>
    <x v="0"/>
    <d v="2025-04-24T00:00:00"/>
    <s v="есть"/>
    <x v="0"/>
    <s v="2 оси"/>
    <s v="002-2515Q13-OK"/>
    <x v="0"/>
  </r>
  <r>
    <d v="2025-04-24T17:15:23"/>
    <m/>
    <s v="MX4000002S0002115"/>
    <x v="0"/>
    <x v="1"/>
    <s v="R13"/>
    <s v="R13"/>
    <x v="1"/>
    <d v="2025-04-20T00:00:00"/>
    <s v="есть"/>
    <x v="2"/>
    <s v="1 ось"/>
    <s v="002-2013E50Q13-OK30"/>
    <x v="0"/>
  </r>
  <r>
    <d v="2025-04-25T14:14:25"/>
    <m/>
    <s v="MX4000002S0001926"/>
    <x v="0"/>
    <x v="1"/>
    <s v="R13"/>
    <s v="R13"/>
    <x v="0"/>
    <d v="2025-04-10T00:00:00"/>
    <s v="есть"/>
    <x v="1"/>
    <s v="1 ось"/>
    <s v="002-2013E50Q13-OK"/>
    <x v="0"/>
  </r>
  <r>
    <d v="2025-04-25T15:11:28"/>
    <m/>
    <s v="MX4000002S0001916"/>
    <x v="0"/>
    <x v="1"/>
    <s v="R13"/>
    <s v="R13"/>
    <x v="0"/>
    <d v="2025-04-10T00:00:00"/>
    <s v="есть"/>
    <x v="1"/>
    <s v="1 ось"/>
    <s v="002-2013E50Q13-OK"/>
    <x v="0"/>
  </r>
  <r>
    <d v="2025-04-25T16:45:42"/>
    <m/>
    <s v="MX4000002S0002099"/>
    <x v="1"/>
    <x v="1"/>
    <s v="R13"/>
    <s v="R13"/>
    <x v="0"/>
    <d v="2025-04-25T00:00:00"/>
    <s v="есть"/>
    <x v="2"/>
    <s v="1 ось"/>
    <s v="002-2513E50Q13-OK"/>
    <x v="0"/>
  </r>
  <r>
    <d v="2025-04-26T14:45:18"/>
    <m/>
    <s v="MX4000002S0001915"/>
    <x v="0"/>
    <x v="1"/>
    <s v="R13"/>
    <s v="R13"/>
    <x v="0"/>
    <d v="2025-04-26T00:00:00"/>
    <s v="есть"/>
    <x v="1"/>
    <s v="1 ось"/>
    <s v="002-2013E50Q13-OK"/>
    <x v="0"/>
  </r>
  <r>
    <d v="2025-04-28T10:03:51"/>
    <m/>
    <s v="MX4000002S0001931"/>
    <x v="0"/>
    <x v="2"/>
    <s v="R13"/>
    <s v="R13"/>
    <x v="0"/>
    <d v="2025-04-10T00:00:00"/>
    <s v="есть"/>
    <x v="1"/>
    <s v="1 ось"/>
    <s v="002-2013E30Q13-OK"/>
    <x v="0"/>
  </r>
  <r>
    <d v="2025-04-28T10:44:32"/>
    <m/>
    <s v="MX4000002R0001614"/>
    <x v="1"/>
    <x v="1"/>
    <s v="R13"/>
    <s v="R13"/>
    <x v="0"/>
    <d v="2024-12-12T00:00:00"/>
    <s v="есть"/>
    <x v="1"/>
    <s v="1 ось"/>
    <s v="002-2513E50Q13-OK"/>
    <x v="0"/>
  </r>
  <r>
    <d v="2025-04-28T16:22:57"/>
    <m/>
    <s v="MX4000002S0002118"/>
    <x v="1"/>
    <x v="2"/>
    <s v="R13"/>
    <s v="R13"/>
    <x v="0"/>
    <d v="2025-04-23T00:00:00"/>
    <s v="есть"/>
    <x v="0"/>
    <s v="1 ось"/>
    <s v="002-2513E30Q13-OK"/>
    <x v="0"/>
  </r>
  <r>
    <d v="2025-04-29T09:35:37"/>
    <m/>
    <s v="MX4000002S0002117"/>
    <x v="0"/>
    <x v="1"/>
    <s v="R13"/>
    <s v="R13"/>
    <x v="1"/>
    <d v="2025-04-29T00:00:00"/>
    <s v="есть"/>
    <x v="2"/>
    <s v="1 ось"/>
    <s v="002-2013E50Q13-OK30"/>
    <x v="0"/>
  </r>
  <r>
    <d v="2025-04-30T12:48:04"/>
    <m/>
    <s v="MX4000002S0002091"/>
    <x v="1"/>
    <x v="1"/>
    <s v="R13"/>
    <s v="R13"/>
    <x v="0"/>
    <d v="2025-04-30T00:00:00"/>
    <s v="есть"/>
    <x v="2"/>
    <s v="1 ось"/>
    <s v="002-2513E50Q13-OK"/>
    <x v="0"/>
  </r>
  <r>
    <d v="2025-04-30T16:23:53"/>
    <m/>
    <s v="MX4000002S0002109"/>
    <x v="0"/>
    <x v="2"/>
    <s v="R13"/>
    <s v="R13"/>
    <x v="0"/>
    <d v="2025-04-23T00:00:00"/>
    <s v="есть"/>
    <x v="2"/>
    <s v="1 ось"/>
    <s v="002-2013E30Q13-OK"/>
    <x v="0"/>
  </r>
  <r>
    <d v="2025-05-04T13:28:10"/>
    <m/>
    <s v="MX4000002S0002116"/>
    <x v="0"/>
    <x v="2"/>
    <s v="R13"/>
    <s v="R13"/>
    <x v="1"/>
    <d v="2025-05-04T00:00:00"/>
    <s v="есть"/>
    <x v="2"/>
    <s v="1 ось"/>
    <s v="002-2013E30Q13-OK30"/>
    <x v="0"/>
  </r>
  <r>
    <d v="2025-05-05T10:15:50"/>
    <m/>
    <s v="MX4000002S0001918"/>
    <x v="0"/>
    <x v="1"/>
    <s v="R13"/>
    <s v="R13"/>
    <x v="0"/>
    <d v="2025-05-02T00:00:00"/>
    <s v="есть"/>
    <x v="1"/>
    <s v="1 ось"/>
    <s v="002-2013E50Q13-OK"/>
    <x v="0"/>
  </r>
  <r>
    <d v="2025-05-05T11:59:05"/>
    <m/>
    <s v="MX4000002S0002120"/>
    <x v="0"/>
    <x v="1"/>
    <s v="R13"/>
    <s v="R13"/>
    <x v="1"/>
    <d v="2025-05-05T00:00:00"/>
    <s v="есть"/>
    <x v="0"/>
    <s v="1 ось"/>
    <s v="002-2013E50Q13-OK30"/>
    <x v="0"/>
  </r>
  <r>
    <d v="2025-05-05T12:15:55"/>
    <m/>
    <s v="MX4000002S0001920"/>
    <x v="0"/>
    <x v="2"/>
    <s v="R13"/>
    <s v="R13"/>
    <x v="0"/>
    <d v="2025-05-05T00:00:00"/>
    <s v="есть"/>
    <x v="1"/>
    <s v="1 ось"/>
    <s v="002-2013E30Q13-OK"/>
    <x v="0"/>
  </r>
  <r>
    <d v="2025-05-05T15:22:09"/>
    <m/>
    <s v="MX4000002S0002113"/>
    <x v="0"/>
    <x v="2"/>
    <s v="R13"/>
    <s v="R13"/>
    <x v="0"/>
    <d v="2025-05-02T00:00:00"/>
    <s v="есть"/>
    <x v="0"/>
    <s v="1 ось"/>
    <s v="002-2013E30Q13-OK"/>
    <x v="0"/>
  </r>
  <r>
    <d v="2025-05-05T17:50:53"/>
    <m/>
    <s v="MX4000002S0002102"/>
    <x v="0"/>
    <x v="1"/>
    <s v="R13"/>
    <s v="R13"/>
    <x v="0"/>
    <d v="2025-05-05T00:00:00"/>
    <s v="есть"/>
    <x v="2"/>
    <s v="1 ось"/>
    <s v="002-2013E50Q13-OK"/>
    <x v="1"/>
  </r>
  <r>
    <d v="2025-05-05T17:51:39"/>
    <m/>
    <s v="MX4000004S0002111"/>
    <x v="2"/>
    <x v="2"/>
    <s v="R13"/>
    <s v="R13"/>
    <x v="4"/>
    <d v="2025-05-05T00:00:00"/>
    <s v="есть"/>
    <x v="2"/>
    <s v="2 оси"/>
    <s v="002-2515E30Q13-OK120"/>
    <x v="0"/>
  </r>
  <r>
    <d v="2025-05-05T17:52:50"/>
    <m/>
    <s v="MX4000002S0002090"/>
    <x v="1"/>
    <x v="1"/>
    <s v="R13"/>
    <s v="R13"/>
    <x v="0"/>
    <d v="2025-05-05T00:00:00"/>
    <s v="есть"/>
    <x v="2"/>
    <s v="1 ось"/>
    <s v="002-2513E50Q13-OK"/>
    <x v="0"/>
  </r>
  <r>
    <d v="2025-05-05T17:53:55"/>
    <m/>
    <s v="MX4000002S0002114"/>
    <x v="0"/>
    <x v="1"/>
    <s v="R13"/>
    <s v="R13"/>
    <x v="0"/>
    <d v="2025-05-05T00:00:00"/>
    <s v="есть"/>
    <x v="2"/>
    <s v="1 ось"/>
    <s v="002-2013E50Q13-OK"/>
    <x v="0"/>
  </r>
  <r>
    <d v="2025-05-05T17:55:03"/>
    <m/>
    <s v="MX4000002S0002096"/>
    <x v="1"/>
    <x v="1"/>
    <s v="R13"/>
    <s v="R13"/>
    <x v="0"/>
    <d v="2025-05-05T00:00:00"/>
    <s v="есть"/>
    <x v="2"/>
    <s v="1 ось"/>
    <s v="002-2513E50Q13-OK"/>
    <x v="0"/>
  </r>
  <r>
    <d v="2025-05-05T17:55:48"/>
    <m/>
    <s v="MX4000002S0001979"/>
    <x v="1"/>
    <x v="1"/>
    <s v="R13"/>
    <s v="R13"/>
    <x v="4"/>
    <d v="2025-05-05T00:00:00"/>
    <s v="есть"/>
    <x v="2"/>
    <s v="1 ось"/>
    <s v="002-2513E50Q13-OK120"/>
    <x v="0"/>
  </r>
  <r>
    <d v="2025-05-06T10:36:25"/>
    <m/>
    <s v="MX4000002R0001610"/>
    <x v="1"/>
    <x v="1"/>
    <s v="R13"/>
    <s v="R13"/>
    <x v="1"/>
    <d v="2024-12-12T00:00:00"/>
    <s v="есть"/>
    <x v="0"/>
    <s v="1 ось"/>
    <s v="002-2513E50Q13-OK30"/>
    <x v="0"/>
  </r>
  <r>
    <d v="2025-05-06T10:55:05"/>
    <m/>
    <s v="MX4000002S0001923"/>
    <x v="0"/>
    <x v="2"/>
    <s v="R13"/>
    <s v="R13"/>
    <x v="0"/>
    <d v="2025-05-06T00:00:00"/>
    <s v="есть"/>
    <x v="1"/>
    <s v="1 ось"/>
    <s v="002-2013E30Q13-OK"/>
    <x v="0"/>
  </r>
  <r>
    <d v="2025-05-06T16:08:44"/>
    <m/>
    <s v="MX4000002S0002122"/>
    <x v="1"/>
    <x v="1"/>
    <s v="R13"/>
    <s v="R13"/>
    <x v="0"/>
    <d v="2025-05-06T00:00:00"/>
    <s v="есть"/>
    <x v="0"/>
    <s v="1 ось"/>
    <s v="002-2513E50Q13-OK"/>
    <x v="0"/>
  </r>
  <r>
    <d v="2025-05-06T18:10:31"/>
    <m/>
    <s v="MX4000002S0002123"/>
    <x v="0"/>
    <x v="1"/>
    <s v="R13"/>
    <s v="R13"/>
    <x v="0"/>
    <d v="2025-05-06T00:00:00"/>
    <s v="есть"/>
    <x v="0"/>
    <s v="1 ось"/>
    <s v="002-2013E50Q13-OK"/>
    <x v="0"/>
  </r>
  <r>
    <d v="2025-05-12T15:21:04"/>
    <m/>
    <s v="MX4000002S0001919"/>
    <x v="0"/>
    <x v="1"/>
    <s v="R13"/>
    <s v="R13"/>
    <x v="0"/>
    <d v="2025-04-10T00:00:00"/>
    <s v="есть"/>
    <x v="1"/>
    <s v="1 ось"/>
    <s v="002-2013E50Q13-OK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61">
  <r>
    <x v="0"/>
    <m/>
    <s v="MX4000003R0001752"/>
    <x v="0"/>
    <x v="0"/>
    <s v="нет"/>
    <s v="R13"/>
    <x v="0"/>
    <d v="2024-08-16T00:00:00"/>
    <s v="есть"/>
    <x v="0"/>
    <s v="1 ось"/>
    <s v="002-2013-OK"/>
    <x v="0"/>
  </r>
  <r>
    <x v="1"/>
    <m/>
    <s v="MX4000002R0001856"/>
    <x v="0"/>
    <x v="1"/>
    <s v="R13"/>
    <s v="R13"/>
    <x v="0"/>
    <d v="2024-12-02T00:00:00"/>
    <s v="есть"/>
    <x v="1"/>
    <s v="1 ось"/>
    <s v="002-2013E50Q13-OK"/>
    <x v="0"/>
  </r>
  <r>
    <x v="2"/>
    <m/>
    <s v="MX4000002R0001852"/>
    <x v="0"/>
    <x v="1"/>
    <s v="R13"/>
    <s v="R13"/>
    <x v="0"/>
    <d v="2024-12-15T00:00:00"/>
    <s v="есть"/>
    <x v="1"/>
    <s v="1 ось"/>
    <s v="002-2013E50Q13-OK"/>
    <x v="0"/>
  </r>
  <r>
    <x v="3"/>
    <m/>
    <s v="MX4000002R0001849"/>
    <x v="0"/>
    <x v="1"/>
    <s v="R13"/>
    <s v="R13"/>
    <x v="0"/>
    <d v="2024-11-21T00:00:00"/>
    <s v="есть"/>
    <x v="1"/>
    <s v="1 ось"/>
    <s v="002-2013E50Q13-OK"/>
    <x v="0"/>
  </r>
  <r>
    <x v="4"/>
    <m/>
    <s v="MX4000002R0001848"/>
    <x v="0"/>
    <x v="1"/>
    <s v="R13"/>
    <s v="R13"/>
    <x v="0"/>
    <d v="2024-11-21T00:00:00"/>
    <s v="есть"/>
    <x v="1"/>
    <s v="1 ось"/>
    <s v="002-2013E50Q13-OK"/>
    <x v="0"/>
  </r>
  <r>
    <x v="5"/>
    <m/>
    <s v="MX4000002R0001847"/>
    <x v="0"/>
    <x v="1"/>
    <s v="R13"/>
    <s v="R13"/>
    <x v="0"/>
    <d v="2024-11-21T00:00:00"/>
    <s v="есть"/>
    <x v="1"/>
    <s v="1 ось"/>
    <s v="002-2013E50Q13-OK"/>
    <x v="0"/>
  </r>
  <r>
    <x v="6"/>
    <m/>
    <s v="MX4000002R0001846"/>
    <x v="0"/>
    <x v="1"/>
    <s v="R13"/>
    <s v="R13"/>
    <x v="0"/>
    <d v="2024-11-21T00:00:00"/>
    <s v="есть"/>
    <x v="1"/>
    <s v="1 ось"/>
    <s v="002-2013E50Q13-OK"/>
    <x v="0"/>
  </r>
  <r>
    <x v="7"/>
    <m/>
    <s v="MX4000002R0001838"/>
    <x v="0"/>
    <x v="1"/>
    <s v="R13"/>
    <s v="R13"/>
    <x v="0"/>
    <d v="2024-12-11T00:00:00"/>
    <s v="есть"/>
    <x v="2"/>
    <s v="1 ось"/>
    <s v="002-2013E50Q13-OK"/>
    <x v="0"/>
  </r>
  <r>
    <x v="8"/>
    <m/>
    <s v="MX4000002R0001837"/>
    <x v="0"/>
    <x v="1"/>
    <s v="R13"/>
    <s v="R13"/>
    <x v="1"/>
    <d v="2024-11-14T00:00:00"/>
    <s v="есть"/>
    <x v="0"/>
    <s v="1 ось"/>
    <s v="002-2013E50Q13-OK30"/>
    <x v="0"/>
  </r>
  <r>
    <x v="9"/>
    <m/>
    <s v="MX4000002R0001836"/>
    <x v="0"/>
    <x v="1"/>
    <s v="R13"/>
    <s v="R13"/>
    <x v="0"/>
    <d v="2024-11-08T00:00:00"/>
    <s v="есть"/>
    <x v="0"/>
    <s v="1 ось"/>
    <s v="002-2013E50Q13-OK"/>
    <x v="0"/>
  </r>
  <r>
    <x v="10"/>
    <m/>
    <s v="MX4000002R0001831"/>
    <x v="0"/>
    <x v="2"/>
    <s v="R13"/>
    <s v="R13"/>
    <x v="0"/>
    <d v="2024-12-11T00:00:00"/>
    <s v="есть"/>
    <x v="2"/>
    <s v="1 ось"/>
    <s v="002-2013E30Q13-OK"/>
    <x v="0"/>
  </r>
  <r>
    <x v="11"/>
    <m/>
    <s v="MX4000002R0001830"/>
    <x v="0"/>
    <x v="1"/>
    <s v="R13"/>
    <s v="R13"/>
    <x v="0"/>
    <d v="2024-12-02T00:00:00"/>
    <s v="есть"/>
    <x v="2"/>
    <s v="1 ось"/>
    <s v="002-2013E50Q13-OK"/>
    <x v="0"/>
  </r>
  <r>
    <x v="12"/>
    <m/>
    <s v="MX4000002R0001827"/>
    <x v="0"/>
    <x v="1"/>
    <s v="R13"/>
    <s v="R13"/>
    <x v="0"/>
    <d v="2024-12-03T00:00:00"/>
    <s v="есть"/>
    <x v="1"/>
    <s v="1 ось"/>
    <s v="002-2013E50Q13-OK"/>
    <x v="0"/>
  </r>
  <r>
    <x v="13"/>
    <m/>
    <s v="MX4000002R0001826"/>
    <x v="0"/>
    <x v="1"/>
    <s v="R13"/>
    <s v="R13"/>
    <x v="0"/>
    <d v="2024-11-21T00:00:00"/>
    <s v="есть"/>
    <x v="1"/>
    <s v="1 ось"/>
    <s v="002-2013E50Q13-OK"/>
    <x v="0"/>
  </r>
  <r>
    <x v="14"/>
    <m/>
    <s v="MX4000002R0001825"/>
    <x v="0"/>
    <x v="2"/>
    <s v="R13"/>
    <s v="R13"/>
    <x v="0"/>
    <d v="2024-11-21T00:00:00"/>
    <s v="есть"/>
    <x v="1"/>
    <s v="1 ось"/>
    <s v="002-2013E30Q13-OK"/>
    <x v="0"/>
  </r>
  <r>
    <x v="15"/>
    <m/>
    <s v="MX4000002R0001824"/>
    <x v="0"/>
    <x v="1"/>
    <s v="R13"/>
    <s v="R13"/>
    <x v="0"/>
    <d v="2024-11-21T00:00:00"/>
    <s v="есть"/>
    <x v="1"/>
    <s v="1 ось"/>
    <s v="002-2013E50Q13-OK"/>
    <x v="0"/>
  </r>
  <r>
    <x v="16"/>
    <m/>
    <s v="MX4000002R0001823"/>
    <x v="0"/>
    <x v="2"/>
    <s v="R13"/>
    <s v="R13"/>
    <x v="0"/>
    <d v="2024-12-26T00:00:00"/>
    <s v="есть"/>
    <x v="1"/>
    <s v="1 ось"/>
    <s v="002-2013E30Q13-OK"/>
    <x v="0"/>
  </r>
  <r>
    <x v="17"/>
    <m/>
    <s v="MX4000002R0001822"/>
    <x v="0"/>
    <x v="1"/>
    <s v="R13"/>
    <s v="R13"/>
    <x v="0"/>
    <d v="2024-12-03T00:00:00"/>
    <s v="есть"/>
    <x v="1"/>
    <s v="1 ось"/>
    <s v="002-2013E50Q13-OK"/>
    <x v="0"/>
  </r>
  <r>
    <x v="18"/>
    <m/>
    <s v="MX4000002R0001821"/>
    <x v="0"/>
    <x v="1"/>
    <s v="R13"/>
    <s v="R13"/>
    <x v="0"/>
    <d v="2024-11-21T00:00:00"/>
    <s v="есть"/>
    <x v="1"/>
    <s v="1 ось"/>
    <s v="002-2013E50Q13-OK"/>
    <x v="0"/>
  </r>
  <r>
    <x v="19"/>
    <m/>
    <s v="MX4000002R0001820"/>
    <x v="0"/>
    <x v="1"/>
    <s v="R13"/>
    <s v="R13"/>
    <x v="0"/>
    <d v="2024-11-13T00:00:00"/>
    <s v="есть"/>
    <x v="1"/>
    <s v="1 ось"/>
    <s v="002-2013E50Q13-OK"/>
    <x v="0"/>
  </r>
  <r>
    <x v="20"/>
    <m/>
    <s v="MX4000002R0001817"/>
    <x v="0"/>
    <x v="1"/>
    <s v="R13"/>
    <s v="R13"/>
    <x v="1"/>
    <d v="2024-10-23T00:00:00"/>
    <s v="есть"/>
    <x v="0"/>
    <s v="1 ось"/>
    <s v="002-2013E50Q13-OK30"/>
    <x v="0"/>
  </r>
  <r>
    <x v="21"/>
    <m/>
    <s v="MX4000002R0001816"/>
    <x v="0"/>
    <x v="1"/>
    <s v="R13"/>
    <s v="R13"/>
    <x v="1"/>
    <d v="2024-10-18T00:00:00"/>
    <s v="есть"/>
    <x v="2"/>
    <s v="1 ось"/>
    <s v="002-2013E50Q13-OK30"/>
    <x v="0"/>
  </r>
  <r>
    <x v="22"/>
    <m/>
    <s v="MX4000002R0001815"/>
    <x v="0"/>
    <x v="2"/>
    <s v="R13"/>
    <s v="R13"/>
    <x v="2"/>
    <d v="2024-10-18T00:00:00"/>
    <s v="есть"/>
    <x v="2"/>
    <s v="1 ось"/>
    <s v="002-2013E30Q13-OK60"/>
    <x v="0"/>
  </r>
  <r>
    <x v="23"/>
    <m/>
    <s v="MX4000002R0001813"/>
    <x v="0"/>
    <x v="2"/>
    <s v="R13"/>
    <s v="R13"/>
    <x v="0"/>
    <d v="2024-10-14T00:00:00"/>
    <s v="есть"/>
    <x v="2"/>
    <s v="1 ось"/>
    <s v="002-2013E30Q13-OK"/>
    <x v="0"/>
  </r>
  <r>
    <x v="24"/>
    <m/>
    <s v="MX4000002R0001812"/>
    <x v="0"/>
    <x v="1"/>
    <s v="R13"/>
    <s v="R13"/>
    <x v="0"/>
    <d v="2024-10-14T00:00:00"/>
    <s v="есть"/>
    <x v="2"/>
    <s v="1 ось"/>
    <s v="002-2013E50Q13-OK"/>
    <x v="0"/>
  </r>
  <r>
    <x v="25"/>
    <m/>
    <s v="MX4000002R0001811"/>
    <x v="0"/>
    <x v="1"/>
    <s v="R13"/>
    <s v="R13"/>
    <x v="0"/>
    <d v="2024-10-10T00:00:00"/>
    <s v="есть"/>
    <x v="0"/>
    <s v="1 ось"/>
    <s v="002-2013E50Q13-OK"/>
    <x v="0"/>
  </r>
  <r>
    <x v="26"/>
    <m/>
    <s v="MX4000002R0001804"/>
    <x v="0"/>
    <x v="1"/>
    <s v="R13"/>
    <s v="R13"/>
    <x v="0"/>
    <d v="2024-10-14T00:00:00"/>
    <s v="есть"/>
    <x v="2"/>
    <s v="1 ось"/>
    <s v="002-2013E50Q13-OK"/>
    <x v="0"/>
  </r>
  <r>
    <x v="27"/>
    <m/>
    <s v="MX4000002R0001803"/>
    <x v="0"/>
    <x v="2"/>
    <s v="R13"/>
    <s v="R13"/>
    <x v="2"/>
    <d v="2024-10-14T00:00:00"/>
    <s v="есть"/>
    <x v="2"/>
    <s v="1 ось"/>
    <s v="002-2013E30Q13-OK60"/>
    <x v="0"/>
  </r>
  <r>
    <x v="28"/>
    <m/>
    <s v="MX4000002R0001802"/>
    <x v="0"/>
    <x v="1"/>
    <s v="R13"/>
    <s v="R13"/>
    <x v="1"/>
    <d v="2024-10-03T00:00:00"/>
    <s v="есть"/>
    <x v="0"/>
    <s v="1 ось"/>
    <s v="002-2013E50Q13-OK30"/>
    <x v="0"/>
  </r>
  <r>
    <x v="29"/>
    <m/>
    <s v="MX4000002R0001801"/>
    <x v="0"/>
    <x v="1"/>
    <s v="R13"/>
    <s v="R13"/>
    <x v="1"/>
    <d v="2024-10-14T00:00:00"/>
    <s v="есть"/>
    <x v="2"/>
    <s v="1 ось"/>
    <s v="002-2013E50Q13-OK30"/>
    <x v="0"/>
  </r>
  <r>
    <x v="30"/>
    <m/>
    <s v="MX4000002R0001800"/>
    <x v="0"/>
    <x v="1"/>
    <s v="R15"/>
    <s v="R15"/>
    <x v="1"/>
    <d v="2024-10-14T00:00:00"/>
    <s v="есть"/>
    <x v="2"/>
    <s v="1 ось"/>
    <s v="002-2013E50Q15-OK30"/>
    <x v="0"/>
  </r>
  <r>
    <x v="31"/>
    <m/>
    <s v="MX4000002R0001790"/>
    <x v="0"/>
    <x v="1"/>
    <s v="R13"/>
    <s v="R13"/>
    <x v="0"/>
    <d v="2024-11-16T00:00:00"/>
    <s v="есть"/>
    <x v="1"/>
    <s v="1 ось"/>
    <s v="002-2013E50Q13-OK"/>
    <x v="0"/>
  </r>
  <r>
    <x v="32"/>
    <m/>
    <s v="MX4000002R0001789"/>
    <x v="0"/>
    <x v="1"/>
    <s v="R13"/>
    <s v="R13"/>
    <x v="0"/>
    <d v="2024-11-13T00:00:00"/>
    <s v="есть"/>
    <x v="1"/>
    <s v="1 ось"/>
    <s v="002-2013E50Q13-OK"/>
    <x v="0"/>
  </r>
  <r>
    <x v="33"/>
    <m/>
    <s v="MX4000002R0001788"/>
    <x v="0"/>
    <x v="2"/>
    <s v="R13"/>
    <s v="R13"/>
    <x v="0"/>
    <d v="2024-11-10T00:00:00"/>
    <s v="есть"/>
    <x v="1"/>
    <s v="1 ось"/>
    <s v="002-2013E30Q13-OK"/>
    <x v="0"/>
  </r>
  <r>
    <x v="34"/>
    <m/>
    <s v="MX4000002R0001787"/>
    <x v="0"/>
    <x v="1"/>
    <s v="R13"/>
    <s v="R13"/>
    <x v="0"/>
    <d v="2024-10-11T00:00:00"/>
    <s v="есть"/>
    <x v="1"/>
    <s v="1 ось"/>
    <s v="002-2013E50Q13-OK"/>
    <x v="0"/>
  </r>
  <r>
    <x v="35"/>
    <m/>
    <s v="MX4000002R0001786"/>
    <x v="0"/>
    <x v="1"/>
    <s v="R13"/>
    <s v="R13"/>
    <x v="0"/>
    <d v="2024-11-04T00:00:00"/>
    <s v="есть"/>
    <x v="1"/>
    <s v="1 ось"/>
    <s v="002-2013E50Q13-OK"/>
    <x v="0"/>
  </r>
  <r>
    <x v="36"/>
    <m/>
    <s v="MX4000002R0001785"/>
    <x v="0"/>
    <x v="1"/>
    <s v="R13"/>
    <s v="R13"/>
    <x v="0"/>
    <d v="2024-11-04T00:00:00"/>
    <s v="есть"/>
    <x v="1"/>
    <s v="1 ось"/>
    <s v="002-2013E50Q13-OK"/>
    <x v="0"/>
  </r>
  <r>
    <x v="37"/>
    <m/>
    <s v="MX4000002R0001784"/>
    <x v="0"/>
    <x v="2"/>
    <s v="R13"/>
    <s v="R13"/>
    <x v="0"/>
    <d v="2024-11-10T00:00:00"/>
    <s v="есть"/>
    <x v="1"/>
    <s v="1 ось"/>
    <s v="002-2013E30Q13-OK"/>
    <x v="0"/>
  </r>
  <r>
    <x v="38"/>
    <m/>
    <s v="MX4000002R0001783"/>
    <x v="0"/>
    <x v="1"/>
    <s v="R13"/>
    <s v="R13"/>
    <x v="0"/>
    <d v="2024-10-18T00:00:00"/>
    <s v="есть"/>
    <x v="1"/>
    <s v="1 ось"/>
    <s v="002-2013E50Q13-OK"/>
    <x v="0"/>
  </r>
  <r>
    <x v="39"/>
    <m/>
    <s v="MX4000002R0001782"/>
    <x v="0"/>
    <x v="1"/>
    <s v="R13"/>
    <s v="R13"/>
    <x v="0"/>
    <d v="2024-11-09T00:00:00"/>
    <s v="есть"/>
    <x v="1"/>
    <s v="1 ось"/>
    <s v="002-2013E50Q13-OK"/>
    <x v="0"/>
  </r>
  <r>
    <x v="40"/>
    <m/>
    <s v="MX4000002R0001781"/>
    <x v="0"/>
    <x v="1"/>
    <s v="R13"/>
    <s v="R13"/>
    <x v="0"/>
    <d v="2024-10-17T00:00:00"/>
    <s v="есть"/>
    <x v="0"/>
    <s v="1 ось"/>
    <s v="002-2013E50Q13-OK"/>
    <x v="0"/>
  </r>
  <r>
    <x v="41"/>
    <m/>
    <s v="MX4000002R0001779"/>
    <x v="0"/>
    <x v="1"/>
    <s v="R13"/>
    <s v="R13"/>
    <x v="0"/>
    <d v="2024-09-25T00:00:00"/>
    <s v="есть"/>
    <x v="0"/>
    <s v="1 ось"/>
    <s v="002-2013E50Q13-OK"/>
    <x v="0"/>
  </r>
  <r>
    <x v="42"/>
    <m/>
    <s v="MX4000002R0001778"/>
    <x v="0"/>
    <x v="1"/>
    <s v="R13"/>
    <s v="R13"/>
    <x v="0"/>
    <d v="2024-09-24T00:00:00"/>
    <s v="есть"/>
    <x v="2"/>
    <s v="1 ось"/>
    <s v="002-2013E50Q13-OK"/>
    <x v="0"/>
  </r>
  <r>
    <x v="43"/>
    <m/>
    <s v="MX4000002R0001777"/>
    <x v="0"/>
    <x v="1"/>
    <s v="R13"/>
    <s v="R13"/>
    <x v="2"/>
    <d v="2024-09-23T00:00:00"/>
    <s v="есть"/>
    <x v="2"/>
    <s v="1 ось"/>
    <s v="002-2013E50Q13-OK60"/>
    <x v="0"/>
  </r>
  <r>
    <x v="44"/>
    <m/>
    <s v="MX4000002R0001776"/>
    <x v="0"/>
    <x v="1"/>
    <s v="R13"/>
    <s v="R13"/>
    <x v="2"/>
    <d v="2024-09-23T00:00:00"/>
    <s v="есть"/>
    <x v="2"/>
    <s v="1 ось"/>
    <s v="002-2013E50Q13-OK60"/>
    <x v="0"/>
  </r>
  <r>
    <x v="45"/>
    <m/>
    <s v="MX4000002R0001775"/>
    <x v="0"/>
    <x v="1"/>
    <s v="R13"/>
    <s v="R13"/>
    <x v="1"/>
    <d v="2024-09-22T00:00:00"/>
    <s v="есть"/>
    <x v="2"/>
    <s v="1 ось"/>
    <s v="002-2013E50Q13-OK30"/>
    <x v="0"/>
  </r>
  <r>
    <x v="46"/>
    <m/>
    <s v="MX4000002R0001774"/>
    <x v="0"/>
    <x v="2"/>
    <s v="R13"/>
    <s v="R13"/>
    <x v="0"/>
    <d v="2024-11-04T00:00:00"/>
    <s v="есть"/>
    <x v="2"/>
    <s v="1 ось"/>
    <s v="002-2013E30Q13-OK"/>
    <x v="0"/>
  </r>
  <r>
    <x v="47"/>
    <m/>
    <s v="MX4000002R0001773"/>
    <x v="0"/>
    <x v="2"/>
    <s v="R13"/>
    <s v="R13"/>
    <x v="0"/>
    <d v="2024-09-17T00:00:00"/>
    <s v="есть"/>
    <x v="0"/>
    <s v="1 ось"/>
    <s v="002-2013E30Q13-OK"/>
    <x v="0"/>
  </r>
  <r>
    <x v="48"/>
    <m/>
    <s v="MX4000002R0001772"/>
    <x v="0"/>
    <x v="2"/>
    <s v="R13"/>
    <s v="R13"/>
    <x v="1"/>
    <d v="2024-09-17T00:00:00"/>
    <s v="есть"/>
    <x v="0"/>
    <s v="1 ось"/>
    <s v="002-2013E30Q13-OK30"/>
    <x v="0"/>
  </r>
  <r>
    <x v="49"/>
    <m/>
    <s v="MX4000002R0001770"/>
    <x v="0"/>
    <x v="1"/>
    <s v="R13"/>
    <s v="R13"/>
    <x v="0"/>
    <d v="2024-09-17T00:00:00"/>
    <s v="есть"/>
    <x v="2"/>
    <s v="1 ось"/>
    <s v="002-2013E50Q13-OK"/>
    <x v="0"/>
  </r>
  <r>
    <x v="50"/>
    <m/>
    <s v="MX4000002R0001768"/>
    <x v="0"/>
    <x v="2"/>
    <s v="R13"/>
    <s v="R13"/>
    <x v="0"/>
    <d v="2024-09-09T00:00:00"/>
    <s v="есть"/>
    <x v="2"/>
    <s v="1 ось"/>
    <s v="002-2013E30Q13-OK"/>
    <x v="0"/>
  </r>
  <r>
    <x v="51"/>
    <m/>
    <s v="MX4000002R0001767"/>
    <x v="0"/>
    <x v="1"/>
    <s v="R13"/>
    <s v="R13"/>
    <x v="1"/>
    <d v="2024-09-09T00:00:00"/>
    <s v="есть"/>
    <x v="2"/>
    <s v="1 ось"/>
    <s v="002-2013E50Q13-OK30"/>
    <x v="0"/>
  </r>
  <r>
    <x v="52"/>
    <m/>
    <s v="MX4000002R0001765"/>
    <x v="0"/>
    <x v="1"/>
    <s v="R13"/>
    <s v="R13"/>
    <x v="0"/>
    <d v="2024-09-05T00:00:00"/>
    <s v="есть"/>
    <x v="0"/>
    <s v="1 ось"/>
    <s v="002-2013E50Q13-OK"/>
    <x v="0"/>
  </r>
  <r>
    <x v="53"/>
    <m/>
    <s v="MX4000002R0001764"/>
    <x v="0"/>
    <x v="1"/>
    <s v="R13"/>
    <s v="R13"/>
    <x v="0"/>
    <d v="2024-09-06T00:00:00"/>
    <s v="есть"/>
    <x v="2"/>
    <s v="1 ось"/>
    <s v="002-2013E50Q13-OK"/>
    <x v="0"/>
  </r>
  <r>
    <x v="54"/>
    <m/>
    <s v="MX4000002R0001763"/>
    <x v="0"/>
    <x v="1"/>
    <s v="R13"/>
    <s v="R13"/>
    <x v="0"/>
    <d v="2024-09-09T00:00:00"/>
    <s v="есть"/>
    <x v="2"/>
    <s v="1 ось"/>
    <s v="002-2013E50Q13-OK"/>
    <x v="0"/>
  </r>
  <r>
    <x v="55"/>
    <m/>
    <s v="MX4000002R0001762"/>
    <x v="0"/>
    <x v="1"/>
    <s v="R13"/>
    <s v="R13"/>
    <x v="0"/>
    <d v="2024-09-02T00:00:00"/>
    <s v="есть"/>
    <x v="0"/>
    <s v="1 ось"/>
    <s v="002-2013E50Q13-OK"/>
    <x v="0"/>
  </r>
  <r>
    <x v="56"/>
    <m/>
    <s v="MX4000002R0001761"/>
    <x v="0"/>
    <x v="1"/>
    <s v="R13"/>
    <s v="R13"/>
    <x v="1"/>
    <d v="2024-08-29T00:00:00"/>
    <s v="есть"/>
    <x v="2"/>
    <s v="1 ось"/>
    <s v="002-2013E50Q13-OK30"/>
    <x v="0"/>
  </r>
  <r>
    <x v="57"/>
    <m/>
    <s v="MX4000002R0001760"/>
    <x v="0"/>
    <x v="1"/>
    <s v="R13"/>
    <s v="R13"/>
    <x v="1"/>
    <d v="2024-08-29T00:00:00"/>
    <s v="есть"/>
    <x v="2"/>
    <s v="1 ось"/>
    <s v="002-2013E50Q13-OK30"/>
    <x v="0"/>
  </r>
  <r>
    <x v="58"/>
    <m/>
    <s v="MX4000002R0001759"/>
    <x v="0"/>
    <x v="1"/>
    <s v="R13"/>
    <s v="R13"/>
    <x v="1"/>
    <d v="2024-08-26T00:00:00"/>
    <s v="есть"/>
    <x v="2"/>
    <s v="1 ось"/>
    <s v="002-2013E50Q13-OK30"/>
    <x v="0"/>
  </r>
  <r>
    <x v="59"/>
    <m/>
    <s v="MX4000002R0001758"/>
    <x v="0"/>
    <x v="2"/>
    <s v="R13"/>
    <s v="R13"/>
    <x v="0"/>
    <d v="2024-08-27T00:00:00"/>
    <s v="есть"/>
    <x v="2"/>
    <s v="1 ось"/>
    <s v="002-2013E30Q13-OK"/>
    <x v="0"/>
  </r>
  <r>
    <x v="60"/>
    <m/>
    <s v="MX4000002R0001757"/>
    <x v="0"/>
    <x v="1"/>
    <s v="R13"/>
    <s v="R13"/>
    <x v="0"/>
    <d v="2024-08-20T00:00:00"/>
    <s v="есть"/>
    <x v="0"/>
    <s v="1 ось"/>
    <s v="002-2013E50Q13-OK"/>
    <x v="0"/>
  </r>
  <r>
    <x v="61"/>
    <m/>
    <s v="MX4000002R0001751"/>
    <x v="0"/>
    <x v="2"/>
    <s v="R13"/>
    <s v="R13"/>
    <x v="0"/>
    <d v="2024-08-21T00:00:00"/>
    <s v="есть"/>
    <x v="2"/>
    <s v="1 ось"/>
    <s v="002-2013E30Q13-OK"/>
    <x v="0"/>
  </r>
  <r>
    <x v="62"/>
    <m/>
    <s v="MX4000002R0001750"/>
    <x v="0"/>
    <x v="2"/>
    <s v="R13"/>
    <s v="R13"/>
    <x v="0"/>
    <d v="2024-08-19T00:00:00"/>
    <s v="есть"/>
    <x v="2"/>
    <s v="1 ось"/>
    <s v="002-2013E30Q13-OK"/>
    <x v="0"/>
  </r>
  <r>
    <x v="63"/>
    <m/>
    <s v="MX4000002R0001749"/>
    <x v="0"/>
    <x v="2"/>
    <s v="R13"/>
    <s v="R13"/>
    <x v="0"/>
    <d v="2024-08-16T00:00:00"/>
    <s v="есть"/>
    <x v="2"/>
    <s v="1 ось"/>
    <s v="002-2013E30Q13-OK"/>
    <x v="0"/>
  </r>
  <r>
    <x v="64"/>
    <m/>
    <s v="MX4000002R0001747"/>
    <x v="0"/>
    <x v="1"/>
    <s v="R13"/>
    <s v="R13"/>
    <x v="0"/>
    <d v="2024-09-06T00:00:00"/>
    <s v="есть"/>
    <x v="1"/>
    <s v="1 ось"/>
    <s v="002-2013E50Q13-OK"/>
    <x v="0"/>
  </r>
  <r>
    <x v="65"/>
    <m/>
    <s v="MX4000002R0001746"/>
    <x v="0"/>
    <x v="1"/>
    <s v="R13"/>
    <s v="R13"/>
    <x v="0"/>
    <d v="2024-09-11T00:00:00"/>
    <s v="есть"/>
    <x v="1"/>
    <s v="1 ось"/>
    <s v="002-2013E50Q13-OK"/>
    <x v="0"/>
  </r>
  <r>
    <x v="66"/>
    <m/>
    <s v="MX4000002R0001745"/>
    <x v="0"/>
    <x v="2"/>
    <s v="R13"/>
    <s v="R13"/>
    <x v="0"/>
    <d v="2024-08-12T00:00:00"/>
    <s v="есть"/>
    <x v="0"/>
    <s v="1 ось"/>
    <s v="002-2013E30Q13-OK"/>
    <x v="0"/>
  </r>
  <r>
    <x v="67"/>
    <m/>
    <s v="MX4000002R0001744"/>
    <x v="0"/>
    <x v="1"/>
    <s v="R13"/>
    <s v="R13"/>
    <x v="1"/>
    <d v="2024-08-19T00:00:00"/>
    <s v="есть"/>
    <x v="0"/>
    <s v="1 ось"/>
    <s v="002-2013E50Q13-OK30"/>
    <x v="0"/>
  </r>
  <r>
    <x v="68"/>
    <m/>
    <s v="MX4000002R0001743"/>
    <x v="0"/>
    <x v="2"/>
    <s v="R13"/>
    <s v="R13"/>
    <x v="0"/>
    <d v="2024-07-26T00:00:00"/>
    <s v="нет"/>
    <x v="1"/>
    <s v="1 ось"/>
    <s v="002-2013E30Q13"/>
    <x v="0"/>
  </r>
  <r>
    <x v="69"/>
    <m/>
    <s v="MX4000002R0001742"/>
    <x v="0"/>
    <x v="1"/>
    <s v="R13"/>
    <s v="R13"/>
    <x v="0"/>
    <d v="2024-07-26T00:00:00"/>
    <s v="есть"/>
    <x v="1"/>
    <s v="1 ось"/>
    <s v="002-2013E50Q13-OK"/>
    <x v="0"/>
  </r>
  <r>
    <x v="70"/>
    <m/>
    <s v="MX4000002R0001741"/>
    <x v="0"/>
    <x v="1"/>
    <s v="R13"/>
    <s v="R13"/>
    <x v="0"/>
    <d v="2024-07-26T00:00:00"/>
    <s v="есть"/>
    <x v="1"/>
    <s v="1 ось"/>
    <s v="002-2013E50Q13-OK"/>
    <x v="0"/>
  </r>
  <r>
    <x v="71"/>
    <m/>
    <s v="MX4000002R0001740"/>
    <x v="0"/>
    <x v="1"/>
    <s v="R13"/>
    <s v="R13"/>
    <x v="0"/>
    <d v="2024-07-26T00:00:00"/>
    <s v="есть"/>
    <x v="1"/>
    <s v="1 ось"/>
    <s v="002-2013E50Q13-OK"/>
    <x v="0"/>
  </r>
  <r>
    <x v="72"/>
    <m/>
    <s v="MX4000002R0001739"/>
    <x v="0"/>
    <x v="1"/>
    <s v="R13"/>
    <s v="R13"/>
    <x v="0"/>
    <d v="2024-07-26T00:00:00"/>
    <s v="есть"/>
    <x v="1"/>
    <s v="1 ось"/>
    <s v="002-2013E50Q13-OK"/>
    <x v="0"/>
  </r>
  <r>
    <x v="73"/>
    <m/>
    <s v="MX4000002R0001738"/>
    <x v="0"/>
    <x v="2"/>
    <s v="R13"/>
    <s v="R13"/>
    <x v="0"/>
    <d v="2024-07-26T00:00:00"/>
    <s v="есть"/>
    <x v="1"/>
    <s v="1 ось"/>
    <s v="002-2013E30Q13-OK"/>
    <x v="0"/>
  </r>
  <r>
    <x v="74"/>
    <m/>
    <s v="MX4000002R0001737"/>
    <x v="0"/>
    <x v="2"/>
    <s v="R13"/>
    <s v="R13"/>
    <x v="0"/>
    <d v="2024-07-26T00:00:00"/>
    <s v="есть"/>
    <x v="1"/>
    <s v="1 ось"/>
    <s v="002-2013E30Q13-OK"/>
    <x v="0"/>
  </r>
  <r>
    <x v="75"/>
    <m/>
    <s v="MX4000002R0001736"/>
    <x v="0"/>
    <x v="1"/>
    <s v="R13"/>
    <s v="R13"/>
    <x v="0"/>
    <d v="2024-07-26T00:00:00"/>
    <s v="есть"/>
    <x v="1"/>
    <s v="1 ось"/>
    <s v="002-2013E50Q13-OK"/>
    <x v="0"/>
  </r>
  <r>
    <x v="76"/>
    <m/>
    <s v="MX4000002R0001735"/>
    <x v="0"/>
    <x v="1"/>
    <s v="R13"/>
    <s v="R13"/>
    <x v="0"/>
    <d v="2024-07-26T00:00:00"/>
    <s v="есть"/>
    <x v="1"/>
    <s v="1 ось"/>
    <s v="002-2013E50Q13-OK"/>
    <x v="0"/>
  </r>
  <r>
    <x v="77"/>
    <m/>
    <s v="MX4000002R0001734"/>
    <x v="0"/>
    <x v="1"/>
    <s v="R13"/>
    <s v="R13"/>
    <x v="1"/>
    <d v="2024-07-26T00:00:00"/>
    <s v="есть"/>
    <x v="1"/>
    <s v="1 ось"/>
    <s v="002-2013E50Q13-OK30"/>
    <x v="0"/>
  </r>
  <r>
    <x v="78"/>
    <m/>
    <s v="MX4000002R0001733"/>
    <x v="0"/>
    <x v="2"/>
    <s v="R13"/>
    <s v="R13"/>
    <x v="0"/>
    <d v="2024-07-26T00:00:00"/>
    <s v="есть"/>
    <x v="1"/>
    <s v="1 ось"/>
    <s v="002-2013E30Q13-OK"/>
    <x v="0"/>
  </r>
  <r>
    <x v="79"/>
    <m/>
    <s v="MX4000002R0001732"/>
    <x v="0"/>
    <x v="2"/>
    <s v="R13"/>
    <s v="R13"/>
    <x v="0"/>
    <d v="2024-07-26T00:00:00"/>
    <s v="есть"/>
    <x v="1"/>
    <s v="1 ось"/>
    <s v="002-2013E30Q13-OK"/>
    <x v="0"/>
  </r>
  <r>
    <x v="80"/>
    <m/>
    <s v="MX4000002R0001731"/>
    <x v="0"/>
    <x v="2"/>
    <s v="R13"/>
    <s v="R13"/>
    <x v="0"/>
    <d v="2024-07-26T00:00:00"/>
    <s v="есть"/>
    <x v="1"/>
    <s v="1 ось"/>
    <s v="002-2013E30Q13-OK"/>
    <x v="0"/>
  </r>
  <r>
    <x v="81"/>
    <m/>
    <s v="MX4000002R0001730"/>
    <x v="0"/>
    <x v="1"/>
    <s v="R13"/>
    <s v="R13"/>
    <x v="1"/>
    <d v="2024-07-26T00:00:00"/>
    <s v="есть"/>
    <x v="1"/>
    <s v="1 ось"/>
    <s v="002-2013E50Q13-OK30"/>
    <x v="0"/>
  </r>
  <r>
    <x v="82"/>
    <m/>
    <s v="MX4000002R0001729"/>
    <x v="0"/>
    <x v="1"/>
    <s v="R13"/>
    <s v="R13"/>
    <x v="0"/>
    <d v="2024-07-26T00:00:00"/>
    <s v="есть"/>
    <x v="1"/>
    <s v="1 ось"/>
    <s v="002-2013E50Q13-OK"/>
    <x v="0"/>
  </r>
  <r>
    <x v="83"/>
    <m/>
    <s v="MX4000002R0001728"/>
    <x v="0"/>
    <x v="1"/>
    <s v="R13"/>
    <s v="R13"/>
    <x v="0"/>
    <d v="2024-07-26T00:00:00"/>
    <s v="есть"/>
    <x v="1"/>
    <s v="1 ось"/>
    <s v="002-2013E50Q13-OK"/>
    <x v="0"/>
  </r>
  <r>
    <x v="84"/>
    <m/>
    <s v="MX4000002R0001727"/>
    <x v="0"/>
    <x v="1"/>
    <s v="R13"/>
    <s v="R13"/>
    <x v="0"/>
    <d v="2024-07-26T00:00:00"/>
    <s v="есть"/>
    <x v="1"/>
    <s v="1 ось"/>
    <s v="002-2013E50Q13-OK"/>
    <x v="0"/>
  </r>
  <r>
    <x v="85"/>
    <m/>
    <s v="MX4000002R0001725"/>
    <x v="0"/>
    <x v="2"/>
    <s v="R15"/>
    <s v="R15"/>
    <x v="0"/>
    <d v="2024-07-25T00:00:00"/>
    <s v="есть"/>
    <x v="0"/>
    <s v="1 ось"/>
    <s v="002-2013E30Q15-OK"/>
    <x v="0"/>
  </r>
  <r>
    <x v="86"/>
    <m/>
    <s v="MX4000002R0001723"/>
    <x v="0"/>
    <x v="1"/>
    <s v="R13"/>
    <s v="R13"/>
    <x v="2"/>
    <d v="2024-09-02T00:00:00"/>
    <s v="есть"/>
    <x v="1"/>
    <s v="1 ось"/>
    <s v="002-2013E50Q13-OK60"/>
    <x v="0"/>
  </r>
  <r>
    <x v="87"/>
    <m/>
    <s v="MX4000002R0001722"/>
    <x v="0"/>
    <x v="1"/>
    <s v="R13"/>
    <s v="R13"/>
    <x v="0"/>
    <d v="2024-06-26T00:00:00"/>
    <s v="есть"/>
    <x v="0"/>
    <s v="1 ось"/>
    <s v="002-2013E50Q13-OK"/>
    <x v="0"/>
  </r>
  <r>
    <x v="88"/>
    <m/>
    <s v="MX4000002R0001698"/>
    <x v="0"/>
    <x v="1"/>
    <s v="R13"/>
    <s v="R13"/>
    <x v="0"/>
    <d v="2024-06-24T00:00:00"/>
    <s v="есть"/>
    <x v="0"/>
    <s v="1 ось"/>
    <s v="002-2013E50Q13-OK"/>
    <x v="0"/>
  </r>
  <r>
    <x v="89"/>
    <m/>
    <s v="MX4000002R0001696"/>
    <x v="0"/>
    <x v="1"/>
    <s v="R13"/>
    <s v="R13"/>
    <x v="2"/>
    <d v="2024-08-06T00:00:00"/>
    <s v="есть"/>
    <x v="0"/>
    <s v="1 ось"/>
    <s v="002-2013E50Q13-OK60"/>
    <x v="0"/>
  </r>
  <r>
    <x v="90"/>
    <m/>
    <s v="MX4000002R0001693"/>
    <x v="0"/>
    <x v="1"/>
    <s v="R13"/>
    <s v="R13"/>
    <x v="0"/>
    <d v="2024-07-24T00:00:00"/>
    <s v="есть"/>
    <x v="2"/>
    <s v="1 ось"/>
    <s v="002-2013E50Q13-OK"/>
    <x v="0"/>
  </r>
  <r>
    <x v="91"/>
    <m/>
    <s v="MX4000002R0001692"/>
    <x v="0"/>
    <x v="2"/>
    <s v="R13"/>
    <s v="R13"/>
    <x v="0"/>
    <d v="2024-07-10T00:00:00"/>
    <s v="есть"/>
    <x v="2"/>
    <s v="1 ось"/>
    <s v="002-2013E30Q13-OK"/>
    <x v="0"/>
  </r>
  <r>
    <x v="92"/>
    <m/>
    <s v="MX4000002R0001691"/>
    <x v="0"/>
    <x v="1"/>
    <s v="R13"/>
    <s v="R13"/>
    <x v="0"/>
    <d v="2024-07-31T00:00:00"/>
    <s v="есть"/>
    <x v="0"/>
    <s v="1 ось"/>
    <s v="002-2013E50Q13-OK"/>
    <x v="0"/>
  </r>
  <r>
    <x v="93"/>
    <m/>
    <s v="MX4000002R0001690"/>
    <x v="0"/>
    <x v="1"/>
    <s v="R13"/>
    <s v="R13"/>
    <x v="0"/>
    <d v="2024-07-26T00:00:00"/>
    <s v="есть"/>
    <x v="1"/>
    <s v="1 ось"/>
    <s v="002-2013E50Q13-OK"/>
    <x v="0"/>
  </r>
  <r>
    <x v="94"/>
    <m/>
    <s v="MX4000002R0001689"/>
    <x v="0"/>
    <x v="2"/>
    <s v="R13"/>
    <s v="R13"/>
    <x v="0"/>
    <d v="2024-07-11T00:00:00"/>
    <s v="есть"/>
    <x v="0"/>
    <s v="1 ось"/>
    <s v="002-2013E30Q13-OK"/>
    <x v="0"/>
  </r>
  <r>
    <x v="95"/>
    <m/>
    <s v="MX4000002R0001687"/>
    <x v="0"/>
    <x v="1"/>
    <s v="R13"/>
    <s v="R13"/>
    <x v="0"/>
    <d v="2024-06-24T00:00:00"/>
    <s v="есть"/>
    <x v="2"/>
    <s v="1 ось"/>
    <s v="002-2013E50Q13-OK"/>
    <x v="0"/>
  </r>
  <r>
    <x v="96"/>
    <m/>
    <s v="MX4000002R0001683"/>
    <x v="0"/>
    <x v="1"/>
    <s v="R13"/>
    <s v="R13"/>
    <x v="0"/>
    <d v="2024-07-18T00:00:00"/>
    <s v="есть"/>
    <x v="2"/>
    <s v="1 ось"/>
    <s v="002-2013E50Q13-OK"/>
    <x v="0"/>
  </r>
  <r>
    <x v="97"/>
    <m/>
    <s v="MX4000002R0001682"/>
    <x v="0"/>
    <x v="1"/>
    <s v="R13"/>
    <s v="R13"/>
    <x v="0"/>
    <d v="2024-07-18T00:00:00"/>
    <s v="есть"/>
    <x v="2"/>
    <s v="1 ось"/>
    <s v="002-2013E50Q13-OK"/>
    <x v="0"/>
  </r>
  <r>
    <x v="98"/>
    <m/>
    <s v="MX4000002R0001680"/>
    <x v="0"/>
    <x v="1"/>
    <s v="R13"/>
    <s v="R13"/>
    <x v="0"/>
    <d v="2024-06-21T00:00:00"/>
    <s v="есть"/>
    <x v="2"/>
    <s v="1 ось"/>
    <s v="002-2013E50Q13-OK"/>
    <x v="0"/>
  </r>
  <r>
    <x v="99"/>
    <m/>
    <s v="MX4000002R0001679"/>
    <x v="0"/>
    <x v="2"/>
    <s v="R13"/>
    <s v="R13"/>
    <x v="0"/>
    <d v="2024-04-02T00:00:00"/>
    <s v="есть"/>
    <x v="2"/>
    <s v="1 ось"/>
    <s v="002-2013E30Q13-OK"/>
    <x v="0"/>
  </r>
  <r>
    <x v="100"/>
    <m/>
    <s v="MX4000002R0001678"/>
    <x v="0"/>
    <x v="1"/>
    <s v="R13"/>
    <s v="R13"/>
    <x v="0"/>
    <d v="2024-06-24T00:00:00"/>
    <s v="есть"/>
    <x v="2"/>
    <s v="1 ось"/>
    <s v="002-2013E50Q13-OK"/>
    <x v="0"/>
  </r>
  <r>
    <x v="101"/>
    <m/>
    <s v="MX4000002R0001677"/>
    <x v="0"/>
    <x v="1"/>
    <s v="R13"/>
    <s v="R13"/>
    <x v="0"/>
    <d v="2024-07-03T00:00:00"/>
    <s v="есть"/>
    <x v="0"/>
    <s v="1 ось"/>
    <s v="002-2013E50Q13-OK"/>
    <x v="0"/>
  </r>
  <r>
    <x v="102"/>
    <m/>
    <s v="MX4000002R0001675"/>
    <x v="0"/>
    <x v="1"/>
    <s v="R13"/>
    <s v="R13"/>
    <x v="0"/>
    <d v="2024-07-12T00:00:00"/>
    <s v="есть"/>
    <x v="2"/>
    <s v="1 ось"/>
    <s v="002-2013E50Q13-OK"/>
    <x v="0"/>
  </r>
  <r>
    <x v="103"/>
    <m/>
    <s v="MX4000002R0001674"/>
    <x v="0"/>
    <x v="2"/>
    <s v="R13"/>
    <s v="R13"/>
    <x v="0"/>
    <d v="2024-07-12T00:00:00"/>
    <s v="есть"/>
    <x v="2"/>
    <s v="1 ось"/>
    <s v="002-2013E30Q13-OK"/>
    <x v="0"/>
  </r>
  <r>
    <x v="104"/>
    <m/>
    <s v="MX4000002R0001672"/>
    <x v="0"/>
    <x v="1"/>
    <s v="R13"/>
    <s v="R13"/>
    <x v="0"/>
    <d v="2024-07-10T00:00:00"/>
    <s v="есть"/>
    <x v="2"/>
    <s v="1 ось"/>
    <s v="002-2013E50Q13-OK"/>
    <x v="0"/>
  </r>
  <r>
    <x v="105"/>
    <m/>
    <s v="MX4000002R0001671"/>
    <x v="0"/>
    <x v="2"/>
    <s v="R13"/>
    <s v="R13"/>
    <x v="0"/>
    <d v="2024-07-02T00:00:00"/>
    <s v="есть"/>
    <x v="0"/>
    <s v="1 ось"/>
    <s v="002-2013E30Q13-OK"/>
    <x v="0"/>
  </r>
  <r>
    <x v="106"/>
    <m/>
    <s v="MX4000002R0001670"/>
    <x v="0"/>
    <x v="1"/>
    <s v="R13"/>
    <s v="R13"/>
    <x v="1"/>
    <d v="2024-07-11T00:00:00"/>
    <s v="есть"/>
    <x v="0"/>
    <s v="1 ось"/>
    <s v="002-2013E50Q13-OK30"/>
    <x v="0"/>
  </r>
  <r>
    <x v="107"/>
    <m/>
    <s v="MX4000002R0001668"/>
    <x v="0"/>
    <x v="2"/>
    <s v="R13"/>
    <s v="R13"/>
    <x v="1"/>
    <d v="2024-07-26T00:00:00"/>
    <s v="есть"/>
    <x v="1"/>
    <s v="1 ось"/>
    <s v="002-2013E30Q13-OK30"/>
    <x v="0"/>
  </r>
  <r>
    <x v="108"/>
    <m/>
    <s v="MX4000002R0001667"/>
    <x v="0"/>
    <x v="1"/>
    <s v="R13"/>
    <s v="R13"/>
    <x v="0"/>
    <d v="2024-07-19T00:00:00"/>
    <s v="есть"/>
    <x v="0"/>
    <s v="1 ось"/>
    <s v="002-2013E50Q13-OK"/>
    <x v="0"/>
  </r>
  <r>
    <x v="109"/>
    <m/>
    <s v="MX4000002R0001666"/>
    <x v="0"/>
    <x v="2"/>
    <s v="R13"/>
    <s v="R13"/>
    <x v="0"/>
    <d v="2024-06-20T00:00:00"/>
    <s v="есть"/>
    <x v="2"/>
    <s v="1 ось"/>
    <s v="002-2013E30Q13-OK"/>
    <x v="0"/>
  </r>
  <r>
    <x v="110"/>
    <m/>
    <s v="MX4000002R0001665"/>
    <x v="0"/>
    <x v="1"/>
    <s v="R13"/>
    <s v="R13"/>
    <x v="0"/>
    <d v="2024-08-16T00:00:00"/>
    <s v="есть"/>
    <x v="2"/>
    <s v="1 ось"/>
    <s v="002-2013E50Q13-OK"/>
    <x v="0"/>
  </r>
  <r>
    <x v="111"/>
    <m/>
    <s v="MX4000002R0001664"/>
    <x v="0"/>
    <x v="1"/>
    <s v="R13"/>
    <s v="R13"/>
    <x v="0"/>
    <d v="2024-06-24T00:00:00"/>
    <s v="есть"/>
    <x v="0"/>
    <s v="1 ось"/>
    <s v="002-2013E50Q13-OK"/>
    <x v="0"/>
  </r>
  <r>
    <x v="112"/>
    <m/>
    <s v="MX4000002R0001663"/>
    <x v="0"/>
    <x v="1"/>
    <s v="R13"/>
    <s v="R13"/>
    <x v="0"/>
    <d v="2024-07-02T00:00:00"/>
    <s v="есть"/>
    <x v="0"/>
    <s v="1 ось"/>
    <s v="002-2013E50Q13-OK"/>
    <x v="0"/>
  </r>
  <r>
    <x v="113"/>
    <m/>
    <s v="MX4000002R0001662"/>
    <x v="0"/>
    <x v="1"/>
    <s v="R13"/>
    <s v="R13"/>
    <x v="0"/>
    <d v="2024-07-25T00:00:00"/>
    <s v="есть"/>
    <x v="0"/>
    <s v="1 ось"/>
    <s v="002-2013E50Q13-OK"/>
    <x v="0"/>
  </r>
  <r>
    <x v="114"/>
    <m/>
    <s v="MX4000002R0001661"/>
    <x v="0"/>
    <x v="1"/>
    <s v="R13"/>
    <s v="R13"/>
    <x v="1"/>
    <d v="2024-07-17T00:00:00"/>
    <s v="есть"/>
    <x v="0"/>
    <s v="1 ось"/>
    <s v="002-2013E50Q13-OK30"/>
    <x v="0"/>
  </r>
  <r>
    <x v="115"/>
    <m/>
    <s v="MX4000002R0001660"/>
    <x v="0"/>
    <x v="2"/>
    <s v="R13"/>
    <s v="R13"/>
    <x v="0"/>
    <d v="2024-06-21T00:00:00"/>
    <s v="есть"/>
    <x v="2"/>
    <s v="1 ось"/>
    <s v="002-2013E30Q13-OK"/>
    <x v="0"/>
  </r>
  <r>
    <x v="116"/>
    <m/>
    <s v="MX4000002R0001659"/>
    <x v="0"/>
    <x v="1"/>
    <s v="R13"/>
    <s v="R13"/>
    <x v="0"/>
    <d v="2024-05-06T00:00:00"/>
    <s v="есть"/>
    <x v="2"/>
    <s v="1 ось"/>
    <s v="002-2013E50Q13-OK"/>
    <x v="0"/>
  </r>
  <r>
    <x v="117"/>
    <m/>
    <s v="MX4000002R0001658"/>
    <x v="0"/>
    <x v="2"/>
    <s v="R13"/>
    <s v="R13"/>
    <x v="0"/>
    <d v="2024-07-26T00:00:00"/>
    <s v="есть"/>
    <x v="1"/>
    <s v="1 ось"/>
    <s v="002-2013E30Q13-OK"/>
    <x v="0"/>
  </r>
  <r>
    <x v="118"/>
    <m/>
    <s v="MX4000002R0001657"/>
    <x v="0"/>
    <x v="2"/>
    <s v="R13"/>
    <s v="R13"/>
    <x v="0"/>
    <d v="2024-06-21T00:00:00"/>
    <s v="есть"/>
    <x v="2"/>
    <s v="1 ось"/>
    <s v="002-2013E30Q13-OK"/>
    <x v="0"/>
  </r>
  <r>
    <x v="119"/>
    <m/>
    <s v="MX4000002R0001656"/>
    <x v="0"/>
    <x v="1"/>
    <s v="R13"/>
    <s v="R13"/>
    <x v="0"/>
    <d v="2024-06-24T00:00:00"/>
    <s v="есть"/>
    <x v="2"/>
    <s v="1 ось"/>
    <s v="002-2013E50Q13-OK"/>
    <x v="0"/>
  </r>
  <r>
    <x v="120"/>
    <m/>
    <s v="MX4000002R0001655"/>
    <x v="0"/>
    <x v="2"/>
    <s v="R13"/>
    <s v="R13"/>
    <x v="1"/>
    <d v="2024-09-03T00:00:00"/>
    <s v="есть"/>
    <x v="0"/>
    <s v="1 ось"/>
    <s v="002-2013E30Q13-OK30"/>
    <x v="0"/>
  </r>
  <r>
    <x v="121"/>
    <m/>
    <s v="MX4000002R0001654"/>
    <x v="0"/>
    <x v="1"/>
    <s v="R13"/>
    <s v="R13"/>
    <x v="0"/>
    <d v="2024-06-20T00:00:00"/>
    <s v="есть"/>
    <x v="2"/>
    <s v="1 ось"/>
    <s v="002-2013E50Q13-OK"/>
    <x v="0"/>
  </r>
  <r>
    <x v="122"/>
    <m/>
    <s v="MX4000002R0001653"/>
    <x v="0"/>
    <x v="2"/>
    <s v="R13"/>
    <s v="R13"/>
    <x v="0"/>
    <d v="2024-05-04T00:00:00"/>
    <s v="есть"/>
    <x v="2"/>
    <s v="1 ось"/>
    <s v="002-2013E30Q13-OK"/>
    <x v="0"/>
  </r>
  <r>
    <x v="123"/>
    <m/>
    <s v="MX4000002R0001650"/>
    <x v="0"/>
    <x v="1"/>
    <s v="R13"/>
    <s v="R13"/>
    <x v="0"/>
    <d v="2024-06-24T00:00:00"/>
    <s v="есть"/>
    <x v="2"/>
    <s v="1 ось"/>
    <s v="002-2013E50Q13-OK"/>
    <x v="0"/>
  </r>
  <r>
    <x v="124"/>
    <m/>
    <s v="MX4000002R0001585"/>
    <x v="0"/>
    <x v="1"/>
    <s v="R13"/>
    <s v="R13"/>
    <x v="0"/>
    <d v="2024-08-22T00:00:00"/>
    <s v="есть"/>
    <x v="1"/>
    <s v="1 ось"/>
    <s v="002-2013E50Q13-OK"/>
    <x v="0"/>
  </r>
  <r>
    <x v="125"/>
    <m/>
    <s v="MX4000002R0001584"/>
    <x v="0"/>
    <x v="1"/>
    <s v="R13"/>
    <s v="R13"/>
    <x v="0"/>
    <d v="2024-08-19T00:00:00"/>
    <s v="есть"/>
    <x v="1"/>
    <s v="1 ось"/>
    <s v="002-2013E50Q13-OK"/>
    <x v="0"/>
  </r>
  <r>
    <x v="126"/>
    <m/>
    <s v="MX4000002R0001583"/>
    <x v="0"/>
    <x v="2"/>
    <s v="R13"/>
    <s v="R13"/>
    <x v="0"/>
    <d v="2024-09-06T00:00:00"/>
    <s v="есть"/>
    <x v="1"/>
    <s v="1 ось"/>
    <s v="002-2013E30Q13-OK"/>
    <x v="0"/>
  </r>
  <r>
    <x v="127"/>
    <m/>
    <s v="MX4000002R0001582"/>
    <x v="0"/>
    <x v="1"/>
    <s v="R13"/>
    <s v="R13"/>
    <x v="1"/>
    <d v="2024-07-31T00:00:00"/>
    <s v="есть"/>
    <x v="1"/>
    <s v="1 ось"/>
    <s v="002-2013E50Q13-OK30"/>
    <x v="0"/>
  </r>
  <r>
    <x v="128"/>
    <m/>
    <s v="MX4000002R0001581"/>
    <x v="0"/>
    <x v="2"/>
    <s v="R13"/>
    <s v="R13"/>
    <x v="2"/>
    <d v="2024-08-14T00:00:00"/>
    <s v="есть"/>
    <x v="1"/>
    <s v="1 ось"/>
    <s v="002-2013E30Q13-OK60"/>
    <x v="0"/>
  </r>
  <r>
    <x v="129"/>
    <m/>
    <s v="MX4000002R0001580"/>
    <x v="0"/>
    <x v="2"/>
    <s v="R13"/>
    <s v="R13"/>
    <x v="0"/>
    <d v="2024-08-26T00:00:00"/>
    <s v="есть"/>
    <x v="1"/>
    <s v="1 ось"/>
    <s v="002-2013E30Q13-OK"/>
    <x v="0"/>
  </r>
  <r>
    <x v="130"/>
    <m/>
    <s v="MX4000002R0001579"/>
    <x v="0"/>
    <x v="2"/>
    <s v="R13"/>
    <s v="R13"/>
    <x v="0"/>
    <d v="2024-08-24T00:00:00"/>
    <s v="есть"/>
    <x v="1"/>
    <s v="1 ось"/>
    <s v="002-2013E30Q13-OK"/>
    <x v="0"/>
  </r>
  <r>
    <x v="131"/>
    <m/>
    <s v="MX4000002R0001578"/>
    <x v="0"/>
    <x v="2"/>
    <s v="R13"/>
    <s v="R13"/>
    <x v="0"/>
    <d v="2024-07-04T00:00:00"/>
    <s v="есть"/>
    <x v="1"/>
    <s v="1 ось"/>
    <s v="002-2013E30Q13-OK"/>
    <x v="0"/>
  </r>
  <r>
    <x v="132"/>
    <m/>
    <s v="MX4000002R0001577"/>
    <x v="0"/>
    <x v="2"/>
    <s v="R13"/>
    <s v="R13"/>
    <x v="0"/>
    <d v="2024-09-05T00:00:00"/>
    <s v="есть"/>
    <x v="1"/>
    <s v="1 ось"/>
    <s v="002-2013E30Q13-OK"/>
    <x v="1"/>
  </r>
  <r>
    <x v="133"/>
    <m/>
    <s v="MX4000002R0001574"/>
    <x v="0"/>
    <x v="1"/>
    <s v="R13"/>
    <s v="R13"/>
    <x v="0"/>
    <d v="2024-06-17T00:00:00"/>
    <s v="есть"/>
    <x v="1"/>
    <s v="1 ось"/>
    <s v="002-2013E50Q13-OK"/>
    <x v="0"/>
  </r>
  <r>
    <x v="134"/>
    <m/>
    <s v="MX4000002R0001573"/>
    <x v="0"/>
    <x v="2"/>
    <s v="R13"/>
    <s v="R13"/>
    <x v="0"/>
    <d v="2024-06-07T00:00:00"/>
    <s v="есть"/>
    <x v="1"/>
    <s v="1 ось"/>
    <s v="002-2013E30Q13-OK"/>
    <x v="0"/>
  </r>
  <r>
    <x v="135"/>
    <m/>
    <s v="MX4000002R0001572"/>
    <x v="0"/>
    <x v="1"/>
    <s v="R13"/>
    <s v="R13"/>
    <x v="0"/>
    <d v="2024-06-17T00:00:00"/>
    <s v="есть"/>
    <x v="1"/>
    <s v="1 ось"/>
    <s v="002-2013E50Q13-OK"/>
    <x v="0"/>
  </r>
  <r>
    <x v="136"/>
    <m/>
    <s v="MX4000002R0001571"/>
    <x v="0"/>
    <x v="1"/>
    <s v="R13"/>
    <s v="R13"/>
    <x v="0"/>
    <d v="2024-06-17T00:00:00"/>
    <s v="есть"/>
    <x v="1"/>
    <s v="1 ось"/>
    <s v="002-2013E50Q13-OK"/>
    <x v="0"/>
  </r>
  <r>
    <x v="137"/>
    <m/>
    <s v="MX4000002R0001569"/>
    <x v="0"/>
    <x v="1"/>
    <s v="R13"/>
    <s v="R13"/>
    <x v="0"/>
    <d v="2024-06-17T00:00:00"/>
    <s v="есть"/>
    <x v="1"/>
    <s v="1 ось"/>
    <s v="002-2013E50Q13-OK"/>
    <x v="0"/>
  </r>
  <r>
    <x v="138"/>
    <m/>
    <s v="MX4000002R0001560"/>
    <x v="0"/>
    <x v="2"/>
    <s v="R13"/>
    <s v="R13"/>
    <x v="0"/>
    <d v="2024-07-02T00:00:00"/>
    <s v="есть"/>
    <x v="1"/>
    <s v="1 ось"/>
    <s v="002-2013E30Q13-OK"/>
    <x v="0"/>
  </r>
  <r>
    <x v="139"/>
    <m/>
    <s v="MX4000002R0001552"/>
    <x v="0"/>
    <x v="2"/>
    <s v="R13"/>
    <s v="R13"/>
    <x v="0"/>
    <d v="2024-08-07T00:00:00"/>
    <s v="есть"/>
    <x v="1"/>
    <s v="1 ось"/>
    <s v="002-2013E30Q13-OK"/>
    <x v="0"/>
  </r>
  <r>
    <x v="140"/>
    <m/>
    <s v="MX4000002R0001538"/>
    <x v="0"/>
    <x v="2"/>
    <s v="R13"/>
    <s v="R13"/>
    <x v="0"/>
    <d v="2024-06-18T00:00:00"/>
    <s v="есть"/>
    <x v="1"/>
    <s v="1 ось"/>
    <s v="002-2013E30Q13-OK"/>
    <x v="0"/>
  </r>
  <r>
    <x v="141"/>
    <m/>
    <s v="MX4000002R0001501"/>
    <x v="0"/>
    <x v="2"/>
    <s v="R13"/>
    <s v="R13"/>
    <x v="0"/>
    <d v="2024-07-11T00:00:00"/>
    <s v="есть"/>
    <x v="1"/>
    <s v="1 ось"/>
    <s v="002-2013E30Q13-OK"/>
    <x v="0"/>
  </r>
  <r>
    <x v="142"/>
    <m/>
    <s v="MX4000002R0001500"/>
    <x v="0"/>
    <x v="2"/>
    <s v="R13"/>
    <s v="R13"/>
    <x v="0"/>
    <d v="2024-06-17T00:00:00"/>
    <s v="есть"/>
    <x v="1"/>
    <s v="1 ось"/>
    <s v="002-2013E30Q13-OK"/>
    <x v="0"/>
  </r>
  <r>
    <x v="143"/>
    <m/>
    <s v="MX4000002R0001497"/>
    <x v="0"/>
    <x v="1"/>
    <s v="R13"/>
    <s v="R13"/>
    <x v="0"/>
    <d v="2024-06-21T00:00:00"/>
    <s v="есть"/>
    <x v="2"/>
    <s v="1 ось"/>
    <s v="002-2013E50Q13-OK"/>
    <x v="0"/>
  </r>
  <r>
    <x v="144"/>
    <m/>
    <s v="MX4000002R0001495"/>
    <x v="0"/>
    <x v="2"/>
    <s v="R13"/>
    <s v="R13"/>
    <x v="0"/>
    <d v="2024-07-24T00:00:00"/>
    <s v="есть"/>
    <x v="1"/>
    <s v="1 ось"/>
    <s v="002-2013E30Q13-OK"/>
    <x v="0"/>
  </r>
  <r>
    <x v="145"/>
    <m/>
    <s v="MX4000002R0001491"/>
    <x v="0"/>
    <x v="2"/>
    <s v="R13"/>
    <s v="R13"/>
    <x v="0"/>
    <d v="2024-07-11T00:00:00"/>
    <s v="есть"/>
    <x v="1"/>
    <s v="1 ось"/>
    <s v="002-2013E30Q13-OK"/>
    <x v="0"/>
  </r>
  <r>
    <x v="146"/>
    <m/>
    <s v="MX4000002R0001490"/>
    <x v="0"/>
    <x v="2"/>
    <s v="R13"/>
    <s v="R13"/>
    <x v="0"/>
    <d v="2024-05-06T00:00:00"/>
    <s v="есть"/>
    <x v="2"/>
    <s v="1 ось"/>
    <s v="002-2013E30Q13-OK"/>
    <x v="0"/>
  </r>
  <r>
    <x v="147"/>
    <m/>
    <s v="MX4000002R0001487"/>
    <x v="0"/>
    <x v="2"/>
    <s v="R13"/>
    <s v="R13"/>
    <x v="0"/>
    <d v="2024-07-05T00:00:00"/>
    <s v="есть"/>
    <x v="1"/>
    <s v="1 ось"/>
    <s v="002-2013E30Q13-OK"/>
    <x v="0"/>
  </r>
  <r>
    <x v="148"/>
    <m/>
    <s v="MX4000002R0001484"/>
    <x v="0"/>
    <x v="1"/>
    <s v="R13"/>
    <s v="R13"/>
    <x v="0"/>
    <d v="2024-07-08T00:00:00"/>
    <s v="есть"/>
    <x v="1"/>
    <s v="1 ось"/>
    <s v="002-2013E50Q13-OK"/>
    <x v="0"/>
  </r>
  <r>
    <x v="149"/>
    <m/>
    <s v="MX4000002R0001483"/>
    <x v="0"/>
    <x v="1"/>
    <s v="R13"/>
    <s v="R13"/>
    <x v="0"/>
    <d v="2024-06-26T00:00:00"/>
    <s v="есть"/>
    <x v="1"/>
    <s v="1 ось"/>
    <s v="002-2013E50Q13-OK"/>
    <x v="0"/>
  </r>
  <r>
    <x v="150"/>
    <m/>
    <s v="MX4000002R0001482"/>
    <x v="0"/>
    <x v="2"/>
    <s v="R13"/>
    <s v="R13"/>
    <x v="0"/>
    <d v="2024-06-17T00:00:00"/>
    <s v="есть"/>
    <x v="1"/>
    <s v="1 ось"/>
    <s v="002-2013E30Q13-OK"/>
    <x v="0"/>
  </r>
  <r>
    <x v="151"/>
    <m/>
    <s v="MX4000002R0001481"/>
    <x v="0"/>
    <x v="1"/>
    <s v="R13"/>
    <s v="R13"/>
    <x v="0"/>
    <d v="2024-06-17T00:00:00"/>
    <s v="есть"/>
    <x v="1"/>
    <s v="1 ось"/>
    <s v="002-2013E50Q13-OK"/>
    <x v="0"/>
  </r>
  <r>
    <x v="152"/>
    <m/>
    <s v="MX4000002R0001478"/>
    <x v="0"/>
    <x v="2"/>
    <s v="R13"/>
    <s v="R13"/>
    <x v="0"/>
    <d v="2024-07-11T00:00:00"/>
    <s v="есть"/>
    <x v="1"/>
    <s v="1 ось"/>
    <s v="002-2013E30Q13-OK"/>
    <x v="0"/>
  </r>
  <r>
    <x v="145"/>
    <m/>
    <s v="MX4000002R0001477"/>
    <x v="0"/>
    <x v="2"/>
    <s v="R13"/>
    <s v="R13"/>
    <x v="0"/>
    <d v="2024-07-11T00:00:00"/>
    <s v="есть"/>
    <x v="1"/>
    <s v="1 ось"/>
    <s v="002-2013E30Q13-OK"/>
    <x v="0"/>
  </r>
  <r>
    <x v="153"/>
    <m/>
    <s v="MX4000002R0001476"/>
    <x v="0"/>
    <x v="2"/>
    <s v="R13"/>
    <s v="R13"/>
    <x v="0"/>
    <d v="2024-09-16T00:00:00"/>
    <s v="есть"/>
    <x v="1"/>
    <s v="1 ось"/>
    <s v="002-2013E30Q13-OK"/>
    <x v="0"/>
  </r>
  <r>
    <x v="154"/>
    <m/>
    <s v="MX4000002R0001475"/>
    <x v="0"/>
    <x v="1"/>
    <s v="R13"/>
    <s v="R13"/>
    <x v="0"/>
    <d v="2024-07-09T00:00:00"/>
    <s v="есть"/>
    <x v="1"/>
    <s v="1 ось"/>
    <s v="002-2013E50Q13-OK"/>
    <x v="0"/>
  </r>
  <r>
    <x v="155"/>
    <m/>
    <s v="MX4000002R0001472"/>
    <x v="0"/>
    <x v="1"/>
    <s v="R13"/>
    <s v="R13"/>
    <x v="0"/>
    <d v="2024-07-11T00:00:00"/>
    <s v="есть"/>
    <x v="1"/>
    <s v="1 ось"/>
    <s v="002-2013E50Q13-OK"/>
    <x v="0"/>
  </r>
  <r>
    <x v="156"/>
    <m/>
    <s v="MX4000002R0001471"/>
    <x v="0"/>
    <x v="2"/>
    <s v="R13"/>
    <s v="R13"/>
    <x v="0"/>
    <d v="2024-09-24T00:00:00"/>
    <s v="есть"/>
    <x v="1"/>
    <s v="1 ось"/>
    <s v="002-2013E30Q13-OK"/>
    <x v="0"/>
  </r>
  <r>
    <x v="157"/>
    <m/>
    <s v="MX4000002R0001470"/>
    <x v="0"/>
    <x v="1"/>
    <s v="R13"/>
    <s v="R13"/>
    <x v="0"/>
    <d v="2024-07-11T00:00:00"/>
    <s v="есть"/>
    <x v="1"/>
    <s v="1 ось"/>
    <s v="002-2013E50Q13-OK"/>
    <x v="0"/>
  </r>
  <r>
    <x v="145"/>
    <m/>
    <s v="MX4000002R0001469"/>
    <x v="0"/>
    <x v="1"/>
    <s v="R13"/>
    <s v="R13"/>
    <x v="0"/>
    <d v="2024-07-11T00:00:00"/>
    <s v="есть"/>
    <x v="1"/>
    <s v="1 ось"/>
    <s v="002-2013E50Q13-OK"/>
    <x v="0"/>
  </r>
  <r>
    <x v="158"/>
    <m/>
    <s v="MX4000002R0001468"/>
    <x v="0"/>
    <x v="1"/>
    <s v="R13"/>
    <s v="R13"/>
    <x v="0"/>
    <d v="2024-06-17T00:00:00"/>
    <s v="есть"/>
    <x v="1"/>
    <s v="1 ось"/>
    <s v="002-2013E50Q13-OK"/>
    <x v="0"/>
  </r>
  <r>
    <x v="145"/>
    <m/>
    <s v="MX4000002R0001467"/>
    <x v="0"/>
    <x v="2"/>
    <s v="R13"/>
    <s v="R13"/>
    <x v="1"/>
    <d v="2024-07-11T00:00:00"/>
    <s v="есть"/>
    <x v="1"/>
    <s v="1 ось"/>
    <s v="002-2013E30Q13-OK30"/>
    <x v="0"/>
  </r>
  <r>
    <x v="145"/>
    <m/>
    <s v="MX4000002R0001466"/>
    <x v="0"/>
    <x v="2"/>
    <s v="R13"/>
    <s v="R13"/>
    <x v="0"/>
    <d v="2024-07-11T00:00:00"/>
    <s v="есть"/>
    <x v="1"/>
    <s v="1 ось"/>
    <s v="002-2013E30Q13-OK"/>
    <x v="0"/>
  </r>
  <r>
    <x v="159"/>
    <m/>
    <s v="MX4000002R0001464"/>
    <x v="0"/>
    <x v="2"/>
    <s v="R13"/>
    <s v="R13"/>
    <x v="0"/>
    <d v="2024-06-17T00:00:00"/>
    <s v="есть"/>
    <x v="1"/>
    <s v="1 ось"/>
    <s v="002-2013E30Q13-OK"/>
    <x v="0"/>
  </r>
  <r>
    <x v="160"/>
    <m/>
    <s v="MX4000002R0001463"/>
    <x v="0"/>
    <x v="1"/>
    <s v="R13"/>
    <s v="R13"/>
    <x v="0"/>
    <d v="2024-06-17T00:00:00"/>
    <s v="есть"/>
    <x v="1"/>
    <s v="1 ось"/>
    <s v="002-2013E50Q13-OK"/>
    <x v="0"/>
  </r>
  <r>
    <x v="161"/>
    <m/>
    <s v="MX4000002R0001462"/>
    <x v="0"/>
    <x v="1"/>
    <s v="R13"/>
    <s v="R13"/>
    <x v="0"/>
    <d v="2024-06-17T00:00:00"/>
    <s v="есть"/>
    <x v="1"/>
    <s v="1 ось"/>
    <s v="002-2013E50Q13-OK"/>
    <x v="0"/>
  </r>
  <r>
    <x v="162"/>
    <m/>
    <s v="MX4000002R0001461"/>
    <x v="0"/>
    <x v="2"/>
    <s v="R13"/>
    <s v="R13"/>
    <x v="0"/>
    <d v="2024-08-16T00:00:00"/>
    <s v="есть"/>
    <x v="1"/>
    <s v="1 ось"/>
    <s v="002-2013E30Q13-OK"/>
    <x v="0"/>
  </r>
  <r>
    <x v="163"/>
    <m/>
    <s v="MX4000002R0001460"/>
    <x v="0"/>
    <x v="1"/>
    <s v="R13"/>
    <s v="R13"/>
    <x v="0"/>
    <d v="2024-07-05T00:00:00"/>
    <s v="есть"/>
    <x v="1"/>
    <s v="1 ось"/>
    <s v="002-2013E50Q13-OK"/>
    <x v="0"/>
  </r>
  <r>
    <x v="164"/>
    <m/>
    <s v="MX4000002R0001459"/>
    <x v="0"/>
    <x v="1"/>
    <s v="R13"/>
    <s v="R13"/>
    <x v="0"/>
    <d v="2024-06-17T00:00:00"/>
    <s v="есть"/>
    <x v="2"/>
    <s v="1 ось"/>
    <s v="002-2013E50Q13-OK"/>
    <x v="0"/>
  </r>
  <r>
    <x v="165"/>
    <m/>
    <s v="MX4000002R0001456"/>
    <x v="0"/>
    <x v="2"/>
    <s v="R13"/>
    <s v="R13"/>
    <x v="0"/>
    <d v="2024-07-06T00:00:00"/>
    <s v="есть"/>
    <x v="1"/>
    <s v="1 ось"/>
    <s v="002-2013E30Q13-OK"/>
    <x v="0"/>
  </r>
  <r>
    <x v="166"/>
    <m/>
    <s v="MX4000002R0001455"/>
    <x v="0"/>
    <x v="1"/>
    <s v="R13"/>
    <s v="R13"/>
    <x v="0"/>
    <d v="2024-06-08T00:00:00"/>
    <s v="есть"/>
    <x v="1"/>
    <s v="1 ось"/>
    <s v="002-2013E50Q13-OK"/>
    <x v="0"/>
  </r>
  <r>
    <x v="167"/>
    <m/>
    <s v="MX4000002R0001453"/>
    <x v="0"/>
    <x v="1"/>
    <s v="R13"/>
    <s v="R13"/>
    <x v="0"/>
    <d v="2024-08-10T00:00:00"/>
    <s v="есть"/>
    <x v="2"/>
    <s v="1 ось"/>
    <s v="002-2013E50Q13-OK"/>
    <x v="0"/>
  </r>
  <r>
    <x v="168"/>
    <m/>
    <s v="MX4000002P0001060"/>
    <x v="0"/>
    <x v="2"/>
    <s v="R13"/>
    <s v="R13"/>
    <x v="0"/>
    <d v="2024-11-12T00:00:00"/>
    <s v="есть"/>
    <x v="1"/>
    <s v="1 ось"/>
    <s v="002-2013E30Q13-OK"/>
    <x v="0"/>
  </r>
  <r>
    <x v="169"/>
    <m/>
    <s v="MX4000002N0000964"/>
    <x v="0"/>
    <x v="1"/>
    <s v="R13"/>
    <s v="R13"/>
    <x v="0"/>
    <d v="2024-09-17T00:00:00"/>
    <s v="есть"/>
    <x v="2"/>
    <s v="1 ось"/>
    <s v="002-2013E50Q13-OK"/>
    <x v="0"/>
  </r>
  <r>
    <x v="170"/>
    <m/>
    <s v="MX4000002N0000672"/>
    <x v="0"/>
    <x v="2"/>
    <s v="R13"/>
    <s v="R13"/>
    <x v="2"/>
    <d v="2022-12-31T00:00:00"/>
    <s v="есть"/>
    <x v="0"/>
    <s v="1 ось"/>
    <s v="002-2013E30Q13-OK60"/>
    <x v="0"/>
  </r>
  <r>
    <x v="171"/>
    <m/>
    <s v="MX4000004R0001606"/>
    <x v="1"/>
    <x v="2"/>
    <s v="R13"/>
    <s v="R13"/>
    <x v="0"/>
    <d v="2024-07-02T00:00:00"/>
    <s v="есть"/>
    <x v="2"/>
    <s v="2 оси"/>
    <s v="004-2513E30Q13-OK"/>
    <x v="0"/>
  </r>
  <r>
    <x v="172"/>
    <m/>
    <s v="MX4000002R0001867"/>
    <x v="1"/>
    <x v="1"/>
    <s v="R13"/>
    <s v="R13"/>
    <x v="0"/>
    <d v="2024-11-29T00:00:00"/>
    <s v="есть"/>
    <x v="2"/>
    <s v="1 ось"/>
    <s v="002-2513E50Q13-OK"/>
    <x v="0"/>
  </r>
  <r>
    <x v="173"/>
    <m/>
    <s v="MX4000002R0001843"/>
    <x v="1"/>
    <x v="1"/>
    <s v="R15"/>
    <s v="R15"/>
    <x v="3"/>
    <d v="2024-11-20T00:00:00"/>
    <s v="есть"/>
    <x v="0"/>
    <s v="1 ось"/>
    <s v="002-2513E50Q15-OK90"/>
    <x v="0"/>
  </r>
  <r>
    <x v="174"/>
    <m/>
    <s v="MX4000002R0001835"/>
    <x v="1"/>
    <x v="1"/>
    <s v="R13"/>
    <s v="R13"/>
    <x v="0"/>
    <d v="2024-11-04T00:00:00"/>
    <s v="есть"/>
    <x v="0"/>
    <s v="1 ось"/>
    <s v="002-2513E50Q13-OK"/>
    <x v="0"/>
  </r>
  <r>
    <x v="175"/>
    <m/>
    <s v="MX4000002R0001805"/>
    <x v="1"/>
    <x v="2"/>
    <s v="R13"/>
    <s v="R13"/>
    <x v="0"/>
    <d v="2024-10-03T00:00:00"/>
    <s v="есть"/>
    <x v="0"/>
    <s v="1 ось"/>
    <s v="002-2513E30Q13-OK"/>
    <x v="0"/>
  </r>
  <r>
    <x v="176"/>
    <m/>
    <s v="MX4000002R0001766"/>
    <x v="1"/>
    <x v="2"/>
    <s v="R13"/>
    <s v="R13"/>
    <x v="4"/>
    <d v="2024-09-06T00:00:00"/>
    <s v="есть"/>
    <x v="2"/>
    <s v="1 ось"/>
    <s v="002-2513E30Q13-OK120"/>
    <x v="0"/>
  </r>
  <r>
    <x v="177"/>
    <m/>
    <s v="MX4000002R0001711"/>
    <x v="1"/>
    <x v="1"/>
    <s v="R13"/>
    <s v="R13"/>
    <x v="3"/>
    <d v="2024-07-09T00:00:00"/>
    <s v="есть"/>
    <x v="0"/>
    <s v="1 ось"/>
    <s v="002-2513E50Q13-OK90"/>
    <x v="0"/>
  </r>
  <r>
    <x v="178"/>
    <m/>
    <s v="MX4000002R0001710"/>
    <x v="1"/>
    <x v="1"/>
    <s v="R13"/>
    <s v="R13"/>
    <x v="0"/>
    <d v="2024-06-10T00:00:00"/>
    <s v="есть"/>
    <x v="0"/>
    <s v="1 ось"/>
    <s v="002-2513E50Q13-OK"/>
    <x v="0"/>
  </r>
  <r>
    <x v="179"/>
    <m/>
    <s v="MX4000002R0001708"/>
    <x v="1"/>
    <x v="2"/>
    <s v="R13"/>
    <s v="R13"/>
    <x v="0"/>
    <d v="2024-07-11T00:00:00"/>
    <s v="есть"/>
    <x v="1"/>
    <s v="1 ось"/>
    <s v="002-2513E30Q13-OK"/>
    <x v="0"/>
  </r>
  <r>
    <x v="179"/>
    <m/>
    <s v="MX4000002R0001707"/>
    <x v="1"/>
    <x v="2"/>
    <s v="R13"/>
    <s v="R13"/>
    <x v="0"/>
    <d v="2024-07-11T00:00:00"/>
    <s v="есть"/>
    <x v="1"/>
    <s v="1 ось"/>
    <s v="002-2513E30Q13-OK"/>
    <x v="0"/>
  </r>
  <r>
    <x v="179"/>
    <m/>
    <s v="MX4000002R0001706"/>
    <x v="1"/>
    <x v="1"/>
    <s v="R13"/>
    <s v="R13"/>
    <x v="0"/>
    <d v="2024-07-11T00:00:00"/>
    <s v="есть"/>
    <x v="1"/>
    <s v="1 ось"/>
    <s v="002-2513E50Q13-OK"/>
    <x v="0"/>
  </r>
  <r>
    <x v="179"/>
    <m/>
    <s v="MX4000002R0001705"/>
    <x v="1"/>
    <x v="2"/>
    <s v="R13"/>
    <s v="R13"/>
    <x v="0"/>
    <d v="2024-07-11T00:00:00"/>
    <s v="есть"/>
    <x v="1"/>
    <s v="1 ось"/>
    <s v="002-2513E30Q13-OK"/>
    <x v="0"/>
  </r>
  <r>
    <x v="179"/>
    <m/>
    <s v="MX4000002R0001704"/>
    <x v="1"/>
    <x v="1"/>
    <s v="R13"/>
    <s v="R13"/>
    <x v="0"/>
    <d v="2024-07-11T00:00:00"/>
    <s v="есть"/>
    <x v="1"/>
    <s v="1 ось"/>
    <s v="002-2513E50Q13-OK"/>
    <x v="0"/>
  </r>
  <r>
    <x v="180"/>
    <m/>
    <s v="MX4000002R0001701"/>
    <x v="1"/>
    <x v="2"/>
    <s v="R13"/>
    <s v="R13"/>
    <x v="0"/>
    <d v="2024-06-10T00:00:00"/>
    <s v="есть"/>
    <x v="0"/>
    <s v="1 ось"/>
    <s v="002-2513E30Q13-OK"/>
    <x v="0"/>
  </r>
  <r>
    <x v="181"/>
    <m/>
    <s v="MX4000002R0001647"/>
    <x v="1"/>
    <x v="1"/>
    <s v="R13"/>
    <s v="R13"/>
    <x v="0"/>
    <d v="2024-06-21T00:00:00"/>
    <s v="есть"/>
    <x v="2"/>
    <s v="1 ось"/>
    <s v="002-2513E50Q13-OK"/>
    <x v="0"/>
  </r>
  <r>
    <x v="182"/>
    <m/>
    <s v="MX4000002R0001646"/>
    <x v="1"/>
    <x v="2"/>
    <s v="R13"/>
    <s v="R13"/>
    <x v="0"/>
    <d v="2024-06-10T00:00:00"/>
    <s v="есть"/>
    <x v="2"/>
    <s v="1 ось"/>
    <s v="002-2513E30Q13-OK"/>
    <x v="0"/>
  </r>
  <r>
    <x v="183"/>
    <m/>
    <s v="MX4000002R0001643"/>
    <x v="1"/>
    <x v="1"/>
    <s v="R13"/>
    <s v="R13"/>
    <x v="0"/>
    <d v="2024-06-10T00:00:00"/>
    <s v="есть"/>
    <x v="0"/>
    <s v="1 ось"/>
    <s v="002-2513E50Q13-OK"/>
    <x v="0"/>
  </r>
  <r>
    <x v="184"/>
    <m/>
    <s v="MX4000002R0001642"/>
    <x v="1"/>
    <x v="1"/>
    <s v="R13"/>
    <s v="R13"/>
    <x v="2"/>
    <d v="2024-04-02T00:00:00"/>
    <s v="есть"/>
    <x v="2"/>
    <s v="1 ось"/>
    <s v="002-2513E50Q13-OK60"/>
    <x v="0"/>
  </r>
  <r>
    <x v="185"/>
    <m/>
    <s v="MX4000002R0001639"/>
    <x v="1"/>
    <x v="2"/>
    <s v="R13"/>
    <s v="R13"/>
    <x v="0"/>
    <d v="2024-07-16T00:00:00"/>
    <s v="есть"/>
    <x v="2"/>
    <s v="1 ось"/>
    <s v="002-2513E30Q13-OK"/>
    <x v="0"/>
  </r>
  <r>
    <x v="186"/>
    <m/>
    <s v="MX4000002R0001638"/>
    <x v="1"/>
    <x v="1"/>
    <s v="R13"/>
    <s v="R13"/>
    <x v="0"/>
    <d v="2024-06-26T00:00:00"/>
    <s v="есть"/>
    <x v="1"/>
    <s v="1 ось"/>
    <s v="002-2513E50Q13-OK"/>
    <x v="0"/>
  </r>
  <r>
    <x v="187"/>
    <m/>
    <s v="MX4000002R0001636"/>
    <x v="1"/>
    <x v="1"/>
    <s v="R13"/>
    <s v="R13"/>
    <x v="0"/>
    <d v="2024-10-31T00:00:00"/>
    <s v="есть"/>
    <x v="1"/>
    <s v="1 ось"/>
    <s v="002-2513E50Q13-OK"/>
    <x v="0"/>
  </r>
  <r>
    <x v="188"/>
    <m/>
    <s v="MX4000002R0001635"/>
    <x v="1"/>
    <x v="1"/>
    <s v="R13"/>
    <s v="R13"/>
    <x v="0"/>
    <d v="2024-07-11T00:00:00"/>
    <s v="есть"/>
    <x v="1"/>
    <s v="1 ось"/>
    <s v="002-2513E50Q13-OK"/>
    <x v="0"/>
  </r>
  <r>
    <x v="189"/>
    <m/>
    <s v="MX4000002R0001634"/>
    <x v="1"/>
    <x v="1"/>
    <s v="R13"/>
    <s v="R13"/>
    <x v="0"/>
    <d v="2024-06-25T00:00:00"/>
    <s v="есть"/>
    <x v="1"/>
    <s v="1 ось"/>
    <s v="002-2513E50Q13-OK"/>
    <x v="0"/>
  </r>
  <r>
    <x v="190"/>
    <m/>
    <s v="MX4000002R0001633"/>
    <x v="1"/>
    <x v="1"/>
    <s v="R13"/>
    <s v="R13"/>
    <x v="0"/>
    <d v="2024-07-01T00:00:00"/>
    <s v="есть"/>
    <x v="0"/>
    <s v="1 ось"/>
    <s v="002-2513E50Q13-OK"/>
    <x v="0"/>
  </r>
  <r>
    <x v="191"/>
    <m/>
    <s v="MX4000002R0001630"/>
    <x v="1"/>
    <x v="1"/>
    <s v="R13"/>
    <s v="R13"/>
    <x v="0"/>
    <d v="2024-07-11T00:00:00"/>
    <s v="есть"/>
    <x v="1"/>
    <s v="1 ось"/>
    <s v="002-2513E50Q13-OK"/>
    <x v="0"/>
  </r>
  <r>
    <x v="192"/>
    <m/>
    <s v="MX4000002R0001628"/>
    <x v="1"/>
    <x v="2"/>
    <s v="R13"/>
    <s v="R13"/>
    <x v="0"/>
    <d v="2024-06-17T00:00:00"/>
    <s v="есть"/>
    <x v="1"/>
    <s v="1 ось"/>
    <s v="002-2513E30Q13-OK"/>
    <x v="0"/>
  </r>
  <r>
    <x v="193"/>
    <m/>
    <s v="MX4000002R0001627"/>
    <x v="1"/>
    <x v="2"/>
    <s v="R13"/>
    <s v="R13"/>
    <x v="0"/>
    <d v="2024-07-02T00:00:00"/>
    <s v="есть"/>
    <x v="1"/>
    <s v="1 ось"/>
    <s v="002-2513E30Q13-OK"/>
    <x v="0"/>
  </r>
  <r>
    <x v="179"/>
    <m/>
    <s v="MX4000002R0001625"/>
    <x v="1"/>
    <x v="2"/>
    <s v="R13"/>
    <s v="R13"/>
    <x v="0"/>
    <d v="2024-07-11T00:00:00"/>
    <s v="есть"/>
    <x v="1"/>
    <s v="1 ось"/>
    <s v="002-2513E30Q13-OK"/>
    <x v="0"/>
  </r>
  <r>
    <x v="179"/>
    <m/>
    <s v="MX4000002R0001624"/>
    <x v="1"/>
    <x v="2"/>
    <s v="R13"/>
    <s v="R13"/>
    <x v="0"/>
    <d v="2024-07-11T00:00:00"/>
    <s v="есть"/>
    <x v="1"/>
    <s v="1 ось"/>
    <s v="002-2513E30Q13-OK"/>
    <x v="0"/>
  </r>
  <r>
    <x v="179"/>
    <m/>
    <s v="MX4000002R0001623"/>
    <x v="1"/>
    <x v="1"/>
    <s v="R13"/>
    <s v="R13"/>
    <x v="0"/>
    <d v="2024-07-11T00:00:00"/>
    <s v="есть"/>
    <x v="1"/>
    <s v="1 ось"/>
    <s v="002-2513E50Q13-OK"/>
    <x v="0"/>
  </r>
  <r>
    <x v="179"/>
    <m/>
    <s v="MX4000002R0001622"/>
    <x v="1"/>
    <x v="1"/>
    <s v="R13"/>
    <s v="R13"/>
    <x v="0"/>
    <d v="2024-07-11T00:00:00"/>
    <s v="есть"/>
    <x v="1"/>
    <s v="1 ось"/>
    <s v="002-2513E50Q13-OK"/>
    <x v="0"/>
  </r>
  <r>
    <x v="179"/>
    <m/>
    <s v="MX4000002R0001621"/>
    <x v="1"/>
    <x v="2"/>
    <s v="R13"/>
    <s v="R13"/>
    <x v="2"/>
    <d v="2024-07-11T00:00:00"/>
    <s v="есть"/>
    <x v="1"/>
    <s v="1 ось"/>
    <s v="002-2513E30Q13-OK60"/>
    <x v="0"/>
  </r>
  <r>
    <x v="194"/>
    <m/>
    <s v="MX4000002R0001619"/>
    <x v="1"/>
    <x v="1"/>
    <s v="R13"/>
    <s v="R13"/>
    <x v="0"/>
    <d v="2024-10-28T00:00:00"/>
    <s v="есть"/>
    <x v="1"/>
    <s v="1 ось"/>
    <s v="002-2513E50Q13-OK"/>
    <x v="0"/>
  </r>
  <r>
    <x v="195"/>
    <m/>
    <s v="MX4000002R0001616"/>
    <x v="1"/>
    <x v="1"/>
    <s v="R13"/>
    <s v="R13"/>
    <x v="0"/>
    <d v="2024-11-30T00:00:00"/>
    <s v="есть"/>
    <x v="1"/>
    <s v="1 ось"/>
    <s v="002-2513E50Q13-OK"/>
    <x v="0"/>
  </r>
  <r>
    <x v="196"/>
    <m/>
    <s v="MX4000002R0001612"/>
    <x v="1"/>
    <x v="2"/>
    <s v="R13"/>
    <s v="R13"/>
    <x v="0"/>
    <d v="2024-12-12T00:00:00"/>
    <s v="нет"/>
    <x v="1"/>
    <s v="1 ось"/>
    <s v="002-2513E30Q13"/>
    <x v="0"/>
  </r>
  <r>
    <x v="197"/>
    <m/>
    <s v="MX4000002R0001611"/>
    <x v="1"/>
    <x v="1"/>
    <s v="R13"/>
    <s v="R13"/>
    <x v="0"/>
    <d v="2024-07-16T00:00:00"/>
    <s v="есть"/>
    <x v="2"/>
    <s v="1 ось"/>
    <s v="002-2513E50Q13-OK"/>
    <x v="0"/>
  </r>
  <r>
    <x v="198"/>
    <m/>
    <s v="MX4000002R0001609"/>
    <x v="1"/>
    <x v="2"/>
    <s v="R13"/>
    <s v="R13"/>
    <x v="0"/>
    <d v="2024-10-28T00:00:00"/>
    <s v="нет"/>
    <x v="0"/>
    <s v="1 ось"/>
    <s v="002-2513E30Q13"/>
    <x v="0"/>
  </r>
  <r>
    <x v="199"/>
    <m/>
    <s v="MX4000002R0001607"/>
    <x v="1"/>
    <x v="1"/>
    <s v="R13"/>
    <s v="R13"/>
    <x v="0"/>
    <d v="2024-11-02T00:00:00"/>
    <s v="есть"/>
    <x v="1"/>
    <s v="1 ось"/>
    <s v="002-2513E50Q13-OK"/>
    <x v="0"/>
  </r>
  <r>
    <x v="200"/>
    <m/>
    <s v="MX4000002R0001605"/>
    <x v="1"/>
    <x v="1"/>
    <s v="R13"/>
    <s v="R13"/>
    <x v="0"/>
    <d v="2024-09-17T00:00:00"/>
    <s v="есть"/>
    <x v="2"/>
    <s v="1 ось"/>
    <s v="002-2513E50Q13-OK"/>
    <x v="0"/>
  </r>
  <r>
    <x v="201"/>
    <m/>
    <s v="MX4000002R0001604"/>
    <x v="1"/>
    <x v="1"/>
    <s v="R13"/>
    <s v="R13"/>
    <x v="0"/>
    <d v="2024-07-11T00:00:00"/>
    <s v="есть"/>
    <x v="1"/>
    <s v="1 ось"/>
    <s v="002-2513E50Q13-OK"/>
    <x v="0"/>
  </r>
  <r>
    <x v="202"/>
    <m/>
    <s v="MX4000002R0001603"/>
    <x v="1"/>
    <x v="1"/>
    <s v="R15"/>
    <s v="R15"/>
    <x v="0"/>
    <d v="2024-09-17T00:00:00"/>
    <s v="есть"/>
    <x v="1"/>
    <s v="1 ось"/>
    <s v="002-2513E50Q15-OK"/>
    <x v="0"/>
  </r>
  <r>
    <x v="203"/>
    <m/>
    <s v="MX4000002R0001602"/>
    <x v="1"/>
    <x v="1"/>
    <s v="R13"/>
    <s v="R13"/>
    <x v="0"/>
    <d v="2024-06-21T00:00:00"/>
    <s v="есть"/>
    <x v="2"/>
    <s v="1 ось"/>
    <s v="002-2513E50Q13-OK"/>
    <x v="0"/>
  </r>
  <r>
    <x v="204"/>
    <m/>
    <s v="MX4000002R0001522"/>
    <x v="1"/>
    <x v="2"/>
    <s v="R13"/>
    <s v="R13"/>
    <x v="0"/>
    <d v="2024-06-03T00:00:00"/>
    <s v="есть"/>
    <x v="1"/>
    <s v="1 ось"/>
    <s v="002-2513E30Q13-OK"/>
    <x v="0"/>
  </r>
  <r>
    <x v="205"/>
    <m/>
    <s v="MX4000002R0001521"/>
    <x v="1"/>
    <x v="2"/>
    <s v="R13"/>
    <s v="R13"/>
    <x v="0"/>
    <d v="2024-06-17T00:00:00"/>
    <s v="есть"/>
    <x v="1"/>
    <s v="1 ось"/>
    <s v="002-2513E30Q13-OK"/>
    <x v="0"/>
  </r>
  <r>
    <x v="206"/>
    <m/>
    <s v="MX4000002R0001519"/>
    <x v="1"/>
    <x v="1"/>
    <s v="R13"/>
    <s v="R13"/>
    <x v="0"/>
    <d v="2024-06-17T00:00:00"/>
    <s v="есть"/>
    <x v="1"/>
    <s v="1 ось"/>
    <s v="002-2513E50Q13-OK"/>
    <x v="0"/>
  </r>
  <r>
    <x v="207"/>
    <m/>
    <s v="MX4000002R0001518"/>
    <x v="1"/>
    <x v="1"/>
    <s v="R13"/>
    <s v="R13"/>
    <x v="0"/>
    <d v="2024-06-07T00:00:00"/>
    <s v="нет"/>
    <x v="1"/>
    <s v="1 ось"/>
    <s v="002-2513E50Q13"/>
    <x v="0"/>
  </r>
  <r>
    <x v="208"/>
    <m/>
    <s v="MX4000002R0001517"/>
    <x v="1"/>
    <x v="1"/>
    <s v="R13"/>
    <s v="R13"/>
    <x v="0"/>
    <d v="2024-06-17T00:00:00"/>
    <s v="есть"/>
    <x v="1"/>
    <s v="1 ось"/>
    <s v="002-2513E50Q13-OK"/>
    <x v="0"/>
  </r>
  <r>
    <x v="209"/>
    <m/>
    <s v="MX4000002R0001516"/>
    <x v="1"/>
    <x v="1"/>
    <s v="R13"/>
    <s v="R13"/>
    <x v="0"/>
    <d v="2024-06-17T00:00:00"/>
    <s v="есть"/>
    <x v="1"/>
    <s v="1 ось"/>
    <s v="002-2513E50Q13-OK"/>
    <x v="0"/>
  </r>
  <r>
    <x v="210"/>
    <m/>
    <s v="MX4000002R0001511"/>
    <x v="1"/>
    <x v="2"/>
    <s v="R13"/>
    <s v="R13"/>
    <x v="0"/>
    <d v="2024-06-06T00:00:00"/>
    <s v="есть"/>
    <x v="1"/>
    <s v="1 ось"/>
    <s v="002-2513E30Q13-OK"/>
    <x v="0"/>
  </r>
  <r>
    <x v="211"/>
    <m/>
    <s v="MX4000002R0001509"/>
    <x v="1"/>
    <x v="2"/>
    <s v="R13"/>
    <s v="R13"/>
    <x v="0"/>
    <d v="2024-07-02T00:00:00"/>
    <s v="есть"/>
    <x v="1"/>
    <s v="1 ось"/>
    <s v="002-2513E30Q13-OK"/>
    <x v="0"/>
  </r>
  <r>
    <x v="212"/>
    <m/>
    <s v="MX4000002R0001508"/>
    <x v="1"/>
    <x v="2"/>
    <s v="R13"/>
    <s v="R13"/>
    <x v="0"/>
    <d v="2024-06-17T00:00:00"/>
    <s v="есть"/>
    <x v="1"/>
    <s v="1 ось"/>
    <s v="002-2513E30Q13-OK"/>
    <x v="0"/>
  </r>
  <r>
    <x v="213"/>
    <m/>
    <s v="MX4000002R0001507"/>
    <x v="1"/>
    <x v="2"/>
    <s v="R13"/>
    <s v="R13"/>
    <x v="0"/>
    <d v="2024-06-17T00:00:00"/>
    <s v="есть"/>
    <x v="1"/>
    <s v="1 ось"/>
    <s v="002-2513E30Q13-OK"/>
    <x v="0"/>
  </r>
  <r>
    <x v="214"/>
    <m/>
    <s v="MX4000002R0001506"/>
    <x v="1"/>
    <x v="2"/>
    <s v="R13"/>
    <s v="R13"/>
    <x v="0"/>
    <d v="2024-06-17T00:00:00"/>
    <s v="есть"/>
    <x v="1"/>
    <s v="1 ось"/>
    <s v="002-2513E30Q13-OK"/>
    <x v="0"/>
  </r>
  <r>
    <x v="215"/>
    <m/>
    <s v="MX4000002R0001503"/>
    <x v="1"/>
    <x v="2"/>
    <s v="R13"/>
    <s v="R13"/>
    <x v="0"/>
    <d v="2024-06-17T00:00:00"/>
    <s v="есть"/>
    <x v="1"/>
    <s v="1 ось"/>
    <s v="002-2513E30Q13-OK"/>
    <x v="0"/>
  </r>
  <r>
    <x v="216"/>
    <m/>
    <s v="MX4000002R0001502"/>
    <x v="1"/>
    <x v="1"/>
    <s v="R13"/>
    <s v="R13"/>
    <x v="0"/>
    <d v="2024-06-06T00:00:00"/>
    <s v="есть"/>
    <x v="1"/>
    <s v="1 ось"/>
    <s v="002-2513E50Q13-OK"/>
    <x v="0"/>
  </r>
  <r>
    <x v="217"/>
    <m/>
    <s v="MX4000002R0001447"/>
    <x v="1"/>
    <x v="1"/>
    <s v="R13"/>
    <s v="R13"/>
    <x v="0"/>
    <d v="2024-08-28T00:00:00"/>
    <s v="есть"/>
    <x v="0"/>
    <s v="1 ось"/>
    <s v="002-2513E50Q13-OK"/>
    <x v="0"/>
  </r>
  <r>
    <x v="218"/>
    <m/>
    <s v="MX4000002R0001425"/>
    <x v="1"/>
    <x v="2"/>
    <s v="R13"/>
    <s v="R13"/>
    <x v="0"/>
    <d v="2024-07-11T00:00:00"/>
    <s v="есть"/>
    <x v="1"/>
    <s v="1 ось"/>
    <s v="002-2513E30Q13-OK"/>
    <x v="1"/>
  </r>
  <r>
    <x v="219"/>
    <m/>
    <s v="MX4000002P0001445"/>
    <x v="1"/>
    <x v="2"/>
    <s v="R13"/>
    <s v="R13"/>
    <x v="0"/>
    <d v="2024-02-02T00:00:00"/>
    <s v="есть"/>
    <x v="2"/>
    <s v="1 ось"/>
    <s v="002-2513E30Q13-OK"/>
    <x v="0"/>
  </r>
  <r>
    <x v="220"/>
    <m/>
    <s v="MX4000002P0001444"/>
    <x v="1"/>
    <x v="2"/>
    <s v="R13"/>
    <s v="R13"/>
    <x v="0"/>
    <d v="2024-01-15T00:00:00"/>
    <s v="есть"/>
    <x v="2"/>
    <s v="1 ось"/>
    <s v="002-2513E30Q13-OK"/>
    <x v="0"/>
  </r>
  <r>
    <x v="221"/>
    <m/>
    <s v="MX4000002P0001425"/>
    <x v="1"/>
    <x v="2"/>
    <s v="R13"/>
    <s v="R13"/>
    <x v="0"/>
    <d v="2023-12-16T00:00:00"/>
    <s v="есть"/>
    <x v="1"/>
    <s v="1 ось"/>
    <s v="002-2513E30Q13-OK"/>
    <x v="0"/>
  </r>
  <r>
    <x v="222"/>
    <m/>
    <s v="MX4000004R0001819"/>
    <x v="2"/>
    <x v="2"/>
    <s v="R13"/>
    <s v="R13"/>
    <x v="0"/>
    <d v="2024-12-11T00:00:00"/>
    <s v="есть"/>
    <x v="2"/>
    <s v="2 оси"/>
    <s v="004-2515E30Q13-OK"/>
    <x v="0"/>
  </r>
  <r>
    <x v="223"/>
    <m/>
    <s v="MX4000004R0001807"/>
    <x v="2"/>
    <x v="2"/>
    <s v="R13"/>
    <s v="R13"/>
    <x v="3"/>
    <d v="2024-10-14T00:00:00"/>
    <s v="есть"/>
    <x v="2"/>
    <s v="2 оси"/>
    <s v="004-2515E30Q13-OK"/>
    <x v="0"/>
  </r>
  <r>
    <x v="224"/>
    <m/>
    <s v="MX4000004R0001799"/>
    <x v="2"/>
    <x v="1"/>
    <s v="R13"/>
    <s v="R13"/>
    <x v="0"/>
    <d v="2024-09-30T00:00:00"/>
    <s v="есть"/>
    <x v="0"/>
    <s v="2 оси"/>
    <s v="002-2515E50Q13-OK"/>
    <x v="0"/>
  </r>
  <r>
    <x v="225"/>
    <m/>
    <s v="MX4000004R0001792"/>
    <x v="2"/>
    <x v="1"/>
    <s v="R13"/>
    <s v="R13"/>
    <x v="0"/>
    <d v="2024-11-11T00:00:00"/>
    <s v="есть"/>
    <x v="1"/>
    <s v="2 оси"/>
    <s v="004-2515E30Q13-OK"/>
    <x v="0"/>
  </r>
  <r>
    <x v="226"/>
    <m/>
    <s v="MX4000004R0001769"/>
    <x v="2"/>
    <x v="2"/>
    <s v="R13"/>
    <s v="R13"/>
    <x v="0"/>
    <d v="2024-09-17T00:00:00"/>
    <s v="есть"/>
    <x v="2"/>
    <s v="2 оси"/>
    <s v="004-2515E30Q13-OK"/>
    <x v="0"/>
  </r>
  <r>
    <x v="227"/>
    <m/>
    <s v="MX4000004R0001756"/>
    <x v="2"/>
    <x v="1"/>
    <s v="R13"/>
    <s v="R13"/>
    <x v="3"/>
    <d v="2024-09-04T00:00:00"/>
    <s v="есть"/>
    <x v="1"/>
    <s v="2 оси"/>
    <s v="004-2515E50Q13-OK90"/>
    <x v="0"/>
  </r>
  <r>
    <x v="228"/>
    <m/>
    <s v="MX4000004R0001755"/>
    <x v="2"/>
    <x v="1"/>
    <s v="R13"/>
    <s v="R13"/>
    <x v="0"/>
    <d v="2024-09-09T00:00:00"/>
    <s v="есть"/>
    <x v="1"/>
    <s v="2 оси"/>
    <s v="004-2515E50Q13-OK"/>
    <x v="0"/>
  </r>
  <r>
    <x v="229"/>
    <m/>
    <s v="MX4000004N0000934"/>
    <x v="2"/>
    <x v="2"/>
    <s v="R13"/>
    <s v="R13"/>
    <x v="0"/>
    <d v="2022-10-07T00:00:00"/>
    <s v="есть"/>
    <x v="2"/>
    <s v="2 оси"/>
    <s v="004-2515E30Q13-OK"/>
    <x v="0"/>
  </r>
  <r>
    <x v="230"/>
    <m/>
    <s v="MX4000002R0001808"/>
    <x v="2"/>
    <x v="1"/>
    <s v="R13"/>
    <s v="R13"/>
    <x v="0"/>
    <d v="2024-10-14T00:00:00"/>
    <s v="есть"/>
    <x v="2"/>
    <s v="1 ось"/>
    <s v="002-2515E50Q13-OK"/>
    <x v="0"/>
  </r>
  <r>
    <x v="231"/>
    <m/>
    <s v="MX4000002R0001796"/>
    <x v="2"/>
    <x v="2"/>
    <s v="R13"/>
    <s v="R13"/>
    <x v="0"/>
    <d v="2024-10-18T00:00:00"/>
    <s v="есть"/>
    <x v="1"/>
    <s v="1 ось"/>
    <s v="002-2515E30Q13-OK"/>
    <x v="0"/>
  </r>
  <r>
    <x v="232"/>
    <m/>
    <s v="MX4000002R0001754"/>
    <x v="2"/>
    <x v="1"/>
    <s v="R13"/>
    <s v="R13"/>
    <x v="0"/>
    <d v="2024-10-18T00:00:00"/>
    <s v="есть"/>
    <x v="1"/>
    <s v="1 ось"/>
    <s v="002-2515E50Q13-OK"/>
    <x v="0"/>
  </r>
  <r>
    <x v="233"/>
    <m/>
    <s v="MX4000002R0001753"/>
    <x v="2"/>
    <x v="0"/>
    <s v="R13"/>
    <s v="R13"/>
    <x v="0"/>
    <d v="2024-08-24T00:00:00"/>
    <s v="есть"/>
    <x v="1"/>
    <s v="1 ось"/>
    <s v="002-2515Q13-OK"/>
    <x v="0"/>
  </r>
  <r>
    <x v="234"/>
    <m/>
    <s v="MX4000002R0001724"/>
    <x v="2"/>
    <x v="2"/>
    <s v="R13"/>
    <s v="R13"/>
    <x v="0"/>
    <d v="2024-09-06T00:00:00"/>
    <s v="есть"/>
    <x v="2"/>
    <s v="1 ось"/>
    <s v="002-2515E30Q13-OK"/>
    <x v="0"/>
  </r>
  <r>
    <x v="235"/>
    <m/>
    <s v="MX4000002R0001719"/>
    <x v="2"/>
    <x v="1"/>
    <s v="R13"/>
    <s v="R13"/>
    <x v="2"/>
    <d v="2024-06-09T00:00:00"/>
    <s v="есть"/>
    <x v="0"/>
    <s v="1 ось"/>
    <s v="002-2515E50Q13-OK60"/>
    <x v="0"/>
  </r>
  <r>
    <x v="236"/>
    <m/>
    <s v="MX4000002P0001412"/>
    <x v="2"/>
    <x v="2"/>
    <s v="R13"/>
    <s v="R13"/>
    <x v="0"/>
    <d v="2023-12-31T00:00:00"/>
    <s v="есть"/>
    <x v="2"/>
    <s v="1 ось"/>
    <s v="002-2515E30Q13-OK"/>
    <x v="0"/>
  </r>
  <r>
    <x v="237"/>
    <m/>
    <s v="MX4000005R0001814"/>
    <x v="3"/>
    <x v="0"/>
    <s v="R13"/>
    <s v="R13"/>
    <x v="0"/>
    <d v="2024-10-11T00:00:00"/>
    <s v="есть"/>
    <x v="0"/>
    <s v="2 оси"/>
    <s v="004-3015E30Q13-OK"/>
    <x v="0"/>
  </r>
  <r>
    <x v="238"/>
    <m/>
    <s v="MX4000004R0001809"/>
    <x v="3"/>
    <x v="1"/>
    <s v="R13"/>
    <s v="R13"/>
    <x v="0"/>
    <d v="2024-10-14T00:00:00"/>
    <s v="есть"/>
    <x v="2"/>
    <s v="2 оси"/>
    <s v="004-3015E30Q13-OK"/>
    <x v="0"/>
  </r>
  <r>
    <x v="239"/>
    <m/>
    <s v="MX4000004R0001793"/>
    <x v="3"/>
    <x v="2"/>
    <s v="R13"/>
    <s v="R13"/>
    <x v="0"/>
    <d v="2024-10-30T00:00:00"/>
    <s v="есть"/>
    <x v="1"/>
    <s v="2 оси"/>
    <s v="002-3015E30Q13-OK"/>
    <x v="0"/>
  </r>
  <r>
    <x v="240"/>
    <m/>
    <s v="MX4000004R0001771"/>
    <x v="3"/>
    <x v="2"/>
    <s v="R13"/>
    <s v="R13"/>
    <x v="5"/>
    <d v="2024-09-16T00:00:00"/>
    <s v="есть"/>
    <x v="0"/>
    <s v="2 оси"/>
    <s v="004-3015E30Q13-OK150"/>
    <x v="0"/>
  </r>
  <r>
    <x v="241"/>
    <m/>
    <s v="MX4000004N0000876"/>
    <x v="3"/>
    <x v="2"/>
    <s v="R13"/>
    <s v="R13"/>
    <x v="3"/>
    <d v="2023-03-03T00:00:00"/>
    <s v="есть"/>
    <x v="2"/>
    <s v="2 оси"/>
    <s v="004-3015E30Q13-OK90"/>
    <x v="0"/>
  </r>
  <r>
    <x v="242"/>
    <m/>
    <s v="MX4000002R0001810"/>
    <x v="3"/>
    <x v="2"/>
    <s v="R13"/>
    <s v="R13"/>
    <x v="0"/>
    <d v="2024-10-14T00:00:00"/>
    <s v="есть"/>
    <x v="2"/>
    <s v="1 ось"/>
    <s v="002-3015E30Q13-OK"/>
    <x v="1"/>
  </r>
  <r>
    <x v="243"/>
    <m/>
    <s v="MX4000004R0001863"/>
    <x v="4"/>
    <x v="2"/>
    <s v="R15"/>
    <s v="R15"/>
    <x v="5"/>
    <d v="2024-11-26T00:00:00"/>
    <s v="есть"/>
    <x v="1"/>
    <s v="2 оси"/>
    <s v="004-3515E30Q15-OK150"/>
    <x v="0"/>
  </r>
  <r>
    <x v="244"/>
    <m/>
    <s v="MX4000004R0001850"/>
    <x v="4"/>
    <x v="2"/>
    <s v="R13"/>
    <s v="R13"/>
    <x v="5"/>
    <d v="2024-11-22T00:00:00"/>
    <s v="нет"/>
    <x v="0"/>
    <s v="2 оси"/>
    <s v="004-3515E30Q13-OK150"/>
    <x v="0"/>
  </r>
  <r>
    <x v="245"/>
    <m/>
    <s v="MX4000004R0001721"/>
    <x v="4"/>
    <x v="1"/>
    <s v="R13"/>
    <s v="R13"/>
    <x v="5"/>
    <d v="2024-06-26T00:00:00"/>
    <s v="есть"/>
    <x v="0"/>
    <s v="2 оси"/>
    <s v="004-3515E50Q13-OK150"/>
    <x v="0"/>
  </r>
  <r>
    <x v="246"/>
    <m/>
    <s v="MX4000002R0001845"/>
    <x v="4"/>
    <x v="2"/>
    <s v="R13"/>
    <s v="R13"/>
    <x v="5"/>
    <d v="2024-11-22T00:00:00"/>
    <s v="есть"/>
    <x v="2"/>
    <s v="1 ось"/>
    <s v="002-3515E30Q13-OK150"/>
    <x v="0"/>
  </r>
  <r>
    <x v="247"/>
    <m/>
    <s v="MX4000002R0001844"/>
    <x v="4"/>
    <x v="2"/>
    <s v="R13"/>
    <s v="R13"/>
    <x v="0"/>
    <d v="2024-11-29T00:00:00"/>
    <s v="есть"/>
    <x v="1"/>
    <s v="1 ось"/>
    <s v="002-3515E30Q13-OK"/>
    <x v="0"/>
  </r>
  <r>
    <x v="248"/>
    <m/>
    <s v="MX4000002R0001720"/>
    <x v="4"/>
    <x v="2"/>
    <s v="R13"/>
    <s v="R13"/>
    <x v="0"/>
    <d v="2024-06-27T00:00:00"/>
    <s v="есть"/>
    <x v="1"/>
    <s v="1 ось"/>
    <s v="002-3515E30Q13-OK"/>
    <x v="0"/>
  </r>
  <r>
    <x v="249"/>
    <m/>
    <s v="MX4000005R0001780"/>
    <x v="5"/>
    <x v="0"/>
    <s v="R13"/>
    <s v="R13"/>
    <x v="0"/>
    <d v="2024-09-25T00:00:00"/>
    <s v="есть"/>
    <x v="0"/>
    <s v="2 оси"/>
    <s v="002-4015Q13-OK"/>
    <x v="0"/>
  </r>
  <r>
    <x v="250"/>
    <m/>
    <s v="MX4000002R0001876"/>
    <x v="5"/>
    <x v="2"/>
    <s v="R13"/>
    <s v="R13"/>
    <x v="0"/>
    <d v="2024-11-29T00:00:00"/>
    <s v="есть"/>
    <x v="2"/>
    <s v="1 ось"/>
    <s v="002-4015E30Q13-OK"/>
    <x v="0"/>
  </r>
  <r>
    <x v="251"/>
    <m/>
    <s v="MX4000002R0001620"/>
    <x v="1"/>
    <x v="2"/>
    <s v="R13"/>
    <s v="R13"/>
    <x v="0"/>
    <d v="2024-12-24T00:00:00"/>
    <s v="есть"/>
    <x v="1"/>
    <s v="1 ось"/>
    <s v="002-2513E30Q13-OK"/>
    <x v="0"/>
  </r>
  <r>
    <x v="252"/>
    <m/>
    <s v="MX4000002R0001829"/>
    <x v="0"/>
    <x v="2"/>
    <s v="R13"/>
    <s v="R13"/>
    <x v="0"/>
    <d v="2024-12-31T00:00:00"/>
    <s v="есть"/>
    <x v="1"/>
    <s v="1 ось"/>
    <s v="002-2013E30Q13-OK"/>
    <x v="0"/>
  </r>
  <r>
    <x v="253"/>
    <m/>
    <s v="MX4000002R0001933"/>
    <x v="0"/>
    <x v="1"/>
    <s v="R13"/>
    <s v="R13"/>
    <x v="1"/>
    <d v="2024-12-30T00:00:00"/>
    <s v="есть"/>
    <x v="0"/>
    <s v="1 ось"/>
    <s v="002-2013E50Q13-OK30"/>
    <x v="0"/>
  </r>
  <r>
    <x v="254"/>
    <m/>
    <s v="MX4000002R0001877"/>
    <x v="0"/>
    <x v="1"/>
    <s v="R13"/>
    <s v="R13"/>
    <x v="0"/>
    <d v="2024-12-30T00:00:00"/>
    <s v="есть"/>
    <x v="2"/>
    <s v="1 ось"/>
    <s v="002-2013E50Q13-OK"/>
    <x v="0"/>
  </r>
  <r>
    <x v="255"/>
    <m/>
    <s v="MX4000002R0001906"/>
    <x v="0"/>
    <x v="1"/>
    <s v="R13"/>
    <s v="R13"/>
    <x v="0"/>
    <d v="2024-12-30T00:00:00"/>
    <s v="есть"/>
    <x v="2"/>
    <s v="1 ось"/>
    <s v="002-2013E50Q13-OK"/>
    <x v="0"/>
  </r>
  <r>
    <x v="256"/>
    <m/>
    <s v="MX4000004S0001949"/>
    <x v="3"/>
    <x v="1"/>
    <s v="R13"/>
    <s v="R13"/>
    <x v="0"/>
    <d v="2025-01-22T00:00:00"/>
    <s v="есть"/>
    <x v="2"/>
    <s v="2 оси"/>
    <s v="002-3015E50Q13-OK"/>
    <x v="0"/>
  </r>
  <r>
    <x v="257"/>
    <m/>
    <s v="MX4000002S0001948"/>
    <x v="3"/>
    <x v="2"/>
    <s v="R13"/>
    <s v="R13"/>
    <x v="0"/>
    <d v="2025-01-22T00:00:00"/>
    <s v="есть"/>
    <x v="2"/>
    <s v="1 ось"/>
    <s v="002-3015E30Q13-OK"/>
    <x v="0"/>
  </r>
  <r>
    <x v="258"/>
    <m/>
    <s v="MX4000002R0001903"/>
    <x v="1"/>
    <x v="2"/>
    <s v="R13"/>
    <s v="R13"/>
    <x v="0"/>
    <d v="2025-01-22T00:00:00"/>
    <s v="есть"/>
    <x v="2"/>
    <s v="1 ось"/>
    <s v="002-2513E30Q13-OK"/>
    <x v="0"/>
  </r>
  <r>
    <x v="259"/>
    <m/>
    <s v="MX4000002R0001904"/>
    <x v="1"/>
    <x v="1"/>
    <s v="R13"/>
    <s v="R13"/>
    <x v="0"/>
    <d v="2025-01-22T00:00:00"/>
    <s v="есть"/>
    <x v="2"/>
    <s v="1 ось"/>
    <s v="002-2513E50Q13-OK"/>
    <x v="0"/>
  </r>
  <r>
    <x v="260"/>
    <m/>
    <s v="MX4000002R0001878"/>
    <x v="1"/>
    <x v="1"/>
    <s v="R13"/>
    <s v="R13"/>
    <x v="0"/>
    <d v="2024-12-30T00:00:00"/>
    <s v="есть"/>
    <x v="2"/>
    <s v="1 ось"/>
    <s v="002-2513E50Q13-OK"/>
    <x v="0"/>
  </r>
  <r>
    <x v="261"/>
    <m/>
    <s v="MX4000002S0001950"/>
    <x v="0"/>
    <x v="1"/>
    <s v="R13"/>
    <s v="R13"/>
    <x v="0"/>
    <d v="2025-01-27T00:00:00"/>
    <s v="есть"/>
    <x v="2"/>
    <s v="1 ось"/>
    <s v="002-2013E50Q13-OK"/>
    <x v="0"/>
  </r>
  <r>
    <x v="262"/>
    <m/>
    <s v="MX4000002R0001645"/>
    <x v="1"/>
    <x v="1"/>
    <s v="R13"/>
    <s v="R13"/>
    <x v="0"/>
    <d v="2024-12-18T00:00:00"/>
    <s v="нет"/>
    <x v="1"/>
    <s v="1 ось"/>
    <s v="002-2513E50Q13"/>
    <x v="0"/>
  </r>
  <r>
    <x v="263"/>
    <m/>
    <s v="MX4000002R0001935"/>
    <x v="1"/>
    <x v="2"/>
    <s v="R13"/>
    <s v="R13"/>
    <x v="0"/>
    <d v="2025-05-11T00:00:00"/>
    <s v="есть"/>
    <x v="2"/>
    <s v="1 ось"/>
    <s v="002-2513E30Q13-OK"/>
    <x v="0"/>
  </r>
  <r>
    <x v="264"/>
    <m/>
    <s v="MX4000002S0001952"/>
    <x v="0"/>
    <x v="1"/>
    <s v="R13"/>
    <s v="R13"/>
    <x v="3"/>
    <d v="2025-01-27T00:00:00"/>
    <s v="есть"/>
    <x v="2"/>
    <s v="1 ось"/>
    <s v="002-2013E50Q13-OK90"/>
    <x v="0"/>
  </r>
  <r>
    <x v="265"/>
    <m/>
    <s v="MX4000002S0001953"/>
    <x v="0"/>
    <x v="2"/>
    <s v="R13"/>
    <s v="R13"/>
    <x v="0"/>
    <d v="2025-01-27T00:00:00"/>
    <s v="есть"/>
    <x v="2"/>
    <s v="1 ось"/>
    <s v="002-2013E30Q13-OK"/>
    <x v="0"/>
  </r>
  <r>
    <x v="266"/>
    <m/>
    <s v="MX4000002S0001951"/>
    <x v="0"/>
    <x v="2"/>
    <s v="R13"/>
    <s v="R13"/>
    <x v="0"/>
    <d v="2025-01-27T00:00:00"/>
    <s v="есть"/>
    <x v="2"/>
    <s v="1 ось"/>
    <s v="002-2013E30Q13-OK"/>
    <x v="0"/>
  </r>
  <r>
    <x v="267"/>
    <m/>
    <s v="MX4000002S0001947"/>
    <x v="0"/>
    <x v="2"/>
    <s v="R13"/>
    <s v="R13"/>
    <x v="0"/>
    <d v="2025-01-20T00:00:00"/>
    <s v="есть"/>
    <x v="2"/>
    <s v="1 ось"/>
    <s v="002-2013E30Q13-OK"/>
    <x v="0"/>
  </r>
  <r>
    <x v="268"/>
    <m/>
    <s v="MX4000002R0001936"/>
    <x v="1"/>
    <x v="2"/>
    <s v="R13"/>
    <s v="R13"/>
    <x v="0"/>
    <d v="2024-12-30T00:00:00"/>
    <s v="есть"/>
    <x v="0"/>
    <s v="1 ось"/>
    <s v="002-2513E30Q13-OK"/>
    <x v="0"/>
  </r>
  <r>
    <x v="269"/>
    <m/>
    <s v="MX4000002R0001600"/>
    <x v="1"/>
    <x v="2"/>
    <s v="R13"/>
    <s v="R13"/>
    <x v="0"/>
    <d v="2024-12-19T00:00:00"/>
    <s v="есть"/>
    <x v="1"/>
    <s v="1 ось"/>
    <s v="002-2513E30Q13-OK"/>
    <x v="0"/>
  </r>
  <r>
    <x v="270"/>
    <m/>
    <s v="MX4000002R0001644"/>
    <x v="1"/>
    <x v="1"/>
    <s v="R13"/>
    <s v="R13"/>
    <x v="0"/>
    <d v="2024-12-30T00:00:00"/>
    <s v="есть"/>
    <x v="1"/>
    <s v="1 ось"/>
    <s v="002-2513E50Q13-OK"/>
    <x v="0"/>
  </r>
  <r>
    <x v="271"/>
    <m/>
    <s v="MX4000002S0001959"/>
    <x v="0"/>
    <x v="1"/>
    <s v="R13"/>
    <s v="R13"/>
    <x v="0"/>
    <d v="2025-05-02T00:00:00"/>
    <s v="есть"/>
    <x v="2"/>
    <s v="1 ось"/>
    <s v="002-2013E50Q13-OK"/>
    <x v="0"/>
  </r>
  <r>
    <x v="272"/>
    <m/>
    <s v="MX4000002R0001853"/>
    <x v="0"/>
    <x v="2"/>
    <s v="R13"/>
    <s v="R13"/>
    <x v="0"/>
    <d v="2024-12-30T00:00:00"/>
    <s v="есть"/>
    <x v="1"/>
    <s v="1 ось"/>
    <s v="002-2013E30Q13-OK"/>
    <x v="0"/>
  </r>
  <r>
    <x v="273"/>
    <m/>
    <s v="MX4000002R0001797"/>
    <x v="3"/>
    <x v="2"/>
    <s v="R13"/>
    <s v="R13"/>
    <x v="0"/>
    <d v="2024-12-30T00:00:00"/>
    <s v="есть"/>
    <x v="1"/>
    <s v="1 ось"/>
    <s v="002-3015E30Q13-OK"/>
    <x v="0"/>
  </r>
  <r>
    <x v="274"/>
    <m/>
    <s v="MX4000002S0001958"/>
    <x v="0"/>
    <x v="1"/>
    <s v="R13"/>
    <s v="R13"/>
    <x v="2"/>
    <d v="2025-02-10T00:00:00"/>
    <s v="есть"/>
    <x v="2"/>
    <s v="1 ось"/>
    <s v="002-2013E50Q13-OK60"/>
    <x v="0"/>
  </r>
  <r>
    <x v="275"/>
    <m/>
    <s v="MX4000002S0001970"/>
    <x v="0"/>
    <x v="1"/>
    <s v="R13"/>
    <s v="R13"/>
    <x v="0"/>
    <d v="2025-02-10T00:00:00"/>
    <s v="есть"/>
    <x v="2"/>
    <s v="1 ось"/>
    <s v="002-2013E50Q13-OK"/>
    <x v="0"/>
  </r>
  <r>
    <x v="276"/>
    <m/>
    <s v="MX4000002S0001971"/>
    <x v="0"/>
    <x v="1"/>
    <s v="R13"/>
    <s v="R13"/>
    <x v="0"/>
    <d v="2025-02-10T00:00:00"/>
    <s v="есть"/>
    <x v="2"/>
    <s v="1 ось"/>
    <s v="002-2013E50Q13-OK"/>
    <x v="0"/>
  </r>
  <r>
    <x v="277"/>
    <m/>
    <s v="MX4000002R0001795"/>
    <x v="2"/>
    <x v="2"/>
    <s v="R15"/>
    <s v="R15"/>
    <x v="0"/>
    <d v="2024-12-30T00:00:00"/>
    <s v="есть"/>
    <x v="1"/>
    <s v="1 ось"/>
    <s v="002-2515E30Q15-OK"/>
    <x v="0"/>
  </r>
  <r>
    <x v="278"/>
    <m/>
    <s v="MX4000002R0001973"/>
    <x v="1"/>
    <x v="1"/>
    <s v="R13"/>
    <s v="R13"/>
    <x v="0"/>
    <d v="2025-02-10T00:00:00"/>
    <s v="есть"/>
    <x v="0"/>
    <s v="1 ось"/>
    <s v="002-2513E50Q13-OK"/>
    <x v="0"/>
  </r>
  <r>
    <x v="279"/>
    <m/>
    <s v="MX4000002R0001828"/>
    <x v="0"/>
    <x v="1"/>
    <s v="R13"/>
    <s v="R13"/>
    <x v="0"/>
    <d v="2024-12-30T00:00:00"/>
    <s v="есть"/>
    <x v="1"/>
    <s v="1 ось"/>
    <s v="002-2013E50Q13-OK"/>
    <x v="0"/>
  </r>
  <r>
    <x v="280"/>
    <m/>
    <s v="MX4000002S0001974"/>
    <x v="0"/>
    <x v="1"/>
    <s v="R13"/>
    <s v="R13"/>
    <x v="2"/>
    <d v="2025-02-13T00:00:00"/>
    <s v="есть"/>
    <x v="2"/>
    <s v="1 ось"/>
    <s v="002-2013E50Q13-OK60"/>
    <x v="0"/>
  </r>
  <r>
    <x v="281"/>
    <m/>
    <s v="MX4000004S0001987"/>
    <x v="2"/>
    <x v="1"/>
    <s v="R13"/>
    <s v="R13"/>
    <x v="0"/>
    <d v="2025-02-13T00:00:00"/>
    <s v="есть"/>
    <x v="2"/>
    <s v="2 оси"/>
    <s v="002-2515E50Q13-OK"/>
    <x v="0"/>
  </r>
  <r>
    <x v="282"/>
    <m/>
    <s v="MX4000002R0001649"/>
    <x v="1"/>
    <x v="1"/>
    <s v="R13"/>
    <s v="R13"/>
    <x v="0"/>
    <d v="2024-12-30T00:00:00"/>
    <s v="есть"/>
    <x v="1"/>
    <s v="1 ось"/>
    <s v="002-2513E50Q13-OK"/>
    <x v="0"/>
  </r>
  <r>
    <x v="283"/>
    <m/>
    <s v="MX4000002S0001998"/>
    <x v="0"/>
    <x v="1"/>
    <s v="R13"/>
    <s v="R13"/>
    <x v="0"/>
    <d v="2025-02-14T00:00:00"/>
    <s v="есть"/>
    <x v="0"/>
    <s v="1 ось"/>
    <s v="002-2013E50Q13-OK"/>
    <x v="0"/>
  </r>
  <r>
    <x v="284"/>
    <m/>
    <s v="MX4000002S0001999"/>
    <x v="0"/>
    <x v="1"/>
    <s v="R13"/>
    <s v="R13"/>
    <x v="0"/>
    <d v="2025-02-15T00:00:00"/>
    <s v="есть"/>
    <x v="2"/>
    <s v="1 ось"/>
    <s v="002-2013E50Q13-OK"/>
    <x v="0"/>
  </r>
  <r>
    <x v="285"/>
    <m/>
    <s v="MX4000002R0001934"/>
    <x v="0"/>
    <x v="2"/>
    <s v="R13"/>
    <s v="R13"/>
    <x v="0"/>
    <d v="2024-12-31T00:00:00"/>
    <s v="есть"/>
    <x v="2"/>
    <s v="1 ось"/>
    <s v="002-2013E30Q13-OK"/>
    <x v="0"/>
  </r>
  <r>
    <x v="286"/>
    <m/>
    <s v="MX4000002S0002000"/>
    <x v="0"/>
    <x v="1"/>
    <s v="R13"/>
    <s v="R13"/>
    <x v="0"/>
    <d v="2025-02-17T00:00:00"/>
    <s v="есть"/>
    <x v="0"/>
    <s v="1 ось"/>
    <s v="002-2013E50Q13-OK"/>
    <x v="0"/>
  </r>
  <r>
    <x v="287"/>
    <m/>
    <s v="MX4000002S0002001"/>
    <x v="1"/>
    <x v="1"/>
    <s v="R13"/>
    <s v="R13"/>
    <x v="0"/>
    <d v="2025-02-17T00:00:00"/>
    <s v="есть"/>
    <x v="0"/>
    <s v="1 ось"/>
    <s v="002-2513E50Q13-OK"/>
    <x v="0"/>
  </r>
  <r>
    <x v="288"/>
    <m/>
    <s v="MX4000002S0001975"/>
    <x v="1"/>
    <x v="1"/>
    <s v="R13"/>
    <s v="R13"/>
    <x v="0"/>
    <d v="2025-02-18T00:00:00"/>
    <s v="есть"/>
    <x v="2"/>
    <s v="1 ось"/>
    <s v="002-2513E50Q13-OK"/>
    <x v="0"/>
  </r>
  <r>
    <x v="289"/>
    <m/>
    <s v="MX4000002S0001980"/>
    <x v="1"/>
    <x v="1"/>
    <s v="R13"/>
    <s v="R13"/>
    <x v="0"/>
    <d v="2025-02-18T00:00:00"/>
    <s v="есть"/>
    <x v="2"/>
    <s v="1 ось"/>
    <s v="002-2513E50Q13-OK"/>
    <x v="0"/>
  </r>
  <r>
    <x v="290"/>
    <m/>
    <s v="MX4000002S0002003"/>
    <x v="0"/>
    <x v="1"/>
    <s v="R13"/>
    <s v="R13"/>
    <x v="2"/>
    <d v="2025-02-18T00:00:00"/>
    <s v="есть"/>
    <x v="2"/>
    <s v="1 ось"/>
    <s v="002-2013E50Q13-OK60"/>
    <x v="0"/>
  </r>
  <r>
    <x v="291"/>
    <m/>
    <s v="MX4000002S0002002"/>
    <x v="0"/>
    <x v="1"/>
    <s v="R13"/>
    <s v="R13"/>
    <x v="0"/>
    <d v="2025-02-18T00:00:00"/>
    <s v="есть"/>
    <x v="2"/>
    <s v="1 ось"/>
    <s v="002-2013E50Q13-OK"/>
    <x v="0"/>
  </r>
  <r>
    <x v="292"/>
    <m/>
    <s v="MX4000002S0002005"/>
    <x v="0"/>
    <x v="1"/>
    <s v="R13"/>
    <s v="R13"/>
    <x v="1"/>
    <d v="2025-02-18T00:00:00"/>
    <s v="есть"/>
    <x v="2"/>
    <s v="1 ось"/>
    <s v="002-2013E50Q13-OK30"/>
    <x v="0"/>
  </r>
  <r>
    <x v="293"/>
    <m/>
    <s v="MX4000002S0002004"/>
    <x v="0"/>
    <x v="1"/>
    <s v="R13"/>
    <s v="R13"/>
    <x v="0"/>
    <d v="2025-02-18T00:00:00"/>
    <s v="есть"/>
    <x v="0"/>
    <s v="1 ось"/>
    <s v="002-2013E50Q13-OK"/>
    <x v="0"/>
  </r>
  <r>
    <x v="294"/>
    <m/>
    <s v="MX4000002S0002006"/>
    <x v="0"/>
    <x v="1"/>
    <s v="R13"/>
    <s v="R13"/>
    <x v="1"/>
    <d v="2025-02-19T00:00:00"/>
    <s v="есть"/>
    <x v="2"/>
    <s v="1 ось"/>
    <s v="002-2013E50Q13-OK30"/>
    <x v="0"/>
  </r>
  <r>
    <x v="295"/>
    <m/>
    <s v="MX4000002R0001859"/>
    <x v="0"/>
    <x v="2"/>
    <s v="R13"/>
    <s v="R13"/>
    <x v="0"/>
    <d v="2024-12-12T00:00:00"/>
    <s v="есть"/>
    <x v="1"/>
    <s v="1 ось"/>
    <s v="002-2013E30Q13-OK"/>
    <x v="0"/>
  </r>
  <r>
    <x v="296"/>
    <m/>
    <s v="MX4000002R0001854"/>
    <x v="0"/>
    <x v="1"/>
    <s v="R13"/>
    <s v="R13"/>
    <x v="0"/>
    <d v="2024-12-12T00:00:00"/>
    <s v="есть"/>
    <x v="1"/>
    <s v="1 ось"/>
    <s v="002-2013E50Q13-OK"/>
    <x v="0"/>
  </r>
  <r>
    <x v="297"/>
    <m/>
    <s v="MX4000002S0002008"/>
    <x v="0"/>
    <x v="1"/>
    <s v="R13"/>
    <s v="R13"/>
    <x v="0"/>
    <d v="2025-02-17T00:00:00"/>
    <s v="есть"/>
    <x v="2"/>
    <s v="1 ось"/>
    <s v="002-2013E50Q13-OK"/>
    <x v="0"/>
  </r>
  <r>
    <x v="298"/>
    <m/>
    <s v="MX4000002S0002009"/>
    <x v="0"/>
    <x v="1"/>
    <s v="R13"/>
    <s v="R13"/>
    <x v="0"/>
    <d v="2025-02-18T00:00:00"/>
    <s v="есть"/>
    <x v="2"/>
    <s v="1 ось"/>
    <s v="002-2013E50Q13-OK"/>
    <x v="0"/>
  </r>
  <r>
    <x v="299"/>
    <m/>
    <s v="MX4000002S0001972"/>
    <x v="0"/>
    <x v="2"/>
    <s v="R13"/>
    <s v="R13"/>
    <x v="0"/>
    <d v="2025-02-18T00:00:00"/>
    <s v="есть"/>
    <x v="0"/>
    <s v="1 ось"/>
    <s v="002-2013E30Q13-OK"/>
    <x v="0"/>
  </r>
  <r>
    <x v="300"/>
    <m/>
    <s v="MX4000002S0002007"/>
    <x v="0"/>
    <x v="1"/>
    <s v="R13"/>
    <s v="R13"/>
    <x v="1"/>
    <d v="2025-02-22T00:00:00"/>
    <s v="есть"/>
    <x v="0"/>
    <s v="1 ось"/>
    <s v="002-2013E50Q13-OK30"/>
    <x v="0"/>
  </r>
  <r>
    <x v="301"/>
    <m/>
    <s v="MX4000002R0001798"/>
    <x v="3"/>
    <x v="1"/>
    <s v="R13"/>
    <s v="R13"/>
    <x v="0"/>
    <d v="2024-12-12T00:00:00"/>
    <s v="есть"/>
    <x v="1"/>
    <s v="1 ось"/>
    <s v="002-3015E50Q13-OK"/>
    <x v="0"/>
  </r>
  <r>
    <x v="302"/>
    <m/>
    <s v="MX4000002R0001857"/>
    <x v="0"/>
    <x v="1"/>
    <s v="R13"/>
    <s v="R13"/>
    <x v="0"/>
    <d v="2024-12-12T00:00:00"/>
    <s v="есть"/>
    <x v="1"/>
    <s v="1 ось"/>
    <s v="002-2013E50Q13-OK"/>
    <x v="0"/>
  </r>
  <r>
    <x v="303"/>
    <m/>
    <s v="MX4000002S0002011"/>
    <x v="1"/>
    <x v="1"/>
    <s v="R13"/>
    <s v="R13"/>
    <x v="0"/>
    <d v="2025-02-25T00:00:00"/>
    <s v="есть"/>
    <x v="2"/>
    <s v="1 ось"/>
    <s v="002-2513E50Q13-OK"/>
    <x v="0"/>
  </r>
  <r>
    <x v="304"/>
    <m/>
    <s v="MX4000002S0002010"/>
    <x v="1"/>
    <x v="1"/>
    <s v="R13"/>
    <s v="R13"/>
    <x v="1"/>
    <d v="2025-02-25T00:00:00"/>
    <s v="есть"/>
    <x v="2"/>
    <s v="1 ось"/>
    <s v="002-2513E50Q13-OK30"/>
    <x v="0"/>
  </r>
  <r>
    <x v="305"/>
    <m/>
    <s v="MX4000002S0002014"/>
    <x v="0"/>
    <x v="1"/>
    <s v="R13"/>
    <s v="R13"/>
    <x v="0"/>
    <d v="2025-02-25T00:00:00"/>
    <s v="есть"/>
    <x v="0"/>
    <s v="1 ось"/>
    <s v="002-2013E50Q13-OK"/>
    <x v="0"/>
  </r>
  <r>
    <x v="306"/>
    <m/>
    <s v="MX4000002R0001855"/>
    <x v="0"/>
    <x v="2"/>
    <s v="R13"/>
    <s v="R13"/>
    <x v="0"/>
    <d v="2024-12-20T00:00:00"/>
    <s v="есть"/>
    <x v="1"/>
    <s v="1 ось"/>
    <s v="002-2013E30Q13-OK"/>
    <x v="0"/>
  </r>
  <r>
    <x v="307"/>
    <m/>
    <s v="MX4000002S0002012"/>
    <x v="0"/>
    <x v="1"/>
    <s v="R13"/>
    <s v="R13"/>
    <x v="0"/>
    <d v="2025-02-06T00:00:00"/>
    <s v="есть"/>
    <x v="2"/>
    <s v="1 ось"/>
    <s v="002-2013E50Q13-OK"/>
    <x v="0"/>
  </r>
  <r>
    <x v="308"/>
    <m/>
    <s v="MX4000002S0002013"/>
    <x v="0"/>
    <x v="1"/>
    <s v="R13"/>
    <s v="R13"/>
    <x v="1"/>
    <d v="2025-02-26T00:00:00"/>
    <s v="есть"/>
    <x v="2"/>
    <s v="1 ось"/>
    <s v="002-2013E50Q13-OK30"/>
    <x v="0"/>
  </r>
  <r>
    <x v="309"/>
    <m/>
    <s v="MX4000002S0002017"/>
    <x v="0"/>
    <x v="1"/>
    <s v="R13"/>
    <s v="R13"/>
    <x v="0"/>
    <d v="2025-02-26T00:00:00"/>
    <s v="есть"/>
    <x v="0"/>
    <s v="1 ось"/>
    <s v="002-2013E50Q13-OK"/>
    <x v="0"/>
  </r>
  <r>
    <x v="310"/>
    <m/>
    <s v="MX4000002S0002015"/>
    <x v="1"/>
    <x v="1"/>
    <s v="R13"/>
    <s v="R13"/>
    <x v="0"/>
    <d v="2025-02-27T00:00:00"/>
    <s v="есть"/>
    <x v="0"/>
    <s v="1 ось"/>
    <s v="002-2513E50Q13-OK"/>
    <x v="0"/>
  </r>
  <r>
    <x v="311"/>
    <m/>
    <s v="MX4000004R0001791"/>
    <x v="2"/>
    <x v="1"/>
    <s v="R13"/>
    <s v="R13"/>
    <x v="3"/>
    <d v="2024-12-30T00:00:00"/>
    <s v="есть"/>
    <x v="1"/>
    <s v="2 оси"/>
    <s v="002-2515E50Q13-OK90"/>
    <x v="0"/>
  </r>
  <r>
    <x v="312"/>
    <m/>
    <s v="MX4000002R0001865"/>
    <x v="2"/>
    <x v="1"/>
    <s v="R15"/>
    <s v="R15"/>
    <x v="0"/>
    <d v="2024-12-13T00:00:00"/>
    <s v="есть"/>
    <x v="1"/>
    <s v="1 ось"/>
    <s v="002-2515E50Q15-OK"/>
    <x v="0"/>
  </r>
  <r>
    <x v="313"/>
    <m/>
    <s v="MX4000002S0002021"/>
    <x v="1"/>
    <x v="1"/>
    <s v="R13"/>
    <s v="R13"/>
    <x v="0"/>
    <d v="2025-02-27T00:00:00"/>
    <s v="есть"/>
    <x v="0"/>
    <s v="1 ось"/>
    <s v="002-2513E50Q13-OK"/>
    <x v="0"/>
  </r>
  <r>
    <x v="314"/>
    <m/>
    <s v="MX4000002S0002025"/>
    <x v="1"/>
    <x v="2"/>
    <s v="R13"/>
    <s v="R13"/>
    <x v="1"/>
    <d v="2025-03-03T00:00:00"/>
    <s v="есть"/>
    <x v="0"/>
    <s v="1 ось"/>
    <s v="002-2513E30Q13-OK30"/>
    <x v="0"/>
  </r>
  <r>
    <x v="315"/>
    <m/>
    <s v="MX4000002R0001858"/>
    <x v="0"/>
    <x v="1"/>
    <s v="R13"/>
    <s v="R13"/>
    <x v="0"/>
    <d v="2024-12-13T00:00:00"/>
    <s v="есть"/>
    <x v="1"/>
    <s v="1 ось"/>
    <s v="002-2013E50Q13-OK"/>
    <x v="0"/>
  </r>
  <r>
    <x v="316"/>
    <m/>
    <s v="MX4000002R0001598"/>
    <x v="1"/>
    <x v="1"/>
    <s v="R13"/>
    <s v="R13"/>
    <x v="0"/>
    <d v="2024-12-12T00:00:00"/>
    <s v="есть"/>
    <x v="1"/>
    <s v="1 ось"/>
    <s v="002-2513E50Q13-OK"/>
    <x v="0"/>
  </r>
  <r>
    <x v="317"/>
    <m/>
    <s v="MX4000002S0002022"/>
    <x v="1"/>
    <x v="1"/>
    <s v="R13"/>
    <s v="R13"/>
    <x v="0"/>
    <d v="2025-03-03T00:00:00"/>
    <s v="есть"/>
    <x v="0"/>
    <s v="1 ось"/>
    <s v="002-2513E50Q13-OK"/>
    <x v="0"/>
  </r>
  <r>
    <x v="318"/>
    <m/>
    <s v="MX4000002R0001648"/>
    <x v="1"/>
    <x v="1"/>
    <s v="R15"/>
    <s v="R15"/>
    <x v="0"/>
    <d v="2024-12-11T00:00:00"/>
    <s v="нет"/>
    <x v="1"/>
    <s v="1 ось"/>
    <s v="002-2513E50Q15"/>
    <x v="0"/>
  </r>
  <r>
    <x v="319"/>
    <m/>
    <s v="MX4000002R0001869"/>
    <x v="0"/>
    <x v="2"/>
    <s v="R13"/>
    <s v="R13"/>
    <x v="0"/>
    <d v="2024-12-30T00:00:00"/>
    <s v="есть"/>
    <x v="1"/>
    <s v="1 ось"/>
    <s v="002-2013E30Q13-OK"/>
    <x v="0"/>
  </r>
  <r>
    <x v="320"/>
    <m/>
    <s v="MX4000002S0002040"/>
    <x v="1"/>
    <x v="2"/>
    <s v="R13"/>
    <s v="R13"/>
    <x v="0"/>
    <d v="2025-03-07T00:00:00"/>
    <s v="есть"/>
    <x v="0"/>
    <s v="1 ось"/>
    <s v="002-2513E30Q13-OK"/>
    <x v="0"/>
  </r>
  <r>
    <x v="321"/>
    <m/>
    <s v="MX4000004R0001794"/>
    <x v="3"/>
    <x v="1"/>
    <s v="R13"/>
    <s v="R13"/>
    <x v="4"/>
    <d v="2024-12-11T00:00:00"/>
    <s v="есть"/>
    <x v="1"/>
    <s v="2 оси"/>
    <s v="002-3015E50Q13-OK120"/>
    <x v="0"/>
  </r>
  <r>
    <x v="322"/>
    <m/>
    <s v="MX4000002S0002026"/>
    <x v="1"/>
    <x v="2"/>
    <s v="R13"/>
    <s v="R13"/>
    <x v="2"/>
    <d v="2025-03-03T00:00:00"/>
    <s v="есть"/>
    <x v="0"/>
    <s v="1 ось"/>
    <s v="002-2513E30Q13-OK60"/>
    <x v="0"/>
  </r>
  <r>
    <x v="323"/>
    <m/>
    <s v="MX4000002S0002018"/>
    <x v="0"/>
    <x v="1"/>
    <s v="R13"/>
    <s v="R13"/>
    <x v="1"/>
    <d v="2025-03-03T00:00:00"/>
    <s v="есть"/>
    <x v="0"/>
    <s v="1 ось"/>
    <s v="002-2013E50Q13-OK30"/>
    <x v="0"/>
  </r>
  <r>
    <x v="324"/>
    <m/>
    <s v="MX4000002S0002020"/>
    <x v="0"/>
    <x v="2"/>
    <s v="R13"/>
    <s v="R13"/>
    <x v="0"/>
    <d v="2025-03-11T00:00:00"/>
    <s v="есть"/>
    <x v="2"/>
    <s v="1 ось"/>
    <s v="002-2013E30Q13-OK"/>
    <x v="0"/>
  </r>
  <r>
    <x v="325"/>
    <m/>
    <s v="MX4000002R0001601"/>
    <x v="1"/>
    <x v="1"/>
    <s v="R13"/>
    <s v="R13"/>
    <x v="0"/>
    <d v="2024-12-11T00:00:00"/>
    <s v="есть"/>
    <x v="1"/>
    <s v="1 ось"/>
    <s v="002-2513E50Q13-OK"/>
    <x v="0"/>
  </r>
  <r>
    <x v="326"/>
    <m/>
    <s v="MX4000002R0001868"/>
    <x v="0"/>
    <x v="2"/>
    <s v="R13"/>
    <s v="R13"/>
    <x v="0"/>
    <d v="2024-12-11T00:00:00"/>
    <s v="есть"/>
    <x v="1"/>
    <s v="1 ось"/>
    <s v="002-2013E30Q13-OK"/>
    <x v="0"/>
  </r>
  <r>
    <x v="327"/>
    <m/>
    <s v="MX4000002S0002041"/>
    <x v="0"/>
    <x v="1"/>
    <s v="R13"/>
    <s v="R13"/>
    <x v="1"/>
    <d v="2025-03-11T00:00:00"/>
    <s v="есть"/>
    <x v="0"/>
    <s v="1 ось"/>
    <s v="002-2013E50Q13-OK30"/>
    <x v="0"/>
  </r>
  <r>
    <x v="328"/>
    <m/>
    <s v="MX4000002S0002029"/>
    <x v="0"/>
    <x v="1"/>
    <s v="R13"/>
    <s v="R13"/>
    <x v="0"/>
    <d v="2025-03-11T00:00:00"/>
    <s v="есть"/>
    <x v="2"/>
    <s v="1 ось"/>
    <s v="002-2013E50Q13-OK"/>
    <x v="0"/>
  </r>
  <r>
    <x v="329"/>
    <m/>
    <s v="MX4000002R0001875"/>
    <x v="0"/>
    <x v="1"/>
    <s v="R15"/>
    <s v="R15"/>
    <x v="0"/>
    <d v="2024-12-12T00:00:00"/>
    <s v="есть"/>
    <x v="1"/>
    <s v="1 ось"/>
    <s v="002-2013E50Q15-OK"/>
    <x v="0"/>
  </r>
  <r>
    <x v="330"/>
    <m/>
    <s v="MX4000002R0001874"/>
    <x v="0"/>
    <x v="1"/>
    <s v="R13"/>
    <s v="R13"/>
    <x v="0"/>
    <d v="2024-12-12T00:00:00"/>
    <s v="есть"/>
    <x v="1"/>
    <s v="1 ось"/>
    <s v="002-2013E50Q13-OK"/>
    <x v="0"/>
  </r>
  <r>
    <x v="331"/>
    <m/>
    <s v="MX4000002S0002042"/>
    <x v="0"/>
    <x v="1"/>
    <s v="R13"/>
    <s v="R13"/>
    <x v="1"/>
    <d v="2025-03-14T00:00:00"/>
    <s v="есть"/>
    <x v="2"/>
    <s v="1 ось"/>
    <s v="002-2013E50Q13-OK30"/>
    <x v="0"/>
  </r>
  <r>
    <x v="332"/>
    <m/>
    <s v="MX4000002S0002043"/>
    <x v="0"/>
    <x v="1"/>
    <s v="R13"/>
    <s v="R13"/>
    <x v="0"/>
    <d v="2025-03-14T00:00:00"/>
    <s v="есть"/>
    <x v="2"/>
    <s v="1 ось"/>
    <s v="002-2013E50Q13-OK"/>
    <x v="0"/>
  </r>
  <r>
    <x v="333"/>
    <m/>
    <s v="MX4000002S0002027"/>
    <x v="0"/>
    <x v="1"/>
    <s v="R13"/>
    <s v="R13"/>
    <x v="2"/>
    <d v="2025-03-11T00:00:00"/>
    <s v="есть"/>
    <x v="0"/>
    <s v="1 ось"/>
    <s v="002-2013E50Q13-OK60"/>
    <x v="0"/>
  </r>
  <r>
    <x v="334"/>
    <m/>
    <s v="MX4000002S0002016"/>
    <x v="2"/>
    <x v="2"/>
    <s v="R13"/>
    <s v="R13"/>
    <x v="0"/>
    <d v="2025-12-03T00:00:00"/>
    <s v="есть"/>
    <x v="2"/>
    <s v="1 ось"/>
    <s v="002-2515E30Q13-OK"/>
    <x v="0"/>
  </r>
  <r>
    <x v="335"/>
    <m/>
    <s v="MX4000002S0002023"/>
    <x v="0"/>
    <x v="1"/>
    <s v="R13"/>
    <s v="R13"/>
    <x v="0"/>
    <d v="2025-12-03T00:00:00"/>
    <s v="есть"/>
    <x v="2"/>
    <s v="1 ось"/>
    <s v="002-2013E50Q13-OK"/>
    <x v="0"/>
  </r>
  <r>
    <x v="336"/>
    <m/>
    <s v="MX4000002S0002024"/>
    <x v="0"/>
    <x v="2"/>
    <s v="R13"/>
    <s v="R13"/>
    <x v="0"/>
    <d v="2025-12-03T00:00:00"/>
    <s v="есть"/>
    <x v="2"/>
    <s v="1 ось"/>
    <s v="002-2013E30Q13-OK"/>
    <x v="0"/>
  </r>
  <r>
    <x v="337"/>
    <m/>
    <s v="MX4000002R0001726"/>
    <x v="2"/>
    <x v="1"/>
    <s v="R15"/>
    <s v="R15"/>
    <x v="0"/>
    <d v="2024-12-30T00:00:00"/>
    <s v="есть"/>
    <x v="2"/>
    <s v="1 ось"/>
    <s v="002-2515E50Q15-OK"/>
    <x v="0"/>
  </r>
  <r>
    <x v="338"/>
    <m/>
    <s v="MX4000002S0002019"/>
    <x v="0"/>
    <x v="1"/>
    <s v="R13"/>
    <s v="R13"/>
    <x v="2"/>
    <d v="2025-03-15T00:00:00"/>
    <s v="есть"/>
    <x v="2"/>
    <s v="1 ось"/>
    <s v="002-2013E50Q13-OK60"/>
    <x v="0"/>
  </r>
  <r>
    <x v="339"/>
    <m/>
    <s v="MX4000002S0002028"/>
    <x v="0"/>
    <x v="1"/>
    <s v="R13"/>
    <s v="R13"/>
    <x v="0"/>
    <d v="2025-03-15T00:00:00"/>
    <s v="есть"/>
    <x v="2"/>
    <s v="1 ось"/>
    <s v="002-2013E50Q13-OK"/>
    <x v="0"/>
  </r>
  <r>
    <x v="340"/>
    <m/>
    <s v="MX4000002S0001886"/>
    <x v="0"/>
    <x v="2"/>
    <s v="R13"/>
    <s v="R13"/>
    <x v="0"/>
    <d v="2025-02-14T00:00:00"/>
    <s v="есть"/>
    <x v="1"/>
    <s v="1 ось"/>
    <s v="002-2013E30Q13-OK"/>
    <x v="0"/>
  </r>
  <r>
    <x v="341"/>
    <m/>
    <s v="MX4000002S0002044"/>
    <x v="0"/>
    <x v="1"/>
    <s v="R13"/>
    <s v="R13"/>
    <x v="2"/>
    <d v="2025-03-17T00:00:00"/>
    <s v="есть"/>
    <x v="0"/>
    <s v="1 ось"/>
    <s v="002-2013E50Q13-OK60"/>
    <x v="0"/>
  </r>
  <r>
    <x v="342"/>
    <m/>
    <s v="MX4000002S0001879"/>
    <x v="0"/>
    <x v="1"/>
    <s v="R13"/>
    <s v="R13"/>
    <x v="0"/>
    <d v="2025-03-17T00:00:00"/>
    <s v="есть"/>
    <x v="1"/>
    <s v="1 ось"/>
    <s v="002-2013E50Q13-OK"/>
    <x v="0"/>
  </r>
  <r>
    <x v="343"/>
    <m/>
    <s v="MX4000003S0001955"/>
    <x v="2"/>
    <x v="0"/>
    <s v="R13"/>
    <s v="R13"/>
    <x v="0"/>
    <d v="2025-02-12T00:00:00"/>
    <s v="есть"/>
    <x v="0"/>
    <s v="1 ось"/>
    <s v="002-2515Q13-OK"/>
    <x v="0"/>
  </r>
  <r>
    <x v="344"/>
    <m/>
    <s v="MX4000002R0001851"/>
    <x v="0"/>
    <x v="1"/>
    <s v="R13"/>
    <s v="R13"/>
    <x v="2"/>
    <d v="2024-12-12T00:00:00"/>
    <s v="есть"/>
    <x v="1"/>
    <s v="1 ось"/>
    <s v="002-2013E50Q13-OK60"/>
    <x v="0"/>
  </r>
  <r>
    <x v="345"/>
    <m/>
    <s v="MX4000002S0001885"/>
    <x v="0"/>
    <x v="2"/>
    <s v="R13"/>
    <s v="R13"/>
    <x v="0"/>
    <d v="2025-03-18T00:00:00"/>
    <s v="есть"/>
    <x v="1"/>
    <s v="1 ось"/>
    <s v="002-2013E30Q13-OK"/>
    <x v="0"/>
  </r>
  <r>
    <x v="346"/>
    <m/>
    <s v="MX4000002R0001873"/>
    <x v="0"/>
    <x v="1"/>
    <s v="R13"/>
    <s v="R13"/>
    <x v="0"/>
    <d v="2024-12-12T00:00:00"/>
    <s v="есть"/>
    <x v="1"/>
    <s v="1 ось"/>
    <s v="002-2013E50Q13-OK"/>
    <x v="0"/>
  </r>
  <r>
    <x v="347"/>
    <m/>
    <s v="MX4000002R0001641"/>
    <x v="1"/>
    <x v="1"/>
    <s v="R13"/>
    <s v="R13"/>
    <x v="0"/>
    <d v="2024-12-30T00:00:00"/>
    <s v="нет"/>
    <x v="1"/>
    <s v="1 ось"/>
    <s v="002-2513E50Q13"/>
    <x v="0"/>
  </r>
  <r>
    <x v="348"/>
    <m/>
    <s v="MX4000002R0001862"/>
    <x v="0"/>
    <x v="1"/>
    <s v="R13"/>
    <s v="R13"/>
    <x v="0"/>
    <d v="2024-12-30T00:00:00"/>
    <s v="есть"/>
    <x v="1"/>
    <s v="1 ось"/>
    <s v="002-2013E50Q13-OK"/>
    <x v="0"/>
  </r>
  <r>
    <x v="349"/>
    <m/>
    <s v="MX4000002R0001861"/>
    <x v="0"/>
    <x v="1"/>
    <s v="R13"/>
    <s v="R13"/>
    <x v="0"/>
    <d v="2024-12-30T00:00:00"/>
    <s v="есть"/>
    <x v="1"/>
    <s v="1 ось"/>
    <s v="002-2013E50Q13-OK"/>
    <x v="0"/>
  </r>
  <r>
    <x v="350"/>
    <m/>
    <s v="MX4000002R0001872"/>
    <x v="0"/>
    <x v="2"/>
    <s v="R13"/>
    <s v="R13"/>
    <x v="0"/>
    <d v="2024-12-30T00:00:00"/>
    <s v="нет"/>
    <x v="1"/>
    <s v="1 ось"/>
    <s v="002-2013E30Q13"/>
    <x v="0"/>
  </r>
  <r>
    <x v="351"/>
    <m/>
    <s v="MX4000002R0001864"/>
    <x v="4"/>
    <x v="2"/>
    <s v="R13"/>
    <s v="R13"/>
    <x v="0"/>
    <d v="2024-12-31T00:00:00"/>
    <s v="есть"/>
    <x v="1"/>
    <s v="1 ось"/>
    <s v="002-3515E30Q13-OK"/>
    <x v="0"/>
  </r>
  <r>
    <x v="352"/>
    <m/>
    <s v="MX4000002R0001613"/>
    <x v="1"/>
    <x v="2"/>
    <s v="R13"/>
    <s v="R13"/>
    <x v="0"/>
    <d v="2024-12-30T00:00:00"/>
    <s v="есть"/>
    <x v="1"/>
    <s v="1 ось"/>
    <s v="002-2513E30Q13-OK"/>
    <x v="0"/>
  </r>
  <r>
    <x v="353"/>
    <m/>
    <s v="MX4000004R0001866"/>
    <x v="2"/>
    <x v="2"/>
    <s v="R13"/>
    <s v="R13"/>
    <x v="0"/>
    <d v="2024-12-30T00:00:00"/>
    <s v="есть"/>
    <x v="1"/>
    <s v="2 оси"/>
    <s v="002-2515E30Q13-OK"/>
    <x v="0"/>
  </r>
  <r>
    <x v="354"/>
    <m/>
    <s v="MX4000002S0001891"/>
    <x v="0"/>
    <x v="1"/>
    <s v="R13"/>
    <s v="R13"/>
    <x v="0"/>
    <d v="2025-03-04T00:00:00"/>
    <s v="есть"/>
    <x v="1"/>
    <s v="1 ось"/>
    <s v="002-2013E50Q13-OK"/>
    <x v="0"/>
  </r>
  <r>
    <x v="355"/>
    <m/>
    <s v="MX4000002S0001898"/>
    <x v="0"/>
    <x v="1"/>
    <s v="R15"/>
    <s v="R13"/>
    <x v="0"/>
    <d v="2025-04-03T00:00:00"/>
    <s v="есть"/>
    <x v="1"/>
    <s v="1 ось"/>
    <s v="002-2013E50Q15-OK"/>
    <x v="0"/>
  </r>
  <r>
    <x v="356"/>
    <m/>
    <s v="MX4000002S0001899"/>
    <x v="0"/>
    <x v="1"/>
    <s v="R13"/>
    <s v="R13"/>
    <x v="0"/>
    <d v="2025-03-04T00:00:00"/>
    <s v="есть"/>
    <x v="1"/>
    <s v="1 ось"/>
    <s v="002-2013E50Q13-OK"/>
    <x v="0"/>
  </r>
  <r>
    <x v="357"/>
    <m/>
    <s v="MX4000002S0001900"/>
    <x v="0"/>
    <x v="1"/>
    <s v="R13"/>
    <s v="R13"/>
    <x v="0"/>
    <d v="2025-03-04T00:00:00"/>
    <s v="есть"/>
    <x v="1"/>
    <s v="1 ось"/>
    <s v="002-2013E50Q13-OK"/>
    <x v="0"/>
  </r>
  <r>
    <x v="358"/>
    <m/>
    <s v="MX4000002S0001901"/>
    <x v="0"/>
    <x v="2"/>
    <s v="R13"/>
    <s v="R13"/>
    <x v="0"/>
    <d v="2025-03-04T00:00:00"/>
    <s v="есть"/>
    <x v="1"/>
    <s v="1 ось"/>
    <s v="002-2013E30Q13-OK"/>
    <x v="0"/>
  </r>
  <r>
    <x v="359"/>
    <m/>
    <s v="MX4000002S0001902"/>
    <x v="0"/>
    <x v="1"/>
    <s v="R13"/>
    <s v="R13"/>
    <x v="0"/>
    <d v="2025-03-04T00:00:00"/>
    <s v="есть"/>
    <x v="1"/>
    <s v="1 ось"/>
    <s v="002-2013E50Q13-OK"/>
    <x v="0"/>
  </r>
  <r>
    <x v="360"/>
    <m/>
    <s v="MX4000002S0001892"/>
    <x v="0"/>
    <x v="1"/>
    <s v="R13"/>
    <s v="R13"/>
    <x v="0"/>
    <d v="2025-03-04T00:00:00"/>
    <s v="есть"/>
    <x v="1"/>
    <s v="1 ось"/>
    <s v="002-2013E50Q13-OK"/>
    <x v="0"/>
  </r>
  <r>
    <x v="361"/>
    <m/>
    <s v="MX4000002S0001893"/>
    <x v="0"/>
    <x v="1"/>
    <s v="R13"/>
    <s v="R13"/>
    <x v="0"/>
    <d v="2025-03-04T00:00:00"/>
    <s v="есть"/>
    <x v="1"/>
    <s v="1 ось"/>
    <s v="002-2013E50Q13-OK"/>
    <x v="0"/>
  </r>
  <r>
    <x v="362"/>
    <m/>
    <s v="MX4000002S0001894"/>
    <x v="0"/>
    <x v="1"/>
    <s v="R13"/>
    <s v="R13"/>
    <x v="0"/>
    <d v="2025-04-03T00:00:00"/>
    <s v="есть"/>
    <x v="1"/>
    <s v="1 ось"/>
    <s v="002-2013E50Q13-OK"/>
    <x v="0"/>
  </r>
  <r>
    <x v="363"/>
    <m/>
    <s v="MX4000002S0001895"/>
    <x v="0"/>
    <x v="2"/>
    <s v="R13"/>
    <s v="R13"/>
    <x v="0"/>
    <d v="2025-03-04T00:00:00"/>
    <s v="есть"/>
    <x v="1"/>
    <s v="1 ось"/>
    <s v="002-2013E30Q13-OK"/>
    <x v="0"/>
  </r>
  <r>
    <x v="364"/>
    <m/>
    <s v="MX4000002S0001896"/>
    <x v="0"/>
    <x v="2"/>
    <s v="R13"/>
    <s v="R13"/>
    <x v="0"/>
    <d v="2025-03-04T00:00:00"/>
    <s v="есть"/>
    <x v="1"/>
    <s v="1 ось"/>
    <s v="002-2013E30Q13-OK"/>
    <x v="0"/>
  </r>
  <r>
    <x v="365"/>
    <m/>
    <m/>
    <x v="0"/>
    <x v="1"/>
    <s v="R13"/>
    <s v="R13"/>
    <x v="0"/>
    <d v="2025-04-03T00:00:00"/>
    <s v="есть"/>
    <x v="1"/>
    <s v="1 ось"/>
    <s v="002-2013E50Q13-OK"/>
    <x v="1"/>
  </r>
  <r>
    <x v="366"/>
    <m/>
    <s v="MX4000002S0001890"/>
    <x v="0"/>
    <x v="1"/>
    <s v="R13"/>
    <s v="R13"/>
    <x v="0"/>
    <d v="2025-03-04T00:00:00"/>
    <s v="есть"/>
    <x v="1"/>
    <s v="1 ось"/>
    <s v="002-2013E50Q13-OK"/>
    <x v="0"/>
  </r>
  <r>
    <x v="367"/>
    <m/>
    <s v="MX4000002S0001887"/>
    <x v="0"/>
    <x v="1"/>
    <s v="R13"/>
    <s v="R13"/>
    <x v="0"/>
    <d v="2025-03-04T00:00:00"/>
    <s v="есть"/>
    <x v="1"/>
    <s v="1 ось"/>
    <s v="002-2013E50Q13-OK"/>
    <x v="0"/>
  </r>
  <r>
    <x v="368"/>
    <m/>
    <s v="MX4000002S0001888"/>
    <x v="0"/>
    <x v="1"/>
    <s v="R13"/>
    <s v="R13"/>
    <x v="0"/>
    <d v="2025-03-04T00:00:00"/>
    <s v="есть"/>
    <x v="1"/>
    <s v="1 ось"/>
    <s v="002-2013E50Q13-OK"/>
    <x v="0"/>
  </r>
  <r>
    <x v="369"/>
    <m/>
    <s v="MX4000002S0001889"/>
    <x v="0"/>
    <x v="1"/>
    <s v="R13"/>
    <s v="R13"/>
    <x v="0"/>
    <d v="2025-03-04T00:00:00"/>
    <s v="есть"/>
    <x v="1"/>
    <s v="1 ось"/>
    <s v="002-2013E50Q13-OK"/>
    <x v="0"/>
  </r>
  <r>
    <x v="370"/>
    <m/>
    <s v="MX4000002S0001880"/>
    <x v="0"/>
    <x v="2"/>
    <s v="R13"/>
    <s v="R13"/>
    <x v="0"/>
    <d v="2025-03-04T00:00:00"/>
    <s v="есть"/>
    <x v="1"/>
    <s v="1 ось"/>
    <s v="002-2013E30Q13-OK"/>
    <x v="0"/>
  </r>
  <r>
    <x v="371"/>
    <m/>
    <s v="MX4000002S0001881"/>
    <x v="0"/>
    <x v="1"/>
    <s v="R13"/>
    <s v="R13"/>
    <x v="0"/>
    <d v="2025-03-04T00:00:00"/>
    <s v="есть"/>
    <x v="1"/>
    <s v="1 ось"/>
    <s v="002-2013E50Q13-OK"/>
    <x v="0"/>
  </r>
  <r>
    <x v="372"/>
    <m/>
    <s v="MX4000002S0001882"/>
    <x v="0"/>
    <x v="0"/>
    <s v="R13"/>
    <s v="R13"/>
    <x v="0"/>
    <d v="2025-03-04T00:00:00"/>
    <s v="есть"/>
    <x v="1"/>
    <s v="1 ось"/>
    <s v="002-2013Q13-OK"/>
    <x v="0"/>
  </r>
  <r>
    <x v="373"/>
    <m/>
    <s v="MX4000002S0001883"/>
    <x v="0"/>
    <x v="2"/>
    <s v="R13"/>
    <s v="R13"/>
    <x v="0"/>
    <d v="2025-03-04T00:00:00"/>
    <s v="есть"/>
    <x v="1"/>
    <s v="1 ось"/>
    <s v="002-2013E30Q13-OK"/>
    <x v="0"/>
  </r>
  <r>
    <x v="374"/>
    <m/>
    <s v="MX4000002S0001884"/>
    <x v="0"/>
    <x v="2"/>
    <s v="R13"/>
    <s v="R13"/>
    <x v="0"/>
    <d v="2025-03-04T00:00:00"/>
    <s v="есть"/>
    <x v="1"/>
    <s v="1 ось"/>
    <s v="002-2013E30Q13-OK"/>
    <x v="0"/>
  </r>
  <r>
    <x v="375"/>
    <m/>
    <s v="MX4000002S0002047"/>
    <x v="0"/>
    <x v="1"/>
    <s v="R13"/>
    <s v="R13"/>
    <x v="0"/>
    <d v="2025-03-19T00:00:00"/>
    <s v="есть"/>
    <x v="0"/>
    <s v="1 ось"/>
    <s v="002-2013E50Q13-OK"/>
    <x v="0"/>
  </r>
  <r>
    <x v="376"/>
    <m/>
    <s v="MX4000002S0002046"/>
    <x v="1"/>
    <x v="2"/>
    <s v="R13"/>
    <s v="R13"/>
    <x v="0"/>
    <d v="2025-03-20T00:00:00"/>
    <s v="есть"/>
    <x v="0"/>
    <s v="1 ось"/>
    <s v="002-2513E30Q13-OK"/>
    <x v="0"/>
  </r>
  <r>
    <x v="377"/>
    <m/>
    <s v="MX4000002S0002051"/>
    <x v="0"/>
    <x v="1"/>
    <s v="R13"/>
    <s v="R13"/>
    <x v="0"/>
    <d v="2025-03-26T00:00:00"/>
    <s v="есть"/>
    <x v="0"/>
    <s v="1 ось"/>
    <s v="002-2013E50Q13-OK"/>
    <x v="0"/>
  </r>
  <r>
    <x v="378"/>
    <m/>
    <s v="MX4000002R0001860"/>
    <x v="0"/>
    <x v="2"/>
    <s v="R13"/>
    <s v="R13"/>
    <x v="0"/>
    <d v="2024-12-12T00:00:00"/>
    <s v="нет"/>
    <x v="1"/>
    <s v="1 ось"/>
    <s v="002-2013E30Q13"/>
    <x v="0"/>
  </r>
  <r>
    <x v="379"/>
    <m/>
    <s v="MX4000002R0001608"/>
    <x v="1"/>
    <x v="1"/>
    <s v="R13"/>
    <s v="R13"/>
    <x v="0"/>
    <d v="2024-12-12T00:00:00"/>
    <s v="есть"/>
    <x v="0"/>
    <s v="1 ось"/>
    <s v="002-2513E50Q13-OK"/>
    <x v="0"/>
  </r>
  <r>
    <x v="380"/>
    <m/>
    <s v="MX4000002S0002048"/>
    <x v="1"/>
    <x v="1"/>
    <s v="R13"/>
    <s v="R13"/>
    <x v="1"/>
    <d v="2025-03-28T00:00:00"/>
    <s v="есть"/>
    <x v="0"/>
    <s v="1 ось"/>
    <s v="002-2513E50Q13-OK30"/>
    <x v="0"/>
  </r>
  <r>
    <x v="381"/>
    <m/>
    <s v="MX4000002S0001965"/>
    <x v="1"/>
    <x v="1"/>
    <s v="R13"/>
    <s v="R13"/>
    <x v="0"/>
    <d v="2025-03-28T00:00:00"/>
    <s v="есть"/>
    <x v="0"/>
    <s v="1 ось"/>
    <s v="002-2513E50Q13-OK"/>
    <x v="0"/>
  </r>
  <r>
    <x v="382"/>
    <m/>
    <s v="MX4000002S0001976"/>
    <x v="1"/>
    <x v="1"/>
    <s v="R13"/>
    <s v="R13"/>
    <x v="0"/>
    <d v="2025-03-29T00:00:00"/>
    <s v="есть"/>
    <x v="2"/>
    <s v="1 ось"/>
    <s v="002-2513E50Q13-OK"/>
    <x v="0"/>
  </r>
  <r>
    <x v="383"/>
    <m/>
    <s v="MX4000002S0002058"/>
    <x v="0"/>
    <x v="2"/>
    <s v="R13"/>
    <s v="R13"/>
    <x v="0"/>
    <d v="2025-03-27T00:00:00"/>
    <s v="есть"/>
    <x v="0"/>
    <s v="1 ось"/>
    <s v="002-2013E30Q13-OK"/>
    <x v="0"/>
  </r>
  <r>
    <x v="384"/>
    <m/>
    <s v="MX4000002S0002057"/>
    <x v="0"/>
    <x v="1"/>
    <s v="R13"/>
    <s v="R13"/>
    <x v="1"/>
    <d v="2025-03-31T00:00:00"/>
    <s v="есть"/>
    <x v="0"/>
    <s v="1 ось"/>
    <s v="002-2013E50Q13-OK30"/>
    <x v="0"/>
  </r>
  <r>
    <x v="385"/>
    <m/>
    <s v="MX4000002S0002053"/>
    <x v="2"/>
    <x v="2"/>
    <s v="R13"/>
    <s v="R13"/>
    <x v="0"/>
    <d v="2025-04-01T00:00:00"/>
    <s v="есть"/>
    <x v="1"/>
    <s v="1 ось"/>
    <s v="002-2515E30Q13-OK"/>
    <x v="0"/>
  </r>
  <r>
    <x v="386"/>
    <m/>
    <s v="MX4000002S0002059"/>
    <x v="0"/>
    <x v="2"/>
    <s v="R13"/>
    <s v="R13"/>
    <x v="2"/>
    <d v="2025-04-02T00:00:00"/>
    <s v="есть"/>
    <x v="0"/>
    <s v="1 ось"/>
    <s v="002-2013E30Q13-OK60"/>
    <x v="0"/>
  </r>
  <r>
    <x v="387"/>
    <m/>
    <s v="MX4000002R0001870"/>
    <x v="0"/>
    <x v="2"/>
    <s v="R13"/>
    <s v="R13"/>
    <x v="0"/>
    <d v="2024-12-12T00:00:00"/>
    <s v="есть"/>
    <x v="1"/>
    <s v="1 ось"/>
    <s v="002-2013E30Q13-OK"/>
    <x v="0"/>
  </r>
  <r>
    <x v="388"/>
    <m/>
    <s v="MX4000002R0001871"/>
    <x v="0"/>
    <x v="1"/>
    <s v="R13"/>
    <s v="R13"/>
    <x v="0"/>
    <d v="2024-12-13T00:00:00"/>
    <s v="есть"/>
    <x v="1"/>
    <s v="1 ось"/>
    <s v="002-2013E50Q13-OK"/>
    <x v="0"/>
  </r>
  <r>
    <x v="389"/>
    <m/>
    <s v="MX4000002R0001637"/>
    <x v="1"/>
    <x v="1"/>
    <s v="R13"/>
    <s v="R13"/>
    <x v="0"/>
    <d v="2024-12-13T00:00:00"/>
    <s v="есть"/>
    <x v="1"/>
    <s v="1 ось"/>
    <s v="002-2513E50Q13-OK"/>
    <x v="0"/>
  </r>
  <r>
    <x v="390"/>
    <m/>
    <s v="MX4000002S0002056"/>
    <x v="1"/>
    <x v="1"/>
    <s v="R13"/>
    <s v="R13"/>
    <x v="0"/>
    <d v="2025-04-03T00:00:00"/>
    <s v="есть"/>
    <x v="2"/>
    <s v="1 ось"/>
    <s v="002-2513E50Q13-OK"/>
    <x v="0"/>
  </r>
  <r>
    <x v="391"/>
    <m/>
    <s v="MX4000002S0002085"/>
    <x v="0"/>
    <x v="1"/>
    <s v="R13"/>
    <s v="R13"/>
    <x v="0"/>
    <d v="2025-04-04T00:00:00"/>
    <s v="есть"/>
    <x v="0"/>
    <s v="1 ось"/>
    <s v="002-2013E50Q13-OK"/>
    <x v="0"/>
  </r>
  <r>
    <x v="392"/>
    <m/>
    <s v="MX4000002S0002073"/>
    <x v="0"/>
    <x v="1"/>
    <s v="R13"/>
    <s v="R13"/>
    <x v="0"/>
    <d v="2025-04-04T00:00:00"/>
    <s v="есть"/>
    <x v="0"/>
    <s v="1 ось"/>
    <s v="002-2013E50Q13-OK"/>
    <x v="0"/>
  </r>
  <r>
    <x v="393"/>
    <m/>
    <s v="MX4000002S0002070"/>
    <x v="2"/>
    <x v="2"/>
    <s v="R13"/>
    <s v="R13"/>
    <x v="4"/>
    <d v="2025-04-01T00:00:00"/>
    <s v="есть"/>
    <x v="0"/>
    <s v="1 ось"/>
    <s v="002-2515E30Q13-OK120"/>
    <x v="0"/>
  </r>
  <r>
    <x v="394"/>
    <m/>
    <s v="MX4000002S0002086"/>
    <x v="0"/>
    <x v="1"/>
    <s v="R13"/>
    <s v="R13"/>
    <x v="0"/>
    <d v="2025-04-07T00:00:00"/>
    <s v="есть"/>
    <x v="0"/>
    <s v="1 ось"/>
    <s v="002-2013E50Q13-OK"/>
    <x v="0"/>
  </r>
  <r>
    <x v="395"/>
    <m/>
    <s v="MX4000002S0002084"/>
    <x v="0"/>
    <x v="1"/>
    <s v="R13"/>
    <s v="R13"/>
    <x v="2"/>
    <d v="2025-04-07T00:00:00"/>
    <s v="есть"/>
    <x v="0"/>
    <s v="1 ось"/>
    <s v="002-2013E50Q13-OK60"/>
    <x v="0"/>
  </r>
  <r>
    <x v="396"/>
    <m/>
    <s v="MX4000002S0002055"/>
    <x v="0"/>
    <x v="1"/>
    <s v="R13"/>
    <s v="R13"/>
    <x v="0"/>
    <d v="2025-04-07T00:00:00"/>
    <s v="есть"/>
    <x v="2"/>
    <s v="1 ось"/>
    <s v="002-2013E50Q13-OK"/>
    <x v="0"/>
  </r>
  <r>
    <x v="397"/>
    <m/>
    <s v="MX4000002S0002054"/>
    <x v="0"/>
    <x v="1"/>
    <s v="R13"/>
    <s v="R13"/>
    <x v="0"/>
    <d v="2025-04-07T00:00:00"/>
    <s v="есть"/>
    <x v="2"/>
    <s v="1 ось"/>
    <s v="002-2013E50Q13-OK"/>
    <x v="0"/>
  </r>
  <r>
    <x v="398"/>
    <m/>
    <s v="MX4000004S0001956"/>
    <x v="3"/>
    <x v="1"/>
    <s v="R13"/>
    <s v="R13"/>
    <x v="4"/>
    <d v="2025-07-04T00:00:00"/>
    <s v="есть"/>
    <x v="2"/>
    <s v="2 оси"/>
    <s v="002-3015E50Q13-OK120"/>
    <x v="0"/>
  </r>
  <r>
    <x v="399"/>
    <m/>
    <s v="MX4000002S0001977"/>
    <x v="1"/>
    <x v="1"/>
    <s v="R15"/>
    <s v="R15"/>
    <x v="0"/>
    <d v="2025-07-04T00:00:00"/>
    <s v="есть"/>
    <x v="2"/>
    <s v="1 ось"/>
    <s v="002-2513E50Q15-OK"/>
    <x v="0"/>
  </r>
  <r>
    <x v="400"/>
    <m/>
    <s v="MX4000002S0001982"/>
    <x v="1"/>
    <x v="1"/>
    <s v="R13"/>
    <s v="R13"/>
    <x v="0"/>
    <d v="2025-07-04T00:00:00"/>
    <s v="есть"/>
    <x v="2"/>
    <s v="1 ось"/>
    <s v="002-2513E50Q13-OK"/>
    <x v="0"/>
  </r>
  <r>
    <x v="401"/>
    <m/>
    <s v="MX4000002S0001897"/>
    <x v="0"/>
    <x v="1"/>
    <s v="R13"/>
    <s v="R13"/>
    <x v="0"/>
    <d v="2025-04-01T00:00:00"/>
    <s v="есть"/>
    <x v="1"/>
    <s v="1 ось"/>
    <s v="002-2013E50Q13-OK"/>
    <x v="0"/>
  </r>
  <r>
    <x v="402"/>
    <m/>
    <s v="MX4000002S0002045"/>
    <x v="0"/>
    <x v="1"/>
    <s v="R13"/>
    <s v="R13"/>
    <x v="1"/>
    <d v="2025-04-08T00:00:00"/>
    <s v="есть"/>
    <x v="0"/>
    <s v="1 ось"/>
    <s v="002-2013E50Q13-OK30"/>
    <x v="0"/>
  </r>
  <r>
    <x v="403"/>
    <m/>
    <s v="MX4000004S0002075"/>
    <x v="4"/>
    <x v="1"/>
    <s v="R13"/>
    <s v="R13"/>
    <x v="4"/>
    <d v="2025-04-10T00:00:00"/>
    <s v="есть"/>
    <x v="2"/>
    <s v="2 оси"/>
    <s v="002-3515E50Q13-OK120"/>
    <x v="0"/>
  </r>
  <r>
    <x v="404"/>
    <m/>
    <s v="MX4000004S0002077"/>
    <x v="4"/>
    <x v="1"/>
    <s v="R13"/>
    <s v="R13"/>
    <x v="4"/>
    <d v="2025-04-10T00:00:00"/>
    <s v="есть"/>
    <x v="2"/>
    <s v="2 оси"/>
    <s v="002-3515E50Q13-OK120"/>
    <x v="0"/>
  </r>
  <r>
    <x v="405"/>
    <m/>
    <s v="MX4000004S0002074"/>
    <x v="4"/>
    <x v="1"/>
    <s v="R13"/>
    <s v="R13"/>
    <x v="4"/>
    <d v="2025-04-10T00:00:00"/>
    <s v="есть"/>
    <x v="2"/>
    <s v="2 оси"/>
    <s v="002-3515E50Q13-OK120"/>
    <x v="0"/>
  </r>
  <r>
    <x v="406"/>
    <m/>
    <s v="MX4000004S0002072"/>
    <x v="4"/>
    <x v="1"/>
    <s v="R13"/>
    <s v="R13"/>
    <x v="4"/>
    <d v="2025-04-10T00:00:00"/>
    <s v="есть"/>
    <x v="2"/>
    <s v="2 оси"/>
    <s v="002-3515E50Q13-OK120"/>
    <x v="0"/>
  </r>
  <r>
    <x v="407"/>
    <m/>
    <s v="MX4000004S0002076"/>
    <x v="4"/>
    <x v="1"/>
    <s v="R13"/>
    <s v="R13"/>
    <x v="4"/>
    <d v="2025-04-10T00:00:00"/>
    <s v="есть"/>
    <x v="2"/>
    <s v="2 оси"/>
    <s v="002-3515E50Q13-OK120"/>
    <x v="0"/>
  </r>
  <r>
    <x v="408"/>
    <m/>
    <s v="MX4000004S0002071"/>
    <x v="4"/>
    <x v="1"/>
    <s v="R13"/>
    <s v="R13"/>
    <x v="4"/>
    <d v="2025-04-10T00:00:00"/>
    <s v="есть"/>
    <x v="2"/>
    <s v="2 оси"/>
    <s v="002-3515E50Q13-OK120"/>
    <x v="0"/>
  </r>
  <r>
    <x v="409"/>
    <m/>
    <s v="MX4000004S0002078"/>
    <x v="4"/>
    <x v="1"/>
    <s v="R13"/>
    <s v="R13"/>
    <x v="4"/>
    <d v="2025-04-10T00:00:00"/>
    <s v="есть"/>
    <x v="2"/>
    <s v="2 оси"/>
    <s v="002-3515E50Q13-OK120"/>
    <x v="0"/>
  </r>
  <r>
    <x v="410"/>
    <m/>
    <s v="MX4000004S0002079"/>
    <x v="4"/>
    <x v="1"/>
    <s v="R13"/>
    <s v="R13"/>
    <x v="4"/>
    <d v="2024-04-10T00:00:00"/>
    <s v="есть"/>
    <x v="2"/>
    <s v="2 оси"/>
    <s v="002-3515E50Q13-OK120"/>
    <x v="0"/>
  </r>
  <r>
    <x v="411"/>
    <m/>
    <s v="MX4000004S0001985"/>
    <x v="4"/>
    <x v="1"/>
    <s v="R13"/>
    <s v="R13"/>
    <x v="4"/>
    <d v="2025-04-10T00:00:00"/>
    <s v="есть"/>
    <x v="2"/>
    <s v="2 оси"/>
    <s v="002-3515E50Q13-OK120"/>
    <x v="0"/>
  </r>
  <r>
    <x v="412"/>
    <m/>
    <s v="MX4000004S0001986"/>
    <x v="4"/>
    <x v="1"/>
    <s v="R13"/>
    <s v="R13"/>
    <x v="4"/>
    <d v="2025-04-10T00:00:00"/>
    <s v="есть"/>
    <x v="2"/>
    <s v="2 оси"/>
    <s v="002-3515E50Q13-OK120"/>
    <x v="0"/>
  </r>
  <r>
    <x v="413"/>
    <m/>
    <s v="MX4000002S0001978"/>
    <x v="1"/>
    <x v="2"/>
    <s v="R13"/>
    <s v="R13"/>
    <x v="0"/>
    <d v="2025-03-06T00:00:00"/>
    <s v="есть"/>
    <x v="0"/>
    <s v="1 ось"/>
    <s v="002-2513E30Q13-OK"/>
    <x v="0"/>
  </r>
  <r>
    <x v="414"/>
    <m/>
    <s v="MX4000002S0001983"/>
    <x v="1"/>
    <x v="2"/>
    <s v="R13"/>
    <s v="R13"/>
    <x v="0"/>
    <d v="2025-03-06T00:00:00"/>
    <s v="есть"/>
    <x v="0"/>
    <s v="1 ось"/>
    <s v="002-2513E30Q13-OK"/>
    <x v="0"/>
  </r>
  <r>
    <x v="415"/>
    <m/>
    <s v="MX4000002S0001910"/>
    <x v="0"/>
    <x v="2"/>
    <s v="R13"/>
    <s v="R13"/>
    <x v="0"/>
    <d v="2025-03-19T00:00:00"/>
    <s v="есть"/>
    <x v="1"/>
    <s v="1 ось"/>
    <s v="002-2013E30Q13-OK"/>
    <x v="0"/>
  </r>
  <r>
    <x v="416"/>
    <m/>
    <s v="MX4000002S0002081"/>
    <x v="0"/>
    <x v="1"/>
    <s v="R13"/>
    <s v="R13"/>
    <x v="1"/>
    <d v="2025-04-15T00:00:00"/>
    <s v="есть"/>
    <x v="0"/>
    <s v="1 ось"/>
    <s v="002-2013E50Q13-OK30"/>
    <x v="0"/>
  </r>
  <r>
    <x v="417"/>
    <m/>
    <s v="MX4000002S0001924"/>
    <x v="0"/>
    <x v="1"/>
    <s v="R13"/>
    <s v="R13"/>
    <x v="0"/>
    <d v="2025-04-15T00:00:00"/>
    <s v="есть"/>
    <x v="1"/>
    <s v="1 ось"/>
    <s v="002-2013E50Q13-OK"/>
    <x v="0"/>
  </r>
  <r>
    <x v="418"/>
    <m/>
    <s v="MX4000002S0001984"/>
    <x v="1"/>
    <x v="1"/>
    <s v="R13"/>
    <s v="R13"/>
    <x v="2"/>
    <d v="2025-04-14T00:00:00"/>
    <s v="есть"/>
    <x v="0"/>
    <s v="1 ось"/>
    <s v="002-2513E50Q13-OK60"/>
    <x v="0"/>
  </r>
  <r>
    <x v="419"/>
    <m/>
    <s v="MX4000002S0002080"/>
    <x v="0"/>
    <x v="1"/>
    <s v="R13"/>
    <s v="R13"/>
    <x v="2"/>
    <d v="2025-04-14T00:00:00"/>
    <s v="есть"/>
    <x v="0"/>
    <s v="1 ось"/>
    <s v="002-2013E50Q13-OK60"/>
    <x v="0"/>
  </r>
  <r>
    <x v="420"/>
    <m/>
    <s v="MX4000002S0002087"/>
    <x v="0"/>
    <x v="1"/>
    <s v="R13"/>
    <s v="R13"/>
    <x v="0"/>
    <d v="2025-04-02T00:00:00"/>
    <s v="есть"/>
    <x v="0"/>
    <s v="1 ось"/>
    <s v="002-2013E50Q13-OK"/>
    <x v="0"/>
  </r>
  <r>
    <x v="421"/>
    <m/>
    <s v="MX4000002S0002088"/>
    <x v="0"/>
    <x v="1"/>
    <s v="R13"/>
    <s v="R13"/>
    <x v="1"/>
    <d v="2025-04-09T00:00:00"/>
    <s v="есть"/>
    <x v="0"/>
    <s v="1 ось"/>
    <s v="002-2013E50Q13-OK30"/>
    <x v="0"/>
  </r>
  <r>
    <x v="422"/>
    <m/>
    <s v="MX4000002S0002092"/>
    <x v="0"/>
    <x v="1"/>
    <s v="R13"/>
    <s v="R13"/>
    <x v="0"/>
    <d v="2025-03-19T00:00:00"/>
    <s v="есть"/>
    <x v="0"/>
    <s v="1 ось"/>
    <s v="002-2013E50Q13-OK"/>
    <x v="0"/>
  </r>
  <r>
    <x v="423"/>
    <m/>
    <s v="MX4000003S0002093"/>
    <x v="0"/>
    <x v="0"/>
    <s v="R13"/>
    <s v="R13"/>
    <x v="0"/>
    <d v="2025-04-16T00:00:00"/>
    <s v="есть"/>
    <x v="0"/>
    <s v="1 ось"/>
    <s v="002-2013Q13-OK"/>
    <x v="0"/>
  </r>
  <r>
    <x v="424"/>
    <m/>
    <s v="MX4000004S0002089"/>
    <x v="3"/>
    <x v="2"/>
    <s v="R13"/>
    <s v="R13"/>
    <x v="0"/>
    <d v="2025-04-17T00:00:00"/>
    <s v="есть"/>
    <x v="2"/>
    <s v="2 оси"/>
    <s v="002-3015E30Q13-OK"/>
    <x v="0"/>
  </r>
  <r>
    <x v="425"/>
    <m/>
    <s v="MX4000002S0001911"/>
    <x v="0"/>
    <x v="2"/>
    <s v="R13"/>
    <s v="R13"/>
    <x v="0"/>
    <d v="2025-04-02T00:00:00"/>
    <s v="нет"/>
    <x v="1"/>
    <s v="1 ось"/>
    <s v="002-2013E30Q13"/>
    <x v="0"/>
  </r>
  <r>
    <x v="426"/>
    <m/>
    <s v="MX4000002S0001925"/>
    <x v="0"/>
    <x v="1"/>
    <s v="R13"/>
    <s v="R13"/>
    <x v="0"/>
    <d v="2025-03-13T00:00:00"/>
    <s v="есть"/>
    <x v="1"/>
    <s v="1 ось"/>
    <s v="002-2013E50Q13-OK"/>
    <x v="0"/>
  </r>
  <r>
    <x v="427"/>
    <m/>
    <s v="MX4000002S0002094"/>
    <x v="0"/>
    <x v="1"/>
    <s v="R13"/>
    <s v="R13"/>
    <x v="0"/>
    <d v="2025-04-21T00:00:00"/>
    <s v="есть"/>
    <x v="0"/>
    <s v="1 ось"/>
    <s v="002-2013E50Q13-OK"/>
    <x v="0"/>
  </r>
  <r>
    <x v="428"/>
    <m/>
    <s v="MX4000002S0002095"/>
    <x v="0"/>
    <x v="1"/>
    <s v="R13"/>
    <s v="R13"/>
    <x v="0"/>
    <d v="2025-04-21T00:00:00"/>
    <s v="есть"/>
    <x v="2"/>
    <s v="1 ось"/>
    <s v="002-2013E50Q13-OK"/>
    <x v="1"/>
  </r>
  <r>
    <x v="429"/>
    <m/>
    <s v="MX4000002S0002097"/>
    <x v="0"/>
    <x v="1"/>
    <s v="R13"/>
    <s v="R13"/>
    <x v="1"/>
    <d v="2025-04-21T00:00:00"/>
    <s v="есть"/>
    <x v="2"/>
    <s v="1 ось"/>
    <s v="002-2013E50Q13-OK30"/>
    <x v="0"/>
  </r>
  <r>
    <x v="430"/>
    <m/>
    <s v="MX4000002S0002100"/>
    <x v="0"/>
    <x v="1"/>
    <s v="R13"/>
    <s v="R13"/>
    <x v="1"/>
    <d v="2025-04-21T00:00:00"/>
    <s v="есть"/>
    <x v="2"/>
    <s v="1 ось"/>
    <s v="002-2013E50Q13-OK30"/>
    <x v="1"/>
  </r>
  <r>
    <x v="431"/>
    <m/>
    <s v="MX4000002S0002101"/>
    <x v="0"/>
    <x v="1"/>
    <s v="R13"/>
    <s v="R13"/>
    <x v="0"/>
    <d v="2025-04-21T00:00:00"/>
    <s v="есть"/>
    <x v="2"/>
    <s v="1 ось"/>
    <s v="002-2013E50Q13-OK"/>
    <x v="0"/>
  </r>
  <r>
    <x v="432"/>
    <m/>
    <s v="MX4000002S0002105"/>
    <x v="2"/>
    <x v="2"/>
    <s v="R13"/>
    <s v="R13"/>
    <x v="0"/>
    <d v="2025-04-02T00:00:00"/>
    <s v="есть"/>
    <x v="1"/>
    <s v="1 ось"/>
    <s v="002-2515E30Q13-OK"/>
    <x v="0"/>
  </r>
  <r>
    <x v="433"/>
    <m/>
    <s v="MX4000002S0002082"/>
    <x v="0"/>
    <x v="2"/>
    <s v="R13"/>
    <s v="R13"/>
    <x v="1"/>
    <d v="2025-04-22T00:00:00"/>
    <s v="есть"/>
    <x v="0"/>
    <s v="1 ось"/>
    <s v="002-2013E30Q13-OK30"/>
    <x v="0"/>
  </r>
  <r>
    <x v="434"/>
    <m/>
    <s v="MX4000002S0002103"/>
    <x v="0"/>
    <x v="1"/>
    <s v="R13"/>
    <s v="R13"/>
    <x v="0"/>
    <d v="2025-04-22T00:00:00"/>
    <s v="есть"/>
    <x v="2"/>
    <s v="1 ось"/>
    <s v="002-2013E50Q13-OK"/>
    <x v="0"/>
  </r>
  <r>
    <x v="435"/>
    <m/>
    <s v="MX4000002S0002104"/>
    <x v="0"/>
    <x v="2"/>
    <s v="R13"/>
    <s v="R13"/>
    <x v="1"/>
    <d v="2025-04-22T00:00:00"/>
    <s v="есть"/>
    <x v="2"/>
    <s v="1 ось"/>
    <s v="002-2013E30Q13-OK30"/>
    <x v="0"/>
  </r>
  <r>
    <x v="436"/>
    <m/>
    <s v="MX4000004S0002107"/>
    <x v="3"/>
    <x v="1"/>
    <s v="R13"/>
    <s v="R13"/>
    <x v="0"/>
    <d v="2025-04-22T00:00:00"/>
    <s v="есть"/>
    <x v="0"/>
    <s v="2 оси"/>
    <s v="002-3015E50Q13-OK"/>
    <x v="0"/>
  </r>
  <r>
    <x v="437"/>
    <m/>
    <s v="MX4000002S0002108"/>
    <x v="0"/>
    <x v="1"/>
    <s v="R13"/>
    <s v="R13"/>
    <x v="1"/>
    <d v="2025-04-24T00:00:00"/>
    <s v="есть"/>
    <x v="2"/>
    <s v="1 ось"/>
    <s v="002-2013E50Q13-OK30"/>
    <x v="0"/>
  </r>
  <r>
    <x v="438"/>
    <m/>
    <s v="MX4000002S0002083"/>
    <x v="0"/>
    <x v="2"/>
    <s v="R13"/>
    <s v="R13"/>
    <x v="0"/>
    <d v="2025-04-24T00:00:00"/>
    <s v="есть"/>
    <x v="0"/>
    <s v="1 ось"/>
    <s v="002-2013E30Q13-OK"/>
    <x v="0"/>
  </r>
  <r>
    <x v="439"/>
    <m/>
    <s v="MX4000002S0002098"/>
    <x v="1"/>
    <x v="2"/>
    <s v="R13"/>
    <s v="R13"/>
    <x v="0"/>
    <d v="2025-04-24T00:00:00"/>
    <s v="есть"/>
    <x v="2"/>
    <s v="1 ось"/>
    <s v="002-2513E30Q13-OK"/>
    <x v="0"/>
  </r>
  <r>
    <x v="440"/>
    <m/>
    <s v="MX4000005S0002112"/>
    <x v="2"/>
    <x v="0"/>
    <s v="R13"/>
    <s v="R13"/>
    <x v="0"/>
    <d v="2025-04-24T00:00:00"/>
    <s v="есть"/>
    <x v="0"/>
    <s v="2 оси"/>
    <s v="002-2515Q13-OK"/>
    <x v="0"/>
  </r>
  <r>
    <x v="441"/>
    <m/>
    <s v="MX4000002S0002115"/>
    <x v="0"/>
    <x v="1"/>
    <s v="R13"/>
    <s v="R13"/>
    <x v="1"/>
    <d v="2025-04-20T00:00:00"/>
    <s v="есть"/>
    <x v="2"/>
    <s v="1 ось"/>
    <s v="002-2013E50Q13-OK30"/>
    <x v="0"/>
  </r>
  <r>
    <x v="442"/>
    <m/>
    <s v="MX4000002S0001926"/>
    <x v="0"/>
    <x v="1"/>
    <s v="R13"/>
    <s v="R13"/>
    <x v="0"/>
    <d v="2025-04-10T00:00:00"/>
    <s v="есть"/>
    <x v="1"/>
    <s v="1 ось"/>
    <s v="002-2013E50Q13-OK"/>
    <x v="0"/>
  </r>
  <r>
    <x v="443"/>
    <m/>
    <s v="MX4000002S0001916"/>
    <x v="0"/>
    <x v="1"/>
    <s v="R13"/>
    <s v="R13"/>
    <x v="0"/>
    <d v="2025-04-10T00:00:00"/>
    <s v="есть"/>
    <x v="1"/>
    <s v="1 ось"/>
    <s v="002-2013E50Q13-OK"/>
    <x v="0"/>
  </r>
  <r>
    <x v="444"/>
    <m/>
    <s v="MX4000002S0002099"/>
    <x v="1"/>
    <x v="1"/>
    <s v="R13"/>
    <s v="R13"/>
    <x v="0"/>
    <d v="2025-04-25T00:00:00"/>
    <s v="есть"/>
    <x v="2"/>
    <s v="1 ось"/>
    <s v="002-2513E50Q13-OK"/>
    <x v="0"/>
  </r>
  <r>
    <x v="445"/>
    <m/>
    <s v="MX4000002S0001915"/>
    <x v="0"/>
    <x v="1"/>
    <s v="R13"/>
    <s v="R13"/>
    <x v="0"/>
    <d v="2025-04-26T00:00:00"/>
    <s v="есть"/>
    <x v="1"/>
    <s v="1 ось"/>
    <s v="002-2013E50Q13-OK"/>
    <x v="0"/>
  </r>
  <r>
    <x v="446"/>
    <m/>
    <s v="MX4000002S0001931"/>
    <x v="0"/>
    <x v="2"/>
    <s v="R13"/>
    <s v="R13"/>
    <x v="0"/>
    <d v="2025-04-10T00:00:00"/>
    <s v="есть"/>
    <x v="1"/>
    <s v="1 ось"/>
    <s v="002-2013E30Q13-OK"/>
    <x v="0"/>
  </r>
  <r>
    <x v="447"/>
    <m/>
    <s v="MX4000002R0001614"/>
    <x v="1"/>
    <x v="1"/>
    <s v="R13"/>
    <s v="R13"/>
    <x v="0"/>
    <d v="2024-12-12T00:00:00"/>
    <s v="есть"/>
    <x v="1"/>
    <s v="1 ось"/>
    <s v="002-2513E50Q13-OK"/>
    <x v="0"/>
  </r>
  <r>
    <x v="448"/>
    <m/>
    <s v="MX4000002S0002118"/>
    <x v="1"/>
    <x v="2"/>
    <s v="R13"/>
    <s v="R13"/>
    <x v="0"/>
    <d v="2025-04-23T00:00:00"/>
    <s v="есть"/>
    <x v="0"/>
    <s v="1 ось"/>
    <s v="002-2513E30Q13-OK"/>
    <x v="0"/>
  </r>
  <r>
    <x v="449"/>
    <m/>
    <s v="MX4000002S0002117"/>
    <x v="0"/>
    <x v="1"/>
    <s v="R13"/>
    <s v="R13"/>
    <x v="1"/>
    <d v="2025-04-29T00:00:00"/>
    <s v="есть"/>
    <x v="2"/>
    <s v="1 ось"/>
    <s v="002-2013E50Q13-OK30"/>
    <x v="0"/>
  </r>
  <r>
    <x v="450"/>
    <m/>
    <s v="MX4000002S0002091"/>
    <x v="1"/>
    <x v="1"/>
    <s v="R13"/>
    <s v="R13"/>
    <x v="0"/>
    <d v="2025-04-30T00:00:00"/>
    <s v="есть"/>
    <x v="2"/>
    <s v="1 ось"/>
    <s v="002-2513E50Q13-OK"/>
    <x v="0"/>
  </r>
  <r>
    <x v="451"/>
    <m/>
    <s v="MX4000002S0002109"/>
    <x v="0"/>
    <x v="2"/>
    <s v="R13"/>
    <s v="R13"/>
    <x v="0"/>
    <d v="2025-04-23T00:00:00"/>
    <s v="есть"/>
    <x v="2"/>
    <s v="1 ось"/>
    <s v="002-2013E30Q13-OK"/>
    <x v="0"/>
  </r>
  <r>
    <x v="452"/>
    <m/>
    <s v="MX4000002S0002116"/>
    <x v="0"/>
    <x v="2"/>
    <s v="R13"/>
    <s v="R13"/>
    <x v="1"/>
    <d v="2025-05-04T00:00:00"/>
    <s v="есть"/>
    <x v="2"/>
    <s v="1 ось"/>
    <s v="002-2013E30Q13-OK30"/>
    <x v="0"/>
  </r>
  <r>
    <x v="453"/>
    <m/>
    <s v="MX4000002S0001918"/>
    <x v="0"/>
    <x v="1"/>
    <s v="R13"/>
    <s v="R13"/>
    <x v="0"/>
    <d v="2025-05-02T00:00:00"/>
    <s v="есть"/>
    <x v="1"/>
    <s v="1 ось"/>
    <s v="002-2013E50Q13-OK"/>
    <x v="0"/>
  </r>
  <r>
    <x v="454"/>
    <m/>
    <s v="MX4000002S0002120"/>
    <x v="0"/>
    <x v="1"/>
    <s v="R13"/>
    <s v="R13"/>
    <x v="1"/>
    <d v="2025-05-05T00:00:00"/>
    <s v="есть"/>
    <x v="0"/>
    <s v="1 ось"/>
    <s v="002-2013E50Q13-OK30"/>
    <x v="0"/>
  </r>
  <r>
    <x v="455"/>
    <m/>
    <s v="MX4000002S0001920"/>
    <x v="0"/>
    <x v="2"/>
    <s v="R13"/>
    <s v="R13"/>
    <x v="0"/>
    <d v="2025-05-05T00:00:00"/>
    <s v="есть"/>
    <x v="1"/>
    <s v="1 ось"/>
    <s v="002-2013E30Q13-OK"/>
    <x v="0"/>
  </r>
  <r>
    <x v="456"/>
    <m/>
    <s v="MX4000002S0002113"/>
    <x v="0"/>
    <x v="2"/>
    <s v="R13"/>
    <s v="R13"/>
    <x v="0"/>
    <d v="2025-05-02T00:00:00"/>
    <s v="есть"/>
    <x v="0"/>
    <s v="1 ось"/>
    <s v="002-2013E30Q13-OK"/>
    <x v="0"/>
  </r>
  <r>
    <x v="457"/>
    <m/>
    <s v="MX4000002S0002102"/>
    <x v="0"/>
    <x v="1"/>
    <s v="R13"/>
    <s v="R13"/>
    <x v="0"/>
    <d v="2025-05-05T00:00:00"/>
    <s v="есть"/>
    <x v="2"/>
    <s v="1 ось"/>
    <s v="002-2013E50Q13-OK"/>
    <x v="1"/>
  </r>
  <r>
    <x v="458"/>
    <m/>
    <s v="MX4000004S0002111"/>
    <x v="2"/>
    <x v="2"/>
    <s v="R13"/>
    <s v="R13"/>
    <x v="4"/>
    <d v="2025-05-05T00:00:00"/>
    <s v="есть"/>
    <x v="2"/>
    <s v="2 оси"/>
    <s v="002-2515E30Q13-OK120"/>
    <x v="0"/>
  </r>
  <r>
    <x v="459"/>
    <m/>
    <s v="MX4000002S0002090"/>
    <x v="1"/>
    <x v="1"/>
    <s v="R13"/>
    <s v="R13"/>
    <x v="0"/>
    <d v="2025-05-05T00:00:00"/>
    <s v="есть"/>
    <x v="2"/>
    <s v="1 ось"/>
    <s v="002-2513E50Q13-OK"/>
    <x v="0"/>
  </r>
  <r>
    <x v="460"/>
    <m/>
    <s v="MX4000002S0002114"/>
    <x v="0"/>
    <x v="1"/>
    <s v="R13"/>
    <s v="R13"/>
    <x v="0"/>
    <d v="2025-05-05T00:00:00"/>
    <s v="есть"/>
    <x v="2"/>
    <s v="1 ось"/>
    <s v="002-2013E50Q13-OK"/>
    <x v="0"/>
  </r>
  <r>
    <x v="461"/>
    <m/>
    <s v="MX4000002S0002096"/>
    <x v="1"/>
    <x v="1"/>
    <s v="R13"/>
    <s v="R13"/>
    <x v="0"/>
    <d v="2025-05-05T00:00:00"/>
    <s v="есть"/>
    <x v="2"/>
    <s v="1 ось"/>
    <s v="002-2513E50Q13-OK"/>
    <x v="0"/>
  </r>
  <r>
    <x v="462"/>
    <m/>
    <s v="MX4000002S0001979"/>
    <x v="1"/>
    <x v="1"/>
    <s v="R13"/>
    <s v="R13"/>
    <x v="4"/>
    <d v="2025-05-05T00:00:00"/>
    <s v="есть"/>
    <x v="2"/>
    <s v="1 ось"/>
    <s v="002-2513E50Q13-OK120"/>
    <x v="0"/>
  </r>
  <r>
    <x v="463"/>
    <m/>
    <s v="MX4000002R0001610"/>
    <x v="1"/>
    <x v="1"/>
    <s v="R13"/>
    <s v="R13"/>
    <x v="1"/>
    <d v="2024-12-12T00:00:00"/>
    <s v="есть"/>
    <x v="0"/>
    <s v="1 ось"/>
    <s v="002-2513E50Q13-OK30"/>
    <x v="0"/>
  </r>
  <r>
    <x v="464"/>
    <m/>
    <s v="MX4000002S0001923"/>
    <x v="0"/>
    <x v="2"/>
    <s v="R13"/>
    <s v="R13"/>
    <x v="0"/>
    <d v="2025-05-06T00:00:00"/>
    <s v="есть"/>
    <x v="1"/>
    <s v="1 ось"/>
    <s v="002-2013E30Q13-OK"/>
    <x v="0"/>
  </r>
  <r>
    <x v="465"/>
    <m/>
    <s v="MX4000002S0002122"/>
    <x v="1"/>
    <x v="1"/>
    <s v="R13"/>
    <s v="R13"/>
    <x v="0"/>
    <d v="2025-05-06T00:00:00"/>
    <s v="есть"/>
    <x v="0"/>
    <s v="1 ось"/>
    <s v="002-2513E50Q13-OK"/>
    <x v="0"/>
  </r>
  <r>
    <x v="466"/>
    <m/>
    <s v="MX4000002S0002123"/>
    <x v="0"/>
    <x v="1"/>
    <s v="R13"/>
    <s v="R13"/>
    <x v="0"/>
    <d v="2025-05-06T00:00:00"/>
    <s v="есть"/>
    <x v="0"/>
    <s v="1 ось"/>
    <s v="002-2013E50Q13-OK"/>
    <x v="0"/>
  </r>
  <r>
    <x v="467"/>
    <m/>
    <s v="MX4000002S0001919"/>
    <x v="0"/>
    <x v="1"/>
    <s v="R13"/>
    <s v="R13"/>
    <x v="0"/>
    <d v="2025-04-10T00:00:00"/>
    <s v="есть"/>
    <x v="1"/>
    <s v="1 ось"/>
    <s v="002-2013E50Q13-OK"/>
    <x v="0"/>
  </r>
  <r>
    <x v="468"/>
    <m/>
    <s v="MX4000002S0002136"/>
    <x v="0"/>
    <x v="2"/>
    <s v="R13"/>
    <s v="R13"/>
    <x v="0"/>
    <d v="2025-05-12T00:00:00"/>
    <s v="есть"/>
    <x v="0"/>
    <s v="1 ось"/>
    <s v="002-2013E30Q13-OK"/>
    <x v="0"/>
  </r>
  <r>
    <x v="469"/>
    <m/>
    <s v="MX4000002S0001929"/>
    <x v="0"/>
    <x v="1"/>
    <s v="R13"/>
    <s v="R13"/>
    <x v="0"/>
    <d v="2025-05-13T00:00:00"/>
    <s v="есть"/>
    <x v="1"/>
    <s v="1 ось"/>
    <s v="002-2013E50Q13-OK"/>
    <x v="0"/>
  </r>
  <r>
    <x v="470"/>
    <m/>
    <s v="MX4000002S0002140"/>
    <x v="0"/>
    <x v="2"/>
    <s v="R13"/>
    <s v="R13"/>
    <x v="0"/>
    <d v="2025-05-13T00:00:00"/>
    <s v="есть"/>
    <x v="0"/>
    <s v="1 ось"/>
    <s v="002-2013E30Q13-OK"/>
    <x v="0"/>
  </r>
  <r>
    <x v="471"/>
    <m/>
    <s v="MX4000002S0002147"/>
    <x v="0"/>
    <x v="2"/>
    <s v="R13"/>
    <s v="R13"/>
    <x v="1"/>
    <d v="2025-05-14T00:00:00"/>
    <s v="есть"/>
    <x v="2"/>
    <s v="1 ось"/>
    <s v="002-2013E30Q13-OK30"/>
    <x v="0"/>
  </r>
  <r>
    <x v="472"/>
    <m/>
    <s v="MX4000002S0002145"/>
    <x v="0"/>
    <x v="1"/>
    <s v="R13"/>
    <s v="R13"/>
    <x v="2"/>
    <d v="2025-12-05T00:00:00"/>
    <s v="есть"/>
    <x v="2"/>
    <s v="1 ось"/>
    <s v="002-2013E50Q13-OK60"/>
    <x v="0"/>
  </r>
  <r>
    <x v="473"/>
    <m/>
    <s v="MX4000002S0002141"/>
    <x v="0"/>
    <x v="2"/>
    <s v="R13"/>
    <s v="R13"/>
    <x v="1"/>
    <d v="2025-05-14T00:00:00"/>
    <s v="есть"/>
    <x v="2"/>
    <s v="1 ось"/>
    <s v="002-2013E30Q13-OK30"/>
    <x v="0"/>
  </r>
  <r>
    <x v="474"/>
    <m/>
    <s v="MX4000002S0002142"/>
    <x v="0"/>
    <x v="2"/>
    <s v="R13"/>
    <s v="R13"/>
    <x v="0"/>
    <d v="2025-05-14T00:00:00"/>
    <s v="есть"/>
    <x v="2"/>
    <s v="1 ось"/>
    <s v="002-2013E30Q13-OK"/>
    <x v="0"/>
  </r>
  <r>
    <x v="475"/>
    <m/>
    <s v="MX4000002S0002146"/>
    <x v="0"/>
    <x v="1"/>
    <s v="R13"/>
    <s v="R13"/>
    <x v="0"/>
    <d v="2025-05-14T00:00:00"/>
    <s v="есть"/>
    <x v="2"/>
    <s v="1 ось"/>
    <s v="002-2013E50Q13-OK"/>
    <x v="0"/>
  </r>
  <r>
    <x v="476"/>
    <m/>
    <s v="MX4000002S0002149"/>
    <x v="0"/>
    <x v="2"/>
    <s v="R13"/>
    <s v="R13"/>
    <x v="0"/>
    <d v="2025-05-14T00:00:00"/>
    <s v="есть"/>
    <x v="0"/>
    <s v="1 ось"/>
    <s v="002-2013E30Q13-OK"/>
    <x v="0"/>
  </r>
  <r>
    <x v="477"/>
    <m/>
    <s v="MX4000002S0001921"/>
    <x v="0"/>
    <x v="1"/>
    <s v="R13"/>
    <s v="R13"/>
    <x v="0"/>
    <d v="2025-05-15T00:00:00"/>
    <s v="есть"/>
    <x v="1"/>
    <s v="1 ось"/>
    <s v="002-2013E50Q13-OK"/>
    <x v="0"/>
  </r>
  <r>
    <x v="478"/>
    <m/>
    <s v="MX4000004S0002150"/>
    <x v="4"/>
    <x v="1"/>
    <s v="R13"/>
    <s v="R13"/>
    <x v="0"/>
    <d v="2025-05-16T00:00:00"/>
    <s v="есть"/>
    <x v="2"/>
    <s v="2 оси"/>
    <s v="004-3515E50Q13-OK"/>
    <x v="0"/>
  </r>
  <r>
    <x v="479"/>
    <m/>
    <s v="MX4000002S0001930"/>
    <x v="0"/>
    <x v="1"/>
    <s v="R13"/>
    <s v="R13"/>
    <x v="0"/>
    <d v="2025-05-17T00:00:00"/>
    <s v="есть"/>
    <x v="1"/>
    <s v="1 ось"/>
    <s v="002-2013E50Q13-OK"/>
    <x v="0"/>
  </r>
  <r>
    <x v="480"/>
    <m/>
    <s v="MX4000002S0002155"/>
    <x v="0"/>
    <x v="2"/>
    <s v="R13"/>
    <s v="R13"/>
    <x v="0"/>
    <d v="2025-05-17T00:00:00"/>
    <s v="есть"/>
    <x v="0"/>
    <s v="1 ось"/>
    <s v="002-2013E30Q13-OK"/>
    <x v="0"/>
  </r>
  <r>
    <x v="481"/>
    <m/>
    <s v="MX4000002S0001968"/>
    <x v="0"/>
    <x v="2"/>
    <s v="R13"/>
    <s v="R13"/>
    <x v="0"/>
    <d v="2025-05-19T00:00:00"/>
    <s v="есть"/>
    <x v="2"/>
    <s v="1 ось"/>
    <s v="002-2013E30Q13-OK"/>
    <x v="0"/>
  </r>
  <r>
    <x v="482"/>
    <m/>
    <s v="MX4000002S0002158"/>
    <x v="0"/>
    <x v="1"/>
    <s v="R13"/>
    <s v="R13"/>
    <x v="0"/>
    <d v="2025-05-19T00:00:00"/>
    <s v="есть"/>
    <x v="0"/>
    <s v="1 ось"/>
    <s v="002-2013E50Q13-OK"/>
    <x v="0"/>
  </r>
  <r>
    <x v="483"/>
    <m/>
    <s v="MX4000004S0002133"/>
    <x v="3"/>
    <x v="2"/>
    <s v="R13"/>
    <s v="R13"/>
    <x v="4"/>
    <d v="2025-05-05T00:00:00"/>
    <s v="есть"/>
    <x v="1"/>
    <s v="2 оси"/>
    <s v="002-3015E30Q13-OK120"/>
    <x v="0"/>
  </r>
  <r>
    <x v="484"/>
    <m/>
    <s v="MX4000002S0002151"/>
    <x v="0"/>
    <x v="1"/>
    <s v="R13"/>
    <s v="R13"/>
    <x v="1"/>
    <d v="2025-05-19T00:00:00"/>
    <s v="есть"/>
    <x v="2"/>
    <s v="1 ось"/>
    <s v="002-2013E50Q13-OK30"/>
    <x v="0"/>
  </r>
  <r>
    <x v="485"/>
    <m/>
    <s v="MX4000002S0001963"/>
    <x v="0"/>
    <x v="2"/>
    <s v="R13"/>
    <s v="R13"/>
    <x v="0"/>
    <d v="2025-05-15T00:00:00"/>
    <s v="есть"/>
    <x v="1"/>
    <s v="1 ось"/>
    <s v="002-2013E30Q13-OK"/>
    <x v="0"/>
  </r>
  <r>
    <x v="486"/>
    <m/>
    <s v="MX4000002S0002148"/>
    <x v="0"/>
    <x v="1"/>
    <s v="R13"/>
    <s v="R13"/>
    <x v="1"/>
    <d v="2025-05-19T00:00:00"/>
    <s v="есть"/>
    <x v="2"/>
    <s v="1 ось"/>
    <s v="002-2013E50Q13-OK30"/>
    <x v="0"/>
  </r>
  <r>
    <x v="487"/>
    <m/>
    <s v="MX4000002S0002159"/>
    <x v="0"/>
    <x v="1"/>
    <s v="R13"/>
    <s v="R13"/>
    <x v="1"/>
    <d v="2025-05-19T00:00:00"/>
    <s v="есть"/>
    <x v="2"/>
    <s v="1 ось"/>
    <s v="002-2013E50Q13-OK30"/>
    <x v="0"/>
  </r>
  <r>
    <x v="488"/>
    <m/>
    <s v="MX4000002S0001957"/>
    <x v="3"/>
    <x v="0"/>
    <s v="R13"/>
    <s v="R13"/>
    <x v="0"/>
    <d v="2025-05-19T00:00:00"/>
    <s v="есть"/>
    <x v="2"/>
    <s v="1 ось"/>
    <s v="002-3015Q13-OK"/>
    <x v="1"/>
  </r>
  <r>
    <x v="489"/>
    <m/>
    <s v="MX4000004S0002192"/>
    <x v="3"/>
    <x v="2"/>
    <s v="R13"/>
    <s v="R13"/>
    <x v="0"/>
    <d v="2025-05-19T00:00:00"/>
    <s v="есть"/>
    <x v="2"/>
    <s v="2 оси"/>
    <s v="002-3015E30Q13-OK"/>
    <x v="0"/>
  </r>
  <r>
    <x v="490"/>
    <m/>
    <s v="MX4000002S0002153"/>
    <x v="2"/>
    <x v="2"/>
    <s v="R13"/>
    <s v="R13"/>
    <x v="0"/>
    <d v="2025-05-19T00:00:00"/>
    <s v="есть"/>
    <x v="2"/>
    <s v="1 ось"/>
    <s v="002-2515E30Q13-OK"/>
    <x v="1"/>
  </r>
  <r>
    <x v="491"/>
    <m/>
    <s v="MX4000002S0002154"/>
    <x v="2"/>
    <x v="1"/>
    <s v="R13"/>
    <s v="R13"/>
    <x v="0"/>
    <d v="2025-05-19T00:00:00"/>
    <s v="есть"/>
    <x v="2"/>
    <s v="1 ось"/>
    <s v="002-2515E50Q13-OK"/>
    <x v="0"/>
  </r>
  <r>
    <x v="492"/>
    <m/>
    <s v="MX4000002S0002162"/>
    <x v="0"/>
    <x v="1"/>
    <s v="R13"/>
    <s v="R13"/>
    <x v="1"/>
    <d v="2025-05-20T00:00:00"/>
    <s v="есть"/>
    <x v="0"/>
    <s v="1 ось"/>
    <s v="002-2013E50Q13-OK30"/>
    <x v="0"/>
  </r>
  <r>
    <x v="493"/>
    <m/>
    <s v="MX4000002S0002166"/>
    <x v="0"/>
    <x v="1"/>
    <s v="R13"/>
    <s v="R13"/>
    <x v="0"/>
    <d v="2025-05-21T00:00:00"/>
    <s v="есть"/>
    <x v="0"/>
    <s v="1 ось"/>
    <s v="002-2013E50Q13-OK"/>
    <x v="0"/>
  </r>
  <r>
    <x v="494"/>
    <m/>
    <s v="MX4000002S0002164"/>
    <x v="0"/>
    <x v="1"/>
    <s v="R13"/>
    <s v="R13"/>
    <x v="2"/>
    <d v="2025-05-21T00:00:00"/>
    <s v="есть"/>
    <x v="0"/>
    <s v="1 ось"/>
    <s v="002-2013E50Q13-OK60"/>
    <x v="0"/>
  </r>
  <r>
    <x v="495"/>
    <m/>
    <s v="MX4000004S0002161"/>
    <x v="2"/>
    <x v="2"/>
    <s v="R13"/>
    <s v="R13"/>
    <x v="4"/>
    <d v="2025-05-22T00:00:00"/>
    <s v="есть"/>
    <x v="2"/>
    <s v="2 оси"/>
    <s v="002-2515E30Q13-OK120"/>
    <x v="0"/>
  </r>
  <r>
    <x v="496"/>
    <m/>
    <s v="MX4000002S0002167"/>
    <x v="0"/>
    <x v="1"/>
    <s v="R13"/>
    <s v="R13"/>
    <x v="1"/>
    <d v="2025-05-22T00:00:00"/>
    <s v="есть"/>
    <x v="2"/>
    <s v="1 ось"/>
    <s v="002-2013E50Q13-OK30"/>
    <x v="0"/>
  </r>
  <r>
    <x v="497"/>
    <m/>
    <s v="MX4000002S0002169"/>
    <x v="0"/>
    <x v="1"/>
    <s v="R13"/>
    <s v="R13"/>
    <x v="1"/>
    <d v="2025-05-23T00:00:00"/>
    <s v="есть"/>
    <x v="2"/>
    <s v="1 ось"/>
    <s v="002-2013E50Q13-OK30"/>
    <x v="0"/>
  </r>
  <r>
    <x v="498"/>
    <m/>
    <s v="MX4000002S0002168"/>
    <x v="0"/>
    <x v="1"/>
    <s v="R13"/>
    <s v="R13"/>
    <x v="1"/>
    <d v="2025-05-23T00:00:00"/>
    <s v="есть"/>
    <x v="2"/>
    <s v="1 ось"/>
    <s v="002-2013E50Q13-OK30"/>
    <x v="0"/>
  </r>
  <r>
    <x v="499"/>
    <m/>
    <s v="MX4000002S0002170"/>
    <x v="1"/>
    <x v="1"/>
    <s v="R13"/>
    <s v="R13"/>
    <x v="2"/>
    <d v="2025-05-23T00:00:00"/>
    <s v="есть"/>
    <x v="0"/>
    <s v="1 ось"/>
    <s v="002-2513E50Q13-OK60"/>
    <x v="0"/>
  </r>
  <r>
    <x v="500"/>
    <m/>
    <s v="MX4000002S0002171"/>
    <x v="0"/>
    <x v="1"/>
    <s v="R13"/>
    <s v="R13"/>
    <x v="1"/>
    <d v="2025-05-23T00:00:00"/>
    <s v="есть"/>
    <x v="0"/>
    <s v="1 ось"/>
    <s v="002-2013E50Q13-OK30"/>
    <x v="0"/>
  </r>
  <r>
    <x v="501"/>
    <m/>
    <s v="MX4000002S0002163"/>
    <x v="0"/>
    <x v="1"/>
    <s v="R13"/>
    <s v="R13"/>
    <x v="1"/>
    <d v="2025-05-24T00:00:00"/>
    <s v="есть"/>
    <x v="2"/>
    <s v="1 ось"/>
    <s v="002-2013E50Q13-OK30"/>
    <x v="0"/>
  </r>
  <r>
    <x v="502"/>
    <m/>
    <s v="MX4000002S0002128"/>
    <x v="1"/>
    <x v="2"/>
    <s v="R13"/>
    <s v="R13"/>
    <x v="0"/>
    <d v="2025-05-13T00:00:00"/>
    <s v="есть"/>
    <x v="1"/>
    <s v="1 ось"/>
    <s v="002-2513E30Q13-OK"/>
    <x v="0"/>
  </r>
  <r>
    <x v="503"/>
    <m/>
    <s v="MX4000004S0002172"/>
    <x v="2"/>
    <x v="2"/>
    <s v="R13"/>
    <s v="R13"/>
    <x v="0"/>
    <d v="2025-05-26T00:00:00"/>
    <s v="есть"/>
    <x v="0"/>
    <s v="2 оси"/>
    <s v="002-2515E30Q13-OK"/>
    <x v="0"/>
  </r>
  <r>
    <x v="504"/>
    <m/>
    <s v="MX4000002S0001913"/>
    <x v="0"/>
    <x v="1"/>
    <s v="R13"/>
    <s v="R13"/>
    <x v="0"/>
    <d v="2025-05-22T00:00:00"/>
    <s v="есть"/>
    <x v="1"/>
    <s v="1 ось"/>
    <s v="002-2013E50Q13-OK"/>
    <x v="0"/>
  </r>
  <r>
    <x v="505"/>
    <m/>
    <s v="MX4000002S0002160"/>
    <x v="1"/>
    <x v="1"/>
    <s v="R13"/>
    <s v="R13"/>
    <x v="0"/>
    <d v="2025-05-27T00:00:00"/>
    <s v="есть"/>
    <x v="2"/>
    <s v="1 ось"/>
    <s v="002-2513E50Q13-OK"/>
    <x v="0"/>
  </r>
  <r>
    <x v="506"/>
    <m/>
    <s v="MX4000004S0002106"/>
    <x v="4"/>
    <x v="2"/>
    <s v="R13"/>
    <s v="R13"/>
    <x v="0"/>
    <d v="2025-05-20T00:00:00"/>
    <s v="есть"/>
    <x v="1"/>
    <s v="2 оси"/>
    <s v="002-3515E30Q13-OK"/>
    <x v="0"/>
  </r>
  <r>
    <x v="507"/>
    <m/>
    <s v="MX4000002S0002165"/>
    <x v="1"/>
    <x v="2"/>
    <s v="R13"/>
    <s v="R13"/>
    <x v="0"/>
    <d v="2025-05-27T00:00:00"/>
    <s v="есть"/>
    <x v="2"/>
    <s v="1 ось"/>
    <s v="002-2513E30Q13-OK"/>
    <x v="0"/>
  </r>
  <r>
    <x v="508"/>
    <m/>
    <s v="MX4000002S0001912"/>
    <x v="0"/>
    <x v="2"/>
    <s v="R13"/>
    <s v="R13"/>
    <x v="0"/>
    <d v="2025-05-12T00:00:00"/>
    <s v="есть"/>
    <x v="1"/>
    <s v="1 ось"/>
    <s v="002-2013E30Q13-OK"/>
    <x v="0"/>
  </r>
  <r>
    <x v="509"/>
    <m/>
    <s v="MX4000002S0002125"/>
    <x v="1"/>
    <x v="1"/>
    <s v="R13"/>
    <s v="R13"/>
    <x v="0"/>
    <d v="2025-05-13T00:00:00"/>
    <s v="есть"/>
    <x v="1"/>
    <s v="1 ось"/>
    <s v="002-2513E50Q13-OK"/>
    <x v="0"/>
  </r>
  <r>
    <x v="510"/>
    <m/>
    <s v="MX4000002S0001964"/>
    <x v="0"/>
    <x v="2"/>
    <s v="R13"/>
    <s v="R13"/>
    <x v="0"/>
    <d v="2025-05-27T00:00:00"/>
    <s v="есть"/>
    <x v="1"/>
    <s v="1 ось"/>
    <s v="002-2013E30Q13-OK"/>
    <x v="0"/>
  </r>
  <r>
    <x v="511"/>
    <m/>
    <s v="MX4000002S0002173"/>
    <x v="1"/>
    <x v="1"/>
    <s v="R13"/>
    <s v="R13"/>
    <x v="0"/>
    <d v="2025-05-21T00:00:00"/>
    <s v="есть"/>
    <x v="0"/>
    <s v="1 ось"/>
    <s v="002-2513E50Q13-OK"/>
    <x v="0"/>
  </r>
  <r>
    <x v="512"/>
    <m/>
    <s v="MX4000002S0002179"/>
    <x v="0"/>
    <x v="1"/>
    <s v="R13"/>
    <s v="R13"/>
    <x v="3"/>
    <d v="2025-05-29T00:00:00"/>
    <s v="есть"/>
    <x v="0"/>
    <s v="1 ось"/>
    <s v="002-2013E50Q13-OK90"/>
    <x v="0"/>
  </r>
  <r>
    <x v="513"/>
    <m/>
    <s v="MX4000002S0002180"/>
    <x v="1"/>
    <x v="1"/>
    <s v="R13"/>
    <s v="R13"/>
    <x v="0"/>
    <d v="2025-05-29T00:00:00"/>
    <s v="есть"/>
    <x v="2"/>
    <s v="1 ось"/>
    <s v="002-2513E50Q13-OK"/>
    <x v="0"/>
  </r>
  <r>
    <x v="514"/>
    <m/>
    <s v="MX4000002S0002181"/>
    <x v="0"/>
    <x v="1"/>
    <s v="R13"/>
    <s v="R13"/>
    <x v="1"/>
    <d v="2025-05-30T00:00:00"/>
    <s v="есть"/>
    <x v="0"/>
    <s v="1 ось"/>
    <s v="002-2013E50Q13-OK30"/>
    <x v="0"/>
  </r>
  <r>
    <x v="515"/>
    <m/>
    <s v="MX4000002S0002178"/>
    <x v="0"/>
    <x v="1"/>
    <s v="R13"/>
    <s v="R13"/>
    <x v="1"/>
    <d v="2025-05-30T00:00:00"/>
    <s v="есть"/>
    <x v="2"/>
    <s v="1 ось"/>
    <s v="002-2013E50Q13-OK30"/>
    <x v="0"/>
  </r>
  <r>
    <x v="516"/>
    <m/>
    <s v="MX4000002S0002174"/>
    <x v="0"/>
    <x v="2"/>
    <s v="R13"/>
    <s v="R13"/>
    <x v="0"/>
    <d v="2025-05-30T00:00:00"/>
    <s v="есть"/>
    <x v="0"/>
    <s v="1 ось"/>
    <s v="002-2013E30Q13-OK"/>
    <x v="0"/>
  </r>
  <r>
    <x v="517"/>
    <m/>
    <s v="MX4000002S0001927"/>
    <x v="0"/>
    <x v="1"/>
    <s v="R13"/>
    <s v="R13"/>
    <x v="0"/>
    <d v="2025-05-30T00:00:00"/>
    <s v="есть"/>
    <x v="1"/>
    <s v="1 ось"/>
    <s v="002-2013E50Q13-OK"/>
    <x v="0"/>
  </r>
  <r>
    <x v="518"/>
    <m/>
    <s v="MX4000002S0002175"/>
    <x v="0"/>
    <x v="2"/>
    <s v="R13"/>
    <s v="R13"/>
    <x v="0"/>
    <d v="2025-06-02T00:00:00"/>
    <s v="есть"/>
    <x v="2"/>
    <s v="1 ось"/>
    <s v="002-2013E30Q13-OK"/>
    <x v="0"/>
  </r>
  <r>
    <x v="519"/>
    <m/>
    <s v="MX4000002S0002183"/>
    <x v="0"/>
    <x v="2"/>
    <s v="R13"/>
    <s v="R13"/>
    <x v="0"/>
    <d v="2025-06-02T00:00:00"/>
    <s v="есть"/>
    <x v="2"/>
    <s v="1 ось"/>
    <s v="002-2013E30Q13-OK"/>
    <x v="0"/>
  </r>
  <r>
    <x v="520"/>
    <m/>
    <s v="MX4000002S0002182"/>
    <x v="0"/>
    <x v="2"/>
    <s v="R13"/>
    <s v="R13"/>
    <x v="0"/>
    <d v="2025-06-02T00:00:00"/>
    <s v="есть"/>
    <x v="2"/>
    <s v="1 ось"/>
    <s v="002-2013E30Q13-OK"/>
    <x v="0"/>
  </r>
  <r>
    <x v="521"/>
    <m/>
    <s v="MX4000002S0002184"/>
    <x v="1"/>
    <x v="1"/>
    <s v="R13"/>
    <s v="R13"/>
    <x v="1"/>
    <d v="2025-06-02T00:00:00"/>
    <s v="есть"/>
    <x v="0"/>
    <s v="1 ось"/>
    <s v="002-2513E50Q13-OK30"/>
    <x v="0"/>
  </r>
  <r>
    <x v="522"/>
    <m/>
    <s v="MX4000004S0002132"/>
    <x v="4"/>
    <x v="2"/>
    <s v="R13"/>
    <s v="R13"/>
    <x v="0"/>
    <d v="2025-06-02T00:00:00"/>
    <s v="есть"/>
    <x v="1"/>
    <s v="2 оси"/>
    <s v="002-3515E30Q13-OK"/>
    <x v="0"/>
  </r>
  <r>
    <x v="523"/>
    <m/>
    <s v="MX4000002S0002176"/>
    <x v="0"/>
    <x v="1"/>
    <s v="R13"/>
    <s v="R13"/>
    <x v="0"/>
    <d v="2025-06-03T00:00:00"/>
    <s v="есть"/>
    <x v="2"/>
    <s v="1 ось"/>
    <s v="002-2013E50Q13-OK"/>
    <x v="0"/>
  </r>
  <r>
    <x v="524"/>
    <m/>
    <s v="MX4000002S0001907"/>
    <x v="0"/>
    <x v="2"/>
    <s v="R13"/>
    <s v="R13"/>
    <x v="0"/>
    <d v="2025-06-03T00:00:00"/>
    <s v="есть"/>
    <x v="1"/>
    <s v="1 ось"/>
    <s v="002-2013E30Q13-OK"/>
    <x v="0"/>
  </r>
  <r>
    <x v="525"/>
    <m/>
    <s v="MX4000002S0002186"/>
    <x v="1"/>
    <x v="2"/>
    <s v="R13"/>
    <s v="R13"/>
    <x v="0"/>
    <d v="2025-06-03T00:00:00"/>
    <s v="есть"/>
    <x v="0"/>
    <s v="1 ось"/>
    <s v="002-2513E30Q13-OK"/>
    <x v="0"/>
  </r>
  <r>
    <x v="526"/>
    <m/>
    <s v="MX4000002S0002188"/>
    <x v="0"/>
    <x v="2"/>
    <s v="R13"/>
    <s v="R13"/>
    <x v="0"/>
    <d v="2025-06-05T00:00:00"/>
    <s v="есть"/>
    <x v="0"/>
    <s v="1 ось"/>
    <s v="002-2013E30Q13-OK"/>
    <x v="0"/>
  </r>
  <r>
    <x v="527"/>
    <m/>
    <s v="MX4000002S0001962"/>
    <x v="0"/>
    <x v="1"/>
    <s v="R13"/>
    <s v="R13"/>
    <x v="0"/>
    <d v="2025-06-05T00:00:00"/>
    <s v="есть"/>
    <x v="1"/>
    <s v="1 ось"/>
    <s v="002-2013E50Q13-OK"/>
    <x v="0"/>
  </r>
  <r>
    <x v="528"/>
    <m/>
    <s v="MX4000002S0002191"/>
    <x v="0"/>
    <x v="2"/>
    <s v="R13"/>
    <s v="R13"/>
    <x v="0"/>
    <d v="2025-06-05T00:00:00"/>
    <s v="есть"/>
    <x v="0"/>
    <s v="1 ось"/>
    <s v="002-2013E30Q13-OK"/>
    <x v="0"/>
  </r>
  <r>
    <x v="529"/>
    <m/>
    <s v="MX4000002S0001914"/>
    <x v="0"/>
    <x v="1"/>
    <s v="R13"/>
    <s v="R13"/>
    <x v="0"/>
    <d v="2025-06-06T00:00:00"/>
    <s v="есть"/>
    <x v="1"/>
    <s v="1 ось"/>
    <s v="002-2013E50Q13-OK"/>
    <x v="0"/>
  </r>
  <r>
    <x v="530"/>
    <m/>
    <s v="MX4000002S0002039"/>
    <x v="0"/>
    <x v="1"/>
    <s v="R13"/>
    <s v="R13"/>
    <x v="0"/>
    <d v="2025-06-06T00:00:00"/>
    <s v="есть"/>
    <x v="1"/>
    <s v="1 ось"/>
    <s v="002-2013E50Q13-OK"/>
    <x v="0"/>
  </r>
  <r>
    <x v="531"/>
    <m/>
    <s v="MX4000002S0001928"/>
    <x v="0"/>
    <x v="2"/>
    <s v="R13"/>
    <s v="R13"/>
    <x v="0"/>
    <d v="2025-05-14T00:00:00"/>
    <s v="есть"/>
    <x v="1"/>
    <s v="1 ось"/>
    <s v="002-2013E30Q13-OK"/>
    <x v="0"/>
  </r>
  <r>
    <x v="532"/>
    <m/>
    <s v="MX4000002S0001917"/>
    <x v="0"/>
    <x v="2"/>
    <s v="R13"/>
    <s v="R13"/>
    <x v="0"/>
    <d v="2025-05-22T00:00:00"/>
    <s v="есть"/>
    <x v="1"/>
    <s v="1 ось"/>
    <s v="002-2013E30Q13-OK"/>
    <x v="0"/>
  </r>
  <r>
    <x v="533"/>
    <m/>
    <s v="MX4000002S0002197"/>
    <x v="3"/>
    <x v="1"/>
    <s v="R13"/>
    <s v="R13"/>
    <x v="4"/>
    <d v="2025-06-11T00:00:00"/>
    <s v="есть"/>
    <x v="0"/>
    <s v="1 ось"/>
    <s v="002-3015E50Q13-OK120"/>
    <x v="0"/>
  </r>
  <r>
    <x v="534"/>
    <m/>
    <s v="MX4000002S0002177"/>
    <x v="0"/>
    <x v="1"/>
    <s v="R13"/>
    <s v="R13"/>
    <x v="1"/>
    <d v="2025-06-11T00:00:00"/>
    <s v="есть"/>
    <x v="2"/>
    <s v="1 ось"/>
    <s v="002-2013E50Q13-OK30"/>
    <x v="0"/>
  </r>
  <r>
    <x v="535"/>
    <m/>
    <s v="MX4000002S0002198"/>
    <x v="1"/>
    <x v="2"/>
    <s v="R13"/>
    <s v="R13"/>
    <x v="2"/>
    <d v="2025-06-10T00:00:00"/>
    <s v="есть"/>
    <x v="0"/>
    <s v="1 ось"/>
    <s v="002-2513E30Q13-OK60"/>
    <x v="0"/>
  </r>
  <r>
    <x v="536"/>
    <m/>
    <s v="MX4000002S0002185"/>
    <x v="0"/>
    <x v="1"/>
    <s v="R13"/>
    <s v="R13"/>
    <x v="1"/>
    <d v="2025-06-12T00:00:00"/>
    <s v="есть"/>
    <x v="2"/>
    <s v="1 ось"/>
    <s v="002-2013E50Q13-OK30"/>
    <x v="0"/>
  </r>
  <r>
    <x v="537"/>
    <m/>
    <s v="MX4000002S0002189"/>
    <x v="1"/>
    <x v="2"/>
    <s v="R13"/>
    <s v="R13"/>
    <x v="2"/>
    <d v="2025-06-15T00:00:00"/>
    <s v="есть"/>
    <x v="2"/>
    <s v="1 ось"/>
    <s v="002-2513E30Q13-OK60"/>
    <x v="0"/>
  </r>
  <r>
    <x v="538"/>
    <m/>
    <s v="MX4000002S0002203"/>
    <x v="1"/>
    <x v="2"/>
    <s v="R13"/>
    <s v="R13"/>
    <x v="0"/>
    <d v="2025-06-15T00:00:00"/>
    <s v="есть"/>
    <x v="2"/>
    <s v="1 ось"/>
    <s v="002-2513E30Q13-OK"/>
    <x v="1"/>
  </r>
  <r>
    <x v="539"/>
    <m/>
    <s v="MX4000002S0002200"/>
    <x v="1"/>
    <x v="1"/>
    <s v="R13"/>
    <s v="R13"/>
    <x v="0"/>
    <d v="2025-06-15T00:00:00"/>
    <s v="есть"/>
    <x v="2"/>
    <s v="1 ось"/>
    <s v="002-2513E50Q13-OK"/>
    <x v="0"/>
  </r>
  <r>
    <x v="540"/>
    <m/>
    <s v="MX4000002S0002030"/>
    <x v="0"/>
    <x v="2"/>
    <s v="R13"/>
    <s v="R13"/>
    <x v="0"/>
    <d v="2025-06-05T00:00:00"/>
    <s v="есть"/>
    <x v="1"/>
    <s v="1 ось"/>
    <s v="002-2013E30Q13-OK"/>
    <x v="0"/>
  </r>
  <r>
    <x v="541"/>
    <m/>
    <s v="MX4000002S0002190"/>
    <x v="0"/>
    <x v="1"/>
    <s v="R13"/>
    <s v="R13"/>
    <x v="0"/>
    <d v="2025-06-16T00:00:00"/>
    <s v="есть"/>
    <x v="0"/>
    <s v="1 ось"/>
    <s v="002-2013E50Q13-OK"/>
    <x v="0"/>
  </r>
  <r>
    <x v="542"/>
    <m/>
    <s v="MX4000002S0002206"/>
    <x v="1"/>
    <x v="1"/>
    <s v="R13"/>
    <s v="R13"/>
    <x v="2"/>
    <d v="2025-06-17T00:00:00"/>
    <s v="есть"/>
    <x v="0"/>
    <s v="1 ось"/>
    <s v="002-2513E50Q13-OK60"/>
    <x v="0"/>
  </r>
  <r>
    <x v="543"/>
    <m/>
    <s v="MX4000002S0001932"/>
    <x v="0"/>
    <x v="1"/>
    <s v="R13"/>
    <s v="R13"/>
    <x v="0"/>
    <d v="2025-06-09T00:00:00"/>
    <s v="есть"/>
    <x v="1"/>
    <s v="1 ось"/>
    <s v="002-2013E50Q13-OK"/>
    <x v="0"/>
  </r>
  <r>
    <x v="544"/>
    <m/>
    <s v="MX4000002S0002110"/>
    <x v="1"/>
    <x v="1"/>
    <s v="R13"/>
    <s v="R13"/>
    <x v="0"/>
    <d v="2025-06-11T00:00:00"/>
    <s v="есть"/>
    <x v="1"/>
    <s v="1 ось"/>
    <s v="002-2513E50Q13-OK"/>
    <x v="0"/>
  </r>
  <r>
    <x v="545"/>
    <m/>
    <s v="MX4000002S0002199"/>
    <x v="0"/>
    <x v="2"/>
    <s v="R13"/>
    <s v="R13"/>
    <x v="1"/>
    <d v="2025-06-18T00:00:00"/>
    <s v="есть"/>
    <x v="0"/>
    <s v="1 ось"/>
    <s v="002-2013E30Q13-OK30"/>
    <x v="0"/>
  </r>
  <r>
    <x v="546"/>
    <m/>
    <s v="MX4000002S0002209"/>
    <x v="1"/>
    <x v="1"/>
    <s v="R13"/>
    <s v="R13"/>
    <x v="3"/>
    <d v="2025-06-20T00:00:00"/>
    <s v="есть"/>
    <x v="0"/>
    <s v="1 ось"/>
    <s v="002-2513E50Q13-OK90"/>
    <x v="0"/>
  </r>
  <r>
    <x v="547"/>
    <m/>
    <s v="MX4000002S0001909"/>
    <x v="0"/>
    <x v="1"/>
    <s v="R13"/>
    <s v="R13"/>
    <x v="0"/>
    <d v="2025-06-10T00:00:00"/>
    <s v="есть"/>
    <x v="1"/>
    <s v="1 ось"/>
    <s v="002-2013E50Q13-OK"/>
    <x v="0"/>
  </r>
  <r>
    <x v="548"/>
    <m/>
    <s v="MX4000002S0002208"/>
    <x v="1"/>
    <x v="1"/>
    <s v="R13"/>
    <s v="R13"/>
    <x v="2"/>
    <d v="2025-06-21T00:00:00"/>
    <s v="есть"/>
    <x v="2"/>
    <s v="1 ось"/>
    <s v="002-2513E50Q13-OK60"/>
    <x v="0"/>
  </r>
  <r>
    <x v="549"/>
    <m/>
    <s v="MX4000002S0002205"/>
    <x v="0"/>
    <x v="1"/>
    <s v="R13"/>
    <s v="R13"/>
    <x v="0"/>
    <d v="2025-06-22T00:00:00"/>
    <s v="есть"/>
    <x v="2"/>
    <s v="1 ось"/>
    <s v="002-2013E50Q13-OK"/>
    <x v="0"/>
  </r>
  <r>
    <x v="550"/>
    <m/>
    <s v="MX4000002S0002204"/>
    <x v="0"/>
    <x v="1"/>
    <s v="R13"/>
    <s v="R13"/>
    <x v="0"/>
    <d v="2025-06-23T00:00:00"/>
    <s v="есть"/>
    <x v="2"/>
    <s v="1 ось"/>
    <s v="002-2013E50Q13-OK"/>
    <x v="0"/>
  </r>
  <r>
    <x v="551"/>
    <m/>
    <s v="MX4000002S0002201"/>
    <x v="1"/>
    <x v="2"/>
    <s v="R13"/>
    <s v="R13"/>
    <x v="0"/>
    <d v="2025-06-23T00:00:00"/>
    <s v="есть"/>
    <x v="2"/>
    <s v="1 ось"/>
    <s v="002-2513E30Q13-OK"/>
    <x v="0"/>
  </r>
  <r>
    <x v="552"/>
    <m/>
    <s v="MX4000002S0002207"/>
    <x v="0"/>
    <x v="1"/>
    <s v="R13"/>
    <s v="R13"/>
    <x v="0"/>
    <d v="2025-06-18T00:00:00"/>
    <s v="есть"/>
    <x v="0"/>
    <s v="1 ось"/>
    <s v="002-2013E50Q13-OK"/>
    <x v="0"/>
  </r>
  <r>
    <x v="553"/>
    <m/>
    <s v="MX4000002S0001969"/>
    <x v="0"/>
    <x v="1"/>
    <s v="R13"/>
    <s v="R13"/>
    <x v="0"/>
    <d v="2025-06-19T00:00:00"/>
    <s v="нет"/>
    <x v="1"/>
    <s v="1 ось"/>
    <s v="002-2013E50Q13"/>
    <x v="0"/>
  </r>
  <r>
    <x v="554"/>
    <m/>
    <s v="MX4000002S0002202"/>
    <x v="0"/>
    <x v="1"/>
    <s v="R13"/>
    <s v="R13"/>
    <x v="0"/>
    <d v="2025-06-12T00:00:00"/>
    <s v="есть"/>
    <x v="0"/>
    <s v="1 ось"/>
    <s v="002-2013E50Q13-OK"/>
    <x v="0"/>
  </r>
  <r>
    <x v="555"/>
    <m/>
    <s v="MX4000002S0002215"/>
    <x v="0"/>
    <x v="1"/>
    <s v="R13"/>
    <s v="R13"/>
    <x v="0"/>
    <d v="2025-06-23T00:00:00"/>
    <s v="есть"/>
    <x v="2"/>
    <s v="1 ось"/>
    <s v="002-2013E50Q13-OK"/>
    <x v="0"/>
  </r>
  <r>
    <x v="556"/>
    <m/>
    <s v="MX4000002S0002212"/>
    <x v="1"/>
    <x v="1"/>
    <s v="R13"/>
    <s v="R13"/>
    <x v="0"/>
    <d v="2025-06-23T00:00:00"/>
    <s v="есть"/>
    <x v="2"/>
    <s v="1 ось"/>
    <s v="002-2513E50Q13-OK"/>
    <x v="0"/>
  </r>
  <r>
    <x v="557"/>
    <m/>
    <s v="MX4000004S0002196"/>
    <x v="2"/>
    <x v="1"/>
    <s v="R13"/>
    <s v="R13"/>
    <x v="0"/>
    <d v="2025-05-24T00:00:00"/>
    <s v="есть"/>
    <x v="2"/>
    <s v="2 оси"/>
    <s v="002-2515E50Q13-OK"/>
    <x v="0"/>
  </r>
  <r>
    <x v="558"/>
    <m/>
    <s v="MX4000002S0002134"/>
    <x v="3"/>
    <x v="1"/>
    <s v="R13"/>
    <s v="R13"/>
    <x v="0"/>
    <d v="2025-06-12T00:00:00"/>
    <s v="есть"/>
    <x v="1"/>
    <s v="1 ось"/>
    <s v="002-3015E50Q13-OK"/>
    <x v="0"/>
  </r>
  <r>
    <x v="559"/>
    <m/>
    <s v="MX4000002S0002216"/>
    <x v="1"/>
    <x v="2"/>
    <s v="R13"/>
    <s v="R13"/>
    <x v="0"/>
    <d v="2025-06-24T00:00:00"/>
    <s v="есть"/>
    <x v="0"/>
    <s v="1 ось"/>
    <s v="002-2513E30Q13-OK"/>
    <x v="0"/>
  </r>
  <r>
    <x v="560"/>
    <m/>
    <s v="MX4000002S0002214"/>
    <x v="1"/>
    <x v="1"/>
    <s v="R13"/>
    <s v="R13"/>
    <x v="0"/>
    <d v="2025-06-24T00:00:00"/>
    <s v="есть"/>
    <x v="2"/>
    <s v="1 ось"/>
    <s v="002-2513E50Q13-OK"/>
    <x v="0"/>
  </r>
  <r>
    <x v="561"/>
    <m/>
    <s v="MX4000002S0002130"/>
    <x v="1"/>
    <x v="1"/>
    <s v="R13"/>
    <s v="R13"/>
    <x v="0"/>
    <d v="2025-06-25T00:00:00"/>
    <s v="есть"/>
    <x v="1"/>
    <s v="1 ось"/>
    <s v="002-2513E50Q13-OK"/>
    <x v="0"/>
  </r>
  <r>
    <x v="562"/>
    <m/>
    <s v="MX4000002S0002217"/>
    <x v="0"/>
    <x v="2"/>
    <s v="R13"/>
    <s v="R13"/>
    <x v="2"/>
    <d v="2025-06-25T00:00:00"/>
    <s v="есть"/>
    <x v="2"/>
    <s v="1 ось"/>
    <s v="002-2013E30Q13-OK60"/>
    <x v="0"/>
  </r>
  <r>
    <x v="563"/>
    <m/>
    <s v="MX4000002S0002031"/>
    <x v="0"/>
    <x v="1"/>
    <s v="R13"/>
    <s v="R13"/>
    <x v="0"/>
    <d v="2025-06-27T00:00:00"/>
    <s v="есть"/>
    <x v="1"/>
    <s v="1 ось"/>
    <s v="002-2013E50Q13-OK"/>
    <x v="0"/>
  </r>
  <r>
    <x v="564"/>
    <m/>
    <s v="MX4000002S0002213"/>
    <x v="1"/>
    <x v="1"/>
    <s v="R13"/>
    <s v="R13"/>
    <x v="0"/>
    <d v="2025-06-30T00:00:00"/>
    <s v="есть"/>
    <x v="2"/>
    <s v="1 ось"/>
    <s v="002-2513E50Q13-OK"/>
    <x v="0"/>
  </r>
  <r>
    <x v="565"/>
    <m/>
    <s v="MX4000002S0001908"/>
    <x v="0"/>
    <x v="2"/>
    <s v="R13"/>
    <s v="R13"/>
    <x v="0"/>
    <d v="2025-05-22T00:00:00"/>
    <s v="есть"/>
    <x v="1"/>
    <s v="1 ось"/>
    <s v="002-2013E30Q13-OK"/>
    <x v="0"/>
  </r>
  <r>
    <x v="566"/>
    <m/>
    <s v="MX4000002S0002035"/>
    <x v="0"/>
    <x v="1"/>
    <s v="R13"/>
    <s v="R13"/>
    <x v="0"/>
    <d v="2025-06-19T00:00:00"/>
    <s v="есть"/>
    <x v="1"/>
    <s v="1 ось"/>
    <s v="002-2013E50Q13-OK"/>
    <x v="0"/>
  </r>
  <r>
    <x v="567"/>
    <m/>
    <s v="MX4000002S0002036"/>
    <x v="0"/>
    <x v="2"/>
    <s v="R13"/>
    <s v="R13"/>
    <x v="0"/>
    <d v="2025-06-25T00:00:00"/>
    <s v="есть"/>
    <x v="1"/>
    <s v="1 ось"/>
    <s v="002-2013E30Q13-OK"/>
    <x v="0"/>
  </r>
  <r>
    <x v="568"/>
    <m/>
    <s v="MX4000002S0002223"/>
    <x v="1"/>
    <x v="1"/>
    <s v="R13"/>
    <s v="R13"/>
    <x v="3"/>
    <d v="2025-07-02T00:00:00"/>
    <s v="есть"/>
    <x v="2"/>
    <s v="1 ось"/>
    <s v="002-2513E50Q13-OK90"/>
    <x v="0"/>
  </r>
  <r>
    <x v="569"/>
    <m/>
    <s v="MX4000002S0002219"/>
    <x v="0"/>
    <x v="2"/>
    <s v="R13"/>
    <s v="R13"/>
    <x v="0"/>
    <d v="2025-07-02T00:00:00"/>
    <s v="есть"/>
    <x v="0"/>
    <s v="1 ось"/>
    <s v="002-2013E30Q13-OK"/>
    <x v="0"/>
  </r>
  <r>
    <x v="570"/>
    <m/>
    <s v="MX4000002S0002218"/>
    <x v="0"/>
    <x v="1"/>
    <s v="R13"/>
    <s v="R13"/>
    <x v="0"/>
    <d v="2025-07-04T00:00:00"/>
    <s v="есть"/>
    <x v="0"/>
    <s v="1 ось"/>
    <s v="002-2013E50Q13-OK"/>
    <x v="0"/>
  </r>
  <r>
    <x v="571"/>
    <m/>
    <s v="MX4000002S0001922"/>
    <x v="0"/>
    <x v="1"/>
    <s v="R13"/>
    <s v="R13"/>
    <x v="0"/>
    <d v="2025-07-02T00:00:00"/>
    <s v="есть"/>
    <x v="1"/>
    <s v="1 ось"/>
    <s v="002-2013E50Q13-OK"/>
    <x v="0"/>
  </r>
  <r>
    <x v="572"/>
    <m/>
    <s v="MX4000002S0002221"/>
    <x v="0"/>
    <x v="1"/>
    <s v="R13"/>
    <s v="R13"/>
    <x v="0"/>
    <d v="2025-07-05T00:00:00"/>
    <s v="есть"/>
    <x v="2"/>
    <s v="1 ось"/>
    <s v="002-2013E50Q13-OK"/>
    <x v="0"/>
  </r>
  <r>
    <x v="573"/>
    <m/>
    <s v="MX4000002S0002225"/>
    <x v="1"/>
    <x v="1"/>
    <s v="R13"/>
    <s v="R13"/>
    <x v="0"/>
    <d v="2025-07-08T00:00:00"/>
    <s v="есть"/>
    <x v="0"/>
    <s v="1 ось"/>
    <s v="002-2513E50Q13-OK"/>
    <x v="0"/>
  </r>
  <r>
    <x v="574"/>
    <m/>
    <s v="MX4000002S0002032"/>
    <x v="0"/>
    <x v="1"/>
    <s v="R13"/>
    <s v="R13"/>
    <x v="0"/>
    <d v="2025-06-30T00:00:00"/>
    <s v="есть"/>
    <x v="1"/>
    <s v="1 ось"/>
    <s v="002-2013E50Q13-OK"/>
    <x v="0"/>
  </r>
  <r>
    <x v="575"/>
    <m/>
    <s v="MX4000002S0001995"/>
    <x v="0"/>
    <x v="1"/>
    <s v="R13"/>
    <s v="R13"/>
    <x v="0"/>
    <d v="2025-06-30T00:00:00"/>
    <s v="есть"/>
    <x v="1"/>
    <s v="1 ось"/>
    <s v="002-2013E50Q13-OK"/>
    <x v="0"/>
  </r>
  <r>
    <x v="576"/>
    <m/>
    <s v="MX4000002S0002228"/>
    <x v="0"/>
    <x v="2"/>
    <s v="R13"/>
    <s v="R13"/>
    <x v="0"/>
    <d v="2025-07-10T00:00:00"/>
    <s v="нет"/>
    <x v="0"/>
    <s v="1 ось"/>
    <s v="002-2013E30Q13"/>
    <x v="0"/>
  </r>
  <r>
    <x v="577"/>
    <m/>
    <s v="MX4000002S0002034"/>
    <x v="0"/>
    <x v="1"/>
    <s v="R13"/>
    <s v="R13"/>
    <x v="0"/>
    <d v="2025-07-09T00:00:00"/>
    <s v="есть"/>
    <x v="1"/>
    <s v="1 ось"/>
    <s v="002-2013E50Q13-OK"/>
    <x v="0"/>
  </r>
  <r>
    <x v="578"/>
    <m/>
    <s v="MX4000002S0002227"/>
    <x v="0"/>
    <x v="1"/>
    <s v="R13"/>
    <s v="R13"/>
    <x v="1"/>
    <d v="2025-07-14T00:00:00"/>
    <s v="есть"/>
    <x v="2"/>
    <s v="1 ось"/>
    <s v="002-2013E50Q13-OK30"/>
    <x v="0"/>
  </r>
  <r>
    <x v="579"/>
    <m/>
    <s v="MX4000002S0002226"/>
    <x v="0"/>
    <x v="2"/>
    <s v="R13"/>
    <s v="R13"/>
    <x v="0"/>
    <d v="2025-07-14T00:00:00"/>
    <s v="есть"/>
    <x v="2"/>
    <s v="1 ось"/>
    <s v="002-2013E30Q13-OK"/>
    <x v="0"/>
  </r>
  <r>
    <x v="580"/>
    <m/>
    <s v="MX4000002S0002229"/>
    <x v="1"/>
    <x v="1"/>
    <s v="R13"/>
    <s v="R13"/>
    <x v="0"/>
    <d v="2025-07-14T00:00:00"/>
    <s v="есть"/>
    <x v="2"/>
    <s v="1 ось"/>
    <s v="002-2513E50Q13-OK"/>
    <x v="0"/>
  </r>
  <r>
    <x v="581"/>
    <m/>
    <s v="MX4000002S0002224"/>
    <x v="0"/>
    <x v="1"/>
    <s v="R13"/>
    <s v="R13"/>
    <x v="0"/>
    <d v="2025-07-14T00:00:00"/>
    <s v="есть"/>
    <x v="2"/>
    <s v="1 ось"/>
    <s v="002-2013E50Q13-OK"/>
    <x v="0"/>
  </r>
  <r>
    <x v="582"/>
    <m/>
    <s v="MX4000002S0002220"/>
    <x v="1"/>
    <x v="2"/>
    <s v="R13"/>
    <s v="R13"/>
    <x v="0"/>
    <d v="2025-07-14T00:00:00"/>
    <s v="есть"/>
    <x v="2"/>
    <s v="1 ось"/>
    <s v="002-2513E30Q13-OK"/>
    <x v="1"/>
  </r>
  <r>
    <x v="583"/>
    <m/>
    <s v="MX4000002S0002033"/>
    <x v="0"/>
    <x v="1"/>
    <s v="R13"/>
    <s v="R13"/>
    <x v="0"/>
    <d v="2025-07-04T00:00:00"/>
    <s v="есть"/>
    <x v="1"/>
    <s v="1 ось"/>
    <s v="002-2013E50Q13-OK"/>
    <x v="0"/>
  </r>
  <r>
    <x v="584"/>
    <m/>
    <s v="MX4000002S0002237"/>
    <x v="0"/>
    <x v="2"/>
    <s v="R13"/>
    <s v="R13"/>
    <x v="0"/>
    <d v="2025-07-15T00:00:00"/>
    <s v="есть"/>
    <x v="2"/>
    <s v="1 ось"/>
    <s v="002-2013E30Q13-OK"/>
    <x v="0"/>
  </r>
  <r>
    <x v="585"/>
    <m/>
    <s v="MX4000002S0002236"/>
    <x v="0"/>
    <x v="1"/>
    <s v="R13"/>
    <s v="R13"/>
    <x v="1"/>
    <d v="2025-07-15T00:00:00"/>
    <s v="есть"/>
    <x v="2"/>
    <s v="1 ось"/>
    <s v="002-2013E50Q13-OK30"/>
    <x v="0"/>
  </r>
  <r>
    <x v="586"/>
    <m/>
    <s v="MX4000002S0002235"/>
    <x v="1"/>
    <x v="1"/>
    <s v="R13"/>
    <s v="R13"/>
    <x v="3"/>
    <d v="2025-07-11T00:00:00"/>
    <s v="есть"/>
    <x v="0"/>
    <s v="1 ось"/>
    <s v="002-2513E50Q13-OK90"/>
    <x v="0"/>
  </r>
  <r>
    <x v="587"/>
    <m/>
    <s v="MX4000002S0002301"/>
    <x v="0"/>
    <x v="1"/>
    <s v="R13"/>
    <s v="R13"/>
    <x v="0"/>
    <d v="2025-07-16T00:00:00"/>
    <s v="есть"/>
    <x v="2"/>
    <s v="1 ось"/>
    <s v="002-2013E50Q13-OK"/>
    <x v="0"/>
  </r>
  <r>
    <x v="588"/>
    <m/>
    <s v="MX4000002S0002231"/>
    <x v="0"/>
    <x v="1"/>
    <s v="R13"/>
    <s v="R13"/>
    <x v="0"/>
    <d v="2025-07-16T00:00:00"/>
    <s v="есть"/>
    <x v="2"/>
    <s v="1 ось"/>
    <s v="002-2013E50Q13-OK"/>
    <x v="0"/>
  </r>
  <r>
    <x v="589"/>
    <m/>
    <s v="MX4000002S0001996"/>
    <x v="0"/>
    <x v="1"/>
    <s v="R13"/>
    <s v="R13"/>
    <x v="0"/>
    <d v="2025-07-16T00:00:00"/>
    <s v="есть"/>
    <x v="1"/>
    <s v="1 ось"/>
    <s v="002-2013E50Q13-OK"/>
    <x v="1"/>
  </r>
  <r>
    <x v="590"/>
    <m/>
    <s v="MX4000002S0002137"/>
    <x v="2"/>
    <x v="2"/>
    <s v="R13"/>
    <s v="R13"/>
    <x v="0"/>
    <d v="2025-07-03T00:00:00"/>
    <s v="есть"/>
    <x v="1"/>
    <s v="1 ось"/>
    <s v="002-2515E30Q13-OK"/>
    <x v="0"/>
  </r>
  <r>
    <x v="591"/>
    <m/>
    <s v="MX4000002S0001994"/>
    <x v="0"/>
    <x v="1"/>
    <s v="R13"/>
    <s v="R13"/>
    <x v="0"/>
    <d v="2025-07-15T00:00:00"/>
    <s v="есть"/>
    <x v="1"/>
    <s v="1 ось"/>
    <s v="002-2013E50Q13-OK"/>
    <x v="1"/>
  </r>
  <r>
    <x v="592"/>
    <m/>
    <s v="MX4000002S0002222"/>
    <x v="1"/>
    <x v="1"/>
    <s v="R13"/>
    <s v="R13"/>
    <x v="3"/>
    <d v="2025-07-17T00:00:00"/>
    <s v="есть"/>
    <x v="2"/>
    <s v="1 ось"/>
    <s v="002-2513E50Q13-OK90"/>
    <x v="0"/>
  </r>
  <r>
    <x v="593"/>
    <m/>
    <s v="MX4000002S0001990"/>
    <x v="0"/>
    <x v="1"/>
    <s v="R13"/>
    <s v="R13"/>
    <x v="0"/>
    <d v="2025-07-16T00:00:00"/>
    <s v="есть"/>
    <x v="1"/>
    <s v="1 ось"/>
    <s v="002-2013E50Q13-OK"/>
    <x v="0"/>
  </r>
  <r>
    <x v="594"/>
    <m/>
    <s v="MX4000002S0001989"/>
    <x v="0"/>
    <x v="2"/>
    <s v="R13"/>
    <s v="R13"/>
    <x v="0"/>
    <d v="2025-07-16T00:00:00"/>
    <s v="есть"/>
    <x v="1"/>
    <s v="1 ось"/>
    <s v="002-2013E30Q13-OK"/>
    <x v="0"/>
  </r>
  <r>
    <x v="595"/>
    <m/>
    <s v="MX4000004S0002241"/>
    <x v="2"/>
    <x v="2"/>
    <s v="R13"/>
    <s v="R13"/>
    <x v="0"/>
    <d v="2025-07-17T00:00:00"/>
    <s v="есть"/>
    <x v="0"/>
    <s v="2 оси"/>
    <s v="002-2515E30Q13-OK"/>
    <x v="0"/>
  </r>
  <r>
    <x v="596"/>
    <m/>
    <s v="MX4000002S0002037"/>
    <x v="0"/>
    <x v="2"/>
    <s v="R13"/>
    <s v="R13"/>
    <x v="0"/>
    <d v="2025-07-16T00:00:00"/>
    <s v="есть"/>
    <x v="1"/>
    <s v="1 ось"/>
    <s v="002-2013E30Q13-OK"/>
    <x v="0"/>
  </r>
  <r>
    <x v="597"/>
    <m/>
    <s v="MX4000002S0002244"/>
    <x v="1"/>
    <x v="1"/>
    <s v="R13"/>
    <s v="R13"/>
    <x v="0"/>
    <d v="2025-07-24T00:00:00"/>
    <s v="есть"/>
    <x v="2"/>
    <s v="1 ось"/>
    <s v="002-2513E50Q13-OK"/>
    <x v="0"/>
  </r>
  <r>
    <x v="598"/>
    <m/>
    <s v="MX4000004S0002246"/>
    <x v="2"/>
    <x v="1"/>
    <s v="R13"/>
    <s v="R13"/>
    <x v="3"/>
    <d v="2025-07-29T00:00:00"/>
    <s v="есть"/>
    <x v="2"/>
    <s v="2 оси"/>
    <s v="002-2515E50Q13-OK90"/>
    <x v="0"/>
  </r>
  <r>
    <x v="599"/>
    <m/>
    <s v="MX4000004S0002242"/>
    <x v="2"/>
    <x v="1"/>
    <s v="R13"/>
    <s v="R13"/>
    <x v="0"/>
    <d v="2025-07-29T00:00:00"/>
    <s v="есть"/>
    <x v="2"/>
    <s v="2 оси"/>
    <s v="004-2515E50Q13-OK"/>
    <x v="0"/>
  </r>
  <r>
    <x v="600"/>
    <m/>
    <s v="MX4000002S0002247"/>
    <x v="0"/>
    <x v="1"/>
    <s v="R13"/>
    <s v="R13"/>
    <x v="0"/>
    <d v="2025-07-29T00:00:00"/>
    <s v="есть"/>
    <x v="2"/>
    <s v="1 ось"/>
    <s v="002-2013E50Q13-OK"/>
    <x v="0"/>
  </r>
  <r>
    <x v="601"/>
    <m/>
    <s v="MX4000002S0002249"/>
    <x v="0"/>
    <x v="1"/>
    <s v="R13"/>
    <s v="R13"/>
    <x v="0"/>
    <d v="2025-07-30T00:00:00"/>
    <s v="есть"/>
    <x v="2"/>
    <s v="1 ось"/>
    <s v="002-2013E50Q13-OK"/>
    <x v="0"/>
  </r>
  <r>
    <x v="602"/>
    <m/>
    <s v="MX4000002S0002234"/>
    <x v="0"/>
    <x v="1"/>
    <s v="R13"/>
    <s v="R13"/>
    <x v="0"/>
    <d v="2025-07-30T00:00:00"/>
    <s v="есть"/>
    <x v="2"/>
    <s v="1 ось"/>
    <s v="002-2013E50Q13-OK"/>
    <x v="0"/>
  </r>
  <r>
    <x v="603"/>
    <m/>
    <s v="MX4000002S0002230"/>
    <x v="0"/>
    <x v="2"/>
    <s v="R13"/>
    <s v="R13"/>
    <x v="1"/>
    <d v="2025-07-30T00:00:00"/>
    <s v="есть"/>
    <x v="2"/>
    <s v="1 ось"/>
    <s v="002-2013E30Q13-OK30"/>
    <x v="0"/>
  </r>
  <r>
    <x v="604"/>
    <m/>
    <s v="MX4000002S0002239"/>
    <x v="0"/>
    <x v="2"/>
    <s v="R13"/>
    <s v="R13"/>
    <x v="0"/>
    <d v="2025-07-30T00:00:00"/>
    <s v="есть"/>
    <x v="2"/>
    <s v="1 ось"/>
    <s v="002-2013E30Q13-OK"/>
    <x v="0"/>
  </r>
  <r>
    <x v="605"/>
    <m/>
    <s v="MX4000002S0002240"/>
    <x v="0"/>
    <x v="2"/>
    <s v="R13"/>
    <s v="R13"/>
    <x v="0"/>
    <d v="2025-07-30T00:00:00"/>
    <s v="есть"/>
    <x v="2"/>
    <s v="1 ось"/>
    <s v="002-2013E30Q13-OK"/>
    <x v="0"/>
  </r>
  <r>
    <x v="606"/>
    <m/>
    <s v="MX4000002S0002245"/>
    <x v="1"/>
    <x v="1"/>
    <s v="R13"/>
    <s v="R13"/>
    <x v="0"/>
    <d v="2025-07-30T00:00:00"/>
    <s v="есть"/>
    <x v="2"/>
    <s v="1 ось"/>
    <s v="002-2513E50Q13-OK"/>
    <x v="0"/>
  </r>
  <r>
    <x v="607"/>
    <m/>
    <s v="MX4000002S0001992"/>
    <x v="0"/>
    <x v="1"/>
    <s v="R13"/>
    <s v="R13"/>
    <x v="0"/>
    <d v="2025-07-31T00:00:00"/>
    <s v="есть"/>
    <x v="1"/>
    <s v="1 ось"/>
    <s v="002-2013E50Q13-OK"/>
    <x v="0"/>
  </r>
  <r>
    <x v="608"/>
    <m/>
    <s v="MX4000002S0001997"/>
    <x v="0"/>
    <x v="1"/>
    <s v="R13"/>
    <s v="R13"/>
    <x v="0"/>
    <d v="2025-07-31T00:00:00"/>
    <s v="есть"/>
    <x v="1"/>
    <s v="1 ось"/>
    <s v="002-2013E50Q13-OK"/>
    <x v="0"/>
  </r>
  <r>
    <x v="609"/>
    <m/>
    <s v="MX4000002S0002063"/>
    <x v="0"/>
    <x v="1"/>
    <s v="R13"/>
    <s v="R13"/>
    <x v="2"/>
    <d v="2025-07-31T00:00:00"/>
    <s v="есть"/>
    <x v="1"/>
    <s v="1 ось"/>
    <s v="002-2013E50Q13-OK60"/>
    <x v="0"/>
  </r>
  <r>
    <x v="610"/>
    <m/>
    <s v="MX4000002S0002067"/>
    <x v="0"/>
    <x v="1"/>
    <s v="R13"/>
    <s v="R13"/>
    <x v="0"/>
    <d v="2025-07-31T00:00:00"/>
    <s v="есть"/>
    <x v="1"/>
    <s v="1 ось"/>
    <s v="002-2013E50Q13-OK"/>
    <x v="0"/>
  </r>
  <r>
    <x v="611"/>
    <m/>
    <s v="MX4000002S0002062"/>
    <x v="0"/>
    <x v="1"/>
    <s v="R13"/>
    <s v="R13"/>
    <x v="0"/>
    <d v="2025-07-31T00:00:00"/>
    <s v="есть"/>
    <x v="1"/>
    <s v="1 ось"/>
    <s v="002-2013E50Q13-OK"/>
    <x v="0"/>
  </r>
  <r>
    <x v="612"/>
    <m/>
    <s v="MX4000002S0001991"/>
    <x v="0"/>
    <x v="1"/>
    <s v="R13"/>
    <s v="R13"/>
    <x v="0"/>
    <d v="2025-07-31T00:00:00"/>
    <s v="есть"/>
    <x v="1"/>
    <s v="1 ось"/>
    <s v="002-2013E50Q13-OK"/>
    <x v="0"/>
  </r>
  <r>
    <x v="613"/>
    <m/>
    <s v="MX4000002S0002129"/>
    <x v="1"/>
    <x v="1"/>
    <s v="R13"/>
    <s v="R13"/>
    <x v="0"/>
    <d v="2025-07-31T00:00:00"/>
    <s v="есть"/>
    <x v="1"/>
    <s v="1 ось"/>
    <s v="002-2513E50Q13-OK"/>
    <x v="0"/>
  </r>
  <r>
    <x v="614"/>
    <m/>
    <s v="MX4000002S0001942"/>
    <x v="1"/>
    <x v="1"/>
    <s v="R13"/>
    <s v="R13"/>
    <x v="0"/>
    <d v="2025-07-31T00:00:00"/>
    <s v="есть"/>
    <x v="1"/>
    <s v="1 ось"/>
    <s v="002-2513E50Q13-OK"/>
    <x v="0"/>
  </r>
  <r>
    <x v="615"/>
    <m/>
    <s v="MX4000002S0002127"/>
    <x v="1"/>
    <x v="2"/>
    <s v="R13"/>
    <s v="R13"/>
    <x v="0"/>
    <d v="2025-07-31T00:00:00"/>
    <s v="есть"/>
    <x v="1"/>
    <s v="1 ось"/>
    <s v="002-2513E30Q13-OK"/>
    <x v="0"/>
  </r>
  <r>
    <x v="616"/>
    <m/>
    <s v="MX4000002S0002126"/>
    <x v="1"/>
    <x v="2"/>
    <s v="R13"/>
    <s v="R13"/>
    <x v="0"/>
    <d v="2025-07-31T00:00:00"/>
    <s v="есть"/>
    <x v="1"/>
    <s v="1 ось"/>
    <s v="002-2513E30Q13-OK"/>
    <x v="0"/>
  </r>
  <r>
    <x v="617"/>
    <m/>
    <s v="MX4000002S0002135"/>
    <x v="2"/>
    <x v="2"/>
    <s v="R13"/>
    <s v="R13"/>
    <x v="0"/>
    <d v="2025-07-31T00:00:00"/>
    <s v="есть"/>
    <x v="1"/>
    <s v="1 ось"/>
    <s v="002-2515E30Q13-OK"/>
    <x v="0"/>
  </r>
  <r>
    <x v="618"/>
    <m/>
    <s v="MX4000002S0002131"/>
    <x v="3"/>
    <x v="1"/>
    <s v="R13"/>
    <s v="R13"/>
    <x v="0"/>
    <d v="2025-07-31T00:00:00"/>
    <s v="есть"/>
    <x v="1"/>
    <s v="1 ось"/>
    <s v="002-3015E50Q13-OK"/>
    <x v="1"/>
  </r>
  <r>
    <x v="619"/>
    <m/>
    <s v="MX4000002S0002251"/>
    <x v="0"/>
    <x v="1"/>
    <s v="R13"/>
    <s v="R13"/>
    <x v="1"/>
    <d v="2025-08-05T00:00:00"/>
    <s v="есть"/>
    <x v="0"/>
    <s v="1 ось"/>
    <s v="002-2013E50Q13-OK30"/>
    <x v="0"/>
  </r>
  <r>
    <x v="620"/>
    <m/>
    <s v="MX4000002S0002250"/>
    <x v="0"/>
    <x v="2"/>
    <s v="R13"/>
    <s v="R13"/>
    <x v="1"/>
    <d v="2025-08-05T00:00:00"/>
    <s v="есть"/>
    <x v="0"/>
    <s v="1 ось"/>
    <s v="002-2013E30Q13-OK30"/>
    <x v="0"/>
  </r>
  <r>
    <x v="621"/>
    <m/>
    <s v="MX4000002S0001988"/>
    <x v="0"/>
    <x v="1"/>
    <s v="R13"/>
    <s v="R13"/>
    <x v="0"/>
    <d v="2025-08-06T00:00:00"/>
    <s v="есть"/>
    <x v="1"/>
    <s v="1 ось"/>
    <s v="002-2013E50Q13-OK"/>
    <x v="0"/>
  </r>
  <r>
    <x v="622"/>
    <m/>
    <s v="MX4000002S0002256"/>
    <x v="0"/>
    <x v="1"/>
    <s v="R13"/>
    <s v="R13"/>
    <x v="1"/>
    <d v="2025-08-07T00:00:00"/>
    <s v="есть"/>
    <x v="2"/>
    <s v="1 ось"/>
    <s v="002-2013E50Q13-OK30"/>
    <x v="0"/>
  </r>
  <r>
    <x v="623"/>
    <m/>
    <s v="MX4000002S0002257"/>
    <x v="0"/>
    <x v="1"/>
    <s v="R13"/>
    <s v="R13"/>
    <x v="0"/>
    <d v="2025-08-11T00:00:00"/>
    <s v="есть"/>
    <x v="0"/>
    <s v="1 ось"/>
    <s v="002-2013E50Q13-OK"/>
    <x v="0"/>
  </r>
  <r>
    <x v="624"/>
    <m/>
    <s v="MX4000002S0002065"/>
    <x v="0"/>
    <x v="1"/>
    <s v="R13"/>
    <s v="R13"/>
    <x v="0"/>
    <d v="2025-08-13T00:00:00"/>
    <s v="есть"/>
    <x v="1"/>
    <s v="1 ось"/>
    <s v="002-2013E50Q13-OK"/>
    <x v="0"/>
  </r>
  <r>
    <x v="625"/>
    <m/>
    <s v="MX4000002S0002194"/>
    <x v="2"/>
    <x v="1"/>
    <s v="R13"/>
    <s v="R13"/>
    <x v="3"/>
    <d v="2025-08-13T00:00:00"/>
    <s v="есть"/>
    <x v="2"/>
    <s v="1 ось"/>
    <s v="002-2515E50Q13-OK90"/>
    <x v="0"/>
  </r>
  <r>
    <x v="626"/>
    <m/>
    <s v="MX4000002S0002258"/>
    <x v="0"/>
    <x v="2"/>
    <s v="R13"/>
    <s v="R13"/>
    <x v="1"/>
    <d v="2025-08-14T00:00:00"/>
    <s v="есть"/>
    <x v="0"/>
    <s v="1 ось"/>
    <s v="002-2013E30Q13-OK30"/>
    <x v="0"/>
  </r>
  <r>
    <x v="627"/>
    <m/>
    <s v="MX4000002S0002253"/>
    <x v="1"/>
    <x v="1"/>
    <s v="R13"/>
    <s v="R13"/>
    <x v="3"/>
    <d v="2025-08-15T00:00:00"/>
    <s v="есть"/>
    <x v="2"/>
    <s v="1 ось"/>
    <s v="002-2513E50Q13-OK90"/>
    <x v="0"/>
  </r>
  <r>
    <x v="628"/>
    <m/>
    <s v="MX4000002S0002255"/>
    <x v="0"/>
    <x v="1"/>
    <s v="R13"/>
    <s v="R13"/>
    <x v="0"/>
    <d v="2025-08-14T00:00:00"/>
    <s v="есть"/>
    <x v="2"/>
    <s v="1 ось"/>
    <s v="002-2013E50Q13-OK"/>
    <x v="0"/>
  </r>
  <r>
    <x v="629"/>
    <m/>
    <s v="MX4000002S0002254"/>
    <x v="0"/>
    <x v="2"/>
    <s v="R13"/>
    <s v="R13"/>
    <x v="1"/>
    <d v="2025-08-18T00:00:00"/>
    <s v="есть"/>
    <x v="2"/>
    <s v="1 ось"/>
    <s v="002-2013E30Q13-OK30"/>
    <x v="0"/>
  </r>
  <r>
    <x v="630"/>
    <m/>
    <s v="MX4000004S0002138"/>
    <x v="2"/>
    <x v="1"/>
    <s v="R13"/>
    <s v="R13"/>
    <x v="0"/>
    <d v="2025-08-15T00:00:00"/>
    <s v="есть"/>
    <x v="1"/>
    <s v="2 оси"/>
    <s v="002-2515E50Q13-OK"/>
    <x v="0"/>
  </r>
  <r>
    <x v="631"/>
    <m/>
    <s v="MX4000002S0002259"/>
    <x v="0"/>
    <x v="1"/>
    <s v="R13"/>
    <s v="R13"/>
    <x v="0"/>
    <d v="2025-08-18T00:00:00"/>
    <s v="есть"/>
    <x v="2"/>
    <s v="1 ось"/>
    <s v="002-2013E50Q13-OK"/>
    <x v="0"/>
  </r>
  <r>
    <x v="632"/>
    <m/>
    <s v="MX4000002S0002282"/>
    <x v="3"/>
    <x v="2"/>
    <s v="R13"/>
    <s v="R13"/>
    <x v="0"/>
    <d v="2025-08-19T00:00:00"/>
    <s v="есть"/>
    <x v="2"/>
    <s v="1 ось"/>
    <s v="002-3015E30Q13-OK"/>
    <x v="1"/>
  </r>
  <r>
    <x v="633"/>
    <m/>
    <s v="MX4000002S0002232"/>
    <x v="1"/>
    <x v="2"/>
    <s v="R13"/>
    <s v="R13"/>
    <x v="2"/>
    <d v="2025-08-19T00:00:00"/>
    <s v="есть"/>
    <x v="2"/>
    <s v="1 ось"/>
    <s v="002-2513E30Q13-OK60"/>
    <x v="1"/>
  </r>
  <r>
    <x v="634"/>
    <m/>
    <s v="MX4000002S0002252"/>
    <x v="1"/>
    <x v="1"/>
    <s v="R13"/>
    <s v="R13"/>
    <x v="0"/>
    <d v="2025-08-19T00:00:00"/>
    <s v="есть"/>
    <x v="2"/>
    <s v="1 ось"/>
    <s v="002-2513E50Q13-OK"/>
    <x v="0"/>
  </r>
  <r>
    <x v="635"/>
    <m/>
    <s v="MX4000002S0002066"/>
    <x v="0"/>
    <x v="2"/>
    <s v="R13"/>
    <s v="R13"/>
    <x v="0"/>
    <d v="2025-08-18T00:00:00"/>
    <s v="есть"/>
    <x v="1"/>
    <s v="1 ось"/>
    <s v="002-2013E30Q13-OK"/>
    <x v="0"/>
  </r>
  <r>
    <x v="636"/>
    <m/>
    <s v="MX4000002S0002298"/>
    <x v="0"/>
    <x v="1"/>
    <s v="R13"/>
    <s v="R13"/>
    <x v="0"/>
    <d v="2025-08-20T00:00:00"/>
    <s v="есть"/>
    <x v="2"/>
    <s v="1 ось"/>
    <s v="002-2013E50Q13-OK"/>
    <x v="0"/>
  </r>
  <r>
    <x v="637"/>
    <m/>
    <s v="MX4000002S0002299"/>
    <x v="0"/>
    <x v="1"/>
    <s v="R13"/>
    <s v="R13"/>
    <x v="0"/>
    <d v="2025-08-20T00:00:00"/>
    <s v="есть"/>
    <x v="2"/>
    <s v="1 ось"/>
    <s v="002-2013E50Q13-OK"/>
    <x v="0"/>
  </r>
  <r>
    <x v="638"/>
    <m/>
    <s v="MX4000002S0002295"/>
    <x v="0"/>
    <x v="1"/>
    <s v="R13"/>
    <s v="R13"/>
    <x v="0"/>
    <d v="2025-08-20T00:00:00"/>
    <s v="есть"/>
    <x v="2"/>
    <s v="1 ось"/>
    <s v="002-2013E50Q13-OK"/>
    <x v="0"/>
  </r>
  <r>
    <x v="639"/>
    <m/>
    <s v="MX4000004S0002248"/>
    <x v="2"/>
    <x v="1"/>
    <s v="R13"/>
    <s v="R13"/>
    <x v="3"/>
    <d v="2025-08-20T00:00:00"/>
    <s v="есть"/>
    <x v="2"/>
    <s v="2 оси"/>
    <s v="004-2515E50Q13-OK90"/>
    <x v="0"/>
  </r>
  <r>
    <x v="640"/>
    <m/>
    <s v="MX4000002S0002296"/>
    <x v="0"/>
    <x v="1"/>
    <s v="R13"/>
    <s v="R13"/>
    <x v="0"/>
    <d v="2025-08-20T00:00:00"/>
    <s v="есть"/>
    <x v="2"/>
    <s v="1 ось"/>
    <s v="002-2013E50Q13-OK"/>
    <x v="0"/>
  </r>
  <r>
    <x v="641"/>
    <m/>
    <s v="MX4000002R0001617"/>
    <x v="1"/>
    <x v="2"/>
    <s v="R13"/>
    <s v="R13"/>
    <x v="0"/>
    <d v="2024-07-10T00:00:00"/>
    <s v="есть"/>
    <x v="1"/>
    <s v="1 ось"/>
    <s v="002-2513E30Q13-OK"/>
    <x v="0"/>
  </r>
  <r>
    <x v="642"/>
    <m/>
    <s v="MX4000002S0002061"/>
    <x v="0"/>
    <x v="2"/>
    <s v="R13"/>
    <s v="R13"/>
    <x v="0"/>
    <d v="2025-08-06T00:00:00"/>
    <s v="есть"/>
    <x v="1"/>
    <s v="1 ось"/>
    <s v="002-2013E30Q13-OK"/>
    <x v="0"/>
  </r>
  <r>
    <x v="643"/>
    <m/>
    <s v="MX4000002S0002304"/>
    <x v="0"/>
    <x v="2"/>
    <s v="R13"/>
    <s v="R13"/>
    <x v="0"/>
    <d v="2025-08-25T00:00:00"/>
    <s v="есть"/>
    <x v="0"/>
    <s v="1 ось"/>
    <s v="002-2013E30Q13-OK"/>
    <x v="0"/>
  </r>
  <r>
    <x v="644"/>
    <m/>
    <s v="MX4000002S0001938"/>
    <x v="1"/>
    <x v="1"/>
    <s v="R13"/>
    <s v="R13"/>
    <x v="0"/>
    <d v="2025-08-18T00:00:00"/>
    <s v="есть"/>
    <x v="1"/>
    <s v="1 ось"/>
    <s v="002-2513E50Q13-OK"/>
    <x v="0"/>
  </r>
  <r>
    <x v="645"/>
    <m/>
    <s v="MX4000002S0002064"/>
    <x v="0"/>
    <x v="1"/>
    <s v="R13"/>
    <s v="R13"/>
    <x v="0"/>
    <d v="2025-08-19T00:00:00"/>
    <s v="есть"/>
    <x v="1"/>
    <s v="1 ось"/>
    <s v="002-2013E50Q13-OK"/>
    <x v="0"/>
  </r>
  <r>
    <x v="646"/>
    <m/>
    <s v="MX4000002S0001944"/>
    <x v="1"/>
    <x v="1"/>
    <s v="R13"/>
    <s v="R13"/>
    <x v="0"/>
    <d v="2025-08-20T00:00:00"/>
    <s v="есть"/>
    <x v="1"/>
    <s v="1 ось"/>
    <s v="002-2513E50Q13-OK"/>
    <x v="0"/>
  </r>
  <r>
    <x v="647"/>
    <m/>
    <s v="MX4000002S0002307"/>
    <x v="0"/>
    <x v="2"/>
    <s v="R13"/>
    <s v="R13"/>
    <x v="3"/>
    <d v="2025-08-28T00:00:00"/>
    <s v="есть"/>
    <x v="0"/>
    <s v="1 ось"/>
    <s v="002-2013E30Q13-OK90"/>
    <x v="0"/>
  </r>
  <r>
    <x v="648"/>
    <m/>
    <s v="MX4000002S0002306"/>
    <x v="0"/>
    <x v="1"/>
    <s v="R13"/>
    <s v="R13"/>
    <x v="0"/>
    <d v="2025-08-28T00:00:00"/>
    <s v="нет"/>
    <x v="2"/>
    <s v="1 ось"/>
    <s v="002-2013E50Q13"/>
    <x v="0"/>
  </r>
  <r>
    <x v="649"/>
    <m/>
    <s v="MX4000002S0002068"/>
    <x v="0"/>
    <x v="2"/>
    <s v="R13"/>
    <s v="R13"/>
    <x v="0"/>
    <d v="2025-08-06T00:00:00"/>
    <s v="есть"/>
    <x v="1"/>
    <s v="1 ось"/>
    <s v="002-2013E30Q13-OK"/>
    <x v="0"/>
  </r>
  <r>
    <x v="650"/>
    <m/>
    <s v="MX4000002S0002238"/>
    <x v="1"/>
    <x v="1"/>
    <s v="R13"/>
    <s v="R13"/>
    <x v="0"/>
    <d v="2025-09-02T00:00:00"/>
    <s v="есть"/>
    <x v="0"/>
    <s v="1 ось"/>
    <s v="002-2513E50Q13-OK"/>
    <x v="0"/>
  </r>
  <r>
    <x v="651"/>
    <m/>
    <s v="MX4000002S0001939"/>
    <x v="1"/>
    <x v="1"/>
    <s v="R13"/>
    <s v="R13"/>
    <x v="0"/>
    <d v="2025-08-14T00:00:00"/>
    <s v="есть"/>
    <x v="1"/>
    <s v="1 ось"/>
    <s v="002-2513E50Q13-OK"/>
    <x v="0"/>
  </r>
  <r>
    <x v="652"/>
    <m/>
    <s v="MX4000002S0002243"/>
    <x v="0"/>
    <x v="1"/>
    <s v="R13"/>
    <s v="R13"/>
    <x v="1"/>
    <d v="2025-09-04T00:00:00"/>
    <s v="есть"/>
    <x v="0"/>
    <s v="1 ось"/>
    <s v="002-2013E50Q13-OK30"/>
    <x v="0"/>
  </r>
  <r>
    <x v="653"/>
    <m/>
    <s v="MX4000002S0002314"/>
    <x v="0"/>
    <x v="2"/>
    <s v="R13"/>
    <s v="R13"/>
    <x v="0"/>
    <d v="2025-09-08T00:00:00"/>
    <s v="есть"/>
    <x v="2"/>
    <s v="1 ось"/>
    <s v="002-2013E30Q13-OK"/>
    <x v="0"/>
  </r>
  <r>
    <x v="654"/>
    <m/>
    <s v="MX4000002S0002315"/>
    <x v="0"/>
    <x v="2"/>
    <s v="R13"/>
    <s v="R13"/>
    <x v="0"/>
    <d v="2025-09-08T00:00:00"/>
    <s v="есть"/>
    <x v="2"/>
    <s v="1 ось"/>
    <s v="002-2013E30Q13-OK"/>
    <x v="0"/>
  </r>
  <r>
    <x v="655"/>
    <m/>
    <s v="MX4000002S0002312"/>
    <x v="0"/>
    <x v="2"/>
    <s v="R13"/>
    <s v="R13"/>
    <x v="0"/>
    <d v="2025-09-08T00:00:00"/>
    <s v="есть"/>
    <x v="2"/>
    <s v="1 ось"/>
    <s v="002-2013E30Q13-OK"/>
    <x v="0"/>
  </r>
  <r>
    <x v="656"/>
    <m/>
    <s v="MX4000002S0002311"/>
    <x v="0"/>
    <x v="2"/>
    <s v="R13"/>
    <s v="R13"/>
    <x v="0"/>
    <d v="2025-09-08T00:00:00"/>
    <s v="есть"/>
    <x v="2"/>
    <s v="1 ось"/>
    <s v="002-2013E30Q13-OK"/>
    <x v="0"/>
  </r>
  <r>
    <x v="657"/>
    <m/>
    <s v="MX4000002S0002313"/>
    <x v="1"/>
    <x v="1"/>
    <s v="R13"/>
    <s v="R13"/>
    <x v="2"/>
    <d v="2025-09-08T00:00:00"/>
    <s v="есть"/>
    <x v="2"/>
    <s v="1 ось"/>
    <s v="002-2513E50Q13-OK60"/>
    <x v="0"/>
  </r>
  <r>
    <x v="658"/>
    <m/>
    <s v="MX4000002S0002297"/>
    <x v="1"/>
    <x v="1"/>
    <s v="R13"/>
    <s v="R13"/>
    <x v="2"/>
    <d v="2025-09-08T00:00:00"/>
    <s v="есть"/>
    <x v="2"/>
    <s v="1 ось"/>
    <s v="002-2513E50Q13-OK60"/>
    <x v="0"/>
  </r>
  <r>
    <x v="659"/>
    <m/>
    <s v="MX4000004S0002302"/>
    <x v="2"/>
    <x v="1"/>
    <s v="R13"/>
    <s v="R13"/>
    <x v="0"/>
    <d v="2025-09-08T00:00:00"/>
    <s v="есть"/>
    <x v="2"/>
    <s v="2 оси"/>
    <s v="002-2515E50Q13-OK"/>
    <x v="1"/>
  </r>
  <r>
    <x v="660"/>
    <m/>
    <s v="MX4000004S0002305"/>
    <x v="4"/>
    <x v="2"/>
    <s v="R13"/>
    <s v="R13"/>
    <x v="0"/>
    <d v="2025-09-08T00:00:00"/>
    <s v="есть"/>
    <x v="2"/>
    <s v="2 оси"/>
    <s v="002-3515E30Q13-OK"/>
    <x v="0"/>
  </r>
  <r>
    <x v="661"/>
    <m/>
    <s v="MX4000002S0002325"/>
    <x v="0"/>
    <x v="1"/>
    <s v="R13"/>
    <s v="R13"/>
    <x v="0"/>
    <d v="2025-09-09T00:00:00"/>
    <s v="есть"/>
    <x v="0"/>
    <s v="1 ось"/>
    <s v="002-2013E50Q13-OK"/>
    <x v="0"/>
  </r>
  <r>
    <x v="662"/>
    <m/>
    <s v="MX4000004S0002326"/>
    <x v="2"/>
    <x v="1"/>
    <s v="R15"/>
    <s v="R15"/>
    <x v="3"/>
    <d v="2025-09-09T00:00:00"/>
    <s v="есть"/>
    <x v="0"/>
    <s v="2 оси"/>
    <s v="002-2515E50Q15-OK90"/>
    <x v="0"/>
  </r>
  <r>
    <x v="663"/>
    <m/>
    <s v="MX4000002S0002265"/>
    <x v="2"/>
    <x v="2"/>
    <s v="R13"/>
    <s v="R13"/>
    <x v="0"/>
    <d v="2025-08-13T00:00:00"/>
    <s v="есть"/>
    <x v="1"/>
    <s v="1 ось"/>
    <s v="002-2515E30Q13-OK"/>
    <x v="0"/>
  </r>
  <r>
    <x v="664"/>
    <m/>
    <s v="MX4000002S0002327"/>
    <x v="0"/>
    <x v="1"/>
    <s v="R13"/>
    <s v="R13"/>
    <x v="1"/>
    <d v="2025-09-10T00:00:00"/>
    <s v="есть"/>
    <x v="0"/>
    <s v="1 ось"/>
    <s v="002-2013E50Q13-OK30"/>
    <x v="0"/>
  </r>
  <r>
    <x v="665"/>
    <m/>
    <s v="MX4000002S0002277"/>
    <x v="0"/>
    <x v="1"/>
    <s v="R13"/>
    <s v="R13"/>
    <x v="0"/>
    <d v="2025-08-14T00:00:00"/>
    <s v="есть"/>
    <x v="1"/>
    <s v="1 ось"/>
    <s v="002-2013E50Q13-OK"/>
    <x v="0"/>
  </r>
  <r>
    <x v="666"/>
    <m/>
    <s v="MX4000002S0002309"/>
    <x v="0"/>
    <x v="1"/>
    <s v="R13"/>
    <s v="R13"/>
    <x v="0"/>
    <d v="2025-09-10T00:00:00"/>
    <s v="есть"/>
    <x v="1"/>
    <s v="1 ось"/>
    <s v="002-2013E50Q13-OK"/>
    <x v="0"/>
  </r>
  <r>
    <x v="667"/>
    <m/>
    <s v="MX4000002S0002279"/>
    <x v="0"/>
    <x v="2"/>
    <s v="R13"/>
    <s v="R13"/>
    <x v="0"/>
    <d v="2025-08-21T00:00:00"/>
    <s v="есть"/>
    <x v="1"/>
    <s v="1 ось"/>
    <s v="002-2013E30Q13-OK"/>
    <x v="0"/>
  </r>
  <r>
    <x v="668"/>
    <m/>
    <s v="MX4000002S0002330"/>
    <x v="0"/>
    <x v="2"/>
    <s v="R13"/>
    <s v="R13"/>
    <x v="1"/>
    <d v="2025-09-12T00:00:00"/>
    <s v="есть"/>
    <x v="0"/>
    <s v="1 ось"/>
    <s v="002-2013E30Q13-OK30"/>
    <x v="0"/>
  </r>
  <r>
    <x v="669"/>
    <m/>
    <s v="MX4000002S0002276"/>
    <x v="0"/>
    <x v="1"/>
    <s v="R13"/>
    <s v="R13"/>
    <x v="0"/>
    <d v="2025-09-10T00:00:00"/>
    <s v="есть"/>
    <x v="1"/>
    <s v="1 ось"/>
    <s v="002-2013E50Q13-OK"/>
    <x v="0"/>
  </r>
  <r>
    <x v="670"/>
    <m/>
    <s v="MX4000002S0002275"/>
    <x v="0"/>
    <x v="1"/>
    <s v="R13"/>
    <s v="R13"/>
    <x v="0"/>
    <d v="2025-09-03T00:00:00"/>
    <s v="есть"/>
    <x v="1"/>
    <s v="1 ось"/>
    <s v="002-2013E50Q13-OK"/>
    <x v="0"/>
  </r>
  <r>
    <x v="671"/>
    <m/>
    <s v="MX4000002S0002278"/>
    <x v="0"/>
    <x v="2"/>
    <s v="R13"/>
    <s v="R13"/>
    <x v="0"/>
    <d v="2025-09-15T00:00:00"/>
    <s v="есть"/>
    <x v="1"/>
    <s v="1 ось"/>
    <s v="002-2013E30Q13-OK"/>
    <x v="1"/>
  </r>
  <r>
    <x v="672"/>
    <m/>
    <s v="MX4000002S0002069"/>
    <x v="0"/>
    <x v="1"/>
    <s v="R13"/>
    <s v="R13"/>
    <x v="0"/>
    <d v="2025-08-06T00:00:00"/>
    <s v="есть"/>
    <x v="1"/>
    <s v="1 ось"/>
    <s v="002-2013E50Q13-OK"/>
    <x v="0"/>
  </r>
  <r>
    <x v="673"/>
    <m/>
    <s v="MX4000002S0002331"/>
    <x v="1"/>
    <x v="1"/>
    <s v="R13"/>
    <s v="R13"/>
    <x v="0"/>
    <d v="2025-09-18T00:00:00"/>
    <s v="есть"/>
    <x v="0"/>
    <s v="1 ось"/>
    <s v="002-2513E50Q13-OK"/>
    <x v="0"/>
  </r>
  <r>
    <x v="674"/>
    <m/>
    <s v="MX4000002S0001993"/>
    <x v="0"/>
    <x v="2"/>
    <s v="R13"/>
    <s v="R13"/>
    <x v="0"/>
    <d v="2025-09-03T00:00:00"/>
    <s v="есть"/>
    <x v="1"/>
    <s v="1 ось"/>
    <s v="002-2013E30Q13-OK"/>
    <x v="0"/>
  </r>
  <r>
    <x v="675"/>
    <m/>
    <s v="MX4000002S0002310"/>
    <x v="0"/>
    <x v="1"/>
    <s v="R13"/>
    <s v="R13"/>
    <x v="0"/>
    <d v="2025-09-04T00:00:00"/>
    <s v="есть"/>
    <x v="1"/>
    <s v="1 ось"/>
    <s v="002-2013E50Q13-OK"/>
    <x v="0"/>
  </r>
  <r>
    <x v="676"/>
    <m/>
    <s v="MX4000002S0002332"/>
    <x v="0"/>
    <x v="1"/>
    <s v="R13"/>
    <s v="R13"/>
    <x v="0"/>
    <d v="2025-09-18T00:00:00"/>
    <s v="есть"/>
    <x v="0"/>
    <s v="1 ось"/>
    <s v="002-2013E50Q13-OK"/>
    <x v="0"/>
  </r>
  <r>
    <x v="677"/>
    <m/>
    <s v="MX4000002S0002333"/>
    <x v="0"/>
    <x v="2"/>
    <s v="R13"/>
    <s v="R13"/>
    <x v="2"/>
    <d v="2025-09-19T00:00:00"/>
    <s v="есть"/>
    <x v="0"/>
    <s v="1 ось"/>
    <s v="002-2013E30Q13-OK60"/>
    <x v="0"/>
  </r>
  <r>
    <x v="678"/>
    <m/>
    <s v="MX4000002S0002337"/>
    <x v="0"/>
    <x v="1"/>
    <s v="R13"/>
    <s v="R13"/>
    <x v="0"/>
    <d v="2025-09-19T00:00:00"/>
    <s v="есть"/>
    <x v="0"/>
    <s v="1 ось"/>
    <s v="002-2013E50Q13-OK"/>
    <x v="0"/>
  </r>
  <r>
    <x v="679"/>
    <m/>
    <s v="MX4000004S0002264"/>
    <x v="2"/>
    <x v="1"/>
    <s v="R13"/>
    <s v="R13"/>
    <x v="0"/>
    <d v="2025-09-05T00:00:00"/>
    <s v="есть"/>
    <x v="1"/>
    <s v="2 оси"/>
    <s v="002-2515E50Q13-OK"/>
    <x v="0"/>
  </r>
  <r>
    <x v="680"/>
    <m/>
    <s v="MX4000002S0002336"/>
    <x v="1"/>
    <x v="1"/>
    <s v="R13"/>
    <s v="R13"/>
    <x v="2"/>
    <d v="2025-09-19T00:00:00"/>
    <s v="есть"/>
    <x v="0"/>
    <s v="1 ось"/>
    <s v="002-2513E50Q13-OK60"/>
    <x v="0"/>
  </r>
  <r>
    <x v="681"/>
    <m/>
    <s v="MX4000002S0002339"/>
    <x v="0"/>
    <x v="1"/>
    <s v="R13"/>
    <s v="R13"/>
    <x v="0"/>
    <d v="2025-09-19T00:00:00"/>
    <s v="есть"/>
    <x v="0"/>
    <s v="1 ось"/>
    <s v="002-2013E50Q13-OK"/>
    <x v="0"/>
  </r>
  <r>
    <x v="682"/>
    <m/>
    <s v="MX4000002S0002340"/>
    <x v="0"/>
    <x v="1"/>
    <s v="R13"/>
    <s v="R13"/>
    <x v="2"/>
    <d v="2025-09-19T00:00:00"/>
    <s v="есть"/>
    <x v="0"/>
    <s v="1 ось"/>
    <s v="002-2013E50Q13-OK60"/>
    <x v="0"/>
  </r>
  <r>
    <x v="683"/>
    <m/>
    <s v="MX4000002S0002341"/>
    <x v="0"/>
    <x v="1"/>
    <s v="R13"/>
    <s v="R13"/>
    <x v="0"/>
    <d v="2025-09-22T00:00:00"/>
    <s v="есть"/>
    <x v="0"/>
    <s v="1 ось"/>
    <s v="002-2013E50Q13-OK"/>
    <x v="0"/>
  </r>
  <r>
    <x v="684"/>
    <m/>
    <s v="MX4000004S0002342"/>
    <x v="3"/>
    <x v="1"/>
    <s v="R15"/>
    <s v="R15"/>
    <x v="4"/>
    <d v="2025-09-22T00:00:00"/>
    <s v="есть"/>
    <x v="0"/>
    <s v="2 оси"/>
    <s v="002-3015E50Q15-OK120"/>
    <x v="0"/>
  </r>
  <r>
    <x v="685"/>
    <m/>
    <s v="MX4000002S0002343"/>
    <x v="1"/>
    <x v="1"/>
    <s v="R13"/>
    <s v="R13"/>
    <x v="0"/>
    <d v="2025-09-23T00:00:00"/>
    <s v="есть"/>
    <x v="0"/>
    <s v="1 ось"/>
    <s v="002-2513E50Q13-OK"/>
    <x v="0"/>
  </r>
  <r>
    <x v="686"/>
    <m/>
    <s v="MX4000002S0002281"/>
    <x v="0"/>
    <x v="2"/>
    <s v="R13"/>
    <s v="R13"/>
    <x v="0"/>
    <d v="2025-09-17T00:00:00"/>
    <s v="есть"/>
    <x v="1"/>
    <s v="1 ось"/>
    <s v="002-2013E30Q13-OK"/>
    <x v="0"/>
  </r>
  <r>
    <x v="687"/>
    <m/>
    <s v="MX4000002S0002060"/>
    <x v="0"/>
    <x v="1"/>
    <s v="R13"/>
    <s v="R13"/>
    <x v="0"/>
    <d v="2025-09-23T00:00:00"/>
    <s v="есть"/>
    <x v="1"/>
    <s v="1 ось"/>
    <s v="002-2013E50Q13-OK"/>
    <x v="0"/>
  </r>
  <r>
    <x v="688"/>
    <m/>
    <s v="MX4000002S0002266"/>
    <x v="4"/>
    <x v="2"/>
    <s v="R13"/>
    <s v="R13"/>
    <x v="0"/>
    <d v="2025-09-10T00:00:00"/>
    <s v="есть"/>
    <x v="1"/>
    <s v="1 ось"/>
    <s v="002-3515E30Q13-OK"/>
    <x v="0"/>
  </r>
  <r>
    <x v="689"/>
    <m/>
    <s v="MX4000002S0002288"/>
    <x v="1"/>
    <x v="1"/>
    <s v="R13"/>
    <s v="R13"/>
    <x v="0"/>
    <d v="2025-09-25T00:00:00"/>
    <s v="есть"/>
    <x v="1"/>
    <s v="1 ось"/>
    <s v="002-2513E50Q13-OK"/>
    <x v="0"/>
  </r>
  <r>
    <x v="690"/>
    <m/>
    <s v="MX4000002S0002344"/>
    <x v="0"/>
    <x v="2"/>
    <s v="R13"/>
    <s v="R13"/>
    <x v="3"/>
    <d v="2025-09-19T00:00:00"/>
    <s v="есть"/>
    <x v="0"/>
    <s v="1 ось"/>
    <s v="002-2013E30Q13-OK90"/>
    <x v="0"/>
  </r>
  <r>
    <x v="691"/>
    <m/>
    <s v="MX4000002S0002345"/>
    <x v="0"/>
    <x v="2"/>
    <s v="R13"/>
    <s v="R13"/>
    <x v="1"/>
    <d v="2025-09-26T00:00:00"/>
    <s v="есть"/>
    <x v="0"/>
    <s v="1 ось"/>
    <s v="002-2013E30Q13-OK30"/>
    <x v="0"/>
  </r>
  <r>
    <x v="692"/>
    <m/>
    <s v="MX4000002S0001943"/>
    <x v="1"/>
    <x v="1"/>
    <s v="R13"/>
    <s v="R13"/>
    <x v="0"/>
    <d v="2025-09-12T00:00:00"/>
    <s v="есть"/>
    <x v="1"/>
    <s v="1 ось"/>
    <s v="002-2513E50Q13-OK"/>
    <x v="0"/>
  </r>
  <r>
    <x v="693"/>
    <m/>
    <s v="MX4000004S0002139"/>
    <x v="2"/>
    <x v="2"/>
    <s v="R13"/>
    <s v="R13"/>
    <x v="0"/>
    <d v="2025-09-11T00:00:00"/>
    <s v="есть"/>
    <x v="1"/>
    <s v="2 оси"/>
    <s v="002-2515E30Q13-OK"/>
    <x v="0"/>
  </r>
  <r>
    <x v="694"/>
    <m/>
    <s v="MX4000002S0002348"/>
    <x v="1"/>
    <x v="1"/>
    <s v="R13"/>
    <s v="R13"/>
    <x v="3"/>
    <d v="2025-09-29T00:00:00"/>
    <s v="есть"/>
    <x v="0"/>
    <s v="1 ось"/>
    <s v="002-2513E50Q13-OK90"/>
    <x v="0"/>
  </r>
  <r>
    <x v="695"/>
    <m/>
    <s v="MX4000002S0002274"/>
    <x v="0"/>
    <x v="1"/>
    <s v="R13"/>
    <s v="R13"/>
    <x v="0"/>
    <d v="2025-09-25T00:00:00"/>
    <s v="есть"/>
    <x v="1"/>
    <s v="1 ось"/>
    <s v="002-2013E50Q13-OK"/>
    <x v="0"/>
  </r>
  <r>
    <x v="696"/>
    <m/>
    <s v="MX4000002S0002334"/>
    <x v="0"/>
    <x v="1"/>
    <s v="R13"/>
    <s v="R13"/>
    <x v="0"/>
    <d v="2025-09-30T00:00:00"/>
    <s v="есть"/>
    <x v="2"/>
    <s v="1 ось"/>
    <s v="002-2013E50Q13-OK"/>
    <x v="0"/>
  </r>
  <r>
    <x v="697"/>
    <m/>
    <s v="MX4000002S0002346"/>
    <x v="0"/>
    <x v="1"/>
    <s v="R13"/>
    <s v="R13"/>
    <x v="3"/>
    <d v="2025-10-02T00:00:00"/>
    <s v="есть"/>
    <x v="0"/>
    <s v="1 ось"/>
    <s v="002-2013E50Q13-OK90"/>
    <x v="0"/>
  </r>
  <r>
    <x v="698"/>
    <m/>
    <s v="MX4000002S0002349"/>
    <x v="4"/>
    <x v="1"/>
    <s v="R15"/>
    <s v="R15"/>
    <x v="4"/>
    <d v="2025-10-03T00:00:00"/>
    <s v="есть"/>
    <x v="2"/>
    <s v="1 ось"/>
    <s v="002-3515E50Q15-OK120"/>
    <x v="0"/>
  </r>
  <r>
    <x v="699"/>
    <m/>
    <s v="MX4000002R0001597"/>
    <x v="1"/>
    <x v="1"/>
    <s v="R13"/>
    <s v="R13"/>
    <x v="0"/>
    <d v="2024-11-21T00:00:00"/>
    <s v="есть"/>
    <x v="1"/>
    <s v="1 ось"/>
    <s v="002-2513E50Q13-OK"/>
    <x v="0"/>
  </r>
  <r>
    <x v="700"/>
    <m/>
    <s v="MX4000002S0002328"/>
    <x v="1"/>
    <x v="1"/>
    <s v="R13"/>
    <s v="R13"/>
    <x v="2"/>
    <d v="2025-10-06T00:00:00"/>
    <s v="есть"/>
    <x v="0"/>
    <s v="1 ось"/>
    <s v="002-2513E50Q13-OK60"/>
    <x v="0"/>
  </r>
  <r>
    <x v="701"/>
    <m/>
    <s v="MX4000002S0002323"/>
    <x v="0"/>
    <x v="1"/>
    <s v="R13"/>
    <s v="R13"/>
    <x v="0"/>
    <d v="2025-10-01T00:00:00"/>
    <s v="есть"/>
    <x v="1"/>
    <s v="1 ось"/>
    <s v="002-2013E50Q13-OK"/>
    <x v="0"/>
  </r>
  <r>
    <x v="702"/>
    <m/>
    <s v="MX4000002S0002272"/>
    <x v="0"/>
    <x v="1"/>
    <s v="R13"/>
    <s v="R13"/>
    <x v="0"/>
    <d v="2025-10-01T00:00:00"/>
    <s v="есть"/>
    <x v="1"/>
    <s v="1 ось"/>
    <s v="002-2013E50Q13-OK"/>
    <x v="0"/>
  </r>
  <r>
    <x v="703"/>
    <m/>
    <s v="MX4000002S0002300"/>
    <x v="2"/>
    <x v="1"/>
    <s v="R13"/>
    <s v="R13"/>
    <x v="0"/>
    <d v="2025-10-07T00:00:00"/>
    <s v="есть"/>
    <x v="0"/>
    <s v="1 ось"/>
    <s v="002-2515E50Q13-OK"/>
    <x v="0"/>
  </r>
  <r>
    <x v="704"/>
    <m/>
    <s v="MX4000002S0001954"/>
    <x v="0"/>
    <x v="2"/>
    <s v="R13"/>
    <s v="R13"/>
    <x v="0"/>
    <d v="2025-08-21T00:00:00"/>
    <s v="есть"/>
    <x v="0"/>
    <s v="1 ось"/>
    <s v="002-2013E30Q13-OK"/>
    <x v="0"/>
  </r>
  <r>
    <x v="705"/>
    <m/>
    <s v="MX4000002S0002360"/>
    <x v="0"/>
    <x v="1"/>
    <s v="R13"/>
    <s v="R13"/>
    <x v="1"/>
    <d v="2025-10-09T00:00:00"/>
    <s v="есть"/>
    <x v="0"/>
    <s v="1 ось"/>
    <s v="002-2013E50Q13-OK30"/>
    <x v="0"/>
  </r>
  <r>
    <x v="706"/>
    <m/>
    <s v="MX4000002S0002316"/>
    <x v="0"/>
    <x v="1"/>
    <s v="R13"/>
    <s v="R13"/>
    <x v="0"/>
    <d v="2025-10-09T00:00:00"/>
    <s v="есть"/>
    <x v="1"/>
    <s v="1 ось"/>
    <s v="002-2013E50Q13-OK"/>
    <x v="0"/>
  </r>
  <r>
    <x v="707"/>
    <m/>
    <s v="MX4000002S0002361"/>
    <x v="1"/>
    <x v="2"/>
    <s v="R13"/>
    <s v="R13"/>
    <x v="0"/>
    <d v="2025-10-10T00:00:00"/>
    <s v="есть"/>
    <x v="0"/>
    <s v="1 ось"/>
    <s v="002-2513E30Q13-OK"/>
    <x v="0"/>
  </r>
  <r>
    <x v="708"/>
    <m/>
    <s v="MX4000004S0002362"/>
    <x v="4"/>
    <x v="2"/>
    <s v="R13"/>
    <s v="R13"/>
    <x v="4"/>
    <d v="2025-10-11T00:00:00"/>
    <s v="есть"/>
    <x v="2"/>
    <s v="2 оси"/>
    <s v="004-3515E30Q13-OK120"/>
    <x v="0"/>
  </r>
  <r>
    <x v="709"/>
    <m/>
    <s v="MX4000002S0002347"/>
    <x v="0"/>
    <x v="1"/>
    <s v="R13"/>
    <s v="R13"/>
    <x v="1"/>
    <d v="2025-10-13T00:00:00"/>
    <s v="есть"/>
    <x v="2"/>
    <s v="1 ось"/>
    <s v="002-2013E50Q13-OK30"/>
    <x v="0"/>
  </r>
  <r>
    <x v="710"/>
    <m/>
    <s v="MX4000002S0002335"/>
    <x v="0"/>
    <x v="1"/>
    <s v="R13"/>
    <s v="R13"/>
    <x v="0"/>
    <d v="2025-10-13T00:00:00"/>
    <s v="есть"/>
    <x v="2"/>
    <s v="1 ось"/>
    <s v="002-2013E50Q13-OK"/>
    <x v="0"/>
  </r>
  <r>
    <x v="711"/>
    <m/>
    <s v="MX4000002S0002271"/>
    <x v="2"/>
    <x v="2"/>
    <s v="R13"/>
    <s v="R13"/>
    <x v="0"/>
    <d v="2025-09-17T00:00:00"/>
    <s v="есть"/>
    <x v="1"/>
    <s v="1 ось"/>
    <s v="002-2515E30Q13-OK"/>
    <x v="0"/>
  </r>
  <r>
    <x v="712"/>
    <m/>
    <s v="MX4000004S0002262"/>
    <x v="3"/>
    <x v="2"/>
    <s v="R13"/>
    <s v="R13"/>
    <x v="0"/>
    <d v="2025-10-02T00:00:00"/>
    <s v="есть"/>
    <x v="1"/>
    <s v="2 оси"/>
    <s v="004-3015E30Q13-OK"/>
    <x v="0"/>
  </r>
  <r>
    <x v="713"/>
    <m/>
    <s v="MX4000004S0002261"/>
    <x v="4"/>
    <x v="2"/>
    <s v="R13"/>
    <s v="R13"/>
    <x v="0"/>
    <d v="2025-10-03T00:00:00"/>
    <s v="есть"/>
    <x v="1"/>
    <s v="2 оси"/>
    <s v="004-3515E30Q13-OK"/>
    <x v="0"/>
  </r>
  <r>
    <x v="714"/>
    <m/>
    <s v="MX4000002S0002293"/>
    <x v="1"/>
    <x v="2"/>
    <s v="R13"/>
    <s v="R13"/>
    <x v="0"/>
    <d v="2025-10-03T00:00:00"/>
    <s v="есть"/>
    <x v="1"/>
    <s v="1 ось"/>
    <s v="002-2513E30Q13-OK"/>
    <x v="0"/>
  </r>
  <r>
    <x v="715"/>
    <m/>
    <s v="MX4000002S0002322"/>
    <x v="0"/>
    <x v="1"/>
    <s v="R13"/>
    <s v="R13"/>
    <x v="0"/>
    <d v="2025-10-15T00:00:00"/>
    <s v="есть"/>
    <x v="1"/>
    <s v="1 ось"/>
    <s v="002-2013E50Q13-OK"/>
    <x v="0"/>
  </r>
  <r>
    <x v="716"/>
    <m/>
    <s v="MX4000002S0002319"/>
    <x v="0"/>
    <x v="1"/>
    <s v="R13"/>
    <s v="R13"/>
    <x v="0"/>
    <d v="2025-10-09T00:00:00"/>
    <s v="есть"/>
    <x v="1"/>
    <s v="1 ось"/>
    <s v="002-2013E50Q13-OK"/>
    <x v="0"/>
  </r>
  <r>
    <x v="717"/>
    <m/>
    <s v="MX4000002S0002365"/>
    <x v="0"/>
    <x v="1"/>
    <s v="R13"/>
    <s v="R13"/>
    <x v="0"/>
    <d v="2025-10-17T00:00:00"/>
    <s v="есть"/>
    <x v="2"/>
    <s v="1 ось"/>
    <s v="002-2013E50Q13-OK"/>
    <x v="0"/>
  </r>
  <r>
    <x v="718"/>
    <m/>
    <s v="MX4000002S0002273"/>
    <x v="0"/>
    <x v="2"/>
    <s v="R13"/>
    <s v="R13"/>
    <x v="0"/>
    <d v="2025-10-10T00:00:00"/>
    <s v="есть"/>
    <x v="1"/>
    <s v="1 ось"/>
    <s v="002-2013E30Q13-OK"/>
    <x v="0"/>
  </r>
  <r>
    <x v="719"/>
    <m/>
    <s v="MX4000002S0002363"/>
    <x v="0"/>
    <x v="1"/>
    <s v="R13"/>
    <s v="R13"/>
    <x v="0"/>
    <d v="2025-10-20T00:00:00"/>
    <s v="есть"/>
    <x v="2"/>
    <s v="1 ось"/>
    <s v="002-2013E50Q13-OK"/>
    <x v="0"/>
  </r>
  <r>
    <x v="720"/>
    <m/>
    <s v="MX4000002S0002364"/>
    <x v="0"/>
    <x v="1"/>
    <s v="R13"/>
    <s v="R13"/>
    <x v="1"/>
    <d v="2025-10-20T00:00:00"/>
    <s v="есть"/>
    <x v="0"/>
    <s v="1 ось"/>
    <s v="002-2013E50Q13-OK30"/>
    <x v="0"/>
  </r>
  <r>
    <x v="721"/>
    <m/>
    <s v="MX4000002S0002280"/>
    <x v="0"/>
    <x v="2"/>
    <s v="R13"/>
    <s v="R13"/>
    <x v="0"/>
    <d v="2025-10-20T00:00:00"/>
    <s v="есть"/>
    <x v="1"/>
    <s v="1 ось"/>
    <s v="002-2013E30Q13-OK"/>
    <x v="0"/>
  </r>
  <r>
    <x v="722"/>
    <m/>
    <s v="MX4000002S0002324"/>
    <x v="0"/>
    <x v="1"/>
    <s v="R13"/>
    <s v="R13"/>
    <x v="0"/>
    <d v="2025-10-10T00:00:00"/>
    <s v="есть"/>
    <x v="1"/>
    <s v="1 ось"/>
    <s v="002-2013E50Q13-OK"/>
    <x v="0"/>
  </r>
  <r>
    <x v="723"/>
    <m/>
    <s v="MX4000002S0002395"/>
    <x v="0"/>
    <x v="1"/>
    <s v="R13"/>
    <s v="R13"/>
    <x v="1"/>
    <d v="2025-10-22T00:00:00"/>
    <s v="есть"/>
    <x v="0"/>
    <s v="1 ось"/>
    <s v="002-2013E50Q13-OK30"/>
    <x v="0"/>
  </r>
  <r>
    <x v="724"/>
    <m/>
    <s v="MX4000002S0002394"/>
    <x v="0"/>
    <x v="1"/>
    <s v="R13"/>
    <s v="R13"/>
    <x v="0"/>
    <d v="2025-10-24T00:00:00"/>
    <s v="есть"/>
    <x v="2"/>
    <s v="1 ось"/>
    <s v="002-2013E50Q13-OK"/>
    <x v="0"/>
  </r>
  <r>
    <x v="725"/>
    <m/>
    <s v="MX4000002S0002397"/>
    <x v="0"/>
    <x v="1"/>
    <s v="R13"/>
    <s v="R13"/>
    <x v="0"/>
    <d v="2025-10-28T00:00:00"/>
    <s v="есть"/>
    <x v="0"/>
    <s v="1 ось"/>
    <s v="002-2013E50Q13-OK"/>
    <x v="0"/>
  </r>
  <r>
    <x v="726"/>
    <m/>
    <s v="MX4000002S0002396"/>
    <x v="0"/>
    <x v="1"/>
    <s v="R13"/>
    <s v="R13"/>
    <x v="0"/>
    <d v="2025-10-28T00:00:00"/>
    <s v="есть"/>
    <x v="0"/>
    <s v="1 ось"/>
    <s v="002-2013E50Q13-OK"/>
    <x v="0"/>
  </r>
  <r>
    <x v="727"/>
    <m/>
    <s v="MX4000002S0002366"/>
    <x v="0"/>
    <x v="2"/>
    <s v="R13"/>
    <s v="R13"/>
    <x v="0"/>
    <d v="2025-10-29T00:00:00"/>
    <s v="есть"/>
    <x v="2"/>
    <s v="1 ось"/>
    <s v="002-2013E30Q13-OK"/>
    <x v="0"/>
  </r>
  <r>
    <x v="728"/>
    <m/>
    <s v="MX4000002S0002317"/>
    <x v="0"/>
    <x v="1"/>
    <s v="R13"/>
    <s v="R13"/>
    <x v="0"/>
    <d v="2025-10-29T00:00:00"/>
    <s v="есть"/>
    <x v="2"/>
    <s v="1 ось"/>
    <s v="002-2013E50Q13-OK"/>
    <x v="0"/>
  </r>
  <r>
    <x v="729"/>
    <m/>
    <s v="MX4000005P0001296"/>
    <x v="3"/>
    <x v="0"/>
    <s v="R13"/>
    <s v="R13"/>
    <x v="0"/>
    <d v="2023-05-15T00:00:00"/>
    <s v="есть"/>
    <x v="2"/>
    <s v="2 оси"/>
    <s v="002-3015Q13-OK"/>
    <x v="0"/>
  </r>
  <r>
    <x v="730"/>
    <m/>
    <s v="MX4000002S0002292"/>
    <x v="1"/>
    <x v="2"/>
    <s v="R13"/>
    <s v="R13"/>
    <x v="0"/>
    <d v="2025-10-23T00:00:00"/>
    <s v="есть"/>
    <x v="1"/>
    <s v="1 ось"/>
    <s v="002-2513E30Q13-OK"/>
    <x v="0"/>
  </r>
  <r>
    <x v="731"/>
    <m/>
    <s v="MX4000002S0002320"/>
    <x v="0"/>
    <x v="2"/>
    <s v="R13"/>
    <s v="R13"/>
    <x v="0"/>
    <d v="2025-10-30T00:00:00"/>
    <s v="есть"/>
    <x v="1"/>
    <s v="1 ось"/>
    <s v="002-2013E30Q13-OK"/>
    <x v="0"/>
  </r>
  <r>
    <x v="732"/>
    <m/>
    <s v="MX4000002S0002318"/>
    <x v="0"/>
    <x v="2"/>
    <s v="R13"/>
    <s v="R13"/>
    <x v="0"/>
    <d v="2025-10-24T00:00:00"/>
    <s v="есть"/>
    <x v="1"/>
    <s v="1 ось"/>
    <s v="002-2013E30Q13-OK"/>
    <x v="0"/>
  </r>
  <r>
    <x v="733"/>
    <m/>
    <s v="MX4000002S0002286"/>
    <x v="1"/>
    <x v="2"/>
    <s v="R13"/>
    <s v="R13"/>
    <x v="0"/>
    <d v="2025-10-30T00:00:00"/>
    <s v="есть"/>
    <x v="1"/>
    <s v="1 ось"/>
    <s v="002-2513E30Q13-OK"/>
    <x v="0"/>
  </r>
  <r>
    <x v="734"/>
    <m/>
    <s v="MX4000002S0002406"/>
    <x v="0"/>
    <x v="1"/>
    <s v="R13"/>
    <s v="R13"/>
    <x v="2"/>
    <d v="2025-11-04T00:00:00"/>
    <s v="есть"/>
    <x v="0"/>
    <s v="1 ось"/>
    <s v="002-2013E50Q13-OK60"/>
    <x v="0"/>
  </r>
  <r>
    <x v="735"/>
    <m/>
    <s v="MX4000002S0002321"/>
    <x v="0"/>
    <x v="2"/>
    <s v="R13"/>
    <s v="R13"/>
    <x v="0"/>
    <d v="2025-10-16T00:00:00"/>
    <s v="есть"/>
    <x v="1"/>
    <s v="1 ось"/>
    <s v="002-2013E30Q13-OK"/>
    <x v="0"/>
  </r>
  <r>
    <x v="736"/>
    <m/>
    <s v="MX4000002S0002287"/>
    <x v="1"/>
    <x v="1"/>
    <s v="R13"/>
    <s v="R13"/>
    <x v="0"/>
    <d v="2025-11-04T00:00:00"/>
    <s v="есть"/>
    <x v="1"/>
    <s v="1 ось"/>
    <s v="002-2513E50Q13-OK"/>
    <x v="0"/>
  </r>
  <r>
    <x v="737"/>
    <m/>
    <s v="MX4000002S0002421"/>
    <x v="0"/>
    <x v="1"/>
    <s v="R13"/>
    <s v="R13"/>
    <x v="0"/>
    <d v="2025-11-06T00:00:00"/>
    <s v="есть"/>
    <x v="0"/>
    <s v="1 ось"/>
    <s v="002-2013E50Q13-OK"/>
    <x v="0"/>
  </r>
  <r>
    <x v="738"/>
    <m/>
    <s v="MX4000002S0002432"/>
    <x v="0"/>
    <x v="1"/>
    <s v="R13"/>
    <s v="R13"/>
    <x v="0"/>
    <d v="2025-11-10T00:00:00"/>
    <s v="есть"/>
    <x v="0"/>
    <s v="1 ось"/>
    <s v="002-2013E50Q13-OK"/>
    <x v="0"/>
  </r>
  <r>
    <x v="739"/>
    <m/>
    <s v="MX4000002S0002291"/>
    <x v="1"/>
    <x v="2"/>
    <s v="R13"/>
    <s v="R13"/>
    <x v="0"/>
    <d v="2025-11-10T00:00:00"/>
    <s v="есть"/>
    <x v="1"/>
    <s v="1 ось"/>
    <s v="002-2513E30Q13-OK"/>
    <x v="0"/>
  </r>
  <r>
    <x v="740"/>
    <m/>
    <s v="MX4000004S0002431"/>
    <x v="3"/>
    <x v="1"/>
    <s v="R13"/>
    <s v="R13"/>
    <x v="4"/>
    <d v="2025-11-11T00:00:00"/>
    <s v="есть"/>
    <x v="2"/>
    <s v="2 оси"/>
    <s v="004-3015E50Q13-OK"/>
    <x v="0"/>
  </r>
  <r>
    <x v="741"/>
    <m/>
    <s v="MX4000002S0002430"/>
    <x v="0"/>
    <x v="1"/>
    <s v="R13"/>
    <s v="R13"/>
    <x v="0"/>
    <d v="2025-11-11T00:00:00"/>
    <s v="есть"/>
    <x v="2"/>
    <s v="1 ось"/>
    <s v="002-2013E50Q13-OK"/>
    <x v="0"/>
  </r>
  <r>
    <x v="742"/>
    <m/>
    <s v="MX4000002S0002400"/>
    <x v="0"/>
    <x v="1"/>
    <s v="R13"/>
    <s v="R13"/>
    <x v="0"/>
    <d v="2025-11-11T00:00:00"/>
    <s v="есть"/>
    <x v="1"/>
    <s v="1 ось"/>
    <s v="002-2013E50Q13-OK"/>
    <x v="0"/>
  </r>
  <r>
    <x v="743"/>
    <m/>
    <s v="MX4000002S0002436"/>
    <x v="0"/>
    <x v="1"/>
    <s v="R13"/>
    <s v="R13"/>
    <x v="2"/>
    <d v="2025-11-11T00:00:00"/>
    <s v="есть"/>
    <x v="0"/>
    <s v="1 ось"/>
    <s v="002-2013E50Q13-OK60"/>
    <x v="0"/>
  </r>
  <r>
    <x v="744"/>
    <m/>
    <s v="MX4000002S0002437"/>
    <x v="0"/>
    <x v="1"/>
    <s v="R13"/>
    <s v="R13"/>
    <x v="1"/>
    <d v="2025-11-11T00:00:00"/>
    <s v="есть"/>
    <x v="0"/>
    <s v="1 ось"/>
    <s v="002-2013E50Q13-OK30"/>
    <x v="0"/>
  </r>
  <r>
    <x v="745"/>
    <m/>
    <s v="MX4000002S0002433"/>
    <x v="0"/>
    <x v="2"/>
    <s v="R13"/>
    <s v="R13"/>
    <x v="0"/>
    <d v="2025-11-13T00:00:00"/>
    <s v="есть"/>
    <x v="2"/>
    <s v="1 ось"/>
    <s v="002-2013E30Q13-OK"/>
    <x v="1"/>
  </r>
  <r>
    <x v="746"/>
    <m/>
    <s v="MX4000002S0002434"/>
    <x v="0"/>
    <x v="1"/>
    <s v="R13"/>
    <s v="R13"/>
    <x v="1"/>
    <d v="2025-11-13T00:00:00"/>
    <s v="есть"/>
    <x v="2"/>
    <s v="1 ось"/>
    <s v="002-2013E50Q13-OK30"/>
    <x v="0"/>
  </r>
  <r>
    <x v="747"/>
    <m/>
    <s v="MX4000002S0002355"/>
    <x v="0"/>
    <x v="2"/>
    <s v="R13"/>
    <s v="R13"/>
    <x v="0"/>
    <d v="2025-11-13T00:00:00"/>
    <s v="есть"/>
    <x v="1"/>
    <s v="1 ось"/>
    <s v="002-2013E30Q13-OK"/>
    <x v="0"/>
  </r>
  <r>
    <x v="748"/>
    <m/>
    <s v="MX4000002S0002405"/>
    <x v="1"/>
    <x v="1"/>
    <s v="R13"/>
    <s v="R13"/>
    <x v="2"/>
    <d v="2025-11-13T00:00:00"/>
    <s v="есть"/>
    <x v="2"/>
    <s v="1 ось"/>
    <s v="002-2513E50Q13-OK60"/>
    <x v="0"/>
  </r>
  <r>
    <x v="749"/>
    <m/>
    <s v="MX4000002S0002399"/>
    <x v="0"/>
    <x v="2"/>
    <s v="R13"/>
    <s v="R13"/>
    <x v="0"/>
    <d v="2025-11-13T00:00:00"/>
    <s v="есть"/>
    <x v="1"/>
    <s v="1 ось"/>
    <s v="002-2013E30Q13-OK"/>
    <x v="0"/>
  </r>
  <r>
    <x v="750"/>
    <m/>
    <s v="MX4000002S0002427"/>
    <x v="2"/>
    <x v="2"/>
    <s v="R13"/>
    <s v="R13"/>
    <x v="0"/>
    <d v="2025-10-30T00:00:00"/>
    <s v="есть"/>
    <x v="1"/>
    <s v="1 ось"/>
    <s v="002-2515E30Q13-OK"/>
    <x v="0"/>
  </r>
  <r>
    <x v="751"/>
    <m/>
    <s v="MX4000002S0002285"/>
    <x v="1"/>
    <x v="1"/>
    <s v="R13"/>
    <s v="R13"/>
    <x v="0"/>
    <d v="2025-11-11T00:00:00"/>
    <s v="есть"/>
    <x v="1"/>
    <s v="1 ось"/>
    <s v="002-2513E50Q13-OK"/>
    <x v="0"/>
  </r>
  <r>
    <x v="752"/>
    <m/>
    <s v="MX4000005S0002440"/>
    <x v="2"/>
    <x v="0"/>
    <s v="R13"/>
    <s v="R13"/>
    <x v="0"/>
    <d v="2025-11-19T00:00:00"/>
    <s v="есть"/>
    <x v="0"/>
    <s v="2 оси"/>
    <s v="002-2515Q13-OK"/>
    <x v="0"/>
  </r>
  <r>
    <x v="753"/>
    <m/>
    <s v="MX4000002S0002401"/>
    <x v="0"/>
    <x v="1"/>
    <s v="R13"/>
    <s v="R13"/>
    <x v="0"/>
    <d v="2025-11-20T00:00:00"/>
    <s v="есть"/>
    <x v="1"/>
    <s v="1 ось"/>
    <s v="002-2013E50Q13-OK"/>
    <x v="0"/>
  </r>
  <r>
    <x v="754"/>
    <m/>
    <s v="MX4000002S0002367"/>
    <x v="1"/>
    <x v="1"/>
    <s v="R13"/>
    <s v="R13"/>
    <x v="0"/>
    <d v="2025-11-21T00:00:00"/>
    <s v="есть"/>
    <x v="2"/>
    <s v="1 ось"/>
    <s v="002-2513E50Q13-OK"/>
    <x v="0"/>
  </r>
  <r>
    <x v="755"/>
    <m/>
    <s v="MX4000002S0002402"/>
    <x v="0"/>
    <x v="1"/>
    <s v="R13"/>
    <s v="R13"/>
    <x v="0"/>
    <d v="2025-02-11T00:00:00"/>
    <s v="есть"/>
    <x v="2"/>
    <s v="1 ось"/>
    <s v="002-2013E50Q13-OK"/>
    <x v="0"/>
  </r>
  <r>
    <x v="756"/>
    <m/>
    <s v="MX4000002S0002404"/>
    <x v="1"/>
    <x v="1"/>
    <s v="R13"/>
    <s v="R13"/>
    <x v="0"/>
    <d v="2025-11-23T00:00:00"/>
    <s v="есть"/>
    <x v="2"/>
    <s v="1 ось"/>
    <s v="002-2513E50Q13-OK"/>
    <x v="0"/>
  </r>
  <r>
    <x v="757"/>
    <m/>
    <s v="MX4000004S0002438"/>
    <x v="3"/>
    <x v="1"/>
    <s v="R13"/>
    <s v="R13"/>
    <x v="0"/>
    <d v="2025-11-24T00:00:00"/>
    <s v="есть"/>
    <x v="2"/>
    <s v="2 оси"/>
    <s v="004-3015E50Q13-OK"/>
    <x v="0"/>
  </r>
  <r>
    <x v="758"/>
    <m/>
    <s v="MX4000002S0002350"/>
    <x v="0"/>
    <x v="1"/>
    <s v="R13"/>
    <s v="R13"/>
    <x v="0"/>
    <d v="2025-11-05T00:00:00"/>
    <s v="есть"/>
    <x v="1"/>
    <s v="1 ось"/>
    <s v="002-2013E50Q13-OK"/>
    <x v="0"/>
  </r>
  <r>
    <x v="759"/>
    <m/>
    <s v="MX4000002S0002403"/>
    <x v="0"/>
    <x v="2"/>
    <s v="R13"/>
    <s v="R13"/>
    <x v="0"/>
    <d v="2025-11-25T00:00:00"/>
    <s v="есть"/>
    <x v="2"/>
    <s v="1 ось"/>
    <s v="002-2013E30Q13-OK"/>
    <x v="0"/>
  </r>
  <r>
    <x v="760"/>
    <m/>
    <s v="MX4000002S0002441"/>
    <x v="0"/>
    <x v="1"/>
    <s v="R13"/>
    <s v="R13"/>
    <x v="0"/>
    <d v="2025-11-25T00:00:00"/>
    <s v="есть"/>
    <x v="2"/>
    <s v="1 ось"/>
    <s v="002-2013E50Q13-OK"/>
    <x v="0"/>
  </r>
  <r>
    <x v="761"/>
    <m/>
    <s v="MX4000002S0002447"/>
    <x v="0"/>
    <x v="1"/>
    <s v="R13"/>
    <s v="R13"/>
    <x v="2"/>
    <d v="2025-11-25T00:00:00"/>
    <s v="есть"/>
    <x v="0"/>
    <s v="1 ось"/>
    <s v="002-2013E50Q13-OK60"/>
    <x v="0"/>
  </r>
  <r>
    <x v="762"/>
    <m/>
    <s v="MX4000002S0002351"/>
    <x v="0"/>
    <x v="1"/>
    <s v="R13"/>
    <s v="R13"/>
    <x v="0"/>
    <d v="2025-11-19T00:00:00"/>
    <s v="есть"/>
    <x v="1"/>
    <s v="1 ось"/>
    <s v="002-2013E50Q13-OK"/>
    <x v="0"/>
  </r>
  <r>
    <x v="763"/>
    <m/>
    <s v="MX4000002S0002443"/>
    <x v="0"/>
    <x v="1"/>
    <s v="R13"/>
    <s v="R13"/>
    <x v="0"/>
    <d v="2025-11-26T00:00:00"/>
    <s v="есть"/>
    <x v="2"/>
    <s v="1 ось"/>
    <s v="002-2013E50Q13-OK"/>
    <x v="1"/>
  </r>
  <r>
    <x v="764"/>
    <m/>
    <s v="MX4000002S0002442"/>
    <x v="0"/>
    <x v="1"/>
    <s v="R13"/>
    <s v="R13"/>
    <x v="0"/>
    <d v="2025-11-26T00:00:00"/>
    <s v="есть"/>
    <x v="2"/>
    <s v="1 ось"/>
    <s v="002-2013E50Q13-OK"/>
    <x v="1"/>
  </r>
  <r>
    <x v="765"/>
    <m/>
    <s v="MX4000002S0002444"/>
    <x v="0"/>
    <x v="1"/>
    <s v="R13"/>
    <s v="R13"/>
    <x v="0"/>
    <d v="2025-11-26T00:00:00"/>
    <s v="есть"/>
    <x v="2"/>
    <s v="1 ось"/>
    <s v="002-2013E50Q13-OK"/>
    <x v="1"/>
  </r>
  <r>
    <x v="766"/>
    <m/>
    <s v="MX4000005S0002446"/>
    <x v="3"/>
    <x v="0"/>
    <s v="R13"/>
    <s v="R13"/>
    <x v="0"/>
    <d v="2025-11-26T00:00:00"/>
    <s v="есть"/>
    <x v="2"/>
    <s v="2 оси"/>
    <s v="002-3015Q13-OK"/>
    <x v="0"/>
  </r>
  <r>
    <x v="767"/>
    <m/>
    <s v="MX4000002S0002356"/>
    <x v="0"/>
    <x v="1"/>
    <s v="R13"/>
    <s v="R13"/>
    <x v="0"/>
    <d v="2025-11-19T00:00:00"/>
    <s v="есть"/>
    <x v="1"/>
    <s v="1 ось"/>
    <s v="002-2013E50Q13-OK"/>
    <x v="0"/>
  </r>
  <r>
    <x v="768"/>
    <m/>
    <s v="MX4000002S0002352"/>
    <x v="0"/>
    <x v="1"/>
    <s v="R13"/>
    <s v="R13"/>
    <x v="0"/>
    <d v="2025-11-20T00:00:00"/>
    <s v="есть"/>
    <x v="1"/>
    <s v="1 ось"/>
    <s v="002-2013E50Q13-OK"/>
    <x v="0"/>
  </r>
  <r>
    <x v="769"/>
    <m/>
    <s v="MX4000002S0002449"/>
    <x v="0"/>
    <x v="1"/>
    <s v="R13"/>
    <s v="R13"/>
    <x v="0"/>
    <d v="2025-11-20T00:00:00"/>
    <s v="есть"/>
    <x v="0"/>
    <s v="1 ось"/>
    <s v="002-2013E50Q13-OK"/>
    <x v="0"/>
  </r>
  <r>
    <x v="770"/>
    <m/>
    <s v="MX4000002S0002450"/>
    <x v="0"/>
    <x v="1"/>
    <s v="R13"/>
    <s v="R13"/>
    <x v="0"/>
    <d v="2025-12-01T00:00:00"/>
    <s v="есть"/>
    <x v="0"/>
    <s v="1 ось"/>
    <s v="002-2013E50Q13-OK"/>
    <x v="0"/>
  </r>
  <r>
    <x v="771"/>
    <m/>
    <s v="MX4000002S0002451"/>
    <x v="1"/>
    <x v="1"/>
    <s v="R13"/>
    <s v="R13"/>
    <x v="0"/>
    <d v="2025-12-01T00:00:00"/>
    <s v="есть"/>
    <x v="0"/>
    <s v="1 ось"/>
    <s v="002-2513E50Q13-OK"/>
    <x v="0"/>
  </r>
  <r>
    <x v="772"/>
    <m/>
    <s v="MX4000002S0002398"/>
    <x v="0"/>
    <x v="1"/>
    <s v="R13"/>
    <s v="R13"/>
    <x v="0"/>
    <d v="2025-11-19T00:00:00"/>
    <s v="есть"/>
    <x v="1"/>
    <s v="1 ось"/>
    <s v="002-2013E50Q13-OK"/>
    <x v="0"/>
  </r>
  <r>
    <x v="773"/>
    <m/>
    <s v="MX4000002S0002263"/>
    <x v="3"/>
    <x v="1"/>
    <s v="R13"/>
    <s v="R13"/>
    <x v="0"/>
    <d v="2025-12-02T00:00:00"/>
    <s v="есть"/>
    <x v="1"/>
    <s v="1 ось"/>
    <s v="002-3015E50Q13-OK"/>
    <x v="0"/>
  </r>
  <r>
    <x v="774"/>
    <m/>
    <s v="MX4000002S0002359"/>
    <x v="0"/>
    <x v="1"/>
    <s v="R13"/>
    <s v="R13"/>
    <x v="0"/>
    <d v="2025-11-26T00:00:00"/>
    <s v="есть"/>
    <x v="1"/>
    <s v="1 ось"/>
    <s v="002-2013E50Q13-OK"/>
    <x v="0"/>
  </r>
  <r>
    <x v="775"/>
    <m/>
    <s v="MX4000004S0002423"/>
    <x v="3"/>
    <x v="2"/>
    <s v="R13"/>
    <s v="R13"/>
    <x v="0"/>
    <d v="2025-11-19T00:00:00"/>
    <s v="есть"/>
    <x v="1"/>
    <s v="2 оси"/>
    <s v="002-3015E30Q13-OK"/>
    <x v="0"/>
  </r>
  <r>
    <x v="776"/>
    <m/>
    <s v="MX4000002S0002354"/>
    <x v="0"/>
    <x v="2"/>
    <s v="R13"/>
    <s v="R13"/>
    <x v="0"/>
    <d v="2025-12-04T00:00:00"/>
    <s v="есть"/>
    <x v="1"/>
    <s v="1 ось"/>
    <s v="002-2013E30Q13-OK"/>
    <x v="0"/>
  </r>
  <r>
    <x v="777"/>
    <m/>
    <s v="MX4000002S0002357"/>
    <x v="0"/>
    <x v="1"/>
    <s v="R13"/>
    <s v="R13"/>
    <x v="0"/>
    <d v="2025-12-05T00:00:00"/>
    <s v="есть"/>
    <x v="1"/>
    <s v="1 ось"/>
    <s v="002-2013E50Q13-OK"/>
    <x v="0"/>
  </r>
  <r>
    <x v="778"/>
    <m/>
    <s v="MX4000002S0002353"/>
    <x v="0"/>
    <x v="2"/>
    <s v="R13"/>
    <s v="R13"/>
    <x v="0"/>
    <d v="2025-12-05T00:00:00"/>
    <s v="есть"/>
    <x v="1"/>
    <s v="1 ось"/>
    <s v="002-2013E30Q13-OK"/>
    <x v="0"/>
  </r>
  <r>
    <x v="779"/>
    <m/>
    <s v="MX4000002S0002389"/>
    <x v="0"/>
    <x v="1"/>
    <s v="R13"/>
    <s v="R13"/>
    <x v="0"/>
    <d v="2025-12-05T00:00:00"/>
    <s v="есть"/>
    <x v="1"/>
    <s v="1 ось"/>
    <s v="002-2013E50Q13-OK"/>
    <x v="0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  <r>
    <x v="780"/>
    <m/>
    <m/>
    <x v="6"/>
    <x v="3"/>
    <m/>
    <m/>
    <x v="6"/>
    <m/>
    <m/>
    <x v="3"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наличие" cacheId="8" applyNumberFormats="0" applyBorderFormats="0" applyFontFormats="0" applyPatternFormats="0" applyAlignmentFormats="0" applyWidthHeightFormats="0" dataCaption="" updatedVersion="6" compact="0" compactData="0">
  <location ref="A3:F10" firstHeaderRow="1" firstDataRow="2" firstDataCol="3" rowPageCount="1" colPageCount="1"/>
  <pivotFields count="14">
    <pivotField name="Отметка времени" compact="0" numFmtId="165" outline="0" multipleItemSelectionAllowed="1" showAll="0"/>
    <pivotField name=" " compact="0" outline="0" multipleItemSelectionAllowed="1" showAll="0"/>
    <pivotField name="VIN код" dataField="1" compact="0" outline="0" multipleItemSelectionAllowed="1" showAll="0"/>
    <pivotField name="Прицеп" axis="axisRow" compact="0" outline="0" multipleItemSelectionAllowed="1" showAll="0" sortType="ascending" defaultSubtotal="0">
      <items count="6">
        <item x="0"/>
        <item x="1"/>
        <item x="2"/>
        <item x="3"/>
        <item x="4"/>
        <item x="5"/>
      </items>
    </pivotField>
    <pivotField name="Борт" axis="axisRow" compact="0" outline="0" multipleItemSelectionAllowed="1" showAll="0" sortType="ascending" defaultSubtotal="0">
      <items count="3">
        <item x="2"/>
        <item x="1"/>
        <item x="0"/>
      </items>
    </pivotField>
    <pivotField name="Колесо" compact="0" outline="0" multipleItemSelectionAllowed="1" showAll="0"/>
    <pivotField name="Ступица" compact="0" outline="0" multipleItemSelectionAllowed="1" showAll="0"/>
    <pivotField name="Тент-каркас" axis="axisRow" compact="0" outline="0" multipleItemSelectionAllowed="1" showAll="0" sortType="ascending">
      <items count="7">
        <item x="1"/>
        <item x="2"/>
        <item x="3"/>
        <item x="4"/>
        <item x="5"/>
        <item x="0"/>
        <item t="default"/>
      </items>
    </pivotField>
    <pivotField name="Дата выпуска" compact="0" numFmtId="14" outline="0" multipleItemSelectionAllowed="1" showAll="0"/>
    <pivotField name="Откатное колесо" compact="0" outline="0" multipleItemSelectionAllowed="1" showAll="0"/>
    <pivotField name="Склад" axis="axisCol" compact="0" outline="0" multipleItemSelectionAllowed="1" showAll="0" sortType="ascending">
      <items count="4">
        <item x="1"/>
        <item x="2"/>
        <item x="0"/>
        <item t="default"/>
      </items>
    </pivotField>
    <pivotField name="Количество осей" compact="0" outline="0" multipleItemSelectionAllowed="1" showAll="0"/>
    <pivotField name="Артикул" compact="0" outline="0" multipleItemSelectionAllowed="1" showAll="0"/>
    <pivotField name="Статус" axis="axisPage" compact="0" outline="0" multipleItemSelectionAllowed="1" showAll="0">
      <items count="3">
        <item h="1" x="0"/>
        <item x="1"/>
        <item t="default"/>
      </items>
    </pivotField>
  </pivotFields>
  <rowFields count="3">
    <field x="3"/>
    <field x="4"/>
    <field x="7"/>
  </rowFields>
  <rowItems count="6">
    <i>
      <x/>
      <x/>
      <x v="5"/>
    </i>
    <i r="1">
      <x v="1"/>
      <x/>
    </i>
    <i r="2">
      <x v="5"/>
    </i>
    <i>
      <x v="1"/>
      <x/>
      <x v="5"/>
    </i>
    <i>
      <x v="3"/>
      <x/>
      <x v="5"/>
    </i>
    <i t="grand">
      <x/>
    </i>
  </rowItems>
  <colFields count="1">
    <field x="10"/>
  </colFields>
  <colItems count="3">
    <i>
      <x/>
    </i>
    <i>
      <x v="1"/>
    </i>
    <i t="grand">
      <x/>
    </i>
  </colItems>
  <pageFields count="1">
    <pageField fld="13" hier="0"/>
  </pageFields>
  <dataFields count="1">
    <dataField name="COUNTA of VIN код" fld="2" subtotal="count" baseField="0"/>
  </dataField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продажи" cacheId="16" applyNumberFormats="0" applyBorderFormats="0" applyFontFormats="0" applyPatternFormats="0" applyAlignmentFormats="0" applyWidthHeightFormats="0" dataCaption="" updatedVersion="6" compact="0" compactData="0">
  <location ref="A4:D6" firstHeaderRow="1" firstDataRow="2" firstDataCol="3" rowPageCount="2" colPageCount="1"/>
  <pivotFields count="14">
    <pivotField name="Отметка времени" axis="axisPage" compact="0" numFmtId="165" outline="0" multipleItemSelectionAllowed="1" showAll="0">
      <items count="1206">
        <item h="1" x="0"/>
        <item h="1" x="1"/>
        <item h="1" x="2"/>
        <item h="1" x="3"/>
        <item h="1" x="4"/>
        <item h="1" m="1" x="825"/>
        <item h="1" m="1" x="1130"/>
        <item h="1" m="1" x="1181"/>
        <item h="1" x="8"/>
        <item h="1" m="1" x="1029"/>
        <item h="1" x="10"/>
        <item h="1" m="1" x="935"/>
        <item h="1" m="1" x="981"/>
        <item h="1" x="13"/>
        <item h="1" x="14"/>
        <item h="1" x="15"/>
        <item h="1" m="1" x="898"/>
        <item h="1" m="1" x="858"/>
        <item h="1" x="18"/>
        <item h="1" m="1" x="806"/>
        <item h="1" m="1" x="1162"/>
        <item h="1" m="1" x="984"/>
        <item h="1" m="1" x="833"/>
        <item h="1" m="1" x="1096"/>
        <item h="1" x="24"/>
        <item h="1" m="1" x="1168"/>
        <item h="1" m="1" x="1090"/>
        <item h="1" x="27"/>
        <item h="1" x="28"/>
        <item h="1" m="1" x="942"/>
        <item h="1" x="30"/>
        <item h="1" m="1" x="1003"/>
        <item h="1" x="32"/>
        <item h="1" x="33"/>
        <item h="1" m="1" x="1024"/>
        <item h="1" m="1" x="943"/>
        <item h="1" x="36"/>
        <item h="1" m="1" x="1165"/>
        <item h="1" m="1" x="884"/>
        <item h="1" x="39"/>
        <item h="1" m="1" x="1185"/>
        <item h="1" m="1" x="1069"/>
        <item h="1" x="42"/>
        <item h="1" m="1" x="1000"/>
        <item h="1" x="44"/>
        <item h="1" x="45"/>
        <item h="1" m="1" x="1179"/>
        <item h="1" m="1" x="1022"/>
        <item h="1" m="1" x="881"/>
        <item h="1" m="1" x="1182"/>
        <item h="1" m="1" x="1115"/>
        <item h="1" m="1" x="1081"/>
        <item h="1" m="1" x="849"/>
        <item h="1" x="53"/>
        <item h="1" m="1" x="963"/>
        <item h="1" x="55"/>
        <item h="1" m="1" x="1025"/>
        <item h="1" m="1" x="1183"/>
        <item h="1" x="58"/>
        <item h="1" m="1" x="921"/>
        <item h="1" m="1" x="1027"/>
        <item h="1" x="61"/>
        <item h="1" m="1" x="1129"/>
        <item h="1" x="63"/>
        <item h="1" m="1" x="1151"/>
        <item h="1" x="65"/>
        <item h="1" x="66"/>
        <item h="1" x="67"/>
        <item h="1" m="1" x="887"/>
        <item h="1" m="1" x="988"/>
        <item h="1" x="70"/>
        <item h="1" m="1" x="1134"/>
        <item h="1" m="1" x="1073"/>
        <item h="1" x="73"/>
        <item h="1" x="74"/>
        <item h="1" m="1" x="976"/>
        <item h="1" x="76"/>
        <item h="1" m="1" x="1177"/>
        <item h="1" x="78"/>
        <item h="1" x="79"/>
        <item h="1" m="1" x="1203"/>
        <item h="1" m="1" x="855"/>
        <item h="1" x="82"/>
        <item h="1" m="1" x="1036"/>
        <item h="1" x="84"/>
        <item h="1" x="85"/>
        <item h="1" m="1" x="1100"/>
        <item h="1" m="1" x="946"/>
        <item h="1" m="1" x="1140"/>
        <item h="1" m="1" x="1131"/>
        <item h="1" m="1" x="788"/>
        <item h="1" m="1" x="1089"/>
        <item h="1" x="92"/>
        <item h="1" m="1" x="1120"/>
        <item h="1" x="94"/>
        <item h="1" x="95"/>
        <item h="1" m="1" x="838"/>
        <item h="1" m="1" x="999"/>
        <item h="1" m="1" x="851"/>
        <item h="1" x="99"/>
        <item h="1" m="1" x="990"/>
        <item h="1" m="1" x="908"/>
        <item h="1" m="1" x="846"/>
        <item h="1" x="103"/>
        <item h="1" m="1" x="1011"/>
        <item h="1" x="105"/>
        <item h="1" m="1" x="883"/>
        <item h="1" x="107"/>
        <item h="1" m="1" x="1020"/>
        <item h="1" x="109"/>
        <item h="1" m="1" x="904"/>
        <item h="1" x="111"/>
        <item h="1" m="1" x="1176"/>
        <item h="1" m="1" x="843"/>
        <item h="1" m="1" x="991"/>
        <item h="1" x="115"/>
        <item h="1" x="116"/>
        <item h="1" x="117"/>
        <item h="1" m="1" x="948"/>
        <item h="1" m="1" x="811"/>
        <item h="1" m="1" x="847"/>
        <item h="1" m="1" x="839"/>
        <item h="1" m="1" x="1109"/>
        <item h="1" m="1" x="784"/>
        <item h="1" m="1" x="1192"/>
        <item h="1" m="1" x="993"/>
        <item h="1" m="1" x="1023"/>
        <item h="1" m="1" x="1057"/>
        <item h="1" x="128"/>
        <item h="1" x="129"/>
        <item h="1" x="130"/>
        <item h="1" m="1" x="1169"/>
        <item h="1" m="1" x="1149"/>
        <item h="1" m="1" x="944"/>
        <item h="1" m="1" x="1091"/>
        <item h="1" m="1" x="886"/>
        <item h="1" m="1" x="860"/>
        <item h="1" x="137"/>
        <item h="1" x="138"/>
        <item h="1" x="139"/>
        <item h="1" m="1" x="807"/>
        <item h="1" m="1" x="1116"/>
        <item h="1" m="1" x="953"/>
        <item h="1" m="1" x="1084"/>
        <item h="1" x="144"/>
        <item h="1" m="1" x="919"/>
        <item h="1" x="146"/>
        <item h="1" m="1" x="794"/>
        <item h="1" x="148"/>
        <item h="1" m="1" x="842"/>
        <item h="1" m="1" x="899"/>
        <item h="1" m="1" x="924"/>
        <item h="1" x="152"/>
        <item h="1" x="153"/>
        <item h="1" m="1" x="1110"/>
        <item h="1" m="1" x="1150"/>
        <item h="1" m="1" x="877"/>
        <item h="1" m="1" x="1039"/>
        <item h="1" x="158"/>
        <item h="1" m="1" x="1033"/>
        <item h="1" m="1" x="1174"/>
        <item h="1" x="161"/>
        <item h="1" x="162"/>
        <item h="1" m="1" x="956"/>
        <item h="1" x="164"/>
        <item h="1" x="165"/>
        <item h="1" m="1" x="868"/>
        <item h="1" m="1" x="1045"/>
        <item h="1" m="1" x="1078"/>
        <item h="1" m="1" x="798"/>
        <item h="1" x="170"/>
        <item h="1" m="1" x="968"/>
        <item h="1" x="172"/>
        <item h="1" x="173"/>
        <item h="1" x="174"/>
        <item h="1" m="1" x="895"/>
        <item h="1" x="176"/>
        <item h="1" x="177"/>
        <item h="1" m="1" x="983"/>
        <item h="1" m="1" x="1193"/>
        <item h="1" m="1" x="1101"/>
        <item h="1" m="1" x="934"/>
        <item h="1" x="182"/>
        <item h="1" x="183"/>
        <item h="1" x="184"/>
        <item h="1" m="1" x="977"/>
        <item h="1" x="186"/>
        <item h="1" m="1" x="914"/>
        <item h="1" x="188"/>
        <item h="1" m="1" x="823"/>
        <item h="1" x="190"/>
        <item h="1" m="1" x="1056"/>
        <item h="1" x="192"/>
        <item h="1" m="1" x="1016"/>
        <item h="1" m="1" x="1164"/>
        <item h="1" x="195"/>
        <item h="1" x="196"/>
        <item h="1" m="1" x="906"/>
        <item h="1" m="1" x="907"/>
        <item h="1" x="199"/>
        <item h="1" m="1" x="996"/>
        <item h="1" m="1" x="837"/>
        <item h="1" x="202"/>
        <item h="1" m="1" x="1103"/>
        <item h="1" x="204"/>
        <item h="1" x="205"/>
        <item h="1" m="1" x="1048"/>
        <item h="1" x="207"/>
        <item h="1" x="208"/>
        <item h="1" x="209"/>
        <item h="1" x="210"/>
        <item h="1" x="211"/>
        <item h="1" m="1" x="971"/>
        <item h="1" x="213"/>
        <item h="1" m="1" x="787"/>
        <item h="1" x="215"/>
        <item h="1" m="1" x="1152"/>
        <item h="1" m="1" x="830"/>
        <item h="1" x="218"/>
        <item h="1" m="1" x="864"/>
        <item h="1" m="1" x="1159"/>
        <item h="1" m="1" x="1194"/>
        <item h="1" x="222"/>
        <item h="1" m="1" x="1146"/>
        <item h="1" x="224"/>
        <item h="1" x="225"/>
        <item h="1" x="226"/>
        <item h="1" x="227"/>
        <item h="1" m="1" x="1173"/>
        <item h="1" m="1" x="1154"/>
        <item h="1" x="230"/>
        <item h="1" x="231"/>
        <item h="1" x="232"/>
        <item h="1" m="1" x="958"/>
        <item h="1" x="234"/>
        <item h="1" m="1" x="913"/>
        <item h="1" m="1" x="1032"/>
        <item h="1" x="237"/>
        <item h="1" x="238"/>
        <item h="1" m="1" x="876"/>
        <item h="1" x="240"/>
        <item h="1" x="241"/>
        <item h="1" m="1" x="927"/>
        <item h="1" x="243"/>
        <item h="1" m="1" x="933"/>
        <item h="1" m="1" x="1092"/>
        <item h="1" x="246"/>
        <item h="1" m="1" x="1009"/>
        <item h="1" x="248"/>
        <item h="1" x="249"/>
        <item h="1" m="1" x="826"/>
        <item h="1" x="251"/>
        <item h="1" x="252"/>
        <item h="1" x="253"/>
        <item h="1" m="1" x="1145"/>
        <item h="1" m="1" x="859"/>
        <item h="1" m="1" x="1010"/>
        <item h="1" x="257"/>
        <item h="1" m="1" x="869"/>
        <item h="1" m="1" x="1195"/>
        <item h="1" x="260"/>
        <item h="1" m="1" x="997"/>
        <item h="1" x="262"/>
        <item h="1" m="1" x="926"/>
        <item h="1" m="1" x="941"/>
        <item h="1" x="265"/>
        <item h="1" x="266"/>
        <item h="1" m="1" x="804"/>
        <item h="1" m="1" x="979"/>
        <item h="1" m="1" x="1201"/>
        <item h="1" m="1" x="796"/>
        <item h="1" x="271"/>
        <item h="1" m="1" x="866"/>
        <item h="1" x="273"/>
        <item h="1" m="1" x="836"/>
        <item h="1" m="1" x="1190"/>
        <item h="1" m="1" x="1076"/>
        <item h="1" x="277"/>
        <item h="1" x="278"/>
        <item h="1" x="279"/>
        <item h="1" m="1" x="931"/>
        <item h="1" x="281"/>
        <item h="1" m="1" x="1097"/>
        <item h="1" x="283"/>
        <item h="1" m="1" x="1053"/>
        <item h="1" m="1" x="1122"/>
        <item h="1" x="286"/>
        <item h="1" m="1" x="992"/>
        <item h="1" m="1" x="852"/>
        <item h="1" x="289"/>
        <item h="1" m="1" x="929"/>
        <item h="1" m="1" x="810"/>
        <item h="1" m="1" x="1028"/>
        <item h="1" m="1" x="815"/>
        <item h="1" x="294"/>
        <item h="1" m="1" x="911"/>
        <item h="1" m="1" x="781"/>
        <item h="1" x="297"/>
        <item h="1" m="1" x="1132"/>
        <item h="1" x="299"/>
        <item h="1" m="1" x="863"/>
        <item h="1" m="1" x="980"/>
        <item h="1" x="302"/>
        <item h="1" x="303"/>
        <item h="1" x="304"/>
        <item h="1" x="305"/>
        <item h="1" m="1" x="961"/>
        <item h="1" x="307"/>
        <item h="1" m="1" x="1066"/>
        <item h="1" x="309"/>
        <item h="1" x="310"/>
        <item h="1" m="1" x="1017"/>
        <item h="1" x="312"/>
        <item h="1" m="1" x="1018"/>
        <item h="1" x="314"/>
        <item h="1" m="1" x="862"/>
        <item h="1" x="316"/>
        <item h="1" m="1" x="916"/>
        <item h="1" m="1" x="1157"/>
        <item h="1" x="319"/>
        <item h="1" m="1" x="1080"/>
        <item h="1" m="1" x="1019"/>
        <item h="1" x="322"/>
        <item h="1" m="1" x="812"/>
        <item h="1" x="324"/>
        <item h="1" m="1" x="923"/>
        <item h="1" x="326"/>
        <item h="1" x="327"/>
        <item h="1" x="328"/>
        <item h="1" m="1" x="987"/>
        <item h="1" m="1" x="950"/>
        <item h="1" x="331"/>
        <item h="1" m="1" x="841"/>
        <item h="1" x="333"/>
        <item h="1" m="1" x="1067"/>
        <item h="1" m="1" x="850"/>
        <item h="1" x="336"/>
        <item h="1" x="337"/>
        <item h="1" m="1" x="861"/>
        <item h="1" m="1" x="1142"/>
        <item h="1" m="1" x="930"/>
        <item h="1" m="1" x="1099"/>
        <item h="1" x="342"/>
        <item h="1" x="343"/>
        <item h="1" x="344"/>
        <item h="1" x="345"/>
        <item h="1" m="1" x="1160"/>
        <item h="1" m="1" x="910"/>
        <item h="1" m="1" x="925"/>
        <item h="1" m="1" x="1141"/>
        <item h="1" x="350"/>
        <item h="1" m="1" x="917"/>
        <item h="1" x="352"/>
        <item h="1" x="353"/>
        <item h="1" m="1" x="1008"/>
        <item h="1" m="1" x="854"/>
        <item h="1" m="1" x="1171"/>
        <item h="1" m="1" x="871"/>
        <item h="1" x="358"/>
        <item h="1" x="359"/>
        <item h="1" x="360"/>
        <item h="1" x="361"/>
        <item h="1" x="362"/>
        <item h="1" m="1" x="900"/>
        <item h="1" m="1" x="1191"/>
        <item h="1" m="1" x="897"/>
        <item h="1" x="366"/>
        <item h="1" x="367"/>
        <item h="1" x="368"/>
        <item h="1" x="369"/>
        <item h="1" m="1" x="1074"/>
        <item h="1" m="1" x="964"/>
        <item h="1" m="1" x="893"/>
        <item h="1" m="1" x="782"/>
        <item h="1" x="374"/>
        <item h="1" m="1" x="1126"/>
        <item h="1" m="1" x="1082"/>
        <item h="1" x="377"/>
        <item h="1" m="1" x="827"/>
        <item h="1" m="1" x="1040"/>
        <item h="1" x="380"/>
        <item h="1" m="1" x="1095"/>
        <item h="1" x="382"/>
        <item h="1" m="1" x="1064"/>
        <item h="1" x="384"/>
        <item h="1" m="1" x="857"/>
        <item h="1" m="1" x="1155"/>
        <item h="1" m="1" x="1105"/>
        <item h="1" x="388"/>
        <item h="1" x="389"/>
        <item h="1" x="390"/>
        <item h="1" m="1" x="1086"/>
        <item h="1" x="392"/>
        <item h="1" m="1" x="1111"/>
        <item h="1" m="1" x="1013"/>
        <item h="1" m="1" x="1187"/>
        <item h="1" x="396"/>
        <item h="1" x="397"/>
        <item h="1" m="1" x="915"/>
        <item h="1" m="1" x="1075"/>
        <item h="1" m="1" x="791"/>
        <item h="1" m="1" x="785"/>
        <item h="1" m="1" x="994"/>
        <item h="1" x="403"/>
        <item h="1" x="404"/>
        <item h="1" m="1" x="885"/>
        <item h="1" x="406"/>
        <item h="1" m="1" x="1104"/>
        <item h="1" x="408"/>
        <item h="1" m="1" x="966"/>
        <item h="1" x="410"/>
        <item h="1" x="411"/>
        <item h="1" m="1" x="891"/>
        <item h="1" x="413"/>
        <item h="1" x="414"/>
        <item h="1" x="415"/>
        <item h="1" x="416"/>
        <item h="1" x="417"/>
        <item h="1" x="418"/>
        <item h="1" x="419"/>
        <item h="1" x="420"/>
        <item h="1" m="1" x="1156"/>
        <item h="1" x="422"/>
        <item h="1" x="423"/>
        <item h="1" x="424"/>
        <item h="1" m="1" x="813"/>
        <item h="1" m="1" x="928"/>
        <item h="1" x="427"/>
        <item h="1" x="428"/>
        <item h="1" m="1" x="1139"/>
        <item h="1" x="430"/>
        <item h="1" x="431"/>
        <item h="1" m="1" x="805"/>
        <item h="1" m="1" x="896"/>
        <item h="1" m="1" x="1060"/>
        <item h="1" x="435"/>
        <item h="1" x="436"/>
        <item h="1" x="437"/>
        <item h="1" x="438"/>
        <item h="1" x="439"/>
        <item h="1" x="440"/>
        <item h="1" m="1" x="797"/>
        <item h="1" x="442"/>
        <item h="1" m="1" x="982"/>
        <item h="1" x="444"/>
        <item h="1" m="1" x="938"/>
        <item h="1" m="1" x="902"/>
        <item h="1" m="1" x="840"/>
        <item h="1" m="1" x="1062"/>
        <item h="1" x="449"/>
        <item h="1" m="1" x="1172"/>
        <item h="1" m="1" x="1135"/>
        <item h="1" x="452"/>
        <item h="1" m="1" x="1072"/>
        <item h="1" x="454"/>
        <item h="1" m="1" x="832"/>
        <item h="1" x="456"/>
        <item h="1" m="1" x="1035"/>
        <item h="1" m="1" x="1138"/>
        <item h="1" m="1" x="937"/>
        <item h="1" m="1" x="1200"/>
        <item h="1" m="1" x="1055"/>
        <item h="1" m="1" x="1108"/>
        <item h="1" m="1" x="1012"/>
        <item h="1" x="464"/>
        <item h="1" m="1" x="920"/>
        <item h="1" x="466"/>
        <item h="1" m="1" x="932"/>
        <item h="1" x="468"/>
        <item h="1" x="469"/>
        <item h="1" x="470"/>
        <item h="1" x="471"/>
        <item h="1" m="1" x="834"/>
        <item h="1" x="473"/>
        <item h="1" m="1" x="949"/>
        <item h="1" m="1" x="1199"/>
        <item h="1" x="476"/>
        <item h="1" m="1" x="1071"/>
        <item h="1" m="1" x="959"/>
        <item h="1" m="1" x="1043"/>
        <item h="1" x="480"/>
        <item h="1" x="481"/>
        <item h="1" m="1" x="814"/>
        <item h="1" x="483"/>
        <item h="1" m="1" x="809"/>
        <item h="1" m="1" x="955"/>
        <item h="1" x="486"/>
        <item h="1" m="1" x="1106"/>
        <item h="1" m="1" x="967"/>
        <item h="1" x="489"/>
        <item h="1" x="490"/>
        <item h="1" m="1" x="848"/>
        <item h="1" m="1" x="894"/>
        <item h="1" m="1" x="821"/>
        <item h="1" m="1" x="1083"/>
        <item h="1" x="495"/>
        <item h="1" x="496"/>
        <item h="1" x="497"/>
        <item h="1" x="498"/>
        <item h="1" m="1" x="1050"/>
        <item h="1" m="1" x="1031"/>
        <item h="1" m="1" x="1123"/>
        <item h="1" x="502"/>
        <item h="1" x="503"/>
        <item h="1" x="504"/>
        <item h="1" m="1" x="973"/>
        <item h="1" x="506"/>
        <item h="1" x="507"/>
        <item h="1" m="1" x="835"/>
        <item h="1" x="509"/>
        <item h="1" x="510"/>
        <item h="1" x="511"/>
        <item h="1" m="1" x="819"/>
        <item h="1" x="513"/>
        <item h="1" m="1" x="945"/>
        <item h="1" x="515"/>
        <item h="1" m="1" x="936"/>
        <item h="1" m="1" x="892"/>
        <item h="1" x="518"/>
        <item h="1" m="1" x="865"/>
        <item h="1" x="520"/>
        <item h="1" x="521"/>
        <item h="1" m="1" x="1161"/>
        <item h="1" x="523"/>
        <item h="1" x="524"/>
        <item h="1" x="525"/>
        <item h="1" x="526"/>
        <item h="1" m="1" x="1001"/>
        <item h="1" x="528"/>
        <item h="1" m="1" x="820"/>
        <item h="1" m="1" x="1167"/>
        <item h="1" x="531"/>
        <item h="1" m="1" x="1002"/>
        <item h="1" m="1" x="1118"/>
        <item h="1" m="1" x="1166"/>
        <item h="1" x="535"/>
        <item h="1" m="1" x="816"/>
        <item h="1" x="537"/>
        <item h="1" m="1" x="1127"/>
        <item h="1" m="1" x="800"/>
        <item h="1" x="540"/>
        <item h="1" m="1" x="1163"/>
        <item h="1" x="542"/>
        <item h="1" x="543"/>
        <item h="1" x="544"/>
        <item h="1" m="1" x="947"/>
        <item h="1" x="546"/>
        <item h="1" m="1" x="1184"/>
        <item h="1" x="548"/>
        <item h="1" m="1" x="970"/>
        <item h="1" x="550"/>
        <item h="1" m="1" x="786"/>
        <item h="1" x="552"/>
        <item h="1" x="553"/>
        <item h="1" x="554"/>
        <item h="1" x="555"/>
        <item h="1" x="556"/>
        <item h="1" x="557"/>
        <item h="1" m="1" x="844"/>
        <item h="1" x="559"/>
        <item h="1" x="560"/>
        <item h="1" m="1" x="1197"/>
        <item h="1" x="562"/>
        <item h="1" m="1" x="912"/>
        <item h="1" x="564"/>
        <item h="1" m="1" x="817"/>
        <item h="1" x="566"/>
        <item h="1" x="567"/>
        <item h="1" x="568"/>
        <item h="1" x="569"/>
        <item h="1" x="570"/>
        <item h="1" m="1" x="792"/>
        <item h="1" x="572"/>
        <item h="1" x="573"/>
        <item h="1" x="574"/>
        <item h="1" m="1" x="1112"/>
        <item h="1" m="1" x="1113"/>
        <item h="1" x="577"/>
        <item h="1" x="578"/>
        <item h="1" x="579"/>
        <item h="1" m="1" x="853"/>
        <item h="1" m="1" x="889"/>
        <item h="1" m="1" x="789"/>
        <item h="1" m="1" x="969"/>
        <item h="1" x="584"/>
        <item h="1" m="1" x="998"/>
        <item h="1" m="1" x="867"/>
        <item h="1" m="1" x="1202"/>
        <item h="1" m="1" x="1044"/>
        <item h="1" x="589"/>
        <item h="1" x="590"/>
        <item h="1" m="1" x="890"/>
        <item h="1" x="592"/>
        <item h="1" x="593"/>
        <item h="1" m="1" x="1087"/>
        <item h="1" m="1" x="1004"/>
        <item h="1" x="596"/>
        <item h="1" x="597"/>
        <item h="1" m="1" x="880"/>
        <item h="1" x="599"/>
        <item h="1" x="600"/>
        <item h="1" m="1" x="1158"/>
        <item h="1" m="1" x="1063"/>
        <item h="1" m="1" x="1079"/>
        <item h="1" m="1" x="962"/>
        <item h="1" m="1" x="888"/>
        <item h="1" m="1" x="1006"/>
        <item h="1" x="607"/>
        <item h="1" m="1" x="1077"/>
        <item h="1" x="609"/>
        <item h="1" m="1" x="1148"/>
        <item h="1" m="1" x="1026"/>
        <item h="1" m="1" x="918"/>
        <item h="1" x="613"/>
        <item h="1" x="614"/>
        <item h="1" m="1" x="965"/>
        <item h="1" m="1" x="1051"/>
        <item h="1" m="1" x="1196"/>
        <item h="1" m="1" x="1014"/>
        <item h="1" m="1" x="1015"/>
        <item h="1" x="620"/>
        <item h="1" x="621"/>
        <item h="1" m="1" x="960"/>
        <item h="1" x="623"/>
        <item h="1" m="1" x="878"/>
        <item h="1" m="1" x="901"/>
        <item h="1" m="1" x="801"/>
        <item h="1" m="1" x="1124"/>
        <item h="1" x="628"/>
        <item h="1" x="629"/>
        <item h="1" x="630"/>
        <item h="1" m="1" x="799"/>
        <item h="1" x="632"/>
        <item h="1" m="1" x="995"/>
        <item h="1" m="1" x="1085"/>
        <item h="1" m="1" x="828"/>
        <item h="1" x="636"/>
        <item h="1" m="1" x="1178"/>
        <item h="1" m="1" x="1093"/>
        <item h="1" x="639"/>
        <item h="1" x="640"/>
        <item h="1" x="641"/>
        <item h="1" m="1" x="1133"/>
        <item h="1" m="1" x="989"/>
        <item h="1" x="644"/>
        <item h="1" x="645"/>
        <item h="1" m="1" x="978"/>
        <item h="1" m="1" x="1034"/>
        <item h="1" m="1" x="824"/>
        <item h="1" m="1" x="1054"/>
        <item h="1" m="1" x="793"/>
        <item h="1" m="1" x="1125"/>
        <item h="1" m="1" x="802"/>
        <item h="1" m="1" x="1030"/>
        <item h="1" m="1" x="1188"/>
        <item h="1" m="1" x="1065"/>
        <item h="1" m="1" x="1204"/>
        <item h="1" m="1" x="1037"/>
        <item h="1" x="658"/>
        <item h="1" x="659"/>
        <item h="1" m="1" x="1153"/>
        <item h="1" x="661"/>
        <item h="1" m="1" x="1007"/>
        <item h="1" x="663"/>
        <item h="1" m="1" x="1068"/>
        <item h="1" m="1" x="1094"/>
        <item h="1" m="1" x="1117"/>
        <item h="1" m="1" x="1070"/>
        <item h="1" m="1" x="790"/>
        <item h="1" x="669"/>
        <item h="1" x="670"/>
        <item h="1" m="1" x="1042"/>
        <item h="1" m="1" x="951"/>
        <item h="1" x="673"/>
        <item h="1" x="674"/>
        <item h="1" x="675"/>
        <item h="1" x="676"/>
        <item h="1" x="677"/>
        <item h="1" m="1" x="1147"/>
        <item h="1" x="679"/>
        <item h="1" x="680"/>
        <item h="1" m="1" x="1121"/>
        <item h="1" m="1" x="954"/>
        <item h="1" m="1" x="939"/>
        <item h="1" x="684"/>
        <item h="1" x="685"/>
        <item h="1" m="1" x="952"/>
        <item h="1" m="1" x="879"/>
        <item h="1" m="1" x="1058"/>
        <item h="1" x="689"/>
        <item h="1" m="1" x="1136"/>
        <item h="1" x="691"/>
        <item h="1" m="1" x="882"/>
        <item h="1" m="1" x="1137"/>
        <item h="1" m="1" x="903"/>
        <item h="1" m="1" x="1143"/>
        <item h="1" x="696"/>
        <item h="1" m="1" x="1170"/>
        <item h="1" m="1" x="1098"/>
        <item h="1" m="1" x="1046"/>
        <item h="1" x="700"/>
        <item h="1" m="1" x="1047"/>
        <item h="1" x="702"/>
        <item h="1" m="1" x="1119"/>
        <item h="1" m="1" x="957"/>
        <item h="1" m="1" x="1041"/>
        <item h="1" m="1" x="872"/>
        <item h="1" x="707"/>
        <item h="1" x="708"/>
        <item h="1" x="709"/>
        <item h="1" x="710"/>
        <item h="1" m="1" x="803"/>
        <item h="1" m="1" x="1107"/>
        <item h="1" x="713"/>
        <item h="1" x="714"/>
        <item h="1" m="1" x="985"/>
        <item h="1" m="1" x="870"/>
        <item h="1" x="717"/>
        <item h="1" x="718"/>
        <item h="1" m="1" x="986"/>
        <item h="1" m="1" x="1088"/>
        <item h="1" m="1" x="974"/>
        <item h="1" m="1" x="922"/>
        <item h="1" x="723"/>
        <item h="1" m="1" x="822"/>
        <item h="1" m="1" x="831"/>
        <item h="1" x="726"/>
        <item h="1" m="1" x="783"/>
        <item h="1" m="1" x="875"/>
        <item h="1" x="729"/>
        <item h="1" m="1" x="1114"/>
        <item h="1" m="1" x="909"/>
        <item h="1" m="1" x="856"/>
        <item h="1" m="1" x="1175"/>
        <item h="1" x="734"/>
        <item h="1" m="1" x="1059"/>
        <item h="1" x="736"/>
        <item h="1" m="1" x="940"/>
        <item h="1" m="1" x="808"/>
        <item h="1" m="1" x="1005"/>
        <item h="1" m="1" x="873"/>
        <item h="1" m="1" x="1186"/>
        <item h="1" m="1" x="1102"/>
        <item h="1" x="743"/>
        <item h="1" x="744"/>
        <item h="1" m="1" x="975"/>
        <item h="1" x="746"/>
        <item h="1" m="1" x="1049"/>
        <item h="1" m="1" x="829"/>
        <item h="1" x="749"/>
        <item h="1" x="750"/>
        <item h="1" x="751"/>
        <item h="1" m="1" x="795"/>
        <item h="1" x="753"/>
        <item h="1" x="754"/>
        <item h="1" m="1" x="1189"/>
        <item h="1" x="756"/>
        <item h="1" m="1" x="1180"/>
        <item h="1" x="758"/>
        <item h="1" x="759"/>
        <item h="1" x="760"/>
        <item h="1" x="761"/>
        <item h="1" m="1" x="845"/>
        <item h="1" m="1" x="1038"/>
        <item h="1" x="764"/>
        <item h="1" m="1" x="1021"/>
        <item h="1" m="1" x="818"/>
        <item h="1" x="767"/>
        <item h="1" m="1" x="1052"/>
        <item h="1" m="1" x="1144"/>
        <item h="1" x="770"/>
        <item h="1" x="771"/>
        <item h="1" m="1" x="1198"/>
        <item h="1" m="1" x="874"/>
        <item h="1" m="1" x="905"/>
        <item h="1" x="775"/>
        <item h="1" m="1" x="1061"/>
        <item h="1" m="1" x="972"/>
        <item h="1" x="778"/>
        <item h="1" m="1" x="1128"/>
        <item x="780"/>
        <item h="1" x="5"/>
        <item h="1" x="6"/>
        <item h="1" x="7"/>
        <item h="1" x="9"/>
        <item h="1" x="11"/>
        <item h="1" x="12"/>
        <item h="1" x="16"/>
        <item h="1" x="17"/>
        <item h="1" x="19"/>
        <item h="1" x="20"/>
        <item h="1" x="21"/>
        <item h="1" x="22"/>
        <item h="1" x="23"/>
        <item h="1" x="25"/>
        <item h="1" x="26"/>
        <item h="1" x="29"/>
        <item h="1" x="31"/>
        <item h="1" x="34"/>
        <item h="1" x="35"/>
        <item h="1" x="37"/>
        <item h="1" x="38"/>
        <item h="1" x="40"/>
        <item h="1" x="41"/>
        <item h="1" x="43"/>
        <item h="1" x="46"/>
        <item h="1" x="47"/>
        <item h="1" x="48"/>
        <item h="1" x="49"/>
        <item h="1" x="50"/>
        <item h="1" x="51"/>
        <item h="1" x="52"/>
        <item h="1" x="54"/>
        <item h="1" x="56"/>
        <item h="1" x="57"/>
        <item h="1" x="59"/>
        <item h="1" x="60"/>
        <item h="1" x="62"/>
        <item h="1" x="64"/>
        <item h="1" x="68"/>
        <item h="1" x="69"/>
        <item h="1" x="71"/>
        <item h="1" x="72"/>
        <item h="1" x="75"/>
        <item h="1" x="77"/>
        <item h="1" x="80"/>
        <item h="1" x="81"/>
        <item h="1" x="83"/>
        <item h="1" x="86"/>
        <item h="1" x="87"/>
        <item h="1" x="88"/>
        <item h="1" x="89"/>
        <item h="1" x="90"/>
        <item h="1" x="91"/>
        <item h="1" x="93"/>
        <item h="1" x="96"/>
        <item h="1" x="97"/>
        <item h="1" x="98"/>
        <item h="1" x="100"/>
        <item h="1" x="101"/>
        <item h="1" x="102"/>
        <item h="1" x="104"/>
        <item h="1" x="106"/>
        <item h="1" x="108"/>
        <item h="1" x="110"/>
        <item h="1" x="112"/>
        <item h="1" x="113"/>
        <item h="1" x="114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31"/>
        <item h="1" x="132"/>
        <item h="1" x="133"/>
        <item h="1" x="134"/>
        <item h="1" x="135"/>
        <item h="1" x="136"/>
        <item h="1" x="140"/>
        <item h="1" x="141"/>
        <item h="1" x="142"/>
        <item h="1" x="143"/>
        <item h="1" x="145"/>
        <item h="1" x="147"/>
        <item h="1" x="149"/>
        <item h="1" x="150"/>
        <item h="1" x="151"/>
        <item h="1" x="154"/>
        <item h="1" x="155"/>
        <item h="1" x="156"/>
        <item h="1" x="157"/>
        <item h="1" x="159"/>
        <item h="1" x="160"/>
        <item h="1" x="163"/>
        <item h="1" x="166"/>
        <item h="1" x="167"/>
        <item h="1" x="168"/>
        <item h="1" x="169"/>
        <item h="1" x="171"/>
        <item h="1" x="175"/>
        <item h="1" x="178"/>
        <item h="1" x="179"/>
        <item h="1" x="180"/>
        <item h="1" x="181"/>
        <item h="1" x="185"/>
        <item h="1" x="187"/>
        <item h="1" x="189"/>
        <item h="1" x="191"/>
        <item h="1" x="193"/>
        <item h="1" x="194"/>
        <item h="1" x="197"/>
        <item h="1" x="198"/>
        <item h="1" x="200"/>
        <item h="1" x="201"/>
        <item h="1" x="203"/>
        <item h="1" x="206"/>
        <item h="1" x="212"/>
        <item h="1" x="214"/>
        <item h="1" x="216"/>
        <item h="1" x="217"/>
        <item h="1" x="219"/>
        <item h="1" x="220"/>
        <item h="1" x="221"/>
        <item h="1" x="223"/>
        <item h="1" x="228"/>
        <item h="1" x="229"/>
        <item h="1" x="233"/>
        <item h="1" x="235"/>
        <item h="1" x="236"/>
        <item h="1" x="239"/>
        <item h="1" x="242"/>
        <item h="1" x="244"/>
        <item h="1" x="245"/>
        <item h="1" x="247"/>
        <item h="1" x="250"/>
        <item h="1" x="254"/>
        <item h="1" x="255"/>
        <item h="1" x="256"/>
        <item h="1" x="258"/>
        <item h="1" x="259"/>
        <item h="1" x="261"/>
        <item h="1" x="263"/>
        <item h="1" x="264"/>
        <item h="1" x="267"/>
        <item h="1" x="268"/>
        <item h="1" x="269"/>
        <item h="1" x="270"/>
        <item h="1" x="272"/>
        <item h="1" x="274"/>
        <item h="1" x="275"/>
        <item h="1" x="276"/>
        <item h="1" x="280"/>
        <item h="1" x="282"/>
        <item h="1" x="284"/>
        <item h="1" x="285"/>
        <item h="1" x="287"/>
        <item h="1" x="288"/>
        <item h="1" x="290"/>
        <item h="1" x="291"/>
        <item h="1" x="292"/>
        <item h="1" x="293"/>
        <item h="1" x="295"/>
        <item h="1" x="296"/>
        <item h="1" x="298"/>
        <item h="1" x="300"/>
        <item h="1" x="301"/>
        <item h="1" x="306"/>
        <item h="1" x="308"/>
        <item h="1" x="311"/>
        <item h="1" x="313"/>
        <item h="1" x="315"/>
        <item h="1" x="317"/>
        <item h="1" x="318"/>
        <item h="1" x="320"/>
        <item h="1" x="321"/>
        <item h="1" x="323"/>
        <item h="1" x="325"/>
        <item h="1" x="329"/>
        <item h="1" x="330"/>
        <item h="1" x="332"/>
        <item h="1" x="334"/>
        <item h="1" x="335"/>
        <item h="1" x="338"/>
        <item h="1" x="339"/>
        <item h="1" x="340"/>
        <item h="1" x="341"/>
        <item h="1" x="346"/>
        <item h="1" x="347"/>
        <item h="1" x="348"/>
        <item h="1" x="349"/>
        <item h="1" x="351"/>
        <item h="1" x="354"/>
        <item h="1" x="355"/>
        <item h="1" x="356"/>
        <item h="1" x="357"/>
        <item h="1" x="363"/>
        <item h="1" x="364"/>
        <item h="1" x="365"/>
        <item h="1" x="370"/>
        <item h="1" x="371"/>
        <item h="1" x="372"/>
        <item h="1" x="373"/>
        <item h="1" x="375"/>
        <item h="1" x="376"/>
        <item h="1" x="378"/>
        <item h="1" x="379"/>
        <item h="1" x="381"/>
        <item h="1" x="383"/>
        <item h="1" x="385"/>
        <item h="1" x="386"/>
        <item h="1" x="387"/>
        <item h="1" x="391"/>
        <item h="1" x="393"/>
        <item h="1" x="394"/>
        <item h="1" x="395"/>
        <item h="1" x="398"/>
        <item h="1" x="399"/>
        <item h="1" x="400"/>
        <item h="1" x="401"/>
        <item h="1" x="402"/>
        <item h="1" x="405"/>
        <item h="1" x="407"/>
        <item h="1" x="409"/>
        <item h="1" x="412"/>
        <item h="1" x="421"/>
        <item h="1" x="425"/>
        <item h="1" x="426"/>
        <item h="1" x="429"/>
        <item h="1" x="432"/>
        <item h="1" x="433"/>
        <item h="1" x="434"/>
        <item h="1" x="441"/>
        <item h="1" x="443"/>
        <item h="1" x="445"/>
        <item h="1" x="446"/>
        <item h="1" x="447"/>
        <item h="1" x="448"/>
        <item h="1" x="450"/>
        <item h="1" x="451"/>
        <item h="1" x="453"/>
        <item h="1" x="455"/>
        <item h="1" x="457"/>
        <item h="1" x="458"/>
        <item h="1" x="459"/>
        <item h="1" x="460"/>
        <item h="1" x="461"/>
        <item h="1" x="462"/>
        <item h="1" x="463"/>
        <item h="1" x="465"/>
        <item h="1" x="467"/>
        <item h="1" x="472"/>
        <item h="1" x="474"/>
        <item h="1" x="475"/>
        <item h="1" x="477"/>
        <item h="1" x="478"/>
        <item h="1" x="479"/>
        <item h="1" x="482"/>
        <item h="1" x="484"/>
        <item h="1" x="485"/>
        <item h="1" x="487"/>
        <item h="1" x="488"/>
        <item h="1" x="491"/>
        <item h="1" x="492"/>
        <item h="1" x="493"/>
        <item h="1" x="494"/>
        <item h="1" x="499"/>
        <item h="1" x="500"/>
        <item h="1" x="501"/>
        <item h="1" x="505"/>
        <item h="1" x="508"/>
        <item h="1" x="512"/>
        <item h="1" x="514"/>
        <item h="1" x="516"/>
        <item h="1" x="517"/>
        <item h="1" x="519"/>
        <item h="1" x="522"/>
        <item h="1" x="527"/>
        <item h="1" x="529"/>
        <item h="1" x="530"/>
        <item h="1" x="532"/>
        <item h="1" x="533"/>
        <item h="1" x="534"/>
        <item h="1" x="536"/>
        <item h="1" x="538"/>
        <item h="1" x="539"/>
        <item h="1" x="541"/>
        <item h="1" x="545"/>
        <item h="1" x="547"/>
        <item h="1" x="549"/>
        <item h="1" x="551"/>
        <item h="1" x="558"/>
        <item h="1" x="561"/>
        <item h="1" x="563"/>
        <item h="1" x="565"/>
        <item h="1" x="571"/>
        <item h="1" x="575"/>
        <item h="1" x="576"/>
        <item h="1" x="580"/>
        <item h="1" x="581"/>
        <item h="1" x="582"/>
        <item h="1" x="583"/>
        <item h="1" x="585"/>
        <item h="1" x="586"/>
        <item h="1" x="587"/>
        <item h="1" x="588"/>
        <item h="1" x="591"/>
        <item h="1" x="594"/>
        <item h="1" x="595"/>
        <item h="1" x="598"/>
        <item h="1" x="601"/>
        <item h="1" x="602"/>
        <item h="1" x="603"/>
        <item h="1" x="604"/>
        <item h="1" x="605"/>
        <item h="1" x="606"/>
        <item h="1" x="608"/>
        <item h="1" x="610"/>
        <item h="1" x="611"/>
        <item h="1" x="612"/>
        <item h="1" x="615"/>
        <item h="1" x="616"/>
        <item h="1" x="617"/>
        <item h="1" x="618"/>
        <item h="1" x="619"/>
        <item h="1" x="622"/>
        <item h="1" x="624"/>
        <item h="1" x="625"/>
        <item h="1" x="626"/>
        <item h="1" x="627"/>
        <item h="1" x="631"/>
        <item h="1" x="633"/>
        <item h="1" x="634"/>
        <item h="1" x="635"/>
        <item h="1" x="637"/>
        <item h="1" x="638"/>
        <item h="1" x="642"/>
        <item h="1" x="643"/>
        <item h="1" x="646"/>
        <item h="1" x="647"/>
        <item h="1" x="648"/>
        <item h="1" x="649"/>
        <item h="1" x="650"/>
        <item h="1" x="651"/>
        <item h="1" x="652"/>
        <item h="1" x="653"/>
        <item h="1" x="654"/>
        <item h="1" x="655"/>
        <item h="1" x="656"/>
        <item h="1" x="657"/>
        <item h="1" x="660"/>
        <item h="1" x="662"/>
        <item h="1" x="664"/>
        <item h="1" x="665"/>
        <item h="1" x="666"/>
        <item h="1" x="667"/>
        <item h="1" x="668"/>
        <item h="1" x="671"/>
        <item h="1" x="672"/>
        <item h="1" x="678"/>
        <item h="1" x="681"/>
        <item h="1" x="682"/>
        <item h="1" x="683"/>
        <item h="1" x="686"/>
        <item h="1" x="687"/>
        <item h="1" x="688"/>
        <item h="1" x="690"/>
        <item h="1" x="692"/>
        <item h="1" x="693"/>
        <item h="1" x="694"/>
        <item h="1" x="695"/>
        <item h="1" x="697"/>
        <item h="1" x="698"/>
        <item h="1" x="699"/>
        <item h="1" x="701"/>
        <item h="1" x="703"/>
        <item h="1" x="704"/>
        <item h="1" x="705"/>
        <item h="1" x="706"/>
        <item h="1" x="711"/>
        <item h="1" x="712"/>
        <item h="1" x="715"/>
        <item h="1" x="716"/>
        <item h="1" x="719"/>
        <item h="1" x="720"/>
        <item h="1" x="721"/>
        <item h="1" x="722"/>
        <item h="1" x="724"/>
        <item h="1" x="725"/>
        <item h="1" x="727"/>
        <item h="1" x="728"/>
        <item h="1" x="730"/>
        <item h="1" x="731"/>
        <item h="1" x="732"/>
        <item h="1" x="733"/>
        <item h="1" x="735"/>
        <item h="1" x="737"/>
        <item h="1" x="738"/>
        <item h="1" x="739"/>
        <item h="1" x="740"/>
        <item h="1" x="741"/>
        <item h="1" x="742"/>
        <item h="1" x="745"/>
        <item h="1" x="747"/>
        <item h="1" x="748"/>
        <item h="1" x="752"/>
        <item h="1" x="755"/>
        <item h="1" x="757"/>
        <item h="1" x="762"/>
        <item h="1" x="763"/>
        <item h="1" x="765"/>
        <item h="1" x="766"/>
        <item h="1" x="768"/>
        <item h="1" x="769"/>
        <item h="1" x="772"/>
        <item h="1" x="773"/>
        <item h="1" x="774"/>
        <item h="1" x="776"/>
        <item h="1" x="777"/>
        <item h="1" x="779"/>
        <item t="default"/>
      </items>
    </pivotField>
    <pivotField name=" " compact="0" outline="0" multipleItemSelectionAllowed="1" showAll="0"/>
    <pivotField name="VIN код" dataField="1" compact="0" outline="0" multipleItemSelectionAllowed="1" showAll="0"/>
    <pivotField name="Прицеп" axis="axisRow" compact="0" outline="0" multipleItemSelectionAllowed="1" showAll="0" sortType="ascending" defaultSubtotal="0">
      <items count="7">
        <item x="0"/>
        <item x="1"/>
        <item x="2"/>
        <item x="3"/>
        <item x="4"/>
        <item x="5"/>
        <item x="6"/>
      </items>
    </pivotField>
    <pivotField name="Борт" axis="axisRow" compact="0" outline="0" multipleItemSelectionAllowed="1" showAll="0" sortType="ascending">
      <items count="5">
        <item x="2"/>
        <item x="1"/>
        <item x="0"/>
        <item x="3"/>
        <item t="default"/>
      </items>
    </pivotField>
    <pivotField name="Колесо" compact="0" outline="0" multipleItemSelectionAllowed="1" showAll="0"/>
    <pivotField name="Ступица" compact="0" outline="0" multipleItemSelectionAllowed="1" showAll="0"/>
    <pivotField name="Тент-каркас" axis="axisRow" compact="0" outline="0" multipleItemSelectionAllowed="1" showAll="0" sortType="ascending">
      <items count="8">
        <item x="1"/>
        <item x="2"/>
        <item x="3"/>
        <item x="4"/>
        <item x="5"/>
        <item x="0"/>
        <item x="6"/>
        <item t="default"/>
      </items>
    </pivotField>
    <pivotField name="Дата выпуска" compact="0" numFmtId="14" outline="0" multipleItemSelectionAllowed="1" showAll="0"/>
    <pivotField name="Откатное колесо" compact="0" outline="0" multipleItemSelectionAllowed="1" showAll="0"/>
    <pivotField name="Склад" axis="axisCol" compact="0" outline="0" multipleItemSelectionAllowed="1" showAll="0" sortType="ascending">
      <items count="5">
        <item x="1"/>
        <item x="2"/>
        <item x="0"/>
        <item x="3"/>
        <item t="default"/>
      </items>
    </pivotField>
    <pivotField name="Количество осей" compact="0" outline="0" multipleItemSelectionAllowed="1" showAll="0"/>
    <pivotField name="Артикул" compact="0" outline="0" multipleItemSelectionAllowed="1" showAll="0"/>
    <pivotField name="Статус" axis="axisPage" compact="0" outline="0" multipleItemSelectionAllowed="1" showAll="0">
      <items count="4">
        <item x="0"/>
        <item h="1" x="1"/>
        <item h="1" x="2"/>
        <item t="default"/>
      </items>
    </pivotField>
  </pivotFields>
  <rowFields count="3">
    <field x="3"/>
    <field x="4"/>
    <field x="7"/>
  </rowFields>
  <rowItems count="1">
    <i t="grand">
      <x/>
    </i>
  </rowItems>
  <colFields count="1">
    <field x="10"/>
  </colFields>
  <colItems count="1">
    <i t="grand">
      <x/>
    </i>
  </colItems>
  <pageFields count="2">
    <pageField fld="0" hier="0"/>
    <pageField fld="13" hier="0"/>
  </pageFields>
  <dataFields count="1">
    <dataField name="COUNTA of VIN код" fld="2" subtotal="count" baseField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D98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11" customWidth="1"/>
    <col min="3" max="3" width="28.6640625" customWidth="1"/>
    <col min="4" max="4" width="36.33203125" customWidth="1"/>
  </cols>
  <sheetData>
    <row r="1" spans="1:4" ht="14.4">
      <c r="A1" s="1"/>
      <c r="B1" s="2" t="s">
        <v>0</v>
      </c>
      <c r="C1" s="3" t="s">
        <v>1</v>
      </c>
      <c r="D1" s="4" t="s">
        <v>2</v>
      </c>
    </row>
    <row r="2" spans="1:4" ht="13.2">
      <c r="A2" s="5">
        <v>1161</v>
      </c>
      <c r="B2" s="6">
        <v>45447</v>
      </c>
      <c r="C2" s="7" t="str">
        <f>Покупатели!C2</f>
        <v>Белоногова</v>
      </c>
      <c r="D2" s="8" t="str">
        <f>VLOOKUP(C2,Покупатели!$C$2:$Q$738,15,0)</f>
        <v>MX4000002R0001522</v>
      </c>
    </row>
    <row r="3" spans="1:4" ht="13.2">
      <c r="A3" s="5">
        <v>1162</v>
      </c>
      <c r="B3" s="6">
        <v>45449</v>
      </c>
      <c r="C3" s="7" t="str">
        <f>Покупатели!C3</f>
        <v>Рахманов</v>
      </c>
      <c r="D3" s="8" t="str">
        <f>VLOOKUP(C3,Покупатели!$C$2:$Q$738,15,0)</f>
        <v>MX4000002R0001502</v>
      </c>
    </row>
    <row r="4" spans="1:4" ht="13.2">
      <c r="A4" s="5">
        <v>1163</v>
      </c>
      <c r="B4" s="6">
        <v>45450</v>
      </c>
      <c r="C4" s="7" t="str">
        <f>Покупатели!C6</f>
        <v>Кулиева</v>
      </c>
      <c r="D4" s="8" t="str">
        <f>VLOOKUP(C4,Покупатели!$C$2:$Q$738,15,0)</f>
        <v>MX4000002R0001511</v>
      </c>
    </row>
    <row r="5" spans="1:4" ht="13.2">
      <c r="A5" s="5">
        <v>1164</v>
      </c>
      <c r="B5" s="6">
        <v>45451</v>
      </c>
      <c r="C5" s="7" t="str">
        <f>Покупатели!C4</f>
        <v>Петрик</v>
      </c>
      <c r="D5" s="8" t="str">
        <f>VLOOKUP(C5,Покупатели!$C$2:$Q$738,15,0)</f>
        <v>MX4000002R0001518</v>
      </c>
    </row>
    <row r="6" spans="1:4" ht="13.2">
      <c r="A6" s="5">
        <v>1165</v>
      </c>
      <c r="B6" s="6">
        <v>45451</v>
      </c>
      <c r="C6" s="7" t="str">
        <f>Покупатели!C5</f>
        <v>Ребенков</v>
      </c>
      <c r="D6" s="8" t="str">
        <f>VLOOKUP(C6,Покупатели!$C$2:$Q$738,15,0)</f>
        <v>MX4000002R0001573</v>
      </c>
    </row>
    <row r="7" spans="1:4" ht="13.2">
      <c r="A7" s="5">
        <v>1166</v>
      </c>
      <c r="B7" s="6">
        <v>45451</v>
      </c>
      <c r="C7" s="9" t="str">
        <f>Покупатели!C7</f>
        <v>Темирбаев</v>
      </c>
      <c r="D7" s="8" t="str">
        <f>VLOOKUP(C7,Покупатели!$C$2:$Q$738,15,0)</f>
        <v>MX4000002R0001455</v>
      </c>
    </row>
    <row r="8" spans="1:4" ht="13.2">
      <c r="A8" s="5">
        <v>1167</v>
      </c>
      <c r="B8" s="6">
        <v>45453</v>
      </c>
      <c r="C8" s="7" t="str">
        <f>Покупатели!C8</f>
        <v>Доспергенов</v>
      </c>
      <c r="D8" s="8" t="str">
        <f>VLOOKUP(C8,Покупатели!$C$2:$Q$738,15,0)</f>
        <v>MX4000002R0001719</v>
      </c>
    </row>
    <row r="9" spans="1:4" ht="13.2">
      <c r="A9" s="5">
        <v>1168</v>
      </c>
      <c r="B9" s="6">
        <v>45451</v>
      </c>
      <c r="C9" s="7" t="str">
        <f>Покупатели!C9</f>
        <v>Касымов</v>
      </c>
      <c r="D9" s="8" t="str">
        <f>VLOOKUP(C9,Покупатели!$C$2:$Q$738,15,0)</f>
        <v>MX4000002R0001642</v>
      </c>
    </row>
    <row r="10" spans="1:4" ht="13.2">
      <c r="A10" s="5">
        <v>1169</v>
      </c>
      <c r="B10" s="6">
        <v>45455</v>
      </c>
      <c r="C10" s="7" t="str">
        <f>Покупатели!C10</f>
        <v>Сулейменов 2</v>
      </c>
      <c r="D10" s="8" t="str">
        <f>VLOOKUP(C10,Покупатели!$C$2:$Q$738,15,0)</f>
        <v>MX4000002R0001659</v>
      </c>
    </row>
    <row r="11" spans="1:4" ht="13.2">
      <c r="A11" s="5">
        <v>1170</v>
      </c>
      <c r="B11" s="6">
        <v>45460</v>
      </c>
      <c r="C11" s="7" t="str">
        <f>Покупатели!C11</f>
        <v>Курбанова</v>
      </c>
      <c r="D11" s="8" t="str">
        <f>VLOOKUP(C11,Покупатели!$C$2:$Q$738,15,0)</f>
        <v>MX4000002R0001508</v>
      </c>
    </row>
    <row r="12" spans="1:4" ht="13.2">
      <c r="A12" s="5">
        <v>1171</v>
      </c>
      <c r="B12" s="6">
        <v>45461</v>
      </c>
      <c r="C12" s="7" t="str">
        <f>Покупатели!C12</f>
        <v>Абайқызы</v>
      </c>
      <c r="D12" s="8" t="str">
        <f>VLOOKUP(C12,Покупатели!$C$2:$Q$738,15,0)</f>
        <v>MX4000002R0001517</v>
      </c>
    </row>
    <row r="13" spans="1:4" ht="13.2">
      <c r="A13" s="5">
        <v>1172</v>
      </c>
      <c r="B13" s="6">
        <v>45461</v>
      </c>
      <c r="C13" s="7" t="str">
        <f>Покупатели!C13</f>
        <v>Меньшиков</v>
      </c>
      <c r="D13" s="8" t="str">
        <f>VLOOKUP(C13,Покупатели!$C$2:$Q$738,15,0)</f>
        <v>MX4000002R0001538</v>
      </c>
    </row>
    <row r="14" spans="1:4" ht="13.2">
      <c r="A14" s="5">
        <v>1173</v>
      </c>
      <c r="B14" s="6">
        <v>45462</v>
      </c>
      <c r="C14" s="7" t="str">
        <f>Покупатели!C14</f>
        <v>Билочук</v>
      </c>
      <c r="D14" s="8" t="str">
        <f>VLOOKUP(C14,Покупатели!$C$2:$Q$738,15,0)</f>
        <v>MX4000002R0001653</v>
      </c>
    </row>
    <row r="15" spans="1:4" ht="13.2">
      <c r="A15" s="5">
        <v>1174</v>
      </c>
      <c r="B15" s="6">
        <v>45463</v>
      </c>
      <c r="C15" s="7" t="str">
        <f>Покупатели!C15</f>
        <v>Ягминас</v>
      </c>
      <c r="D15" s="8" t="str">
        <f>VLOOKUP(C15,Покупатели!$C$2:$Q$738,15,0)</f>
        <v>MX4000002R0001654</v>
      </c>
    </row>
    <row r="16" spans="1:4" ht="13.2">
      <c r="A16" s="5">
        <v>1175</v>
      </c>
      <c r="B16" s="6">
        <v>45464</v>
      </c>
      <c r="C16" s="7" t="str">
        <f>Покупатели!C16</f>
        <v>Костюков1</v>
      </c>
      <c r="D16" s="8" t="str">
        <f>VLOOKUP(C16,Покупатели!$C$2:$Q$738,15,0)</f>
        <v>MX4000002R0001506</v>
      </c>
    </row>
    <row r="17" spans="1:4" ht="13.2">
      <c r="A17" s="5">
        <v>1176</v>
      </c>
      <c r="B17" s="6">
        <v>45464</v>
      </c>
      <c r="C17" s="7" t="str">
        <f>Покупатели!C18</f>
        <v>Байзаков</v>
      </c>
      <c r="D17" s="8" t="str">
        <f>VLOOKUP(C17,Покупатели!$C$2:$Q$738,15,0)</f>
        <v>MX4000002R0001680</v>
      </c>
    </row>
    <row r="18" spans="1:4" ht="13.2">
      <c r="A18" s="5">
        <v>1177</v>
      </c>
      <c r="B18" s="6">
        <v>45464</v>
      </c>
      <c r="C18" s="7" t="str">
        <f>Покупатели!C17</f>
        <v>Оспанова</v>
      </c>
      <c r="D18" s="8" t="str">
        <f>VLOOKUP(C18,Покупатели!$C$2:$Q$738,15,0)</f>
        <v>MX4000002R0001497</v>
      </c>
    </row>
    <row r="19" spans="1:4" ht="13.2">
      <c r="A19" s="5">
        <v>1178</v>
      </c>
      <c r="B19" s="6">
        <v>45464</v>
      </c>
      <c r="C19" s="7" t="str">
        <f>Покупатели!C19</f>
        <v>Шапарев</v>
      </c>
      <c r="D19" s="8" t="str">
        <f>VLOOKUP(C19,Покупатели!$C$2:$Q$738,15,0)</f>
        <v>MX4000002R0001516</v>
      </c>
    </row>
    <row r="20" spans="1:4" ht="13.2">
      <c r="A20" s="5">
        <v>1179</v>
      </c>
      <c r="B20" s="6">
        <v>45464</v>
      </c>
      <c r="C20" s="7" t="str">
        <f>Покупатели!C20</f>
        <v>Бикенова</v>
      </c>
      <c r="D20" s="8" t="str">
        <f>VLOOKUP(C20,Покупатели!$C$2:$Q$738,15,0)</f>
        <v>MX4000002R0001643</v>
      </c>
    </row>
    <row r="21" spans="1:4" ht="13.2">
      <c r="A21" s="5">
        <v>1180</v>
      </c>
      <c r="B21" s="6">
        <v>45464</v>
      </c>
      <c r="C21" s="7" t="str">
        <f>Покупатели!C21</f>
        <v>Боровиков</v>
      </c>
      <c r="D21" s="8" t="str">
        <f>VLOOKUP(C21,Покупатели!$C$2:$Q$738,15,0)</f>
        <v>MX4000002R0001521</v>
      </c>
    </row>
    <row r="22" spans="1:4" ht="13.2">
      <c r="A22" s="5">
        <v>1181</v>
      </c>
      <c r="B22" s="6">
        <v>45465</v>
      </c>
      <c r="C22" s="7" t="str">
        <f>Покупатели!C22</f>
        <v>Гаврилюк</v>
      </c>
      <c r="D22" s="8" t="str">
        <f>VLOOKUP(C22,Покупатели!$C$2:$Q$738,15,0)</f>
        <v>MX4000002R0001572</v>
      </c>
    </row>
    <row r="23" spans="1:4" ht="13.2">
      <c r="A23" s="5">
        <v>1182</v>
      </c>
      <c r="B23" s="6">
        <v>45465</v>
      </c>
      <c r="C23" s="7" t="str">
        <f>Покупатели!C23</f>
        <v xml:space="preserve">Каримов </v>
      </c>
      <c r="D23" s="8" t="str">
        <f>VLOOKUP(C23,Покупатели!$C$2:$Q$738,15,0)</f>
        <v>MX4000002R0001481</v>
      </c>
    </row>
    <row r="24" spans="1:4" ht="13.2">
      <c r="A24" s="5">
        <v>1183</v>
      </c>
      <c r="B24" s="6">
        <v>45465</v>
      </c>
      <c r="C24" s="7" t="str">
        <f>Покупатели!C24</f>
        <v>Базимов</v>
      </c>
      <c r="D24" s="8" t="str">
        <f>VLOOKUP(C24,Покупатели!$C$2:$Q$738,15,0)</f>
        <v>MX4000002R0001569</v>
      </c>
    </row>
    <row r="25" spans="1:4" ht="13.2">
      <c r="A25" s="5">
        <v>1184</v>
      </c>
      <c r="B25" s="6">
        <v>45465</v>
      </c>
      <c r="C25" s="7" t="str">
        <f>Покупатели!C25</f>
        <v>Жунусов1</v>
      </c>
      <c r="D25" s="8" t="str">
        <f>VLOOKUP(C25,Покупатели!$C$2:$Q$738,15,0)</f>
        <v>MX4000002R0001500</v>
      </c>
    </row>
    <row r="26" spans="1:4" ht="13.2">
      <c r="A26" s="5">
        <v>1185</v>
      </c>
      <c r="B26" s="6">
        <v>45465</v>
      </c>
      <c r="C26" s="7" t="str">
        <f>Покупатели!C26</f>
        <v>Бирюков</v>
      </c>
      <c r="D26" s="8" t="str">
        <f>VLOOKUP(C26,Покупатели!$C$2:$Q$738,15,0)</f>
        <v>MX4000002R0001571</v>
      </c>
    </row>
    <row r="27" spans="1:4" ht="13.2">
      <c r="A27" s="5">
        <v>1186</v>
      </c>
      <c r="B27" s="6">
        <v>45467</v>
      </c>
      <c r="C27" s="7" t="str">
        <f>Покупатели!C27</f>
        <v>Сейдахмет</v>
      </c>
      <c r="D27" s="8" t="str">
        <f>VLOOKUP(C27,Покупатели!$C$2:$Q$738,15,0)</f>
        <v>MX4000002R0001507</v>
      </c>
    </row>
    <row r="28" spans="1:4" ht="13.2">
      <c r="A28" s="5">
        <v>1187</v>
      </c>
      <c r="B28" s="6">
        <v>45467</v>
      </c>
      <c r="C28" s="7" t="str">
        <f>Покупатели!C28</f>
        <v>Некерев</v>
      </c>
      <c r="D28" s="8" t="str">
        <f>VLOOKUP(C28,Покупатели!$C$2:$Q$738,15,0)</f>
        <v>MX4000002R0001468</v>
      </c>
    </row>
    <row r="29" spans="1:4" ht="13.2">
      <c r="A29" s="5">
        <v>1188</v>
      </c>
      <c r="B29" s="6">
        <v>45467</v>
      </c>
      <c r="C29" s="7" t="str">
        <f>Покупатели!C29</f>
        <v>Мещеряков</v>
      </c>
      <c r="D29" s="8" t="str">
        <f>VLOOKUP(C29,Покупатели!$C$2:$Q$738,15,0)</f>
        <v>MX4000002R0001664</v>
      </c>
    </row>
    <row r="30" spans="1:4" ht="13.2">
      <c r="A30" s="5">
        <v>1189</v>
      </c>
      <c r="B30" s="6">
        <v>45467</v>
      </c>
      <c r="C30" s="7" t="str">
        <f>Покупатели!C30</f>
        <v>Айтимов 1</v>
      </c>
      <c r="D30" s="8" t="str">
        <f>VLOOKUP(C30,Покупатели!$C$2:$Q$738,15,0)</f>
        <v>MX4000002R0001462</v>
      </c>
    </row>
    <row r="31" spans="1:4" ht="13.2">
      <c r="A31" s="5">
        <v>1190</v>
      </c>
      <c r="B31" s="6">
        <v>45467</v>
      </c>
      <c r="C31" s="7" t="str">
        <f>Покупатели!C31</f>
        <v>Сабитова</v>
      </c>
      <c r="D31" s="8" t="str">
        <f>VLOOKUP(C31,Покупатели!$C$2:$Q$738,15,0)</f>
        <v>MX4000002R0001687</v>
      </c>
    </row>
    <row r="32" spans="1:4" ht="13.2">
      <c r="A32" s="5">
        <v>1191</v>
      </c>
      <c r="B32" s="6">
        <v>45468</v>
      </c>
      <c r="C32" s="7" t="str">
        <f>Покупатели!C32</f>
        <v>Тарбаков</v>
      </c>
      <c r="D32" s="8" t="str">
        <f>VLOOKUP(C32,Покупатели!$C$2:$Q$738,15,0)</f>
        <v>MX4000002R0001698</v>
      </c>
    </row>
    <row r="33" spans="1:4" ht="13.2">
      <c r="A33" s="5">
        <v>1192</v>
      </c>
      <c r="B33" s="6">
        <v>45468</v>
      </c>
      <c r="C33" s="7" t="str">
        <f>Покупатели!C33</f>
        <v>Широков</v>
      </c>
      <c r="D33" s="8" t="str">
        <f>VLOOKUP(C33,Покупатели!$C$2:$Q$738,15,0)</f>
        <v>MX4000002R0001519</v>
      </c>
    </row>
    <row r="34" spans="1:4" ht="13.2">
      <c r="A34" s="5">
        <v>1193</v>
      </c>
      <c r="B34" s="6">
        <v>45468</v>
      </c>
      <c r="C34" s="7" t="str">
        <f>Покупатели!C34</f>
        <v>Каналимов</v>
      </c>
      <c r="D34" s="8" t="str">
        <f>VLOOKUP(C34,Покупатели!$C$2:$Q$738,15,0)</f>
        <v>MX4000002R0001650</v>
      </c>
    </row>
    <row r="35" spans="1:4" ht="13.2">
      <c r="A35" s="5">
        <v>1194</v>
      </c>
      <c r="B35" s="6">
        <v>45468</v>
      </c>
      <c r="C35" s="7" t="str">
        <f>Покупатели!C35</f>
        <v>Аргинбаев</v>
      </c>
      <c r="D35" s="8" t="str">
        <f>VLOOKUP(C35,Покупатели!$C$2:$Q$738,15,0)</f>
        <v>MX4000002R0001666</v>
      </c>
    </row>
    <row r="36" spans="1:4" ht="13.2">
      <c r="A36" s="5">
        <v>1195</v>
      </c>
      <c r="B36" s="6">
        <v>45468</v>
      </c>
      <c r="C36" s="7" t="str">
        <f>Покупатели!C36</f>
        <v>Юлдабаева</v>
      </c>
      <c r="D36" s="8" t="str">
        <f>VLOOKUP(C36,Покупатели!$C$2:$Q$738,15,0)</f>
        <v>MX4000002R0001459</v>
      </c>
    </row>
    <row r="37" spans="1:4" ht="13.2">
      <c r="A37" s="5">
        <v>1196</v>
      </c>
      <c r="B37" s="6">
        <v>45468</v>
      </c>
      <c r="C37" s="7" t="str">
        <f>Покупатели!C37</f>
        <v>Харламова 2</v>
      </c>
      <c r="D37" s="8" t="str">
        <f>VLOOKUP(C37,Покупатели!$C$2:$Q$738,15,0)</f>
        <v>MX4000002R0001634</v>
      </c>
    </row>
    <row r="38" spans="1:4" ht="13.2">
      <c r="A38" s="5">
        <v>1197</v>
      </c>
      <c r="B38" s="6">
        <v>45468</v>
      </c>
      <c r="C38" s="7" t="str">
        <f>Покупатели!C38</f>
        <v>Берекетов</v>
      </c>
      <c r="D38" s="8" t="str">
        <f>VLOOKUP(C38,Покупатели!$C$2:$Q$738,15,0)</f>
        <v>MX4000002R0001482</v>
      </c>
    </row>
    <row r="39" spans="1:4" ht="13.2">
      <c r="A39" s="5">
        <v>1198</v>
      </c>
      <c r="B39" s="6">
        <v>45468</v>
      </c>
      <c r="C39" s="7" t="str">
        <f>Покупатели!C39</f>
        <v>Мухамбетов</v>
      </c>
      <c r="D39" s="8" t="str">
        <f>VLOOKUP(C39,Покупатели!$C$2:$Q$738,15,0)</f>
        <v>MX4000002P0001445</v>
      </c>
    </row>
    <row r="40" spans="1:4" ht="13.2">
      <c r="A40" s="5">
        <v>1199</v>
      </c>
      <c r="B40" s="6">
        <v>45469</v>
      </c>
      <c r="C40" s="7" t="str">
        <f>Покупатели!C40</f>
        <v>Асанов 1</v>
      </c>
      <c r="D40" s="8" t="str">
        <f>VLOOKUP(C40,Покупатели!$C$2:$Q$738,15,0)</f>
        <v>MX4000002R0001503</v>
      </c>
    </row>
    <row r="41" spans="1:4" ht="13.2">
      <c r="A41" s="5">
        <v>1200</v>
      </c>
      <c r="B41" s="6">
        <v>45469</v>
      </c>
      <c r="C41" s="7" t="str">
        <f>Покупатели!C41</f>
        <v>Серикбек</v>
      </c>
      <c r="D41" s="8" t="str">
        <f>VLOOKUP(C41,Покупатели!$C$2:$Q$738,15,0)</f>
        <v>MX4000004N0000934</v>
      </c>
    </row>
    <row r="42" spans="1:4" ht="13.2">
      <c r="A42" s="5">
        <v>1201</v>
      </c>
      <c r="B42" s="6">
        <v>45469</v>
      </c>
      <c r="C42" s="9" t="str">
        <f>Покупатели!C42</f>
        <v>Аубакиров</v>
      </c>
      <c r="D42" s="8" t="str">
        <f>VLOOKUP(C42,Покупатели!$C$2:$Q$738,15,0)</f>
        <v>MX4000002R0001483</v>
      </c>
    </row>
    <row r="43" spans="1:4" ht="15" customHeight="1">
      <c r="A43" s="5">
        <v>1202</v>
      </c>
      <c r="B43" s="6">
        <v>45469</v>
      </c>
      <c r="C43" s="9" t="str">
        <f>Покупатели!C43</f>
        <v>Новичихин</v>
      </c>
      <c r="D43" s="8" t="str">
        <f>VLOOKUP(C43,Покупатели!$C$2:$Q$738,15,0)</f>
        <v>MX4000002R0001722</v>
      </c>
    </row>
    <row r="44" spans="1:4" ht="13.2">
      <c r="A44" s="5">
        <v>1203</v>
      </c>
      <c r="B44" s="6">
        <v>45469</v>
      </c>
      <c r="C44" s="9" t="str">
        <f>Покупатели!C44</f>
        <v>Ахметов</v>
      </c>
      <c r="D44" s="8" t="str">
        <f>VLOOKUP(C44,Покупатели!$C$2:$Q$738,15,0)</f>
        <v>MX4000002R0001638</v>
      </c>
    </row>
    <row r="45" spans="1:4" ht="13.2">
      <c r="A45" s="5">
        <v>1204</v>
      </c>
      <c r="B45" s="6">
        <v>45470</v>
      </c>
      <c r="C45" s="9" t="str">
        <f>Покупатели!C45</f>
        <v>Юзликаев</v>
      </c>
      <c r="D45" s="8" t="str">
        <f>VLOOKUP(C45,Покупатели!$C$2:$Q$738,15,0)</f>
        <v>MX4000002R0001720</v>
      </c>
    </row>
    <row r="46" spans="1:4" ht="13.2">
      <c r="A46" s="5">
        <v>1205</v>
      </c>
      <c r="B46" s="6">
        <v>45470</v>
      </c>
      <c r="C46" s="9" t="str">
        <f>Покупатели!C46</f>
        <v>Сайранбек</v>
      </c>
      <c r="D46" s="8" t="str">
        <f>VLOOKUP(C46,Покупатели!$C$2:$Q$738,15,0)</f>
        <v>MX4000004R0001721</v>
      </c>
    </row>
    <row r="47" spans="1:4" ht="13.2">
      <c r="A47" s="5">
        <v>1206</v>
      </c>
      <c r="B47" s="6">
        <v>45470</v>
      </c>
      <c r="C47" s="9" t="str">
        <f>Покупатели!C47</f>
        <v>Гумарова</v>
      </c>
      <c r="D47" s="8" t="str">
        <f>VLOOKUP(C47,Покупатели!$C$2:$Q$738,15,0)</f>
        <v>MX4000002R0001678</v>
      </c>
    </row>
    <row r="48" spans="1:4" ht="13.2">
      <c r="A48" s="5">
        <v>1207</v>
      </c>
      <c r="B48" s="6">
        <v>45471</v>
      </c>
      <c r="C48" s="9" t="str">
        <f>Покупатели!C48</f>
        <v>Курмангалиев</v>
      </c>
      <c r="D48" s="8" t="str">
        <f>VLOOKUP(C48,Покупатели!$C$2:$Q$738,15,0)</f>
        <v>MX4000002R0001656</v>
      </c>
    </row>
    <row r="49" spans="1:4" ht="13.2">
      <c r="A49" s="5">
        <v>1208</v>
      </c>
      <c r="B49" s="6">
        <v>45471</v>
      </c>
      <c r="C49" s="9" t="str">
        <f>Покупатели!C49</f>
        <v>Хусаинов1</v>
      </c>
      <c r="D49" s="8" t="str">
        <f>VLOOKUP(C49,Покупатели!$C$2:$Q$738,15,0)</f>
        <v>MX4000002R0001464</v>
      </c>
    </row>
    <row r="50" spans="1:4" ht="13.2">
      <c r="A50" s="5">
        <v>1209</v>
      </c>
      <c r="B50" s="6">
        <v>45471</v>
      </c>
      <c r="C50" s="9" t="str">
        <f>Покупатели!C50</f>
        <v>Унгарбеков</v>
      </c>
      <c r="D50" s="8" t="str">
        <f>VLOOKUP(C50,Покупатели!$C$2:$Q$738,15,0)</f>
        <v>MX4000002R0001463</v>
      </c>
    </row>
    <row r="51" spans="1:4" ht="13.2">
      <c r="A51" s="5">
        <v>1210</v>
      </c>
      <c r="B51" s="6">
        <v>45474</v>
      </c>
      <c r="C51" s="9" t="str">
        <f>Покупатели!C51</f>
        <v>Абдибеков</v>
      </c>
      <c r="D51" s="8" t="str">
        <f>VLOOKUP(C51,Покупатели!$C$2:$Q$738,15,0)</f>
        <v>MX4000002R0001633</v>
      </c>
    </row>
    <row r="52" spans="1:4" ht="13.2">
      <c r="A52" s="5">
        <v>1211</v>
      </c>
      <c r="B52" s="6">
        <v>45475</v>
      </c>
      <c r="C52" s="9" t="str">
        <f>Покупатели!C52</f>
        <v>Дуйсеков</v>
      </c>
      <c r="D52" s="8" t="str">
        <f>VLOOKUP(C52,Покупатели!$C$2:$Q$738,15,0)</f>
        <v>MX4000002R0001574</v>
      </c>
    </row>
    <row r="53" spans="1:4" ht="13.2">
      <c r="A53" s="5">
        <v>1212</v>
      </c>
      <c r="B53" s="6">
        <v>45475</v>
      </c>
      <c r="C53" s="9" t="str">
        <f>Покупатели!C54</f>
        <v>Грабовский</v>
      </c>
      <c r="D53" s="8" t="str">
        <f>VLOOKUP(C53,Покупатели!$C$2:$Q$738,15,0)</f>
        <v>MX4000002R0001663</v>
      </c>
    </row>
    <row r="54" spans="1:4" ht="13.2">
      <c r="A54" s="5">
        <v>1213</v>
      </c>
      <c r="B54" s="6">
        <v>45476</v>
      </c>
      <c r="C54" s="9" t="str">
        <f>Покупатели!C53</f>
        <v>Пияшкин</v>
      </c>
      <c r="D54" s="8" t="str">
        <f>VLOOKUP(C54,Покупатели!$C$2:$Q$738,15,0)</f>
        <v>MX4000002R0001671</v>
      </c>
    </row>
    <row r="55" spans="1:4" ht="13.2">
      <c r="A55" s="5">
        <v>1214</v>
      </c>
      <c r="B55" s="6">
        <v>45476</v>
      </c>
      <c r="C55" s="9" t="str">
        <f>Покупатели!C55</f>
        <v>Жумангужина</v>
      </c>
      <c r="D55" s="8" t="str">
        <f>VLOOKUP(C55,Покупатели!$C$2:$Q$738,15,0)</f>
        <v>MX4000002R0001657</v>
      </c>
    </row>
    <row r="56" spans="1:4" ht="13.2">
      <c r="A56" s="5">
        <v>1215</v>
      </c>
      <c r="B56" s="6">
        <v>45476</v>
      </c>
      <c r="C56" s="9" t="str">
        <f>Покупатели!C56</f>
        <v>Белгибаева</v>
      </c>
      <c r="D56" s="8" t="str">
        <f>VLOOKUP(C56,Покупатели!$C$2:$Q$738,15,0)</f>
        <v>MX4000002R0001677</v>
      </c>
    </row>
    <row r="57" spans="1:4" ht="13.2">
      <c r="A57" s="5">
        <v>1216</v>
      </c>
      <c r="B57" s="6">
        <v>45476</v>
      </c>
      <c r="C57" s="9" t="str">
        <f>Покупатели!C57</f>
        <v>Харламов 1</v>
      </c>
      <c r="D57" s="8" t="str">
        <f>VLOOKUP(C57,Покупатели!$C$2:$Q$738,15,0)</f>
        <v>MX4000002R0001509</v>
      </c>
    </row>
    <row r="58" spans="1:4" ht="13.2">
      <c r="A58" s="5">
        <v>1217</v>
      </c>
      <c r="B58" s="6">
        <v>45477</v>
      </c>
      <c r="C58" s="9" t="str">
        <f>Покупатели!C58</f>
        <v>Батяйкин</v>
      </c>
      <c r="D58" s="8" t="str">
        <f>VLOOKUP(C58,Покупатели!$C$2:$Q$738,15,0)</f>
        <v>MX4000004R0001606</v>
      </c>
    </row>
    <row r="59" spans="1:4" ht="13.2">
      <c r="A59" s="5">
        <v>1218</v>
      </c>
      <c r="B59" s="6">
        <v>45478</v>
      </c>
      <c r="C59" s="9" t="str">
        <f>Покупатели!C60</f>
        <v>Волкова</v>
      </c>
      <c r="D59" s="8" t="str">
        <f>VLOOKUP(C59,Покупатели!$C$2:$Q$738,15,0)</f>
        <v>MX4000002R0001560</v>
      </c>
    </row>
    <row r="60" spans="1:4" ht="13.2">
      <c r="A60" s="5">
        <v>1219</v>
      </c>
      <c r="B60" s="6">
        <v>45478</v>
      </c>
      <c r="C60" s="9" t="str">
        <f>Покупатели!C61</f>
        <v>Бопышев</v>
      </c>
      <c r="D60" s="8" t="str">
        <f>VLOOKUP(C60,Покупатели!$C$2:$Q$738,15,0)</f>
        <v>MX4000002R0001647</v>
      </c>
    </row>
    <row r="61" spans="1:4" ht="13.2">
      <c r="A61" s="5">
        <v>1220</v>
      </c>
      <c r="B61" s="6">
        <v>45478</v>
      </c>
      <c r="C61" s="9" t="str">
        <f>Покупатели!C62</f>
        <v>Дерюгин</v>
      </c>
      <c r="D61" s="8" t="str">
        <f>VLOOKUP(C61,Покупатели!$C$2:$Q$738,15,0)</f>
        <v>MX4000002R0001460</v>
      </c>
    </row>
    <row r="62" spans="1:4" ht="13.2">
      <c r="A62" s="5">
        <v>1221</v>
      </c>
      <c r="B62" s="6">
        <v>45479</v>
      </c>
      <c r="C62" s="9" t="str">
        <f>Покупатели!C63</f>
        <v>Туртаева</v>
      </c>
      <c r="D62" s="8" t="str">
        <f>VLOOKUP(C62,Покупатели!$C$2:$Q$738,15,0)</f>
        <v>MX4000002R0001456</v>
      </c>
    </row>
    <row r="63" spans="1:4" ht="13.2">
      <c r="A63" s="5">
        <v>1222</v>
      </c>
      <c r="B63" s="6">
        <v>45478</v>
      </c>
      <c r="C63" s="9" t="str">
        <f>'юр лица'!C2</f>
        <v>"ПК Эффект"</v>
      </c>
      <c r="D63" s="8" t="s">
        <v>3</v>
      </c>
    </row>
    <row r="64" spans="1:4" ht="13.2">
      <c r="A64" s="5">
        <v>1223</v>
      </c>
      <c r="B64" s="6">
        <v>45481</v>
      </c>
      <c r="C64" s="9" t="str">
        <f>Покупатели!C64</f>
        <v>Ворошилов</v>
      </c>
      <c r="D64" s="8" t="str">
        <f>VLOOKUP(C64,Покупатели!$C$2:$Q$738,15,0)</f>
        <v>MX4000002R0001484</v>
      </c>
    </row>
    <row r="65" spans="1:4" ht="13.2">
      <c r="A65" s="5">
        <v>1224</v>
      </c>
      <c r="B65" s="6">
        <v>45481</v>
      </c>
      <c r="C65" s="9" t="str">
        <f>Покупатели!C59</f>
        <v>Куликова</v>
      </c>
      <c r="D65" s="8" t="str">
        <f>VLOOKUP(C65,Покупатели!$C$2:$Q$738,15,0)</f>
        <v>MX4000002R0001578</v>
      </c>
    </row>
    <row r="66" spans="1:4" ht="13.2">
      <c r="A66" s="5">
        <v>1225</v>
      </c>
      <c r="B66" s="6">
        <v>45482</v>
      </c>
      <c r="C66" s="9" t="str">
        <f>Покупатели!C65</f>
        <v>Мусаинов</v>
      </c>
      <c r="D66" s="8" t="str">
        <f>VLOOKUP(C66,Покупатели!$C$2:$Q$738,15,0)</f>
        <v>MX4000002R0001475</v>
      </c>
    </row>
    <row r="67" spans="1:4" ht="13.2">
      <c r="A67" s="5">
        <v>1226</v>
      </c>
      <c r="B67" s="6">
        <v>45482</v>
      </c>
      <c r="C67" s="9" t="str">
        <f>Покупатели!C66</f>
        <v>Кенжеахмет</v>
      </c>
      <c r="D67" s="8" t="str">
        <f>VLOOKUP(C67,Покупатели!$C$2:$Q$738,15,0)</f>
        <v>MX4000002R0001646</v>
      </c>
    </row>
    <row r="68" spans="1:4" ht="13.2">
      <c r="A68" s="5">
        <v>1227</v>
      </c>
      <c r="B68" s="6">
        <v>45484</v>
      </c>
      <c r="C68" s="9" t="str">
        <f>Покупатели!C67</f>
        <v>Сатыбаев</v>
      </c>
      <c r="D68" s="8" t="str">
        <f>VLOOKUP(C68,Покупатели!$C$2:$Q$738,15,0)</f>
        <v>MX4000002R0001711</v>
      </c>
    </row>
    <row r="69" spans="1:4" ht="13.2">
      <c r="A69" s="5">
        <v>1228</v>
      </c>
      <c r="B69" s="6">
        <v>45484</v>
      </c>
      <c r="C69" s="9" t="str">
        <f>Покупатели!C68</f>
        <v>Мускеев</v>
      </c>
      <c r="D69" s="8" t="str">
        <f>VLOOKUP(C69,Покупатели!$C$2:$Q$738,15,0)</f>
        <v>MX4000002R0001689</v>
      </c>
    </row>
    <row r="70" spans="1:4" ht="13.2">
      <c r="A70" s="5">
        <v>1229</v>
      </c>
      <c r="B70" s="6">
        <v>45484</v>
      </c>
      <c r="C70" s="9" t="str">
        <f>Покупатели!C69</f>
        <v>Жакупов</v>
      </c>
      <c r="D70" s="8" t="str">
        <f>VLOOKUP(C70,Покупатели!$C$2:$Q$738,15,0)</f>
        <v>MX4000002R0001670</v>
      </c>
    </row>
    <row r="71" spans="1:4" ht="13.2">
      <c r="A71" s="5">
        <v>1230</v>
      </c>
      <c r="B71" s="6">
        <v>45485</v>
      </c>
      <c r="C71" s="9" t="str">
        <f>Покупатели!C70</f>
        <v>Досболов</v>
      </c>
      <c r="D71" s="8" t="str">
        <f>VLOOKUP(C71,Покупатели!$C$2:$Q$738,15,0)</f>
        <v>MX4000002R0001470</v>
      </c>
    </row>
    <row r="72" spans="1:4" ht="13.2">
      <c r="A72" s="5">
        <v>1231</v>
      </c>
      <c r="B72" s="6">
        <v>45485</v>
      </c>
      <c r="C72" s="9" t="str">
        <f>Покупатели!C71</f>
        <v>Веретенников</v>
      </c>
      <c r="D72" s="8" t="str">
        <f>VLOOKUP(C72,Покупатели!$C$2:$Q$738,15,0)</f>
        <v>MX4000002R0001472</v>
      </c>
    </row>
    <row r="73" spans="1:4" ht="13.2">
      <c r="A73" s="5">
        <v>1232</v>
      </c>
      <c r="B73" s="6">
        <v>45485</v>
      </c>
      <c r="C73" s="9" t="str">
        <f>'юр лица'!C3</f>
        <v>"BASTAU QAZ"</v>
      </c>
      <c r="D73" s="8" t="s">
        <v>4</v>
      </c>
    </row>
    <row r="74" spans="1:4" ht="13.2">
      <c r="A74" s="5">
        <v>1233</v>
      </c>
      <c r="B74" s="6">
        <v>45488</v>
      </c>
      <c r="C74" s="9" t="str">
        <f>Покупатели!C72</f>
        <v>Тимкина</v>
      </c>
      <c r="D74" s="8" t="str">
        <f>VLOOKUP(C74,Покупатели!$C$2:$Q$738,15,0)</f>
        <v>MX4000002R0001622</v>
      </c>
    </row>
    <row r="75" spans="1:4" ht="13.2">
      <c r="A75" s="5">
        <v>1234</v>
      </c>
      <c r="B75" s="6">
        <v>45489</v>
      </c>
      <c r="C75" s="9" t="str">
        <f>Покупатели!C73</f>
        <v>Джунуспеков</v>
      </c>
      <c r="D75" s="8" t="str">
        <f>VLOOKUP(C75,Покупатели!$C$2:$Q$738,15,0)</f>
        <v>MX4000002R0001672</v>
      </c>
    </row>
    <row r="76" spans="1:4" ht="13.2">
      <c r="A76" s="5">
        <v>1235</v>
      </c>
      <c r="B76" s="6">
        <v>45489</v>
      </c>
      <c r="C76" s="9" t="str">
        <f>Покупатели!C74</f>
        <v>Жакаев</v>
      </c>
      <c r="D76" s="8" t="str">
        <f>VLOOKUP(C76,Покупатели!$C$2:$Q$738,15,0)</f>
        <v>MX4000002R0001675</v>
      </c>
    </row>
    <row r="77" spans="1:4" ht="13.2">
      <c r="A77" s="5">
        <v>1236</v>
      </c>
      <c r="B77" s="6">
        <v>45491</v>
      </c>
      <c r="C77" s="9" t="str">
        <f>Покупатели!C75</f>
        <v>Казиханов</v>
      </c>
      <c r="D77" s="8" t="str">
        <f>VLOOKUP(C77,Покупатели!$C$2:$Q$738,15,0)</f>
        <v>MX4000002R0001682</v>
      </c>
    </row>
    <row r="78" spans="1:4" ht="13.2">
      <c r="A78" s="5">
        <v>1237</v>
      </c>
      <c r="B78" s="6">
        <v>45491</v>
      </c>
      <c r="C78" s="9" t="str">
        <f>Покупатели!C76</f>
        <v>Кобжасаров</v>
      </c>
      <c r="D78" s="8" t="str">
        <f>VLOOKUP(C78,Покупатели!$C$2:$Q$738,15,0)</f>
        <v>MX4000002R0001661</v>
      </c>
    </row>
    <row r="79" spans="1:4" ht="13.2">
      <c r="A79" s="5">
        <v>1238</v>
      </c>
      <c r="B79" s="6">
        <v>45491</v>
      </c>
      <c r="C79" s="9" t="str">
        <f>Покупатели!C77</f>
        <v>Токтагулов</v>
      </c>
      <c r="D79" s="8" t="str">
        <f>VLOOKUP(C79,Покупатели!$C$2:$Q$738,15,0)</f>
        <v>MX4000002R0001467</v>
      </c>
    </row>
    <row r="80" spans="1:4" ht="13.2">
      <c r="A80" s="5">
        <v>1239</v>
      </c>
      <c r="B80" s="6">
        <v>45492</v>
      </c>
      <c r="C80" s="9" t="str">
        <f>Покупатели!C78</f>
        <v>Кальтенбергер</v>
      </c>
      <c r="D80" s="8" t="str">
        <f>VLOOKUP(C80,Покупатели!$C$2:$Q$738,15,0)</f>
        <v>MX4000002R0001667</v>
      </c>
    </row>
    <row r="81" spans="1:4" ht="13.2">
      <c r="A81" s="5">
        <v>1240</v>
      </c>
      <c r="B81" s="6">
        <v>45492</v>
      </c>
      <c r="C81" s="9" t="str">
        <f>Покупатели!C79</f>
        <v>Ли</v>
      </c>
      <c r="D81" s="8" t="str">
        <f>VLOOKUP(C81,Покупатели!$C$2:$Q$738,15,0)</f>
        <v>MX4000002R0001469</v>
      </c>
    </row>
    <row r="82" spans="1:4" ht="13.2">
      <c r="A82" s="5">
        <v>1241</v>
      </c>
      <c r="B82" s="6">
        <v>45496</v>
      </c>
      <c r="C82" s="9" t="str">
        <f>Покупатели!C80</f>
        <v xml:space="preserve">Кондратьев </v>
      </c>
      <c r="D82" s="8" t="str">
        <f>VLOOKUP(C82,Покупатели!$C$2:$Q$738,15,0)</f>
        <v>MX4000002R0001478</v>
      </c>
    </row>
    <row r="83" spans="1:4" ht="13.2">
      <c r="A83" s="5">
        <v>1242</v>
      </c>
      <c r="B83" s="6">
        <v>45496</v>
      </c>
      <c r="C83" s="9" t="str">
        <f>Покупатели!C81</f>
        <v xml:space="preserve">Жаксыбаев </v>
      </c>
      <c r="D83" s="8" t="str">
        <f>VLOOKUP(C83,Покупатели!$C$2:$Q$738,15,0)</f>
        <v>MX4000002R0001501</v>
      </c>
    </row>
    <row r="84" spans="1:4" ht="13.2">
      <c r="A84" s="5">
        <v>1243</v>
      </c>
      <c r="B84" s="6">
        <v>45496</v>
      </c>
      <c r="C84" s="9" t="str">
        <f>Покупатели!C82</f>
        <v>Хомидов</v>
      </c>
      <c r="D84" s="8" t="str">
        <f>VLOOKUP(C84,Покупатели!$C$2:$Q$738,15,0)</f>
        <v>MX4000002R0001477</v>
      </c>
    </row>
    <row r="85" spans="1:4" ht="13.2">
      <c r="A85" s="5">
        <v>1244</v>
      </c>
      <c r="B85" s="6">
        <v>45497</v>
      </c>
      <c r="C85" s="9" t="str">
        <f>Покупатели!C84</f>
        <v>Зоркальцева</v>
      </c>
      <c r="D85" s="8" t="str">
        <f>VLOOKUP(C85,Покупатели!$C$2:$Q$738,15,0)</f>
        <v>MX4000002R0001693</v>
      </c>
    </row>
    <row r="86" spans="1:4" ht="13.2">
      <c r="A86" s="5">
        <v>1245</v>
      </c>
      <c r="B86" s="6">
        <v>45497</v>
      </c>
      <c r="C86" s="9" t="str">
        <f>Покупатели!C83</f>
        <v>Нусипов</v>
      </c>
      <c r="D86" s="8" t="str">
        <f>VLOOKUP(C86,Покупатели!$C$2:$Q$738,15,0)</f>
        <v>MX4000002R0001495</v>
      </c>
    </row>
    <row r="87" spans="1:4" ht="13.2">
      <c r="A87" s="5">
        <v>1246</v>
      </c>
      <c r="B87" s="6">
        <v>45497</v>
      </c>
      <c r="C87" s="9" t="str">
        <f>Покупатели!C85</f>
        <v>Мусалиев</v>
      </c>
      <c r="D87" s="8" t="str">
        <f>VLOOKUP(C87,Покупатели!$C$2:$Q$738,15,0)</f>
        <v>MX4000002R0001674</v>
      </c>
    </row>
    <row r="88" spans="1:4" ht="13.2">
      <c r="A88" s="5">
        <v>1247</v>
      </c>
      <c r="B88" s="6">
        <v>45498</v>
      </c>
      <c r="C88" s="9" t="str">
        <f>'юр лица'!C4</f>
        <v>"Akzhar mining"</v>
      </c>
      <c r="D88" s="8" t="s">
        <v>5</v>
      </c>
    </row>
    <row r="89" spans="1:4" ht="13.2">
      <c r="A89" s="5">
        <v>1248</v>
      </c>
      <c r="B89" s="6">
        <v>45498</v>
      </c>
      <c r="C89" s="9" t="str">
        <f>Покупатели!C86</f>
        <v>Хусуров</v>
      </c>
      <c r="D89" s="8" t="str">
        <f>VLOOKUP(C89,Покупатели!$C$2:$Q$738,15,0)</f>
        <v>MX4000002P0001412</v>
      </c>
    </row>
    <row r="90" spans="1:4" ht="13.2">
      <c r="A90" s="5">
        <v>1249</v>
      </c>
      <c r="B90" s="6">
        <v>45499</v>
      </c>
      <c r="C90" s="9" t="str">
        <f>Покупатели!C87</f>
        <v>Мошков</v>
      </c>
      <c r="D90" s="8" t="str">
        <f>VLOOKUP(C90,Покупатели!$C$2:$Q$738,15,0)</f>
        <v>MX4000002R0001662</v>
      </c>
    </row>
    <row r="91" spans="1:4" ht="13.2">
      <c r="A91" s="5">
        <v>1250</v>
      </c>
      <c r="B91" s="6">
        <v>45503</v>
      </c>
      <c r="C91" s="9" t="str">
        <f>Покупатели!C88</f>
        <v>Калменова</v>
      </c>
      <c r="D91" s="8" t="str">
        <f>VLOOKUP(C91,Покупатели!$C$2:$Q$738,15,0)</f>
        <v>MX4000002R0001660</v>
      </c>
    </row>
    <row r="92" spans="1:4" ht="13.2">
      <c r="A92" s="5">
        <v>1251</v>
      </c>
      <c r="B92" s="6">
        <v>45504</v>
      </c>
      <c r="C92" s="9" t="str">
        <f>Покупатели!C89</f>
        <v>Махмутов</v>
      </c>
      <c r="D92" s="8" t="str">
        <f>VLOOKUP(C92,Покупатели!$C$2:$Q$738,15,0)</f>
        <v>MX4000002R0001691</v>
      </c>
    </row>
    <row r="93" spans="1:4" ht="13.2">
      <c r="A93" s="5">
        <v>1252</v>
      </c>
      <c r="B93" s="6">
        <v>45504</v>
      </c>
      <c r="C93" s="9" t="str">
        <f>Покупатели!C90</f>
        <v>Якубов</v>
      </c>
      <c r="D93" s="8" t="str">
        <f>VLOOKUP(C93,Покупатели!$C$2:$Q$738,15,0)</f>
        <v>MX4000002R0001491</v>
      </c>
    </row>
    <row r="94" spans="1:4" ht="13.2">
      <c r="A94" s="5">
        <v>1253</v>
      </c>
      <c r="B94" s="6">
        <v>45504</v>
      </c>
      <c r="C94" s="9" t="str">
        <f>Покупатели!C91</f>
        <v>Гусевы</v>
      </c>
      <c r="D94" s="8" t="str">
        <f>VLOOKUP(C94,Покупатели!$C$2:$Q$738,15,0)</f>
        <v>MX4000002R0001628</v>
      </c>
    </row>
    <row r="95" spans="1:4" ht="13.2">
      <c r="A95" s="5">
        <v>1254</v>
      </c>
      <c r="B95" s="6">
        <v>45504</v>
      </c>
      <c r="C95" s="9" t="str">
        <f>Покупатели!C92</f>
        <v>Сейдеметов1</v>
      </c>
      <c r="D95" s="8" t="str">
        <f>VLOOKUP(C95,Покупатели!$C$2:$Q$738,15,0)</f>
        <v>MX4000002R0001582</v>
      </c>
    </row>
    <row r="96" spans="1:4" ht="13.2">
      <c r="A96" s="5">
        <v>1255</v>
      </c>
      <c r="B96" s="10">
        <v>45509</v>
      </c>
      <c r="C96" s="9" t="str">
        <f>Покупатели!C93</f>
        <v xml:space="preserve">Бабенков </v>
      </c>
      <c r="D96" s="8" t="str">
        <f>VLOOKUP(C96,Покупатели!$C$2:$Q$738,15,0)</f>
        <v>MX4000002R0001710</v>
      </c>
    </row>
    <row r="97" spans="1:4" ht="13.2">
      <c r="A97" s="5">
        <v>1256</v>
      </c>
      <c r="B97" s="10">
        <v>45510</v>
      </c>
      <c r="C97" s="9" t="str">
        <f>Покупатели!C94</f>
        <v>Ахатов</v>
      </c>
      <c r="D97" s="8" t="str">
        <f>VLOOKUP(C97,Покупатели!$C$2:$Q$738,15,0)</f>
        <v>MX4000002R0001490</v>
      </c>
    </row>
    <row r="98" spans="1:4" ht="13.2">
      <c r="A98" s="5">
        <v>1257</v>
      </c>
      <c r="B98" s="10">
        <v>45510</v>
      </c>
      <c r="C98" s="9" t="str">
        <f>Покупатели!C95</f>
        <v>Легеза</v>
      </c>
      <c r="D98" s="8" t="str">
        <f>VLOOKUP(C98,Покупатели!$C$2:$Q$738,15,0)</f>
        <v>MX4000002R0001696</v>
      </c>
    </row>
    <row r="99" spans="1:4" ht="13.2">
      <c r="A99" s="5">
        <v>1258</v>
      </c>
      <c r="B99" s="10">
        <v>45511</v>
      </c>
      <c r="C99" s="9" t="str">
        <f>Покупатели!C96</f>
        <v>Коптлеуов 1</v>
      </c>
      <c r="D99" s="8" t="str">
        <f>VLOOKUP(C99,Покупатели!$C$2:$Q$738,15,0)</f>
        <v>MX4000002R0001552</v>
      </c>
    </row>
    <row r="100" spans="1:4" ht="13.2">
      <c r="A100" s="5">
        <v>1259</v>
      </c>
      <c r="B100" s="10">
        <v>45514</v>
      </c>
      <c r="C100" s="9" t="str">
        <f>Покупатели!C97</f>
        <v>Егорова</v>
      </c>
      <c r="D100" s="8" t="str">
        <f>VLOOKUP(C100,Покупатели!$C$2:$Q$738,15,0)</f>
        <v>MX4000002R0001453</v>
      </c>
    </row>
    <row r="101" spans="1:4" ht="13.2">
      <c r="A101" s="5">
        <v>1260</v>
      </c>
      <c r="B101" s="10">
        <v>45517</v>
      </c>
      <c r="C101" s="9" t="str">
        <f>Покупатели!C98</f>
        <v>Омержанов</v>
      </c>
      <c r="D101" s="8" t="str">
        <f>VLOOKUP(C101,Покупатели!$C$2:$Q$738,15,0)</f>
        <v>MX4000002R0001683</v>
      </c>
    </row>
    <row r="102" spans="1:4" ht="13.2">
      <c r="A102" s="5">
        <v>1261</v>
      </c>
      <c r="B102" s="10">
        <v>45518</v>
      </c>
      <c r="C102" s="9" t="str">
        <f>Покупатели!C99</f>
        <v>Ким1</v>
      </c>
      <c r="D102" s="8" t="str">
        <f>VLOOKUP(C102,Покупатели!$C$2:$Q$738,15,0)</f>
        <v>MX4000002R0001581</v>
      </c>
    </row>
    <row r="103" spans="1:4" ht="13.2">
      <c r="A103" s="5">
        <v>1262</v>
      </c>
      <c r="B103" s="10">
        <v>45519</v>
      </c>
      <c r="C103" s="9" t="str">
        <f>Покупатели!C100</f>
        <v>Багдадов</v>
      </c>
      <c r="D103" s="8" t="str">
        <f>VLOOKUP(C103,Покупатели!$C$2:$Q$738,15,0)</f>
        <v>MX4000002R0001692</v>
      </c>
    </row>
    <row r="104" spans="1:4" ht="13.2">
      <c r="A104" s="5">
        <v>1263</v>
      </c>
      <c r="B104" s="10">
        <v>45519</v>
      </c>
      <c r="C104" s="9" t="str">
        <f>Покупатели!C101</f>
        <v>Гордиенко</v>
      </c>
      <c r="D104" s="8" t="str">
        <f>VLOOKUP(C104,Покупатели!$C$2:$Q$738,15,0)</f>
        <v>MX4000002R0001704</v>
      </c>
    </row>
    <row r="105" spans="1:4" ht="13.2">
      <c r="A105" s="5">
        <v>1264</v>
      </c>
      <c r="B105" s="10">
        <v>45519</v>
      </c>
      <c r="C105" s="9" t="str">
        <f>Покупатели!C102</f>
        <v>Игенов</v>
      </c>
      <c r="D105" s="8" t="str">
        <f>VLOOKUP(C105,Покупатели!$C$2:$Q$738,15,0)</f>
        <v>MX4000002R0001623</v>
      </c>
    </row>
    <row r="106" spans="1:4" ht="13.2">
      <c r="A106" s="5">
        <v>1265</v>
      </c>
      <c r="B106" s="10">
        <v>45519</v>
      </c>
      <c r="C106" s="9" t="str">
        <f>Покупатели!C103</f>
        <v>Веселовский</v>
      </c>
      <c r="D106" s="8" t="str">
        <f>VLOOKUP(C106,Покупатели!$C$2:$Q$738,15,0)</f>
        <v>MX4000002R0001461</v>
      </c>
    </row>
    <row r="107" spans="1:4" ht="13.2">
      <c r="A107" s="5">
        <v>1266</v>
      </c>
      <c r="B107" s="10">
        <v>45520</v>
      </c>
      <c r="C107" s="9" t="str">
        <f>Покупатели!C104</f>
        <v>Сарбасов</v>
      </c>
      <c r="D107" s="8" t="str">
        <f>VLOOKUP(C107,Покупатели!$C$2:$Q$738,15,0)</f>
        <v>MX4000002R0001745</v>
      </c>
    </row>
    <row r="108" spans="1:4" ht="13.2">
      <c r="A108" s="5">
        <v>1267</v>
      </c>
      <c r="B108" s="10">
        <v>45520</v>
      </c>
      <c r="C108" s="9" t="str">
        <f>Покупатели!C105</f>
        <v>Нагаев</v>
      </c>
      <c r="D108" s="8" t="str">
        <f>VLOOKUP(C108,Покупатели!$C$2:$Q$738,15,0)</f>
        <v>MX4000002R0001749</v>
      </c>
    </row>
    <row r="109" spans="1:4" ht="13.2">
      <c r="A109" s="5">
        <v>1268</v>
      </c>
      <c r="B109" s="10">
        <v>45520</v>
      </c>
      <c r="C109" s="9" t="str">
        <f>Покупатели!C106</f>
        <v>Темирбулатов</v>
      </c>
      <c r="D109" s="8" t="str">
        <f>VLOOKUP(C109,Покупатели!$C$2:$Q$738,15,0)</f>
        <v>MX4000003R0001752</v>
      </c>
    </row>
    <row r="110" spans="1:4" ht="13.2">
      <c r="A110" s="5">
        <v>1269</v>
      </c>
      <c r="B110" s="10">
        <v>45523</v>
      </c>
      <c r="C110" s="9" t="str">
        <f>Покупатели!C107</f>
        <v>Енцов</v>
      </c>
      <c r="D110" s="8" t="str">
        <f>VLOOKUP(C110,Покупатели!$C$2:$Q$738,15,0)</f>
        <v>MX4000002R0001750</v>
      </c>
    </row>
    <row r="111" spans="1:4" ht="13.2">
      <c r="A111" s="5">
        <v>1270</v>
      </c>
      <c r="B111" s="10">
        <v>45523</v>
      </c>
      <c r="C111" s="9" t="str">
        <f>Покупатели!C108</f>
        <v>Руппель</v>
      </c>
      <c r="D111" s="8" t="str">
        <f>VLOOKUP(C111,Покупатели!$C$2:$Q$738,15,0)</f>
        <v>MX4000002R0001744</v>
      </c>
    </row>
    <row r="112" spans="1:4" ht="13.2">
      <c r="A112" s="5">
        <v>1271</v>
      </c>
      <c r="B112" s="10">
        <v>45523</v>
      </c>
      <c r="C112" s="9" t="str">
        <f>Покупатели!C109</f>
        <v>Сейтқалиев</v>
      </c>
      <c r="D112" s="8" t="str">
        <f>VLOOKUP(C112,Покупатели!$C$2:$Q$738,15,0)</f>
        <v>MX4000002R0001584</v>
      </c>
    </row>
    <row r="113" spans="1:4" ht="13.2">
      <c r="A113" s="5">
        <v>1272</v>
      </c>
      <c r="B113" s="10">
        <v>45524</v>
      </c>
      <c r="C113" s="9" t="str">
        <f>Покупатели!C110</f>
        <v>Рамазанов</v>
      </c>
      <c r="D113" s="8" t="str">
        <f>VLOOKUP(C113,Покупатели!$C$2:$Q$738,15,0)</f>
        <v>MX4000002R0001611</v>
      </c>
    </row>
    <row r="114" spans="1:4" ht="13.2">
      <c r="A114" s="5">
        <v>1273</v>
      </c>
      <c r="B114" s="10">
        <v>45524</v>
      </c>
      <c r="C114" s="9" t="str">
        <f>Покупатели!C111</f>
        <v xml:space="preserve">Кожабаев </v>
      </c>
      <c r="D114" s="8" t="str">
        <f>VLOOKUP(C114,Покупатели!$C$2:$Q$738,15,0)</f>
        <v>MX4000002R0001757</v>
      </c>
    </row>
    <row r="115" spans="1:4" ht="13.2">
      <c r="A115" s="5">
        <v>1274</v>
      </c>
      <c r="B115" s="10">
        <v>45525</v>
      </c>
      <c r="C115" s="9" t="str">
        <f>Покупатели!C112</f>
        <v>Коваль</v>
      </c>
      <c r="D115" s="8" t="str">
        <f>VLOOKUP(C115,Покупатели!$C$2:$Q$738,15,0)</f>
        <v>MX4000002R0001679</v>
      </c>
    </row>
    <row r="116" spans="1:4" ht="13.2">
      <c r="A116" s="5">
        <v>1275</v>
      </c>
      <c r="B116" s="10">
        <v>45525</v>
      </c>
      <c r="C116" s="9" t="str">
        <f>Покупатели!C113</f>
        <v>Хелаев</v>
      </c>
      <c r="D116" s="8" t="str">
        <f>VLOOKUP(C116,Покупатели!$C$2:$Q$738,15,0)</f>
        <v>MX4000002R0001604</v>
      </c>
    </row>
    <row r="117" spans="1:4" ht="13.2">
      <c r="A117" s="5">
        <v>1276</v>
      </c>
      <c r="B117" s="10">
        <v>45526</v>
      </c>
      <c r="C117" s="9" t="str">
        <f>Покупатели!C114</f>
        <v>Дусаев</v>
      </c>
      <c r="D117" s="8" t="str">
        <f>VLOOKUP(C117,Покупатели!$C$2:$Q$738,15,0)</f>
        <v>MX4000002R0001585</v>
      </c>
    </row>
    <row r="118" spans="1:4" ht="13.2">
      <c r="A118" s="5">
        <v>1277</v>
      </c>
      <c r="B118" s="10">
        <v>45527</v>
      </c>
      <c r="C118" s="9" t="str">
        <f>Покупатели!C115</f>
        <v>Ибраймов</v>
      </c>
      <c r="D118" s="8" t="str">
        <f>VLOOKUP(C118,Покупатели!$C$2:$Q$738,15,0)</f>
        <v>MX4000002R0001751</v>
      </c>
    </row>
    <row r="119" spans="1:4" ht="13.2">
      <c r="A119" s="5">
        <v>1278</v>
      </c>
      <c r="B119" s="10">
        <v>45528</v>
      </c>
      <c r="C119" s="9" t="str">
        <f>Покупатели!C116</f>
        <v>Баядилов</v>
      </c>
      <c r="D119" s="8" t="str">
        <f>VLOOKUP(C119,Покупатели!$C$2:$Q$738,15,0)</f>
        <v>MX4000002R0001579</v>
      </c>
    </row>
    <row r="120" spans="1:4" ht="13.2">
      <c r="A120" s="5">
        <v>1279</v>
      </c>
      <c r="B120" s="10">
        <v>45528</v>
      </c>
      <c r="C120" s="9" t="str">
        <f>Покупатели!C117</f>
        <v>Месевро</v>
      </c>
      <c r="D120" s="8" t="str">
        <f>VLOOKUP(C120,Покупатели!$C$2:$Q$738,15,0)</f>
        <v>MX4000002R0001753</v>
      </c>
    </row>
    <row r="121" spans="1:4" ht="13.2">
      <c r="A121" s="5">
        <v>1280</v>
      </c>
      <c r="B121" s="10">
        <v>45530</v>
      </c>
      <c r="C121" s="9" t="str">
        <f>Покупатели!C118</f>
        <v>Мустаев</v>
      </c>
      <c r="D121" s="8" t="str">
        <f>VLOOKUP(C121,Покупатели!$C$2:$Q$738,15,0)</f>
        <v>MX4000002R0001580</v>
      </c>
    </row>
    <row r="122" spans="1:4" ht="13.2">
      <c r="A122" s="5">
        <v>1281</v>
      </c>
      <c r="B122" s="10">
        <v>45532</v>
      </c>
      <c r="C122" s="9" t="str">
        <f>Покупатели!C119</f>
        <v>Избасханов</v>
      </c>
      <c r="D122" s="8" t="str">
        <f>VLOOKUP(C122,Покупатели!$C$2:$Q$738,15,0)</f>
        <v>MX4000002R0001759</v>
      </c>
    </row>
    <row r="123" spans="1:4" ht="13.2">
      <c r="A123" s="5">
        <v>1282</v>
      </c>
      <c r="B123" s="10">
        <v>45531</v>
      </c>
      <c r="C123" s="9" t="str">
        <f>Покупатели!C120</f>
        <v>Саденов</v>
      </c>
      <c r="D123" s="8" t="str">
        <f>VLOOKUP(C123,Покупатели!$C$2:$Q$738,15,0)</f>
        <v>MX4000002R0001639</v>
      </c>
    </row>
    <row r="124" spans="1:4" ht="13.2">
      <c r="A124" s="5">
        <v>1283</v>
      </c>
      <c r="B124" s="10">
        <v>45531</v>
      </c>
      <c r="C124" s="9" t="str">
        <f>Покупатели!C121</f>
        <v>Иванова</v>
      </c>
      <c r="D124" s="8" t="str">
        <f>VLOOKUP(C124,Покупатели!$C$2:$Q$738,15,0)</f>
        <v>MX4000002R0001665</v>
      </c>
    </row>
    <row r="125" spans="1:4" ht="13.2">
      <c r="A125" s="5">
        <v>1284</v>
      </c>
      <c r="B125" s="10">
        <v>45532</v>
      </c>
      <c r="C125" s="9" t="str">
        <f>Покупатели!C122</f>
        <v>Нурабаев</v>
      </c>
      <c r="D125" s="8" t="str">
        <f>VLOOKUP(C125,Покупатели!$C$2:$Q$738,15,0)</f>
        <v>MX4000002R0001447</v>
      </c>
    </row>
    <row r="126" spans="1:4" ht="13.2">
      <c r="A126" s="5">
        <v>1285</v>
      </c>
      <c r="B126" s="10">
        <v>45532</v>
      </c>
      <c r="C126" s="9" t="s">
        <v>6</v>
      </c>
      <c r="D126" s="8" t="s">
        <v>7</v>
      </c>
    </row>
    <row r="127" spans="1:4" ht="13.2">
      <c r="A127" s="5">
        <v>1286</v>
      </c>
      <c r="B127" s="10">
        <v>45532</v>
      </c>
      <c r="C127" s="9" t="str">
        <f>Покупатели!C123</f>
        <v>Жұманғазы</v>
      </c>
      <c r="D127" s="8" t="str">
        <f>VLOOKUP(C127,Покупатели!$C$2:$Q$738,15,0)</f>
        <v>MX4000002R0001736</v>
      </c>
    </row>
    <row r="128" spans="1:4" ht="13.2">
      <c r="A128" s="5">
        <v>1287</v>
      </c>
      <c r="B128" s="10">
        <v>45533</v>
      </c>
      <c r="C128" s="9" t="str">
        <f>Покупатели!C124</f>
        <v>Омарова</v>
      </c>
      <c r="D128" s="8" t="str">
        <f>VLOOKUP(C128,Покупатели!$C$2:$Q$738,15,0)</f>
        <v>MX4000002R0001731</v>
      </c>
    </row>
    <row r="129" spans="1:4" ht="13.2">
      <c r="A129" s="5">
        <v>1288</v>
      </c>
      <c r="B129" s="10">
        <v>45537</v>
      </c>
      <c r="C129" s="9" t="str">
        <f>Покупатели!C125</f>
        <v>Гильмизянов</v>
      </c>
      <c r="D129" s="8" t="str">
        <f>VLOOKUP(C129,Покупатели!$C$2:$Q$738,15,0)</f>
        <v>MX4000002R0001762</v>
      </c>
    </row>
    <row r="130" spans="1:4" ht="13.2">
      <c r="A130" s="5">
        <v>1290</v>
      </c>
      <c r="B130" s="10">
        <v>45537</v>
      </c>
      <c r="C130" s="9" t="str">
        <f>Покупатели!C126</f>
        <v>Уристемов</v>
      </c>
      <c r="D130" s="8" t="str">
        <f>VLOOKUP(C130,Покупатели!$C$2:$Q$738,15,0)</f>
        <v>MX4000002R0001760</v>
      </c>
    </row>
    <row r="131" spans="1:4" ht="13.2">
      <c r="A131" s="5">
        <v>1291</v>
      </c>
      <c r="B131" s="10">
        <v>45538</v>
      </c>
      <c r="C131" s="9" t="str">
        <f>Покупатели!C127</f>
        <v>Нүкен</v>
      </c>
      <c r="D131" s="8" t="str">
        <f>VLOOKUP(C131,Покупатели!$C$2:$Q$738,15,0)</f>
        <v>MX4000002R0001723</v>
      </c>
    </row>
    <row r="132" spans="1:4" ht="13.2">
      <c r="A132" s="5">
        <v>1292</v>
      </c>
      <c r="B132" s="10">
        <v>45539</v>
      </c>
      <c r="C132" s="9" t="str">
        <f>Покупатели!C128</f>
        <v>Тасенов</v>
      </c>
      <c r="D132" s="8" t="str">
        <f>VLOOKUP(C132,Покупатели!$C$2:$Q$738,15,0)</f>
        <v>MX4000002N0000672</v>
      </c>
    </row>
    <row r="133" spans="1:4" ht="13.2">
      <c r="A133" s="5">
        <v>1293</v>
      </c>
      <c r="B133" s="10">
        <v>45538</v>
      </c>
      <c r="C133" s="9" t="str">
        <f>Покупатели!C129</f>
        <v>Волков</v>
      </c>
      <c r="D133" s="8" t="str">
        <f>VLOOKUP(C133,Покупатели!$C$2:$Q$738,15,0)</f>
        <v>MX4000002R0001655</v>
      </c>
    </row>
    <row r="134" spans="1:4" ht="13.2">
      <c r="A134" s="5">
        <v>1294</v>
      </c>
      <c r="B134" s="10">
        <v>45539</v>
      </c>
      <c r="C134" s="9" t="str">
        <f>Покупатели!C130</f>
        <v>Щербаков</v>
      </c>
      <c r="D134" s="8" t="str">
        <f>VLOOKUP(C134,Покупатели!$C$2:$Q$738,15,0)</f>
        <v>MX4000002R0001761</v>
      </c>
    </row>
    <row r="135" spans="1:4" ht="13.2">
      <c r="A135" s="5">
        <v>1295</v>
      </c>
      <c r="B135" s="10">
        <v>45540</v>
      </c>
      <c r="C135" s="9" t="str">
        <f>Покупатели!C131</f>
        <v>Губайдуллин</v>
      </c>
      <c r="D135" s="8" t="str">
        <f>VLOOKUP(C135,Покупатели!$C$2:$Q$738,15,0)</f>
        <v>MX4000004R0001756</v>
      </c>
    </row>
    <row r="136" spans="1:4" ht="13.2">
      <c r="A136" s="5">
        <v>1296</v>
      </c>
      <c r="B136" s="10">
        <v>45540</v>
      </c>
      <c r="C136" s="9" t="str">
        <f>Покупатели!C132</f>
        <v>Юрчук</v>
      </c>
      <c r="D136" s="8" t="str">
        <f>VLOOKUP(C136,Покупатели!$C$2:$Q$738,15,0)</f>
        <v>MX4000002R0001765</v>
      </c>
    </row>
    <row r="137" spans="1:4" ht="13.2">
      <c r="A137" s="5">
        <v>1297</v>
      </c>
      <c r="B137" s="10">
        <v>45541</v>
      </c>
      <c r="C137" s="9" t="str">
        <f>Покупатели!C133</f>
        <v xml:space="preserve">Абдукадырова </v>
      </c>
      <c r="D137" s="8" t="str">
        <f>VLOOKUP(C137,Покупатели!$C$2:$Q$738,15,0)</f>
        <v>MX4000002R0001583</v>
      </c>
    </row>
    <row r="138" spans="1:4" ht="13.2">
      <c r="A138" s="5">
        <v>1298</v>
      </c>
      <c r="B138" s="10">
        <v>45541</v>
      </c>
      <c r="C138" s="9" t="str">
        <f>Покупатели!C134</f>
        <v>Данегулов</v>
      </c>
      <c r="D138" s="8" t="str">
        <f>VLOOKUP(C138,Покупатели!$C$2:$Q$738,15,0)</f>
        <v>MX4000002R0001766</v>
      </c>
    </row>
    <row r="139" spans="1:4" ht="13.2">
      <c r="A139" s="5">
        <v>1299</v>
      </c>
      <c r="B139" s="10">
        <v>45541</v>
      </c>
      <c r="C139" s="9" t="str">
        <f>Покупатели!C135</f>
        <v>Озиев</v>
      </c>
      <c r="D139" s="8" t="str">
        <f>VLOOKUP(C139,Покупатели!$C$2:$Q$738,15,0)</f>
        <v>MX4000002R0001747</v>
      </c>
    </row>
    <row r="140" spans="1:4" ht="13.2">
      <c r="A140" s="5">
        <v>1300</v>
      </c>
      <c r="B140" s="10">
        <v>45544</v>
      </c>
      <c r="C140" s="9" t="str">
        <f>Покупатели!C136</f>
        <v>Асылов</v>
      </c>
      <c r="D140" s="8" t="str">
        <f>VLOOKUP(C140,Покупатели!$C$2:$Q$738,15,0)</f>
        <v>MX4000002R0001763</v>
      </c>
    </row>
    <row r="141" spans="1:4" ht="13.2">
      <c r="A141" s="5">
        <v>1301</v>
      </c>
      <c r="B141" s="10">
        <v>45544</v>
      </c>
      <c r="C141" s="9" t="str">
        <f>Покупатели!C137</f>
        <v>Кожахметова</v>
      </c>
      <c r="D141" s="8" t="str">
        <f>VLOOKUP(C141,Покупатели!$C$2:$Q$738,15,0)</f>
        <v>MX4000002R0001701</v>
      </c>
    </row>
    <row r="142" spans="1:4" ht="13.2">
      <c r="A142" s="5">
        <v>1302</v>
      </c>
      <c r="B142" s="10">
        <v>45544</v>
      </c>
      <c r="C142" s="9" t="str">
        <f>Покупатели!C737</f>
        <v>Сейдеметов2</v>
      </c>
      <c r="D142" s="8" t="str">
        <f>VLOOKUP(C142,Покупатели!$C$2:$Q$738,15,0)</f>
        <v>MX4000002R0001730</v>
      </c>
    </row>
    <row r="143" spans="1:4" ht="13.2">
      <c r="A143" s="5">
        <v>1303</v>
      </c>
      <c r="B143" s="10">
        <v>45544</v>
      </c>
      <c r="C143" s="9" t="str">
        <f>Покупатели!C738</f>
        <v>Сейдеметов</v>
      </c>
      <c r="D143" s="8" t="str">
        <f>VLOOKUP(C143,Покупатели!$C$2:$Q$738,15,0)</f>
        <v>MX4000002R0001734</v>
      </c>
    </row>
    <row r="144" spans="1:4" ht="13.2">
      <c r="A144" s="5">
        <v>1304</v>
      </c>
      <c r="B144" s="10">
        <v>45544</v>
      </c>
      <c r="C144" s="9" t="str">
        <f>Покупатели!C138</f>
        <v>Калмамбетов</v>
      </c>
      <c r="D144" s="8" t="str">
        <f>VLOOKUP(C144,Покупатели!$C$2:$Q$738,15,0)</f>
        <v>MX4000004R0001755</v>
      </c>
    </row>
    <row r="145" spans="1:4" ht="13.2">
      <c r="A145" s="5">
        <v>1305</v>
      </c>
      <c r="B145" s="10">
        <v>45545</v>
      </c>
      <c r="C145" s="9" t="str">
        <f>Покупатели!C139</f>
        <v>Камаев</v>
      </c>
      <c r="D145" s="8" t="str">
        <f>VLOOKUP(C145,Покупатели!$C$2:$Q$738,15,0)</f>
        <v>MX4000002R0001758</v>
      </c>
    </row>
    <row r="146" spans="1:4" ht="13.2">
      <c r="A146" s="5">
        <v>1306</v>
      </c>
      <c r="B146" s="10">
        <v>45545</v>
      </c>
      <c r="C146" s="9" t="str">
        <f>Покупатели!C140</f>
        <v>Грачев</v>
      </c>
      <c r="D146" s="8" t="str">
        <f>VLOOKUP(C146,Покупатели!$C$2:$Q$738,15,0)</f>
        <v>MX4000002R0001733</v>
      </c>
    </row>
    <row r="147" spans="1:4" ht="13.2">
      <c r="A147" s="5">
        <v>1307</v>
      </c>
      <c r="B147" s="10">
        <v>45545</v>
      </c>
      <c r="C147" s="9" t="str">
        <f>Покупатели!C141</f>
        <v>Батолин</v>
      </c>
      <c r="D147" s="8" t="str">
        <f>VLOOKUP(C147,Покупатели!$C$2:$Q$738,15,0)</f>
        <v>MX4000002R0001602</v>
      </c>
    </row>
    <row r="148" spans="1:4" ht="13.2">
      <c r="A148" s="5">
        <v>1308</v>
      </c>
      <c r="B148" s="10">
        <v>45546</v>
      </c>
      <c r="C148" s="9" t="str">
        <f>Покупатели!C142</f>
        <v>Докенов</v>
      </c>
      <c r="D148" s="8" t="str">
        <f>VLOOKUP(C148,Покупатели!$C$2:$Q$738,15,0)</f>
        <v>MX4000002R0001746</v>
      </c>
    </row>
    <row r="149" spans="1:4" ht="13.2">
      <c r="A149" s="5">
        <v>1309</v>
      </c>
      <c r="B149" s="10">
        <v>45546</v>
      </c>
      <c r="C149" s="9" t="str">
        <f>Покупатели!C143</f>
        <v>Матин</v>
      </c>
      <c r="D149" s="8" t="str">
        <f>VLOOKUP(C149,Покупатели!$C$2:$Q$738,15,0)</f>
        <v>MX4000002R0001735</v>
      </c>
    </row>
    <row r="150" spans="1:4" ht="13.2">
      <c r="A150" s="5">
        <v>1310</v>
      </c>
      <c r="B150" s="10">
        <v>45546</v>
      </c>
      <c r="C150" s="9" t="str">
        <f>Покупатели!C144</f>
        <v xml:space="preserve">Махметов </v>
      </c>
      <c r="D150" s="8" t="str">
        <f>VLOOKUP(C150,Покупатели!$C$2:$Q$738,15,0)</f>
        <v>MX4000002R0001764</v>
      </c>
    </row>
    <row r="151" spans="1:4" ht="13.2">
      <c r="A151" s="5">
        <v>1311</v>
      </c>
      <c r="B151" s="10">
        <v>45547</v>
      </c>
      <c r="C151" s="9" t="str">
        <f>Покупатели!C145</f>
        <v>Максимов</v>
      </c>
      <c r="D151" s="8" t="str">
        <f>VLOOKUP(C151,Покупатели!$C$2:$Q$738,15,0)</f>
        <v>MX4000002R0001729</v>
      </c>
    </row>
    <row r="152" spans="1:4" ht="13.2">
      <c r="A152" s="5">
        <v>1312</v>
      </c>
      <c r="B152" s="10">
        <v>45547</v>
      </c>
      <c r="C152" s="9" t="str">
        <f>Покупатели!C146</f>
        <v>Семенихин</v>
      </c>
      <c r="D152" s="8" t="str">
        <f>VLOOKUP(C152,Покупатели!$C$2:$Q$738,15,0)</f>
        <v>MX4000002R0001737</v>
      </c>
    </row>
    <row r="153" spans="1:4" ht="13.2">
      <c r="A153" s="5">
        <v>1313</v>
      </c>
      <c r="B153" s="10">
        <v>45547</v>
      </c>
      <c r="C153" s="9" t="str">
        <f>Покупатели!C147</f>
        <v>Кузнецов 1</v>
      </c>
      <c r="D153" s="8" t="str">
        <f>VLOOKUP(C153,Покупатели!$C$2:$Q$738,15,0)</f>
        <v>MX4000002R0001767</v>
      </c>
    </row>
    <row r="154" spans="1:4" ht="13.2">
      <c r="A154" s="5">
        <v>1314</v>
      </c>
      <c r="B154" s="10">
        <v>45551</v>
      </c>
      <c r="C154" s="9" t="str">
        <f>'юр лица'!C7</f>
        <v>Агро-фирма Желкуар 2003</v>
      </c>
      <c r="D154" s="8" t="s">
        <v>8</v>
      </c>
    </row>
    <row r="155" spans="1:4" ht="13.2">
      <c r="A155" s="5">
        <v>1315</v>
      </c>
      <c r="B155" s="10">
        <v>45551</v>
      </c>
      <c r="C155" s="9" t="str">
        <f>Покупатели!C148</f>
        <v>Дурсунов</v>
      </c>
      <c r="D155" s="8" t="str">
        <f>VLOOKUP(C155,Покупатели!$C$2:$Q$738,15,0)</f>
        <v>MX4000002R0001476</v>
      </c>
    </row>
    <row r="156" spans="1:4" ht="13.2">
      <c r="A156" s="5">
        <v>1316</v>
      </c>
      <c r="B156" s="10">
        <v>45552</v>
      </c>
      <c r="C156" s="9" t="str">
        <f>Покупатели!C149</f>
        <v>Никулина</v>
      </c>
      <c r="D156" s="8" t="str">
        <f>VLOOKUP(C156,Покупатели!$C$2:$Q$738,15,0)</f>
        <v>MX4000002R0001772</v>
      </c>
    </row>
    <row r="157" spans="1:4" ht="13.2">
      <c r="A157" s="5">
        <v>1317</v>
      </c>
      <c r="B157" s="10">
        <v>45552</v>
      </c>
      <c r="C157" s="9" t="str">
        <f>Покупатели!C150</f>
        <v>Абдуакилов</v>
      </c>
      <c r="D157" s="8" t="str">
        <f>VLOOKUP(C157,Покупатели!$C$2:$Q$738,15,0)</f>
        <v>MX4000002R0001739</v>
      </c>
    </row>
    <row r="158" spans="1:4" ht="13.2">
      <c r="A158" s="5">
        <v>1318</v>
      </c>
      <c r="B158" s="10">
        <v>45553</v>
      </c>
      <c r="C158" s="9" t="str">
        <f>Покупатели!C151</f>
        <v>Тонких</v>
      </c>
      <c r="D158" s="8" t="str">
        <f>VLOOKUP(C158,Покупатели!$C$2:$Q$738,15,0)</f>
        <v>MX4000002R0001773</v>
      </c>
    </row>
    <row r="159" spans="1:4" ht="13.2">
      <c r="A159" s="5">
        <v>1319</v>
      </c>
      <c r="B159" s="10">
        <v>45589</v>
      </c>
      <c r="C159" s="9" t="str">
        <f>Покупатели!C152</f>
        <v>Горелов</v>
      </c>
      <c r="D159" s="8" t="str">
        <f>VLOOKUP(C159,Покупатели!$C$2:$Q$738,15,0)</f>
        <v>MX4000002R0001770</v>
      </c>
    </row>
    <row r="160" spans="1:4" ht="13.2">
      <c r="A160" s="5">
        <v>1320</v>
      </c>
      <c r="B160" s="10">
        <v>45553</v>
      </c>
      <c r="C160" s="9" t="str">
        <f>Покупатели!C153</f>
        <v>Сагинбеков 1</v>
      </c>
      <c r="D160" s="8" t="str">
        <f>VLOOKUP(C160,Покупатели!$C$2:$Q$738,15,0)</f>
        <v>MX4000002R0001738</v>
      </c>
    </row>
    <row r="161" spans="1:4" ht="13.2">
      <c r="A161" s="5">
        <v>1321</v>
      </c>
      <c r="B161" s="10">
        <v>45554</v>
      </c>
      <c r="C161" s="9" t="str">
        <f>Покупатели!C154</f>
        <v>Оболгазиева</v>
      </c>
      <c r="D161" s="8" t="str">
        <f>VLOOKUP(C161,Покупатели!$C$2:$Q$738,15,0)</f>
        <v>MX4000002R0001727</v>
      </c>
    </row>
    <row r="162" spans="1:4" ht="13.2">
      <c r="A162" s="5">
        <v>1322</v>
      </c>
      <c r="B162" s="10">
        <v>45555</v>
      </c>
      <c r="C162" s="9" t="str">
        <f>Покупатели!C155</f>
        <v>Колибердин</v>
      </c>
      <c r="D162" s="8" t="str">
        <f>VLOOKUP(C162,Покупатели!$C$2:$Q$738,15,0)</f>
        <v>MX4000002R0001728</v>
      </c>
    </row>
    <row r="163" spans="1:4" ht="13.2">
      <c r="A163" s="5">
        <v>1323</v>
      </c>
      <c r="B163" s="10">
        <v>45556</v>
      </c>
      <c r="C163" s="9" t="str">
        <f>Покупатели!C156</f>
        <v>Абдували</v>
      </c>
      <c r="D163" s="8" t="str">
        <f>VLOOKUP(C163,Покупатели!$C$2:$Q$738,15,0)</f>
        <v>MX4000002R0001690</v>
      </c>
    </row>
    <row r="164" spans="1:4" ht="13.2">
      <c r="A164" s="5">
        <v>1324</v>
      </c>
      <c r="B164" s="10">
        <v>45556</v>
      </c>
      <c r="C164" s="9" t="str">
        <f>Покупатели!C157</f>
        <v>Абдурахманов</v>
      </c>
      <c r="D164" s="8" t="str">
        <f>VLOOKUP(C164,Покупатели!$C$2:$Q$738,15,0)</f>
        <v>MX4000002R0001706</v>
      </c>
    </row>
    <row r="165" spans="1:4" ht="13.2">
      <c r="A165" s="5">
        <v>1325</v>
      </c>
      <c r="B165" s="10">
        <v>45557</v>
      </c>
      <c r="C165" s="9" t="str">
        <f>Покупатели!C158</f>
        <v>Мәжіг</v>
      </c>
      <c r="D165" s="8" t="str">
        <f>VLOOKUP(C165,Покупатели!$C$2:$Q$738,15,0)</f>
        <v>MX4000002N0000964</v>
      </c>
    </row>
    <row r="166" spans="1:4" ht="13.2">
      <c r="A166" s="5">
        <v>1326</v>
      </c>
      <c r="B166" s="10">
        <v>45557</v>
      </c>
      <c r="C166" s="9" t="str">
        <f>Покупатели!C159</f>
        <v>Иванов 1</v>
      </c>
      <c r="D166" s="8" t="str">
        <f>VLOOKUP(C166,Покупатели!$C$2:$Q$738,15,0)</f>
        <v>MX4000002R0001775</v>
      </c>
    </row>
    <row r="167" spans="1:4" ht="13.2">
      <c r="A167" s="5">
        <v>1327</v>
      </c>
      <c r="B167" s="10">
        <v>45558</v>
      </c>
      <c r="C167" s="9" t="str">
        <f>Покупатели!C160</f>
        <v>Килымжанов</v>
      </c>
      <c r="D167" s="8" t="str">
        <f>VLOOKUP(C167,Покупатели!$C$2:$Q$738,15,0)</f>
        <v>MX4000002R0001740</v>
      </c>
    </row>
    <row r="168" spans="1:4" ht="13.2">
      <c r="A168" s="5">
        <v>1328</v>
      </c>
      <c r="B168" s="10">
        <v>45558</v>
      </c>
      <c r="C168" s="9" t="str">
        <f>Покупатели!C161</f>
        <v>Жуматаев</v>
      </c>
      <c r="D168" s="8" t="str">
        <f>VLOOKUP(C168,Покупатели!$C$2:$Q$738,15,0)</f>
        <v>MX4000002R0001776</v>
      </c>
    </row>
    <row r="169" spans="1:4" ht="13.2">
      <c r="A169" s="5">
        <v>1329</v>
      </c>
      <c r="B169" s="10">
        <v>45558</v>
      </c>
      <c r="C169" s="9" t="str">
        <f>Покупатели!C162</f>
        <v>Адешов</v>
      </c>
      <c r="D169" s="8" t="str">
        <f>VLOOKUP(C169,Покупатели!$C$2:$Q$738,15,0)</f>
        <v>MX4000002R0001777</v>
      </c>
    </row>
    <row r="170" spans="1:4" ht="13.2">
      <c r="A170" s="5">
        <v>1330</v>
      </c>
      <c r="B170" s="10">
        <v>45559</v>
      </c>
      <c r="C170" s="9" t="str">
        <f>Покупатели!C163</f>
        <v>Калиева 1</v>
      </c>
      <c r="D170" s="8" t="str">
        <f>VLOOKUP(C170,Покупатели!$C$2:$Q$738,15,0)</f>
        <v>MX4000002R0001471</v>
      </c>
    </row>
    <row r="171" spans="1:4" ht="13.2">
      <c r="A171" s="5">
        <v>1331</v>
      </c>
      <c r="B171" s="10">
        <v>45560</v>
      </c>
      <c r="C171" s="9" t="str">
        <f>Покупатели!C164</f>
        <v>Таласов</v>
      </c>
      <c r="D171" s="8" t="str">
        <f>VLOOKUP(C171,Покупатели!$C$2:$Q$738,15,0)</f>
        <v>MX4000002R0001779</v>
      </c>
    </row>
    <row r="172" spans="1:4" ht="13.2">
      <c r="A172" s="5">
        <v>1332</v>
      </c>
      <c r="B172" s="10">
        <v>45560</v>
      </c>
      <c r="C172" s="9" t="str">
        <f>'юр лица'!C8</f>
        <v>"COND"</v>
      </c>
      <c r="D172" s="8" t="s">
        <v>9</v>
      </c>
    </row>
    <row r="173" spans="1:4" ht="13.2">
      <c r="A173" s="5">
        <v>1333</v>
      </c>
      <c r="B173" s="10">
        <v>45562</v>
      </c>
      <c r="C173" s="9" t="str">
        <f>Покупатели!C165</f>
        <v>Бердиханова 1</v>
      </c>
      <c r="D173" s="8" t="str">
        <f>VLOOKUP(C173,Покупатели!$C$2:$Q$738,15,0)</f>
        <v>MX4000002R0001743</v>
      </c>
    </row>
    <row r="174" spans="1:4" ht="13.2">
      <c r="A174" s="5">
        <v>1334</v>
      </c>
      <c r="B174" s="10">
        <v>45562</v>
      </c>
      <c r="C174" s="9" t="str">
        <f>Покупатели!C166</f>
        <v>Мукушев</v>
      </c>
      <c r="D174" s="8" t="str">
        <f>VLOOKUP(C174,Покупатели!$C$2:$Q$738,15,0)</f>
        <v>MX4000002R0001741</v>
      </c>
    </row>
    <row r="175" spans="1:4" ht="13.2">
      <c r="A175" s="5">
        <v>1335</v>
      </c>
      <c r="B175" s="10">
        <v>45563</v>
      </c>
      <c r="C175" s="9" t="str">
        <f>Покупатели!C167</f>
        <v>Тусупов</v>
      </c>
      <c r="D175" s="8" t="str">
        <f>VLOOKUP(C175,Покупатели!$C$2:$Q$738,15,0)</f>
        <v>MX4000004N0000876</v>
      </c>
    </row>
    <row r="176" spans="1:4" ht="13.2">
      <c r="A176" s="5">
        <v>1336</v>
      </c>
      <c r="B176" s="10">
        <v>45563</v>
      </c>
      <c r="C176" s="9" t="str">
        <f>Покупатели!C168</f>
        <v>Заколодний</v>
      </c>
      <c r="D176" s="8" t="str">
        <f>VLOOKUP(C176,Покупатели!$C$2:$Q$738,15,0)</f>
        <v>MX4000002R0001778</v>
      </c>
    </row>
    <row r="177" spans="1:4" ht="13.2">
      <c r="A177" s="5">
        <v>1337</v>
      </c>
      <c r="B177" s="10">
        <v>45565</v>
      </c>
      <c r="C177" s="9" t="str">
        <f>Покупатели!C169</f>
        <v>Акишева</v>
      </c>
      <c r="D177" s="8" t="str">
        <f>VLOOKUP(C177,Покупатели!$C$2:$Q$738,15,0)</f>
        <v>MX4000004R0001799</v>
      </c>
    </row>
    <row r="178" spans="1:4" ht="13.2">
      <c r="A178" s="5">
        <v>1338</v>
      </c>
      <c r="B178" s="10">
        <v>45567</v>
      </c>
      <c r="C178" s="9" t="str">
        <f>Покупатели!C170</f>
        <v>Сұлтанов</v>
      </c>
      <c r="D178" s="8" t="str">
        <f>VLOOKUP(C178,Покупатели!$C$2:$Q$738,15,0)</f>
        <v>MX4000002R0001624</v>
      </c>
    </row>
    <row r="179" spans="1:4" ht="13.2">
      <c r="A179" s="5">
        <v>1339</v>
      </c>
      <c r="B179" s="10">
        <v>45568</v>
      </c>
      <c r="C179" s="9" t="str">
        <f>Покупатели!C171</f>
        <v>Габдуллин1</v>
      </c>
      <c r="D179" s="8" t="str">
        <f>VLOOKUP(C179,Покупатели!$C$2:$Q$738,15,0)</f>
        <v>MX4000002R0001802</v>
      </c>
    </row>
    <row r="180" spans="1:4" ht="13.2">
      <c r="A180" s="5">
        <v>1340</v>
      </c>
      <c r="B180" s="10">
        <v>45568</v>
      </c>
      <c r="C180" s="9" t="str">
        <f>Покупатели!C172</f>
        <v>Ахриев</v>
      </c>
      <c r="D180" s="8" t="str">
        <f>VLOOKUP(C180,Покупатели!$C$2:$Q$738,15,0)</f>
        <v>MX4000002R0001805</v>
      </c>
    </row>
    <row r="181" spans="1:4" ht="13.2">
      <c r="A181" s="5">
        <v>1341</v>
      </c>
      <c r="B181" s="10">
        <v>45570</v>
      </c>
      <c r="C181" s="9" t="str">
        <f>Покупатели!C173</f>
        <v>Зырянов 1</v>
      </c>
      <c r="D181" s="8" t="str">
        <f>VLOOKUP(C181,Покупатели!$C$2:$Q$738,15,0)</f>
        <v>MX4000002R0001658</v>
      </c>
    </row>
    <row r="182" spans="1:4" ht="13.2">
      <c r="A182" s="5">
        <v>1342</v>
      </c>
      <c r="B182" s="10">
        <v>45570</v>
      </c>
      <c r="C182" s="9" t="str">
        <f>Покупатели!C174</f>
        <v>Салпеков</v>
      </c>
      <c r="D182" s="8" t="str">
        <f>VLOOKUP(C182,Покупатели!$C$2:$Q$738,15,0)</f>
        <v>MX4000002R0001742</v>
      </c>
    </row>
    <row r="183" spans="1:4" ht="13.2">
      <c r="A183" s="5">
        <v>1343</v>
      </c>
      <c r="B183" s="10">
        <v>45570</v>
      </c>
      <c r="C183" s="9" t="str">
        <f>Покупатели!C175</f>
        <v>Мусаев</v>
      </c>
      <c r="D183" s="8" t="str">
        <f>VLOOKUP(C183,Покупатели!$C$2:$Q$738,15,0)</f>
        <v>MX4000002R0001708</v>
      </c>
    </row>
    <row r="184" spans="1:4" ht="13.2">
      <c r="A184" s="5">
        <v>1344</v>
      </c>
      <c r="B184" s="10">
        <v>45573</v>
      </c>
      <c r="C184" s="9" t="str">
        <f>Покупатели!C176</f>
        <v>Телхожаев</v>
      </c>
      <c r="D184" s="8" t="str">
        <f>VLOOKUP(C184,Покупатели!$C$2:$Q$738,15,0)</f>
        <v>MX4000002R0001732</v>
      </c>
    </row>
    <row r="185" spans="1:4" ht="13.2">
      <c r="A185" s="5">
        <v>1345</v>
      </c>
      <c r="B185" s="10">
        <v>45576</v>
      </c>
      <c r="C185" s="9" t="str">
        <f>Покупатели!C177</f>
        <v>Кулмаганбетов</v>
      </c>
      <c r="D185" s="8" t="str">
        <f>VLOOKUP(C185,Покупатели!$C$2:$Q$738,15,0)</f>
        <v>MX4000005R0001814</v>
      </c>
    </row>
    <row r="186" spans="1:4" ht="13.2">
      <c r="A186" s="5">
        <v>1346</v>
      </c>
      <c r="B186" s="10">
        <v>45576</v>
      </c>
      <c r="C186" s="9" t="str">
        <f>Покупатели!C178</f>
        <v>Бектемисов</v>
      </c>
      <c r="D186" s="8" t="str">
        <f>VLOOKUP(C186,Покупатели!$C$2:$Q$738,15,0)</f>
        <v>MX4000002R0001787</v>
      </c>
    </row>
    <row r="187" spans="1:4" ht="13.2">
      <c r="A187" s="5">
        <v>1347</v>
      </c>
      <c r="B187" s="10">
        <v>45580</v>
      </c>
      <c r="C187" s="9" t="str">
        <f>Покупатели!C179</f>
        <v>Тумгоева</v>
      </c>
      <c r="D187" s="8" t="str">
        <f>VLOOKUP(C187,Покупатели!$C$2:$Q$738,15,0)</f>
        <v>MX4000004R0001807</v>
      </c>
    </row>
    <row r="188" spans="1:4" ht="13.2">
      <c r="A188" s="5">
        <v>1348</v>
      </c>
      <c r="B188" s="10">
        <v>45582</v>
      </c>
      <c r="C188" s="9" t="str">
        <f>Покупатели!C182</f>
        <v>Кожахметов</v>
      </c>
      <c r="D188" s="8" t="str">
        <f>VLOOKUP(C188,Покупатели!$C$2:$Q$738,15,0)</f>
        <v>MX4000002R0001781</v>
      </c>
    </row>
    <row r="189" spans="1:4" ht="13.2">
      <c r="A189" s="5">
        <v>1349</v>
      </c>
      <c r="B189" s="10">
        <v>45582</v>
      </c>
      <c r="C189" s="9" t="str">
        <f>Покупатели!C180</f>
        <v>Рахимжанов</v>
      </c>
      <c r="D189" s="8" t="str">
        <f>VLOOKUP(C189,Покупатели!$C$2:$Q$738,15,0)</f>
        <v>MX4000004R0001769</v>
      </c>
    </row>
    <row r="190" spans="1:4" ht="13.2">
      <c r="A190" s="5">
        <v>1350</v>
      </c>
      <c r="B190" s="10">
        <v>45582</v>
      </c>
      <c r="C190" s="9" t="str">
        <f>Покупатели!C181</f>
        <v>Межевика</v>
      </c>
      <c r="D190" s="8" t="str">
        <f>VLOOKUP(C190,Покупатели!$C$2:$Q$738,15,0)</f>
        <v>MX4000002R0001804</v>
      </c>
    </row>
    <row r="191" spans="1:4" ht="13.2">
      <c r="A191" s="5">
        <v>1351</v>
      </c>
      <c r="B191" s="10">
        <v>45583</v>
      </c>
      <c r="C191" s="9" t="s">
        <v>10</v>
      </c>
      <c r="D191" s="8" t="s">
        <v>11</v>
      </c>
    </row>
    <row r="192" spans="1:4" ht="13.2">
      <c r="A192" s="5">
        <v>1352</v>
      </c>
      <c r="B192" s="10">
        <v>45584</v>
      </c>
      <c r="C192" s="9" t="str">
        <f>Покупатели!C183</f>
        <v>Хабибуллин</v>
      </c>
      <c r="D192" s="8" t="str">
        <f>VLOOKUP(C192,Покупатели!$C$2:$Q$738,15,0)</f>
        <v>MX4000002R0001796</v>
      </c>
    </row>
    <row r="193" spans="1:4" ht="13.2">
      <c r="A193" s="5">
        <v>1353</v>
      </c>
      <c r="B193" s="10">
        <v>45588</v>
      </c>
      <c r="C193" s="9" t="str">
        <f>Покупатели!C184</f>
        <v>Белгибаев</v>
      </c>
      <c r="D193" s="8" t="str">
        <f>VLOOKUP(C193,Покупатели!$C$2:$Q$738,15,0)</f>
        <v>MX4000002R0001801</v>
      </c>
    </row>
    <row r="194" spans="1:4" ht="13.2">
      <c r="A194" s="5">
        <v>1354</v>
      </c>
      <c r="B194" s="10">
        <v>45588</v>
      </c>
      <c r="C194" s="9" t="str">
        <f>Покупатели!C185</f>
        <v>Ескалиев</v>
      </c>
      <c r="D194" s="8" t="str">
        <f>VLOOKUP(C194,Покупатели!$C$2:$Q$738,15,0)</f>
        <v>MX4000002R0001803</v>
      </c>
    </row>
    <row r="195" spans="1:4" ht="13.2">
      <c r="A195" s="5">
        <v>1355</v>
      </c>
      <c r="B195" s="10">
        <v>45588</v>
      </c>
      <c r="C195" s="9" t="str">
        <f>Покупатели!C186</f>
        <v>Трутнев</v>
      </c>
      <c r="D195" s="8" t="str">
        <f>VLOOKUP(C195,Покупатели!$C$2:$Q$738,15,0)</f>
        <v>MX4000002R0001817</v>
      </c>
    </row>
    <row r="196" spans="1:4" ht="13.2">
      <c r="A196" s="5">
        <v>1356</v>
      </c>
      <c r="B196" s="10">
        <v>45593</v>
      </c>
      <c r="C196" s="9" t="str">
        <f>Покупатели!C188</f>
        <v>Әбіл</v>
      </c>
      <c r="D196" s="8" t="str">
        <f>VLOOKUP(C196,Покупатели!$C$2:$Q$738,15,0)</f>
        <v>MX4000002R0001619</v>
      </c>
    </row>
    <row r="197" spans="1:4" ht="13.2">
      <c r="A197" s="5">
        <v>1357</v>
      </c>
      <c r="B197" s="10">
        <v>45588</v>
      </c>
      <c r="C197" s="9" t="str">
        <f>Покупатели!C187</f>
        <v>Ибрагимов 1</v>
      </c>
      <c r="D197" s="8" t="str">
        <f>VLOOKUP(C197,Покупатели!$C$2:$Q$738,15,0)</f>
        <v>MX4000002R0001754</v>
      </c>
    </row>
    <row r="198" spans="1:4" ht="13.2">
      <c r="A198" s="5">
        <v>1358</v>
      </c>
      <c r="B198" s="10">
        <v>45593</v>
      </c>
      <c r="C198" s="9" t="str">
        <f>Покупатели!C189</f>
        <v>Майкотов</v>
      </c>
      <c r="D198" s="8" t="str">
        <f>VLOOKUP(C198,Покупатели!$C$2:$Q$738,15,0)</f>
        <v>MX4000002R0001668</v>
      </c>
    </row>
    <row r="199" spans="1:4" ht="13.2">
      <c r="A199" s="5">
        <v>1359</v>
      </c>
      <c r="B199" s="10">
        <v>45593</v>
      </c>
      <c r="C199" s="9" t="str">
        <f>Покупатели!C190</f>
        <v>Жұматай</v>
      </c>
      <c r="D199" s="8" t="str">
        <f>VLOOKUP(C199,Покупатели!$C$2:$Q$738,15,0)</f>
        <v>MX4000002R0001705</v>
      </c>
    </row>
    <row r="200" spans="1:4" ht="13.2">
      <c r="A200" s="5">
        <v>1360</v>
      </c>
      <c r="B200" s="10">
        <v>45594</v>
      </c>
      <c r="C200" s="9" t="str">
        <f>Покупатели!C191</f>
        <v>Шонтаев</v>
      </c>
      <c r="D200" s="8" t="str">
        <f>VLOOKUP(C200,Покупатели!$C$2:$Q$738,15,0)</f>
        <v>MX4000002R0001603</v>
      </c>
    </row>
    <row r="201" spans="1:4" ht="13.2">
      <c r="A201" s="5">
        <v>1361</v>
      </c>
      <c r="B201" s="10">
        <v>45594</v>
      </c>
      <c r="C201" s="9" t="str">
        <f>Покупатели!C192</f>
        <v>Бердумұрат</v>
      </c>
      <c r="D201" s="8" t="str">
        <f>VLOOKUP(C201,Покупатели!$C$2:$Q$738,15,0)</f>
        <v>MX4000002R0001609</v>
      </c>
    </row>
    <row r="202" spans="1:4" ht="13.2">
      <c r="A202" s="5">
        <v>1362</v>
      </c>
      <c r="B202" s="10">
        <v>45595</v>
      </c>
      <c r="C202" s="9" t="s">
        <v>12</v>
      </c>
      <c r="D202" s="11" t="s">
        <v>13</v>
      </c>
    </row>
    <row r="203" spans="1:4" ht="13.2">
      <c r="A203" s="5">
        <v>1363</v>
      </c>
      <c r="B203" s="10">
        <v>45595</v>
      </c>
      <c r="C203" s="9" t="str">
        <f>Покупатели!C193</f>
        <v>Есмуратов</v>
      </c>
      <c r="D203" s="8" t="str">
        <f>VLOOKUP(C203,Покупатели!$C$2:$Q$738,15,0)</f>
        <v>MX4000004R0001793</v>
      </c>
    </row>
    <row r="204" spans="1:4" ht="13.2">
      <c r="A204" s="5">
        <v>1364</v>
      </c>
      <c r="B204" s="10">
        <v>45596</v>
      </c>
      <c r="C204" s="9" t="str">
        <f>Покупатели!C194</f>
        <v>Жумабай</v>
      </c>
      <c r="D204" s="8" t="str">
        <f>VLOOKUP(C204,Покупатели!$C$2:$Q$738,15,0)</f>
        <v>MX4000002R0001636</v>
      </c>
    </row>
    <row r="205" spans="1:4" ht="13.2">
      <c r="A205" s="5">
        <v>1365</v>
      </c>
      <c r="B205" s="10">
        <v>45600</v>
      </c>
      <c r="C205" s="9" t="str">
        <f>Покупатели!C200</f>
        <v>Калиев</v>
      </c>
      <c r="D205" s="8" t="str">
        <f>VLOOKUP(C205,Покупатели!$C$2:$Q$738,15,0)</f>
        <v>MX4000002R0001816</v>
      </c>
    </row>
    <row r="206" spans="1:4" ht="13.2">
      <c r="A206" s="5">
        <v>1366</v>
      </c>
      <c r="B206" s="10">
        <v>45598</v>
      </c>
      <c r="C206" s="9" t="str">
        <f>Покупатели!C195</f>
        <v>Зайцев1</v>
      </c>
      <c r="D206" s="8" t="str">
        <f>VLOOKUP(C206,Покупатели!$C$2:$Q$738,15,0)</f>
        <v>MX4000002R0001605</v>
      </c>
    </row>
    <row r="207" spans="1:4" ht="13.2">
      <c r="A207" s="5">
        <v>1367</v>
      </c>
      <c r="B207" s="10">
        <v>45598</v>
      </c>
      <c r="C207" s="9" t="str">
        <f>Покупатели!C196</f>
        <v>Макаревский</v>
      </c>
      <c r="D207" s="8" t="str">
        <f>VLOOKUP(C207,Покупатели!$C$2:$Q$738,15,0)</f>
        <v>MX4000002R0001607</v>
      </c>
    </row>
    <row r="208" spans="1:4" ht="13.2">
      <c r="A208" s="5">
        <v>1368</v>
      </c>
      <c r="B208" s="10">
        <v>45600</v>
      </c>
      <c r="C208" s="9" t="str">
        <f>Покупатели!C197</f>
        <v>Москаленк</v>
      </c>
      <c r="D208" s="8" t="str">
        <f>VLOOKUP(C208,Покупатели!$C$2:$Q$738,15,0)</f>
        <v>MX4000002R0001835</v>
      </c>
    </row>
    <row r="209" spans="1:4" ht="13.2">
      <c r="A209" s="5">
        <v>1369</v>
      </c>
      <c r="B209" s="10">
        <v>45600</v>
      </c>
      <c r="C209" s="9" t="str">
        <f>Покупатели!C198</f>
        <v>Байбагисова</v>
      </c>
      <c r="D209" s="8" t="str">
        <f>VLOOKUP(C209,Покупатели!$C$2:$Q$738,15,0)</f>
        <v>MX4000002R0001786</v>
      </c>
    </row>
    <row r="210" spans="1:4" ht="13.2">
      <c r="A210" s="5">
        <v>1370</v>
      </c>
      <c r="B210" s="10">
        <v>45600</v>
      </c>
      <c r="C210" s="9" t="str">
        <f>Покупатели!C199</f>
        <v>Исабаев</v>
      </c>
      <c r="D210" s="8" t="str">
        <f>VLOOKUP(C210,Покупатели!$C$2:$Q$738,15,0)</f>
        <v>MX4000002R0001811</v>
      </c>
    </row>
    <row r="211" spans="1:4" ht="13.2">
      <c r="A211" s="5">
        <v>1371</v>
      </c>
      <c r="B211" s="10">
        <v>45601</v>
      </c>
      <c r="C211" s="9" t="str">
        <f>Покупатели!C201</f>
        <v>Чакаев</v>
      </c>
      <c r="D211" s="8" t="str">
        <f>VLOOKUP(C211,Покупатели!$C$2:$Q$738,15,0)</f>
        <v>MX4000002R0001785</v>
      </c>
    </row>
    <row r="212" spans="1:4" ht="13.2">
      <c r="A212" s="5">
        <v>1372</v>
      </c>
      <c r="B212" s="10">
        <v>45604</v>
      </c>
      <c r="C212" s="9" t="str">
        <f>Покупатели!C202</f>
        <v>Любушкин</v>
      </c>
      <c r="D212" s="8" t="str">
        <f>VLOOKUP(C212,Покупатели!$C$2:$Q$738,15,0)</f>
        <v>MX4000002R0001836</v>
      </c>
    </row>
    <row r="213" spans="1:4" ht="13.2">
      <c r="A213" s="5">
        <v>1373</v>
      </c>
      <c r="B213" s="10">
        <v>45604</v>
      </c>
      <c r="C213" s="9" t="str">
        <f>Покупатели!C203</f>
        <v>Амренов 1</v>
      </c>
      <c r="D213" s="8" t="str">
        <f>VLOOKUP(C213,Покупатели!$C$2:$Q$738,15,0)</f>
        <v>MX4000002R0001813</v>
      </c>
    </row>
    <row r="214" spans="1:4" ht="13.2">
      <c r="A214" s="5">
        <v>1374</v>
      </c>
      <c r="B214" s="10">
        <v>45605</v>
      </c>
      <c r="C214" s="9" t="str">
        <f>Покупатели!C204</f>
        <v>Галимбеков</v>
      </c>
      <c r="D214" s="8" t="str">
        <f>VLOOKUP(C214,Покупатели!$C$2:$Q$738,15,0)</f>
        <v>MX4000002R0001625</v>
      </c>
    </row>
    <row r="215" spans="1:4" ht="13.2">
      <c r="A215" s="5">
        <v>1375</v>
      </c>
      <c r="B215" s="10">
        <v>45605</v>
      </c>
      <c r="C215" s="9" t="str">
        <f>Покупатели!C205</f>
        <v>Исабеков</v>
      </c>
      <c r="D215" s="8" t="str">
        <f>VLOOKUP(C215,Покупатели!$C$2:$Q$738,15,0)</f>
        <v>MX4000002R0001782</v>
      </c>
    </row>
    <row r="216" spans="1:4" ht="13.2">
      <c r="A216" s="5">
        <v>1376</v>
      </c>
      <c r="B216" s="10">
        <v>45606</v>
      </c>
      <c r="C216" s="9" t="str">
        <f>Покупатели!C206</f>
        <v>Бурлаков</v>
      </c>
      <c r="D216" s="8" t="str">
        <f>VLOOKUP(C216,Покупатели!$C$2:$Q$738,15,0)</f>
        <v>MX4000002R0001784</v>
      </c>
    </row>
    <row r="217" spans="1:4" ht="13.2">
      <c r="A217" s="5">
        <v>1377</v>
      </c>
      <c r="B217" s="10">
        <v>45606</v>
      </c>
      <c r="C217" s="9" t="str">
        <f>Покупатели!C207</f>
        <v>Зырянов 2</v>
      </c>
      <c r="D217" s="8" t="str">
        <f>VLOOKUP(C217,Покупатели!$C$2:$Q$738,15,0)</f>
        <v>MX4000002R0001788</v>
      </c>
    </row>
    <row r="218" spans="1:4" ht="13.2">
      <c r="A218" s="5">
        <v>1378</v>
      </c>
      <c r="B218" s="10">
        <v>45607</v>
      </c>
      <c r="C218" s="9" t="str">
        <f>Покупатели!C208</f>
        <v>Искаков</v>
      </c>
      <c r="D218" s="8" t="str">
        <f>VLOOKUP(C218,Покупатели!$C$2:$Q$738,15,0)</f>
        <v>MX4000004R0001809</v>
      </c>
    </row>
    <row r="219" spans="1:4" ht="13.2">
      <c r="A219" s="5">
        <v>1379</v>
      </c>
      <c r="B219" s="10">
        <v>45607</v>
      </c>
      <c r="C219" s="9" t="str">
        <f>Покупатели!C209</f>
        <v>Идришов</v>
      </c>
      <c r="D219" s="8" t="str">
        <f>VLOOKUP(C219,Покупатели!$C$2:$Q$738,15,0)</f>
        <v>MX4000004R0001792</v>
      </c>
    </row>
    <row r="220" spans="1:4" ht="13.2">
      <c r="A220" s="5">
        <v>1380</v>
      </c>
      <c r="B220" s="10">
        <v>45608</v>
      </c>
      <c r="C220" s="9" t="str">
        <f>Покупатели!C210</f>
        <v>Жумагалиев</v>
      </c>
      <c r="D220" s="8" t="str">
        <f>VLOOKUP(C220,Покупатели!$C$2:$Q$738,15,0)</f>
        <v>MX4000002P0001060</v>
      </c>
    </row>
    <row r="221" spans="1:4" ht="13.2">
      <c r="A221" s="5">
        <v>1381</v>
      </c>
      <c r="B221" s="10">
        <v>45609</v>
      </c>
      <c r="C221" s="9" t="str">
        <f>Покупатели!C211</f>
        <v>Ахматов 1</v>
      </c>
      <c r="D221" s="8" t="str">
        <f>VLOOKUP(C221,Покупатели!$C$2:$Q$738,15,0)</f>
        <v>MX4000002R0001789</v>
      </c>
    </row>
    <row r="222" spans="1:4" ht="13.2">
      <c r="A222" s="5">
        <v>1382</v>
      </c>
      <c r="B222" s="10">
        <v>45609</v>
      </c>
      <c r="C222" s="9" t="str">
        <f>Покупатели!C212</f>
        <v>Ауельбеков</v>
      </c>
      <c r="D222" s="8" t="str">
        <f>VLOOKUP(C222,Покупатели!$C$2:$Q$738,15,0)</f>
        <v>MX4000002R0001820</v>
      </c>
    </row>
    <row r="223" spans="1:4" ht="13.2">
      <c r="A223" s="5">
        <v>1383</v>
      </c>
      <c r="B223" s="10">
        <v>45609</v>
      </c>
      <c r="C223" s="9" t="str">
        <f>Покупатели!C213</f>
        <v>Балташев</v>
      </c>
      <c r="D223" s="8" t="str">
        <f>VLOOKUP(C223,Покупатели!$C$2:$Q$738,15,0)</f>
        <v>MX4000002P0001444</v>
      </c>
    </row>
    <row r="224" spans="1:4" ht="13.2">
      <c r="A224" s="5">
        <v>1384</v>
      </c>
      <c r="B224" s="10">
        <v>45610</v>
      </c>
      <c r="C224" s="9" t="str">
        <f>Покупатели!C214</f>
        <v>Ашимова</v>
      </c>
      <c r="D224" s="8" t="str">
        <f>VLOOKUP(C224,Покупатели!$C$2:$Q$738,15,0)</f>
        <v>MX4000002R0001837</v>
      </c>
    </row>
    <row r="225" spans="1:4" ht="13.2">
      <c r="A225" s="5">
        <v>1385</v>
      </c>
      <c r="B225" s="10">
        <v>45612</v>
      </c>
      <c r="C225" s="9" t="str">
        <f>Покупатели!C215</f>
        <v>Березовский</v>
      </c>
      <c r="D225" s="8" t="str">
        <f>VLOOKUP(C225,Покупатели!$C$2:$Q$738,15,0)</f>
        <v>MX4000002R0001790</v>
      </c>
    </row>
    <row r="226" spans="1:4" ht="13.2">
      <c r="A226" s="5">
        <v>1386</v>
      </c>
      <c r="B226" s="10">
        <v>45612</v>
      </c>
      <c r="C226" s="9" t="str">
        <f>Покупатели!C216</f>
        <v>Патыхов</v>
      </c>
      <c r="D226" s="8" t="str">
        <f>VLOOKUP(C226,Покупатели!$C$2:$Q$738,15,0)</f>
        <v>MX4000002P0001425</v>
      </c>
    </row>
    <row r="227" spans="1:4" ht="13.2">
      <c r="A227" s="5">
        <v>1387</v>
      </c>
      <c r="B227" s="10">
        <v>45615</v>
      </c>
      <c r="C227" s="9" t="s">
        <v>14</v>
      </c>
      <c r="D227" s="8" t="s">
        <v>15</v>
      </c>
    </row>
    <row r="228" spans="1:4" ht="13.2">
      <c r="A228" s="5">
        <v>1388</v>
      </c>
      <c r="B228" s="10">
        <v>45615</v>
      </c>
      <c r="C228" s="11" t="s">
        <v>14</v>
      </c>
      <c r="D228" s="8" t="s">
        <v>16</v>
      </c>
    </row>
    <row r="229" spans="1:4" ht="13.2">
      <c r="A229" s="5">
        <v>1389</v>
      </c>
      <c r="B229" s="10">
        <v>45615</v>
      </c>
      <c r="C229" s="9" t="s">
        <v>14</v>
      </c>
      <c r="D229" s="8" t="s">
        <v>17</v>
      </c>
    </row>
    <row r="230" spans="1:4" ht="13.2">
      <c r="A230" s="5">
        <v>1390</v>
      </c>
      <c r="B230" s="10">
        <v>45615</v>
      </c>
      <c r="C230" s="11" t="s">
        <v>14</v>
      </c>
      <c r="D230" s="8" t="s">
        <v>18</v>
      </c>
    </row>
    <row r="231" spans="1:4" ht="13.2">
      <c r="A231" s="5">
        <v>1391</v>
      </c>
      <c r="B231" s="10">
        <v>45616</v>
      </c>
      <c r="C231" s="11" t="str">
        <f>Покупатели!C217</f>
        <v>Носов</v>
      </c>
      <c r="D231" s="8" t="s">
        <v>19</v>
      </c>
    </row>
    <row r="232" spans="1:4" ht="18.75" customHeight="1">
      <c r="A232" s="5">
        <v>1392</v>
      </c>
      <c r="B232" s="10">
        <v>45617</v>
      </c>
      <c r="C232" s="11" t="s">
        <v>20</v>
      </c>
      <c r="D232" s="11" t="s">
        <v>21</v>
      </c>
    </row>
    <row r="233" spans="1:4" ht="13.2">
      <c r="A233" s="12">
        <v>1392</v>
      </c>
      <c r="B233" s="10">
        <v>45617</v>
      </c>
      <c r="C233" s="11" t="s">
        <v>20</v>
      </c>
      <c r="D233" s="11" t="s">
        <v>22</v>
      </c>
    </row>
    <row r="234" spans="1:4" ht="13.2">
      <c r="A234" s="12">
        <v>1392</v>
      </c>
      <c r="B234" s="10">
        <v>45617</v>
      </c>
      <c r="C234" s="11" t="s">
        <v>20</v>
      </c>
      <c r="D234" s="11" t="s">
        <v>23</v>
      </c>
    </row>
    <row r="235" spans="1:4" ht="13.2">
      <c r="A235" s="12">
        <v>1392</v>
      </c>
      <c r="B235" s="10">
        <v>45617</v>
      </c>
      <c r="C235" s="11" t="s">
        <v>20</v>
      </c>
      <c r="D235" s="11" t="s">
        <v>24</v>
      </c>
    </row>
    <row r="236" spans="1:4" ht="13.2">
      <c r="A236" s="12">
        <v>1392</v>
      </c>
      <c r="B236" s="10">
        <v>45617</v>
      </c>
      <c r="C236" s="11" t="s">
        <v>20</v>
      </c>
      <c r="D236" s="11" t="s">
        <v>25</v>
      </c>
    </row>
    <row r="237" spans="1:4" ht="13.2">
      <c r="A237" s="12">
        <v>1392</v>
      </c>
      <c r="B237" s="10">
        <v>45617</v>
      </c>
      <c r="C237" s="11" t="s">
        <v>20</v>
      </c>
      <c r="D237" s="11" t="s">
        <v>26</v>
      </c>
    </row>
    <row r="238" spans="1:4" ht="13.2">
      <c r="A238" s="12">
        <v>1392</v>
      </c>
      <c r="B238" s="10">
        <v>45617</v>
      </c>
      <c r="C238" s="11" t="s">
        <v>20</v>
      </c>
      <c r="D238" s="11" t="s">
        <v>27</v>
      </c>
    </row>
    <row r="239" spans="1:4" ht="13.2">
      <c r="A239" s="12">
        <v>1393</v>
      </c>
      <c r="B239" s="10">
        <v>45617</v>
      </c>
      <c r="C239" s="13" t="str">
        <f>Покупатели!C218</f>
        <v>Байкулаков</v>
      </c>
      <c r="D239" s="8" t="s">
        <v>28</v>
      </c>
    </row>
    <row r="240" spans="1:4" ht="13.2">
      <c r="A240" s="12">
        <v>1394</v>
      </c>
      <c r="B240" s="10">
        <v>45618</v>
      </c>
      <c r="C240" s="11" t="s">
        <v>29</v>
      </c>
      <c r="D240" s="8" t="s">
        <v>30</v>
      </c>
    </row>
    <row r="241" spans="1:4" ht="13.2">
      <c r="A241" s="12">
        <v>1395</v>
      </c>
      <c r="B241" s="10">
        <v>45618</v>
      </c>
      <c r="C241" s="13" t="str">
        <f>'юр лица'!C9</f>
        <v>Куаныш</v>
      </c>
      <c r="D241" s="14" t="s">
        <v>31</v>
      </c>
    </row>
    <row r="242" spans="1:4" ht="13.2">
      <c r="A242" s="12">
        <v>1396</v>
      </c>
      <c r="B242" s="10">
        <v>45625</v>
      </c>
      <c r="C242" s="13" t="str">
        <f>Покупатели!C219</f>
        <v xml:space="preserve">Каменев </v>
      </c>
      <c r="D242" s="8" t="str">
        <f>VLOOKUP(C242,Покупатели!$C$2:$Q$738,15,0)</f>
        <v>MX4000004R0001863</v>
      </c>
    </row>
    <row r="243" spans="1:4" ht="13.2">
      <c r="A243" s="12">
        <v>1397</v>
      </c>
      <c r="B243" s="10">
        <v>45625</v>
      </c>
      <c r="C243" s="11" t="str">
        <f>Покупатели!C220</f>
        <v>Джамалиев1</v>
      </c>
      <c r="D243" s="8" t="str">
        <f>VLOOKUP(C243,Покупатели!$C$2:$Q$738,15,0)</f>
        <v>MX4000002R0001867</v>
      </c>
    </row>
    <row r="244" spans="1:4" ht="13.2">
      <c r="A244" s="12">
        <v>1398</v>
      </c>
      <c r="B244" s="10">
        <v>45625</v>
      </c>
      <c r="C244" s="11" t="str">
        <f>Покупатели!C221</f>
        <v>Ахметалиев</v>
      </c>
      <c r="D244" s="8" t="str">
        <f>VLOOKUP(C244,Покупатели!$C$2:$Q$738,15,0)</f>
        <v>MX4000002R0001844</v>
      </c>
    </row>
    <row r="245" spans="1:4" ht="13.2">
      <c r="A245" s="12">
        <v>1399</v>
      </c>
      <c r="B245" s="10">
        <v>45626</v>
      </c>
      <c r="C245" s="11" t="str">
        <f>Покупатели!C222</f>
        <v>Нурсултан1</v>
      </c>
      <c r="D245" s="8" t="str">
        <f>VLOOKUP(C245,Покупатели!$C$2:$Q$738,15,0)</f>
        <v>MX4000002R0001876</v>
      </c>
    </row>
    <row r="246" spans="1:4" ht="13.2">
      <c r="A246" s="12">
        <v>1400</v>
      </c>
      <c r="B246" s="10">
        <v>45626</v>
      </c>
      <c r="C246" s="11" t="str">
        <f>Покупатели!C223</f>
        <v>Тілеуберді</v>
      </c>
      <c r="D246" s="8" t="str">
        <f>VLOOKUP(C246,Покупатели!$C$2:$Q$738,15,0)</f>
        <v>MX4000002R0001616</v>
      </c>
    </row>
    <row r="247" spans="1:4" ht="13.2">
      <c r="A247" s="12">
        <v>1401</v>
      </c>
      <c r="B247" s="10">
        <v>45663</v>
      </c>
      <c r="C247" s="11" t="str">
        <f>Покупатели!C224</f>
        <v>Хамза-Оглы</v>
      </c>
      <c r="D247" s="8" t="str">
        <f>VLOOKUP(C247,Покупатели!$C$2:$Q$738,15,0)</f>
        <v>MX4000002R0001827</v>
      </c>
    </row>
    <row r="248" spans="1:4" ht="13.2">
      <c r="A248" s="12">
        <v>1402</v>
      </c>
      <c r="B248" s="10">
        <v>45632</v>
      </c>
      <c r="C248" s="11" t="str">
        <f>Покупатели!C225</f>
        <v>Борантаев</v>
      </c>
      <c r="D248" s="8" t="str">
        <f>VLOOKUP(C248,Покупатели!$C$2:$Q$738,15,0)</f>
        <v>MX4000002R0001856</v>
      </c>
    </row>
    <row r="249" spans="1:4" ht="13.2">
      <c r="A249" s="12">
        <v>1403</v>
      </c>
      <c r="B249" s="10">
        <v>45635</v>
      </c>
      <c r="C249" s="11" t="str">
        <f>Покупатели!C226</f>
        <v>Калустов</v>
      </c>
      <c r="D249" s="8" t="str">
        <f>VLOOKUP(C249,Покупатели!$C$2:$Q$738,15,0)</f>
        <v>MX4000002R0001830</v>
      </c>
    </row>
    <row r="250" spans="1:4" ht="13.2">
      <c r="A250" s="12">
        <v>1404</v>
      </c>
      <c r="B250" s="10">
        <v>45638</v>
      </c>
      <c r="C250" s="11" t="str">
        <f>Покупатели!C227</f>
        <v>Инчиждай</v>
      </c>
      <c r="D250" s="8" t="str">
        <f>VLOOKUP(C250,Покупатели!$C$2:$Q$738,15,0)</f>
        <v>MX4000002R0001812</v>
      </c>
    </row>
    <row r="251" spans="1:4" ht="13.2">
      <c r="A251" s="12">
        <v>1405</v>
      </c>
      <c r="B251" s="10">
        <v>45638</v>
      </c>
      <c r="C251" s="11" t="str">
        <f>Покупатели!C228</f>
        <v>Арыстанбекова</v>
      </c>
      <c r="D251" s="8" t="str">
        <f>VLOOKUP(C251,Покупатели!$C$2:$Q$738,15,0)</f>
        <v>MX4000002R0001612</v>
      </c>
    </row>
    <row r="252" spans="1:4" ht="13.2">
      <c r="A252" s="12">
        <v>1406</v>
      </c>
      <c r="B252" s="10">
        <v>45638</v>
      </c>
      <c r="C252" s="13" t="str">
        <f>'юр лица'!C10</f>
        <v>"СК ТехноСтройСеть"</v>
      </c>
      <c r="D252" s="11" t="s">
        <v>32</v>
      </c>
    </row>
    <row r="253" spans="1:4" ht="13.2">
      <c r="A253" s="12">
        <v>1407</v>
      </c>
      <c r="B253" s="10">
        <v>45644</v>
      </c>
      <c r="C253" s="13" t="str">
        <f>Покупатели!C229</f>
        <v>Ковалев</v>
      </c>
      <c r="D253" s="8" t="str">
        <f>VLOOKUP(C253,Покупатели!$C$2:$Q$738,15,0)</f>
        <v>MX4000002R0001822</v>
      </c>
    </row>
    <row r="254" spans="1:4" ht="13.2">
      <c r="A254" s="12">
        <v>1409</v>
      </c>
      <c r="B254" s="10">
        <v>45653</v>
      </c>
      <c r="C254" s="13" t="str">
        <f>Покупатели!C231</f>
        <v>Ислямова</v>
      </c>
      <c r="D254" s="8" t="str">
        <f>VLOOKUP(C254,Покупатели!$C$2:$Q$738,15,0)</f>
        <v>MX4000002R0001838</v>
      </c>
    </row>
    <row r="255" spans="1:4" ht="13.2">
      <c r="A255" s="12">
        <v>1410</v>
      </c>
      <c r="B255" s="10">
        <v>45663</v>
      </c>
      <c r="C255" s="13" t="str">
        <f>Покупатели!C232</f>
        <v>Айтуев</v>
      </c>
      <c r="D255" s="8" t="str">
        <f>VLOOKUP(C255,Покупатели!$C$2:$Q$738,15,0)</f>
        <v>MX4000002R0001620</v>
      </c>
    </row>
    <row r="256" spans="1:4" ht="13.2">
      <c r="A256" s="12">
        <v>1411</v>
      </c>
      <c r="B256" s="10">
        <v>45666</v>
      </c>
      <c r="C256" s="13" t="str">
        <f>Покупатели!C233</f>
        <v>Алгазин</v>
      </c>
      <c r="D256" s="8" t="str">
        <f>VLOOKUP(C256,Покупатели!$C$2:$Q$738,15,0)</f>
        <v>MX4000002R0001831</v>
      </c>
    </row>
    <row r="257" spans="1:4" ht="13.2">
      <c r="A257" s="12">
        <v>1412</v>
      </c>
      <c r="B257" s="10">
        <v>45666</v>
      </c>
      <c r="C257" s="13" t="str">
        <f>Покупатели!C234</f>
        <v>Кәтіш</v>
      </c>
      <c r="D257" s="8" t="str">
        <f>VLOOKUP(C257,Покупатели!$C$2:$Q$738,15,0)</f>
        <v>MX4000004R0001819</v>
      </c>
    </row>
    <row r="258" spans="1:4" ht="13.2">
      <c r="A258" s="12">
        <v>1413</v>
      </c>
      <c r="B258" s="10">
        <v>45668</v>
      </c>
      <c r="C258" s="13" t="str">
        <f>Покупатели!C235</f>
        <v>Байсалбеков</v>
      </c>
      <c r="D258" s="8" t="str">
        <f>VLOOKUP(C258,Покупатели!$C$2:$Q$738,15,0)</f>
        <v>MX4000002R0001829</v>
      </c>
    </row>
    <row r="259" spans="1:4" ht="13.2">
      <c r="A259" s="12">
        <v>1414</v>
      </c>
      <c r="B259" s="10">
        <v>45670</v>
      </c>
      <c r="C259" s="13" t="str">
        <f>Покупатели!C236</f>
        <v>Доскаев</v>
      </c>
      <c r="D259" s="8" t="str">
        <f>VLOOKUP(C259,Покупатели!$C$2:$Q$738,15,0)</f>
        <v>MX4000002R0001768</v>
      </c>
    </row>
    <row r="260" spans="1:4" ht="13.2">
      <c r="A260" s="12">
        <v>1415</v>
      </c>
      <c r="B260" s="10">
        <v>45670</v>
      </c>
      <c r="C260" s="13" t="str">
        <f>Покупатели!C237</f>
        <v>Пархатов</v>
      </c>
      <c r="D260" s="8" t="str">
        <f>VLOOKUP(C260,Покупатели!$C$2:$Q$738,15,0)</f>
        <v>MX4000002R0001630</v>
      </c>
    </row>
    <row r="261" spans="1:4" ht="13.2">
      <c r="A261" s="12">
        <v>1416</v>
      </c>
      <c r="B261" s="10">
        <v>45673</v>
      </c>
      <c r="C261" s="13" t="str">
        <f>Покупатели!C238</f>
        <v>Бангерт</v>
      </c>
      <c r="D261" s="8" t="str">
        <f>VLOOKUP(C261,Покупатели!$C$2:$Q$738,15,0)</f>
        <v>MX4000002R0001933</v>
      </c>
    </row>
    <row r="262" spans="1:4" ht="13.2">
      <c r="A262" s="12">
        <v>1417</v>
      </c>
      <c r="B262" s="10">
        <v>45675</v>
      </c>
      <c r="C262" s="13" t="str">
        <f>Покупатели!C239</f>
        <v>Михальцов</v>
      </c>
      <c r="D262" s="8" t="str">
        <f>VLOOKUP(C262,Покупатели!$C$2:$Q$738,15,0)</f>
        <v>MX4000002R0001877</v>
      </c>
    </row>
    <row r="263" spans="1:4" ht="13.2">
      <c r="A263" s="12">
        <v>1418</v>
      </c>
      <c r="B263" s="10">
        <v>45676</v>
      </c>
      <c r="C263" s="13" t="str">
        <f>Покупатели!C240</f>
        <v>Сайдалин</v>
      </c>
      <c r="D263" s="8" t="str">
        <f>VLOOKUP(C263,Покупатели!$C$2:$Q$738,15,0)</f>
        <v>MX4000002R0001906</v>
      </c>
    </row>
    <row r="264" spans="1:4" ht="13.2">
      <c r="A264" s="12">
        <v>1419</v>
      </c>
      <c r="B264" s="10">
        <v>45684</v>
      </c>
      <c r="C264" s="13" t="str">
        <f>Покупатели!C241</f>
        <v>Аскаров</v>
      </c>
      <c r="D264" s="8" t="str">
        <f>VLOOKUP(C264,Покупатели!$C$2:$Q$738,15,0)</f>
        <v>MX4000002S0001950</v>
      </c>
    </row>
    <row r="265" spans="1:4" ht="13.2">
      <c r="A265" s="12">
        <v>1420</v>
      </c>
      <c r="B265" s="10">
        <v>45684</v>
      </c>
      <c r="C265" s="13" t="str">
        <f>Покупатели!C242</f>
        <v>Болганбеков</v>
      </c>
      <c r="D265" s="8" t="str">
        <f>VLOOKUP(C265,Покупатели!$C$2:$Q$738,15,0)</f>
        <v>MX4000002R0001645</v>
      </c>
    </row>
    <row r="266" spans="1:4" ht="13.2">
      <c r="A266" s="12">
        <v>1421</v>
      </c>
      <c r="B266" s="10">
        <v>45685</v>
      </c>
      <c r="C266" s="13" t="str">
        <f>Покупатели!C243</f>
        <v>Вишняк</v>
      </c>
      <c r="D266" s="8" t="str">
        <f>VLOOKUP(C266,Покупатели!$C$2:$Q$738,15,0)</f>
        <v>MX4000002R0001936</v>
      </c>
    </row>
    <row r="267" spans="1:4" ht="13.2">
      <c r="A267" s="12">
        <v>1422</v>
      </c>
      <c r="B267" s="10">
        <v>45685</v>
      </c>
      <c r="C267" s="13" t="str">
        <f>Покупатели!C244</f>
        <v>Тихонюк</v>
      </c>
      <c r="D267" s="8" t="str">
        <f>VLOOKUP(C267,Покупатели!$C$2:$Q$738,15,0)</f>
        <v>MX4000002S0001952</v>
      </c>
    </row>
    <row r="268" spans="1:4" ht="13.2">
      <c r="A268" s="12">
        <v>1423</v>
      </c>
      <c r="B268" s="10">
        <v>45686</v>
      </c>
      <c r="C268" s="13" t="str">
        <f>Покупатели!C245</f>
        <v>Смагулов</v>
      </c>
      <c r="D268" s="8" t="str">
        <f>VLOOKUP(C268,Покупатели!$C$2:$Q$738,15,0)</f>
        <v>MX4000002S0001953</v>
      </c>
    </row>
    <row r="269" spans="1:4" ht="13.2">
      <c r="A269" s="12">
        <v>1424</v>
      </c>
      <c r="B269" s="10">
        <v>45686</v>
      </c>
      <c r="C269" s="13" t="str">
        <f>Покупатели!C246</f>
        <v>Галиев</v>
      </c>
      <c r="D269" s="8" t="str">
        <f>VLOOKUP(C269,Покупатели!$C$2:$Q$738,15,0)</f>
        <v>MX4000002R0001878</v>
      </c>
    </row>
    <row r="270" spans="1:4" ht="13.2">
      <c r="A270" s="12">
        <v>1425</v>
      </c>
      <c r="B270" s="10">
        <v>45687</v>
      </c>
      <c r="C270" s="13" t="str">
        <f>Покупатели!C247</f>
        <v>Ченгелбаев</v>
      </c>
      <c r="D270" s="8" t="str">
        <f>VLOOKUP(C270,Покупатели!$C$2:$Q$738,15,0)</f>
        <v>MX4000002R0001600</v>
      </c>
    </row>
    <row r="271" spans="1:4" ht="13.2">
      <c r="A271" s="12">
        <v>1426</v>
      </c>
      <c r="B271" s="10">
        <v>45691</v>
      </c>
      <c r="C271" s="13" t="str">
        <f>Покупатели!C248</f>
        <v>Калмуратов</v>
      </c>
      <c r="D271" s="8" t="str">
        <f>VLOOKUP(C271,Покупатели!$C$2:$Q$738,15,0)</f>
        <v>MX4000002R0001644</v>
      </c>
    </row>
    <row r="272" spans="1:4" ht="13.2">
      <c r="A272" s="12">
        <v>1427</v>
      </c>
      <c r="B272" s="10">
        <v>45693</v>
      </c>
      <c r="C272" s="13" t="str">
        <f>Покупатели!C249</f>
        <v>Нұрболат</v>
      </c>
      <c r="D272" s="8" t="str">
        <f>VLOOKUP(C272,Покупатели!$C$2:$Q$738,15,0)</f>
        <v>MX4000002R0001852</v>
      </c>
    </row>
    <row r="273" spans="1:4" ht="13.2">
      <c r="A273" s="12">
        <v>1428</v>
      </c>
      <c r="B273" s="10">
        <v>45693</v>
      </c>
      <c r="C273" s="13" t="str">
        <f>Покупатели!C250</f>
        <v>Павленко</v>
      </c>
      <c r="D273" s="8" t="str">
        <f>VLOOKUP(C273,Покупатели!$C$2:$Q$738,15,0)</f>
        <v>MX4000002S0001959</v>
      </c>
    </row>
    <row r="274" spans="1:4" ht="13.2">
      <c r="A274" s="12">
        <v>1429</v>
      </c>
      <c r="B274" s="10">
        <v>45694</v>
      </c>
      <c r="C274" s="13" t="str">
        <f>Покупатели!C251</f>
        <v>Михеев</v>
      </c>
      <c r="D274" s="8" t="str">
        <f>VLOOKUP(C274,Покупатели!$C$2:$Q$738,15,0)</f>
        <v>MX4000002R0001823</v>
      </c>
    </row>
    <row r="275" spans="1:4" ht="13.2">
      <c r="A275" s="12">
        <v>1430</v>
      </c>
      <c r="B275" s="10">
        <v>45696</v>
      </c>
      <c r="C275" s="13" t="str">
        <f>Покупатели!C252</f>
        <v>Казакбаев</v>
      </c>
      <c r="D275" s="8" t="str">
        <f>VLOOKUP(C275,Покупатели!$C$2:$Q$738,15,0)</f>
        <v>MX4000002R0001853</v>
      </c>
    </row>
    <row r="276" spans="1:4" ht="13.2">
      <c r="A276" s="12">
        <v>1431</v>
      </c>
      <c r="B276" s="10">
        <v>45697</v>
      </c>
      <c r="C276" s="13" t="str">
        <f>Покупатели!C253</f>
        <v>Тохтибакиев</v>
      </c>
      <c r="D276" s="8" t="str">
        <f>VLOOKUP(C276,Покупатели!$C$2:$Q$738,15,0)</f>
        <v>MX4000002R0001797</v>
      </c>
    </row>
    <row r="277" spans="1:4" ht="13.2">
      <c r="A277" s="12">
        <v>1432</v>
      </c>
      <c r="B277" s="10">
        <v>45698</v>
      </c>
      <c r="C277" s="13" t="str">
        <f>Покупатели!C254</f>
        <v>Усембаев</v>
      </c>
      <c r="D277" s="8" t="str">
        <f>VLOOKUP(C277,Покупатели!$C$2:$Q$738,15,0)</f>
        <v>MX4000002S0001958</v>
      </c>
    </row>
    <row r="278" spans="1:4" ht="13.2">
      <c r="A278" s="12">
        <v>1433</v>
      </c>
      <c r="B278" s="10">
        <v>45700</v>
      </c>
      <c r="C278" s="13" t="str">
        <f>Покупатели!C255</f>
        <v>Арыстанбеков</v>
      </c>
      <c r="D278" s="8" t="str">
        <f>VLOOKUP(C278,Покупатели!$C$2:$Q$738,15,0)</f>
        <v>MX4000002R0001795</v>
      </c>
    </row>
    <row r="279" spans="1:4" ht="13.2">
      <c r="A279" s="12">
        <v>1434</v>
      </c>
      <c r="B279" s="10">
        <v>45700</v>
      </c>
      <c r="C279" s="13" t="str">
        <f>Покупатели!C256</f>
        <v xml:space="preserve">Дереченник </v>
      </c>
      <c r="D279" s="8" t="str">
        <f>VLOOKUP(C279,Покупатели!$C$2:$Q$738,15,0)</f>
        <v>MX4000002R0001973</v>
      </c>
    </row>
    <row r="280" spans="1:4" ht="13.2">
      <c r="A280" s="12">
        <v>1435</v>
      </c>
      <c r="B280" s="10">
        <v>45700</v>
      </c>
      <c r="C280" s="13" t="str">
        <f>Покупатели!C257</f>
        <v>Олатаев</v>
      </c>
      <c r="D280" s="8" t="str">
        <f>VLOOKUP(C280,Покупатели!$C$2:$Q$738,15,0)</f>
        <v>MX4000002R0001828</v>
      </c>
    </row>
    <row r="281" spans="1:4" ht="13.2">
      <c r="A281" s="12">
        <v>1436</v>
      </c>
      <c r="B281" s="10">
        <v>45701</v>
      </c>
      <c r="C281" s="13" t="str">
        <f>Покупатели!C258</f>
        <v>Даадай</v>
      </c>
      <c r="D281" s="8" t="str">
        <f>VLOOKUP(C281,Покупатели!$C$2:$Q$738,15,0)</f>
        <v>MX4000002S0001970</v>
      </c>
    </row>
    <row r="282" spans="1:4" ht="13.2">
      <c r="A282" s="12">
        <v>1437</v>
      </c>
      <c r="B282" s="10">
        <v>45702</v>
      </c>
      <c r="C282" s="13" t="str">
        <f>Покупатели!C259</f>
        <v>Важинский</v>
      </c>
      <c r="D282" s="8" t="str">
        <f>VLOOKUP(C282,Покупатели!$C$2:$Q$738,15,0)</f>
        <v>MX4000002R0001649</v>
      </c>
    </row>
    <row r="283" spans="1:4" ht="13.2">
      <c r="A283" s="12">
        <v>1438</v>
      </c>
      <c r="B283" s="10">
        <v>45702</v>
      </c>
      <c r="C283" s="13" t="str">
        <f>Покупатели!C260</f>
        <v>Меирманов</v>
      </c>
      <c r="D283" s="8" t="str">
        <f>VLOOKUP(C283,Покупатели!$C$2:$Q$738,15,0)</f>
        <v>MX4000002R0001466</v>
      </c>
    </row>
    <row r="284" spans="1:4" ht="13.2">
      <c r="A284" s="12">
        <v>1439</v>
      </c>
      <c r="B284" s="10">
        <v>45702</v>
      </c>
      <c r="C284" s="13" t="str">
        <f>Покупатели!C261</f>
        <v>Гарас</v>
      </c>
      <c r="D284" s="8" t="str">
        <f>VLOOKUP(C284,Покупатели!$C$2:$Q$738,15,0)</f>
        <v>MX4000002S0001998</v>
      </c>
    </row>
    <row r="285" spans="1:4" ht="13.2">
      <c r="A285" s="12">
        <v>1440</v>
      </c>
      <c r="B285" s="10">
        <v>45703</v>
      </c>
      <c r="C285" s="13" t="str">
        <f>Покупатели!C262</f>
        <v>Жұқан</v>
      </c>
      <c r="D285" s="8" t="str">
        <f>VLOOKUP(C285,Покупатели!$C$2:$Q$738,15,0)</f>
        <v>MX4000002S0001971</v>
      </c>
    </row>
    <row r="286" spans="1:4" ht="13.2">
      <c r="A286" s="12">
        <v>1441</v>
      </c>
      <c r="B286" s="10">
        <v>45703</v>
      </c>
      <c r="C286" s="13" t="str">
        <f>Покупатели!C263</f>
        <v>Толеуов</v>
      </c>
      <c r="D286" s="8" t="str">
        <f>VLOOKUP(C286,Покупатели!$C$2:$Q$738,15,0)</f>
        <v>MX4000002S0001974</v>
      </c>
    </row>
    <row r="287" spans="1:4" ht="13.2">
      <c r="A287" s="12">
        <v>1442</v>
      </c>
      <c r="B287" s="10">
        <v>45705</v>
      </c>
      <c r="C287" s="13" t="str">
        <f>Покупатели!C264</f>
        <v>Косоногов</v>
      </c>
      <c r="D287" s="8" t="str">
        <f>VLOOKUP(C287,Покупатели!$C$2:$Q$738,15,0)</f>
        <v>MX4000002R0001904</v>
      </c>
    </row>
    <row r="288" spans="1:4" ht="13.2">
      <c r="A288" s="12">
        <v>1443</v>
      </c>
      <c r="B288" s="10">
        <v>45705</v>
      </c>
      <c r="C288" s="13" t="str">
        <f>Покупатели!C265</f>
        <v>Бич</v>
      </c>
      <c r="D288" s="8" t="str">
        <f>VLOOKUP(C288,Покупатели!$C$2:$Q$738,15,0)</f>
        <v>MX4000002S0002000</v>
      </c>
    </row>
    <row r="289" spans="1:4" ht="13.2">
      <c r="A289" s="12">
        <v>1444</v>
      </c>
      <c r="B289" s="10">
        <v>45705</v>
      </c>
      <c r="C289" s="13" t="str">
        <f>Покупатели!C266</f>
        <v>Лащенов</v>
      </c>
      <c r="D289" s="8" t="str">
        <f>VLOOKUP(C289,Покупатели!$C$2:$Q$738,15,0)</f>
        <v>MX4000002S0002001</v>
      </c>
    </row>
    <row r="290" spans="1:4" ht="13.2">
      <c r="A290" s="12">
        <v>1445</v>
      </c>
      <c r="B290" s="10">
        <v>45705</v>
      </c>
      <c r="C290" s="13" t="str">
        <f>Покупатели!C267</f>
        <v>Жарыкбаев</v>
      </c>
      <c r="D290" s="8" t="str">
        <f>VLOOKUP(C290,Покупатели!$C$2:$Q$738,15,0)</f>
        <v>MX4000002S0001999</v>
      </c>
    </row>
    <row r="291" spans="1:4" ht="13.2">
      <c r="A291" s="12">
        <v>1446</v>
      </c>
      <c r="B291" s="10">
        <v>45706</v>
      </c>
      <c r="C291" s="13" t="str">
        <f>Покупатели!C268</f>
        <v>Литовко</v>
      </c>
      <c r="D291" s="8" t="str">
        <f>VLOOKUP(C291,Покупатели!$C$2:$Q$738,15,0)</f>
        <v>MX4000002S0001975</v>
      </c>
    </row>
    <row r="292" spans="1:4" ht="13.2">
      <c r="A292" s="12">
        <v>1447</v>
      </c>
      <c r="B292" s="10">
        <v>45706</v>
      </c>
      <c r="C292" s="13" t="str">
        <f>Покупатели!C269</f>
        <v>Бергер</v>
      </c>
      <c r="D292" s="8" t="str">
        <f>VLOOKUP(C292,Покупатели!$C$2:$Q$738,15,0)</f>
        <v>MX4000002S0002002</v>
      </c>
    </row>
    <row r="293" spans="1:4" ht="13.2">
      <c r="A293" s="12">
        <v>1448</v>
      </c>
      <c r="B293" s="10">
        <v>45706</v>
      </c>
      <c r="C293" s="13" t="str">
        <f>Покупатели!C270</f>
        <v>Тилейхан</v>
      </c>
      <c r="D293" s="8" t="str">
        <f>VLOOKUP(C293,Покупатели!$C$2:$Q$738,15,0)</f>
        <v>MX4000002S0002005</v>
      </c>
    </row>
    <row r="294" spans="1:4" ht="13.2">
      <c r="A294" s="12">
        <v>1449</v>
      </c>
      <c r="B294" s="10">
        <v>45706</v>
      </c>
      <c r="C294" s="13" t="str">
        <f>Покупатели!C271</f>
        <v>Абдуахитова</v>
      </c>
      <c r="D294" s="8" t="str">
        <f>VLOOKUP(C294,Покупатели!$C$2:$Q$738,15,0)</f>
        <v>MX4000002S0002004</v>
      </c>
    </row>
    <row r="295" spans="1:4" ht="13.2">
      <c r="A295" s="12">
        <v>1450</v>
      </c>
      <c r="B295" s="10">
        <v>45707</v>
      </c>
      <c r="C295" s="13" t="str">
        <f>Покупатели!C272</f>
        <v>Миллер1</v>
      </c>
      <c r="D295" s="8" t="str">
        <f>VLOOKUP(C295,Покупатели!$C$2:$Q$738,15,0)</f>
        <v>MX4000002S0002006</v>
      </c>
    </row>
    <row r="296" spans="1:4" ht="13.2">
      <c r="A296" s="12">
        <v>1451</v>
      </c>
      <c r="B296" s="10">
        <v>45707</v>
      </c>
      <c r="C296" s="13" t="str">
        <f>Покупатели!C273</f>
        <v>Наушабеков</v>
      </c>
      <c r="D296" s="8" t="str">
        <f>VLOOKUP(C296,Покупатели!$C$2:$Q$738,15,0)</f>
        <v>MX4000002R0001859</v>
      </c>
    </row>
    <row r="297" spans="1:4" ht="13.2">
      <c r="A297" s="12">
        <v>1452</v>
      </c>
      <c r="B297" s="10">
        <v>45707</v>
      </c>
      <c r="C297" s="13" t="str">
        <f>Покупатели!C274</f>
        <v>Сагитов</v>
      </c>
      <c r="D297" s="8" t="str">
        <f>VLOOKUP(C297,Покупатели!$C$2:$Q$738,15,0)</f>
        <v>MX4000002S0001980</v>
      </c>
    </row>
    <row r="298" spans="1:4" ht="13.2">
      <c r="A298" s="12">
        <v>1453</v>
      </c>
      <c r="B298" s="10">
        <v>45708</v>
      </c>
      <c r="C298" s="13" t="str">
        <f>Покупатели!C275</f>
        <v>Абдрахимов</v>
      </c>
      <c r="D298" s="8" t="str">
        <f>VLOOKUP(C298,Покупатели!$C$2:$Q$738,15,0)</f>
        <v>MX4000002R0001854</v>
      </c>
    </row>
    <row r="299" spans="1:4" ht="13.2">
      <c r="A299" s="12">
        <v>1454</v>
      </c>
      <c r="B299" s="10">
        <v>45748</v>
      </c>
      <c r="C299" s="13" t="str">
        <f>Покупатели!C276</f>
        <v>Лесников</v>
      </c>
      <c r="D299" s="8" t="str">
        <f>VLOOKUP(C299,Покупатели!$C$2:$Q$738,15,0)</f>
        <v>MX4000002S0002008</v>
      </c>
    </row>
    <row r="300" spans="1:4" ht="13.2">
      <c r="A300" s="12">
        <v>1455</v>
      </c>
      <c r="B300" s="10">
        <v>45709</v>
      </c>
      <c r="C300" s="13" t="str">
        <f>Покупатели!C277</f>
        <v>Есмагамбетов 1</v>
      </c>
      <c r="D300" s="8" t="str">
        <f>VLOOKUP(C300,Покупатели!$C$2:$Q$738,15,0)</f>
        <v>MX4000002S0001972</v>
      </c>
    </row>
    <row r="301" spans="1:4" ht="13.2">
      <c r="A301" s="12">
        <v>1456</v>
      </c>
      <c r="B301" s="10">
        <v>45710</v>
      </c>
      <c r="C301" s="13" t="str">
        <f>Покупатели!C278</f>
        <v>Кезенбаев</v>
      </c>
      <c r="D301" s="8" t="str">
        <f>VLOOKUP(C301,Покупатели!$C$2:$Q$738,15,0)</f>
        <v>MX4000002S0002009</v>
      </c>
    </row>
    <row r="302" spans="1:4" ht="13.2">
      <c r="A302" s="12">
        <v>1457</v>
      </c>
      <c r="B302" s="10">
        <v>45709</v>
      </c>
      <c r="C302" s="13" t="str">
        <f>Покупатели!C279</f>
        <v>Фурсов</v>
      </c>
      <c r="D302" s="8" t="str">
        <f>VLOOKUP(C302,Покупатели!$C$2:$Q$738,15,0)</f>
        <v>MX4000002R0001724</v>
      </c>
    </row>
    <row r="303" spans="1:4" ht="13.2">
      <c r="A303" s="12">
        <v>1458</v>
      </c>
      <c r="B303" s="10">
        <v>45710</v>
      </c>
      <c r="C303" s="13" t="str">
        <f>Покупатели!C280</f>
        <v>Павликов</v>
      </c>
      <c r="D303" s="8" t="str">
        <f>VLOOKUP(C303,Покупатели!$C$2:$Q$738,15,0)</f>
        <v>MX4000002S0002007</v>
      </c>
    </row>
    <row r="304" spans="1:4" ht="13.2">
      <c r="A304" s="12">
        <v>1459</v>
      </c>
      <c r="B304" s="10">
        <v>45712</v>
      </c>
      <c r="C304" s="13" t="str">
        <f>Покупатели!C281</f>
        <v>Ер-Алиев</v>
      </c>
      <c r="D304" s="8" t="str">
        <f>VLOOKUP(C304,Покупатели!$C$2:$Q$738,15,0)</f>
        <v>MX4000002R0001798</v>
      </c>
    </row>
    <row r="305" spans="1:4" ht="13.2">
      <c r="A305" s="12">
        <v>1460</v>
      </c>
      <c r="B305" s="10">
        <v>45712</v>
      </c>
      <c r="C305" s="13" t="str">
        <f>Покупатели!C282</f>
        <v>Лобаев</v>
      </c>
      <c r="D305" s="8" t="str">
        <f>VLOOKUP(C305,Покупатели!$C$2:$Q$738,15,0)</f>
        <v>MX4000002R0001857</v>
      </c>
    </row>
    <row r="306" spans="1:4" ht="13.2">
      <c r="A306" s="12">
        <v>1461</v>
      </c>
      <c r="B306" s="10">
        <v>45713</v>
      </c>
      <c r="C306" s="13" t="str">
        <f>Покупатели!C283</f>
        <v>Момынбаев</v>
      </c>
      <c r="D306" s="8" t="str">
        <f>VLOOKUP(C306,Покупатели!$C$2:$Q$738,15,0)</f>
        <v>MX4000002S0002010</v>
      </c>
    </row>
    <row r="307" spans="1:4" ht="13.2">
      <c r="A307" s="12">
        <v>1462</v>
      </c>
      <c r="B307" s="10">
        <v>45713</v>
      </c>
      <c r="C307" s="13" t="str">
        <f>Покупатели!C285</f>
        <v>Раисов</v>
      </c>
      <c r="D307" s="8" t="str">
        <f>VLOOKUP(C307,Покупатели!$C$2:$Q$738,15,0)</f>
        <v>MX4000002S0002014</v>
      </c>
    </row>
    <row r="308" spans="1:4" ht="13.2">
      <c r="A308" s="12">
        <v>1463</v>
      </c>
      <c r="B308" s="10">
        <v>45714</v>
      </c>
      <c r="C308" s="13" t="str">
        <f>Покупатели!C284</f>
        <v>Михалев</v>
      </c>
      <c r="D308" s="8" t="str">
        <f>VLOOKUP(C308,Покупатели!$C$2:$Q$738,15,0)</f>
        <v>MX4000002R0001934</v>
      </c>
    </row>
    <row r="309" spans="1:4" ht="13.2">
      <c r="A309" s="12">
        <v>1464</v>
      </c>
      <c r="B309" s="10">
        <v>45714</v>
      </c>
      <c r="C309" s="13" t="str">
        <f>Покупатели!C286</f>
        <v xml:space="preserve">Плехов </v>
      </c>
      <c r="D309" s="8" t="str">
        <f>VLOOKUP(C309,Покупатели!$C$2:$Q$738,15,0)</f>
        <v>MX4000002R0001855</v>
      </c>
    </row>
    <row r="310" spans="1:4" ht="13.2">
      <c r="A310" s="12">
        <v>1465</v>
      </c>
      <c r="B310" s="10">
        <v>45714</v>
      </c>
      <c r="C310" s="13" t="str">
        <f>Покупатели!C287</f>
        <v>Кудайбергенов</v>
      </c>
      <c r="D310" s="8" t="str">
        <f>VLOOKUP(C310,Покупатели!$C$2:$Q$738,15,0)</f>
        <v>MX4000002S0002017</v>
      </c>
    </row>
    <row r="311" spans="1:4" ht="13.2">
      <c r="A311" s="12">
        <v>1466</v>
      </c>
      <c r="B311" s="10">
        <v>45715</v>
      </c>
      <c r="C311" s="13" t="str">
        <f>Покупатели!C288</f>
        <v>Никулин</v>
      </c>
      <c r="D311" s="8" t="str">
        <f>VLOOKUP(C311,Покупатели!$C$2:$Q$738,15,0)</f>
        <v>MX4000002S0002015</v>
      </c>
    </row>
    <row r="312" spans="1:4" ht="13.2">
      <c r="A312" s="12">
        <v>1467</v>
      </c>
      <c r="B312" s="10">
        <v>45715</v>
      </c>
      <c r="C312" s="11" t="s">
        <v>33</v>
      </c>
      <c r="D312" s="11" t="s">
        <v>34</v>
      </c>
    </row>
    <row r="313" spans="1:4" ht="13.2">
      <c r="A313" s="12">
        <v>1468</v>
      </c>
      <c r="B313" s="10">
        <v>45715</v>
      </c>
      <c r="C313" s="13" t="str">
        <f>Покупатели!C289</f>
        <v>Джаппаров</v>
      </c>
      <c r="D313" s="8" t="str">
        <f>VLOOKUP(C313,Покупатели!$C$2:$Q$738,15,0)</f>
        <v>MX4000004R0001791</v>
      </c>
    </row>
    <row r="314" spans="1:4" ht="13.2">
      <c r="A314" s="12">
        <v>1469</v>
      </c>
      <c r="B314" s="10">
        <v>45716</v>
      </c>
      <c r="C314" s="13" t="str">
        <f>Покупатели!C290</f>
        <v>Анисимов</v>
      </c>
      <c r="D314" s="8" t="str">
        <f>VLOOKUP(C314,Покупатели!$C$2:$Q$738,15,0)</f>
        <v>MX4000002S0002021</v>
      </c>
    </row>
    <row r="315" spans="1:4" ht="13.2">
      <c r="A315" s="12">
        <v>1470</v>
      </c>
      <c r="B315" s="10">
        <v>45719</v>
      </c>
      <c r="C315" s="13" t="str">
        <f>Покупатели!C291</f>
        <v>Гусельников</v>
      </c>
      <c r="D315" s="8" t="str">
        <f>VLOOKUP(C315,Покупатели!$C$2:$Q$738,15,0)</f>
        <v>MX4000002S0002025</v>
      </c>
    </row>
    <row r="316" spans="1:4" ht="13.2">
      <c r="A316" s="12">
        <v>1471</v>
      </c>
      <c r="B316" s="10">
        <v>45719</v>
      </c>
      <c r="C316" s="13" t="str">
        <f>Покупатели!C292</f>
        <v>Сакыпов</v>
      </c>
      <c r="D316" s="8" t="str">
        <f>VLOOKUP(C316,Покупатели!$C$2:$Q$738,15,0)</f>
        <v>MX4000002R0001858</v>
      </c>
    </row>
    <row r="317" spans="1:4" ht="13.2">
      <c r="A317" s="12">
        <v>1472</v>
      </c>
      <c r="B317" s="10">
        <v>45719</v>
      </c>
      <c r="C317" s="13" t="str">
        <f>Покупатели!C293</f>
        <v>Утешов</v>
      </c>
      <c r="D317" s="8" t="str">
        <f>VLOOKUP(C317,Покупатели!$C$2:$Q$738,15,0)</f>
        <v>MX4000002S0002012</v>
      </c>
    </row>
    <row r="318" spans="1:4" ht="13.2">
      <c r="A318" s="12">
        <v>1473</v>
      </c>
      <c r="B318" s="10">
        <v>45719</v>
      </c>
      <c r="C318" s="13" t="str">
        <f>Покупатели!C294</f>
        <v>Яковцев</v>
      </c>
      <c r="D318" s="8" t="str">
        <f>VLOOKUP(C318,Покупатели!$C$2:$Q$738,15,0)</f>
        <v>MX4000002R0001598</v>
      </c>
    </row>
    <row r="319" spans="1:4" ht="13.2">
      <c r="A319" s="12">
        <v>1474</v>
      </c>
      <c r="B319" s="10">
        <v>45720</v>
      </c>
      <c r="C319" s="13" t="str">
        <f>Покупатели!C295</f>
        <v>Магзумов 1</v>
      </c>
      <c r="D319" s="8" t="str">
        <f>VLOOKUP(C319,Покупатели!$C$2:$Q$738,15,0)</f>
        <v>MX4000002S0002022</v>
      </c>
    </row>
    <row r="320" spans="1:4" ht="13.2">
      <c r="A320" s="12">
        <v>1475</v>
      </c>
      <c r="B320" s="10">
        <v>45722</v>
      </c>
      <c r="C320" s="13" t="str">
        <f>Покупатели!C296</f>
        <v>Левштанов</v>
      </c>
      <c r="D320" s="8" t="str">
        <f>VLOOKUP(C320,Покупатели!$C$2:$Q$738,15,0)</f>
        <v>MX4000002R0001648</v>
      </c>
    </row>
    <row r="321" spans="1:4" ht="13.2">
      <c r="A321" s="12">
        <v>1476</v>
      </c>
      <c r="B321" s="10">
        <v>45724</v>
      </c>
      <c r="C321" s="13" t="str">
        <f>Покупатели!C297</f>
        <v>Амирбеков</v>
      </c>
      <c r="D321" s="8" t="str">
        <f>VLOOKUP(C321,Покупатели!$C$2:$Q$738,15,0)</f>
        <v>MX4000002R0001869</v>
      </c>
    </row>
    <row r="322" spans="1:4" ht="13.2">
      <c r="A322" s="12">
        <v>1477</v>
      </c>
      <c r="B322" s="10">
        <v>45722</v>
      </c>
      <c r="C322" s="13" t="str">
        <f>Покупатели!C298</f>
        <v>Игнатченко</v>
      </c>
      <c r="D322" s="8" t="str">
        <f>VLOOKUP(C322,Покупатели!$C$2:$Q$738,15,0)</f>
        <v>MX4000002R0001707</v>
      </c>
    </row>
    <row r="323" spans="1:4" ht="13.2">
      <c r="A323" s="12">
        <v>1478</v>
      </c>
      <c r="B323" s="10">
        <v>45723</v>
      </c>
      <c r="C323" s="13" t="str">
        <f>Покупатели!C299</f>
        <v>Магзумов</v>
      </c>
      <c r="D323" s="8" t="str">
        <f>VLOOKUP(C323,Покупатели!$C$2:$Q$738,15,0)</f>
        <v>MX4000002S0002040</v>
      </c>
    </row>
    <row r="324" spans="1:4" ht="13.2">
      <c r="A324" s="12">
        <v>1479</v>
      </c>
      <c r="B324" s="10">
        <v>45727</v>
      </c>
      <c r="C324" s="13" t="str">
        <f>Покупатели!C300</f>
        <v>Чернова2</v>
      </c>
      <c r="D324" s="8" t="str">
        <f>VLOOKUP(C324,Покупатели!$C$2:$Q$738,15,0)</f>
        <v>MX4000004R0001794</v>
      </c>
    </row>
    <row r="325" spans="1:4" ht="13.2">
      <c r="A325" s="12">
        <v>1480</v>
      </c>
      <c r="B325" s="10">
        <v>45727</v>
      </c>
      <c r="C325" s="13" t="str">
        <f>Покупатели!C301</f>
        <v>Нагогин</v>
      </c>
      <c r="D325" s="8" t="str">
        <f>VLOOKUP(C325,Покупатели!$C$2:$Q$738,15,0)</f>
        <v>MX4000002S0002026</v>
      </c>
    </row>
    <row r="326" spans="1:4" ht="13.2">
      <c r="A326" s="12">
        <v>1481</v>
      </c>
      <c r="B326" s="10">
        <v>45727</v>
      </c>
      <c r="C326" s="13" t="str">
        <f>Покупатели!C302</f>
        <v>Лисневский</v>
      </c>
      <c r="D326" s="8" t="str">
        <f>VLOOKUP(C326,Покупатели!$C$2:$Q$738,15,0)</f>
        <v>MX4000002S0002018</v>
      </c>
    </row>
    <row r="327" spans="1:4" ht="13.2">
      <c r="A327" s="12">
        <v>1482</v>
      </c>
      <c r="B327" s="10">
        <v>45727</v>
      </c>
      <c r="C327" s="13" t="str">
        <f>Покупатели!C303</f>
        <v>Сальменов</v>
      </c>
      <c r="D327" s="8" t="str">
        <f>VLOOKUP(C327,Покупатели!$C$2:$Q$738,15,0)</f>
        <v>MX4000002S0002020</v>
      </c>
    </row>
    <row r="328" spans="1:4" ht="13.2">
      <c r="A328" s="12">
        <v>1483</v>
      </c>
      <c r="B328" s="10">
        <v>45727</v>
      </c>
      <c r="C328" s="13" t="str">
        <f>Покупатели!C304</f>
        <v>Шубин</v>
      </c>
      <c r="D328" s="8" t="str">
        <f>VLOOKUP(C328,Покупатели!$C$2:$Q$738,15,0)</f>
        <v>MX4000002R0001601</v>
      </c>
    </row>
    <row r="329" spans="1:4" ht="13.2">
      <c r="A329" s="12">
        <v>1484</v>
      </c>
      <c r="B329" s="10">
        <v>45727</v>
      </c>
      <c r="C329" s="13" t="str">
        <f>Покупатели!C305</f>
        <v>Абанов</v>
      </c>
      <c r="D329" s="8" t="str">
        <f>VLOOKUP(C329,Покупатели!$C$2:$Q$738,15,0)</f>
        <v>MX4000002R0001868</v>
      </c>
    </row>
    <row r="330" spans="1:4" ht="13.2">
      <c r="A330" s="12">
        <v>1485</v>
      </c>
      <c r="B330" s="10">
        <v>45727</v>
      </c>
      <c r="C330" s="13" t="str">
        <f>Покупатели!C306</f>
        <v>Кисловский</v>
      </c>
      <c r="D330" s="8" t="str">
        <f>VLOOKUP(C330,Покупатели!$C$2:$Q$738,15,0)</f>
        <v>MX4000002S0002041</v>
      </c>
    </row>
    <row r="331" spans="1:4" ht="13.2">
      <c r="A331" s="12">
        <v>1486</v>
      </c>
      <c r="B331" s="10">
        <v>45727</v>
      </c>
      <c r="C331" s="13" t="str">
        <f>Покупатели!C307</f>
        <v>Смирнов</v>
      </c>
      <c r="D331" s="8" t="str">
        <f>VLOOKUP(C331,Покупатели!$C$2:$Q$738,15,0)</f>
        <v>MX4000002S0002029</v>
      </c>
    </row>
    <row r="332" spans="1:4" ht="13.2">
      <c r="A332" s="12">
        <v>1487</v>
      </c>
      <c r="B332" s="10">
        <v>45729</v>
      </c>
      <c r="C332" s="13" t="str">
        <f>Покупатели!C308</f>
        <v>Косов</v>
      </c>
      <c r="D332" s="8" t="str">
        <f>VLOOKUP(C332,Покупатели!$C$2:$Q$738,15,0)</f>
        <v>MX4000002R0001875</v>
      </c>
    </row>
    <row r="333" spans="1:4" ht="13.2">
      <c r="A333" s="12">
        <v>1488</v>
      </c>
      <c r="B333" s="10">
        <v>45730</v>
      </c>
      <c r="C333" s="13" t="str">
        <f>Покупатели!C309</f>
        <v xml:space="preserve">Ахматов </v>
      </c>
      <c r="D333" s="8" t="str">
        <f>VLOOKUP(C333,Покупатели!$C$2:$Q$738,15,0)</f>
        <v>MX4000002R0001874</v>
      </c>
    </row>
    <row r="334" spans="1:4" ht="13.2">
      <c r="A334" s="12">
        <v>1489</v>
      </c>
      <c r="B334" s="10">
        <v>45730</v>
      </c>
      <c r="C334" s="13" t="str">
        <f>Покупатели!C310</f>
        <v>Нуралин</v>
      </c>
      <c r="D334" s="8" t="str">
        <f>VLOOKUP(C334,Покупатели!$C$2:$Q$738,15,0)</f>
        <v>MX4000002R0001800</v>
      </c>
    </row>
    <row r="335" spans="1:4" ht="13.2">
      <c r="A335" s="12">
        <v>1490</v>
      </c>
      <c r="B335" s="10">
        <v>45730</v>
      </c>
      <c r="C335" s="13" t="str">
        <f>Покупатели!C311</f>
        <v>Жанысбек</v>
      </c>
      <c r="D335" s="8" t="str">
        <f>VLOOKUP(C335,Покупатели!$C$2:$Q$738,15,0)</f>
        <v>MX4000002S0002003</v>
      </c>
    </row>
    <row r="336" spans="1:4" ht="13.2">
      <c r="A336" s="12">
        <v>1491</v>
      </c>
      <c r="B336" s="10">
        <v>45731</v>
      </c>
      <c r="C336" s="13" t="str">
        <f>Покупатели!C312</f>
        <v>Асанов 3</v>
      </c>
      <c r="D336" s="8" t="str">
        <f>VLOOKUP(C336,Покупатели!$C$2:$Q$738,15,0)</f>
        <v>MX4000002S0002027</v>
      </c>
    </row>
    <row r="337" spans="1:4" ht="13.2">
      <c r="A337" s="12">
        <v>1492</v>
      </c>
      <c r="B337" s="10">
        <v>45733</v>
      </c>
      <c r="C337" s="13" t="str">
        <f>Покупатели!C313</f>
        <v>Еремин</v>
      </c>
      <c r="D337" s="8" t="str">
        <f>VLOOKUP(C337,Покупатели!$C$2:$Q$738,15,0)</f>
        <v>MX4000002R0001808</v>
      </c>
    </row>
    <row r="338" spans="1:4" ht="13.2">
      <c r="A338" s="12">
        <v>1493</v>
      </c>
      <c r="B338" s="10">
        <v>45733</v>
      </c>
      <c r="C338" s="13" t="str">
        <f>Покупатели!C314</f>
        <v>Мадышев</v>
      </c>
      <c r="D338" s="8" t="str">
        <f>VLOOKUP(C338,Покупатели!$C$2:$Q$738,15,0)</f>
        <v>MX4000002S0001886</v>
      </c>
    </row>
    <row r="339" spans="1:4" ht="13.2">
      <c r="A339" s="12">
        <v>1494</v>
      </c>
      <c r="B339" s="10">
        <v>45733</v>
      </c>
      <c r="C339" s="13" t="str">
        <f>Покупатели!C315</f>
        <v>Брумм</v>
      </c>
      <c r="D339" s="8" t="str">
        <f>VLOOKUP(C339,Покупатели!$C$2:$Q$738,15,0)</f>
        <v>MX4000002S0002044</v>
      </c>
    </row>
    <row r="340" spans="1:4" ht="13.2">
      <c r="A340" s="12">
        <v>1495</v>
      </c>
      <c r="B340" s="10">
        <v>45733</v>
      </c>
      <c r="C340" s="13" t="str">
        <f>Покупатели!C316</f>
        <v>Шохыбаева</v>
      </c>
      <c r="D340" s="8" t="str">
        <f>VLOOKUP(C340,Покупатели!$C$2:$Q$738,15,0)</f>
        <v>MX4000002S0001879</v>
      </c>
    </row>
    <row r="341" spans="1:4" ht="13.2">
      <c r="A341" s="12">
        <v>1496</v>
      </c>
      <c r="B341" s="10">
        <v>45733</v>
      </c>
      <c r="C341" s="13" t="str">
        <f>Покупатели!C317</f>
        <v>Кальман</v>
      </c>
      <c r="D341" s="8" t="str">
        <f>VLOOKUP(C341,Покупатели!$C$2:$Q$738,15,0)</f>
        <v>MX4000003S0001955</v>
      </c>
    </row>
    <row r="342" spans="1:4" ht="13.2">
      <c r="A342" s="12">
        <v>1497</v>
      </c>
      <c r="B342" s="10">
        <v>45733</v>
      </c>
      <c r="C342" s="13" t="str">
        <f>Покупатели!C318</f>
        <v>Солонский</v>
      </c>
      <c r="D342" s="8" t="str">
        <f>VLOOKUP(C342,Покупатели!$C$2:$Q$738,15,0)</f>
        <v>MX4000002R0001851</v>
      </c>
    </row>
    <row r="343" spans="1:4" ht="13.2">
      <c r="A343" s="12">
        <v>1498</v>
      </c>
      <c r="B343" s="10">
        <v>45734</v>
      </c>
      <c r="C343" s="13" t="str">
        <f>Покупатели!C319</f>
        <v>Амиров</v>
      </c>
      <c r="D343" s="8" t="str">
        <f>VLOOKUP(C343,Покупатели!$C$2:$Q$738,15,0)</f>
        <v>MX4000002S0002011</v>
      </c>
    </row>
    <row r="344" spans="1:4" ht="13.2">
      <c r="A344" s="12">
        <v>1499</v>
      </c>
      <c r="B344" s="10">
        <v>45734</v>
      </c>
      <c r="C344" s="13" t="str">
        <f>Покупатели!C320</f>
        <v>Досжанов</v>
      </c>
      <c r="D344" s="8" t="str">
        <f>VLOOKUP(C344,Покупатели!$C$2:$Q$738,15,0)</f>
        <v>MX4000002S0001885</v>
      </c>
    </row>
    <row r="345" spans="1:4" ht="13.2">
      <c r="A345" s="12">
        <v>1500</v>
      </c>
      <c r="B345" s="10">
        <v>45734</v>
      </c>
      <c r="C345" s="13" t="str">
        <f>Покупатели!C321</f>
        <v>Ондаш</v>
      </c>
      <c r="D345" s="8" t="str">
        <f>VLOOKUP(C345,Покупатели!$C$2:$Q$738,15,0)</f>
        <v>MX4000002R0001873</v>
      </c>
    </row>
    <row r="346" spans="1:4" ht="13.2">
      <c r="A346" s="12">
        <v>1501</v>
      </c>
      <c r="B346" s="10">
        <v>45735</v>
      </c>
      <c r="C346" s="13" t="str">
        <f>Покупатели!C322</f>
        <v>Синдирбаев</v>
      </c>
      <c r="D346" s="8" t="str">
        <f>VLOOKUP(C346,Покупатели!$C$2:$Q$738,15,0)</f>
        <v>MX4000002S0001881</v>
      </c>
    </row>
    <row r="347" spans="1:4" ht="13.2">
      <c r="A347" s="12">
        <v>1502</v>
      </c>
      <c r="B347" s="10">
        <v>45736</v>
      </c>
      <c r="C347" s="13" t="str">
        <f>Покупатели!C323</f>
        <v>Вагнер</v>
      </c>
      <c r="D347" s="8" t="str">
        <f>VLOOKUP(C347,Покупатели!$C$2:$Q$738,15,0)</f>
        <v>MX4000002S0002047</v>
      </c>
    </row>
    <row r="348" spans="1:4" ht="13.2">
      <c r="A348" s="12">
        <v>1503</v>
      </c>
      <c r="B348" s="10">
        <v>45735</v>
      </c>
      <c r="C348" s="13" t="str">
        <f>Покупатели!C324</f>
        <v>Османов</v>
      </c>
      <c r="D348" s="8" t="str">
        <f>VLOOKUP(C348,Покупатели!$C$2:$Q$738,15,0)</f>
        <v>MX4000004R0001866</v>
      </c>
    </row>
    <row r="349" spans="1:4" ht="13.2">
      <c r="A349" s="12">
        <v>1504</v>
      </c>
      <c r="B349" s="10">
        <v>45736</v>
      </c>
      <c r="C349" s="13" t="str">
        <f>Покупатели!C325</f>
        <v>Сумина</v>
      </c>
      <c r="D349" s="8" t="str">
        <f>VLOOKUP(C349,Покупатели!$C$2:$Q$738,15,0)</f>
        <v>MX4000002S0002046</v>
      </c>
    </row>
    <row r="350" spans="1:4" ht="13.2">
      <c r="A350" s="12">
        <v>1505</v>
      </c>
      <c r="B350" s="10">
        <v>45736</v>
      </c>
      <c r="C350" s="13" t="str">
        <f>Покупатели!C326</f>
        <v>Дикамбаев</v>
      </c>
      <c r="D350" s="8" t="str">
        <f>VLOOKUP(C350,Покупатели!$C$2:$Q$738,15,0)</f>
        <v>MX4000002R0001862</v>
      </c>
    </row>
    <row r="351" spans="1:4" ht="13.2">
      <c r="A351" s="12">
        <v>1506</v>
      </c>
      <c r="B351" s="10">
        <v>45736</v>
      </c>
      <c r="C351" s="15" t="s">
        <v>35</v>
      </c>
      <c r="D351" s="11" t="s">
        <v>36</v>
      </c>
    </row>
    <row r="352" spans="1:4" ht="13.2">
      <c r="A352" s="12">
        <v>1507</v>
      </c>
      <c r="B352" s="10">
        <v>45736</v>
      </c>
      <c r="C352" s="13" t="str">
        <f>Покупатели!C327</f>
        <v>Саркушеков</v>
      </c>
      <c r="D352" s="8" t="str">
        <f>VLOOKUP(C352,Покупатели!$C$2:$Q$738,15,0)</f>
        <v>MX4000002S0002019</v>
      </c>
    </row>
    <row r="353" spans="1:4" ht="13.2">
      <c r="A353" s="12">
        <v>1508</v>
      </c>
      <c r="B353" s="10">
        <v>45757</v>
      </c>
      <c r="C353" s="13" t="str">
        <f>Покупатели!C328</f>
        <v>Соломеин</v>
      </c>
      <c r="D353" s="8" t="str">
        <f>VLOOKUP(C353,Покупатели!$C$2:$Q$738,15,0)</f>
        <v>MX4000002R0001861</v>
      </c>
    </row>
    <row r="354" spans="1:4" ht="13.2">
      <c r="A354" s="12">
        <v>1509</v>
      </c>
      <c r="B354" s="10">
        <v>45740</v>
      </c>
      <c r="C354" s="13" t="str">
        <f>Покупатели!C329</f>
        <v>Турениязов</v>
      </c>
      <c r="D354" s="8" t="str">
        <f>VLOOKUP(C354,Покупатели!$C$2:$Q$738,15,0)</f>
        <v>MX4000002R0001641</v>
      </c>
    </row>
    <row r="355" spans="1:4" ht="13.2">
      <c r="A355" s="12">
        <v>1510</v>
      </c>
      <c r="B355" s="10">
        <v>45741</v>
      </c>
      <c r="C355" s="13" t="str">
        <f>Покупатели!C330</f>
        <v>Даурбаев</v>
      </c>
      <c r="D355" s="8" t="str">
        <f>VLOOKUP(C355,Покупатели!$C$2:$Q$738,15,0)</f>
        <v>MX4000002S0002023</v>
      </c>
    </row>
    <row r="356" spans="1:4" ht="13.2">
      <c r="A356" s="12">
        <v>1511</v>
      </c>
      <c r="B356" s="10">
        <v>45741</v>
      </c>
      <c r="C356" s="13" t="str">
        <f>Покупатели!C331</f>
        <v>Бердиханова 2</v>
      </c>
      <c r="D356" s="8" t="str">
        <f>VLOOKUP(C356,Покупатели!$C$2:$Q$738,15,0)</f>
        <v>MX4000002S0001880</v>
      </c>
    </row>
    <row r="357" spans="1:4" ht="13.2">
      <c r="A357" s="12">
        <v>1512</v>
      </c>
      <c r="B357" s="10">
        <v>45742</v>
      </c>
      <c r="C357" s="13" t="str">
        <f>Покупатели!C332</f>
        <v>Попандопуло</v>
      </c>
      <c r="D357" s="8" t="str">
        <f>VLOOKUP(C357,Покупатели!$C$2:$Q$738,15,0)</f>
        <v>MX4000002S0001887</v>
      </c>
    </row>
    <row r="358" spans="1:4" ht="13.2">
      <c r="A358" s="12">
        <v>1513</v>
      </c>
      <c r="B358" s="10">
        <v>45742</v>
      </c>
      <c r="C358" s="13" t="str">
        <f>Покупатели!C333</f>
        <v>Байжанов</v>
      </c>
      <c r="D358" s="8" t="str">
        <f>VLOOKUP(C358,Покупатели!$C$2:$Q$738,15,0)</f>
        <v>MX4000002S0002051</v>
      </c>
    </row>
    <row r="359" spans="1:4" ht="13.2">
      <c r="A359" s="12">
        <v>1514</v>
      </c>
      <c r="B359" s="10">
        <v>45742</v>
      </c>
      <c r="C359" s="13" t="str">
        <f>Покупатели!C334</f>
        <v>Мамташуров</v>
      </c>
      <c r="D359" s="8" t="str">
        <f>VLOOKUP(C359,Покупатели!$C$2:$Q$738,15,0)</f>
        <v>MX4000002S0001888</v>
      </c>
    </row>
    <row r="360" spans="1:4" ht="13.2">
      <c r="A360" s="12">
        <v>1515</v>
      </c>
      <c r="B360" s="10">
        <v>45742</v>
      </c>
      <c r="C360" s="13" t="str">
        <f>Покупатели!C335</f>
        <v>Ахтямов</v>
      </c>
      <c r="D360" s="8" t="str">
        <f>VLOOKUP(C360,Покупатели!$C$2:$Q$738,15,0)</f>
        <v>MX4000002S0001882</v>
      </c>
    </row>
    <row r="361" spans="1:4" ht="13.2">
      <c r="A361" s="12">
        <v>1516</v>
      </c>
      <c r="B361" s="10">
        <v>45742</v>
      </c>
      <c r="C361" s="13" t="str">
        <f>Покупатели!C336</f>
        <v>Чуев</v>
      </c>
      <c r="D361" s="8" t="str">
        <f>VLOOKUP(C361,Покупатели!$C$2:$Q$738,15,0)</f>
        <v>MX4000002R0001860</v>
      </c>
    </row>
    <row r="362" spans="1:4" ht="13.2">
      <c r="A362" s="12">
        <v>1517</v>
      </c>
      <c r="B362" s="10">
        <v>45743</v>
      </c>
      <c r="C362" s="13" t="str">
        <f>Покупатели!C337</f>
        <v>Ниязбеков</v>
      </c>
      <c r="D362" s="8" t="str">
        <f>VLOOKUP(C362,Покупатели!$C$2:$Q$738,15,0)</f>
        <v>MX4000002R0001608</v>
      </c>
    </row>
    <row r="363" spans="1:4" ht="13.2">
      <c r="A363" s="12">
        <v>1518</v>
      </c>
      <c r="B363" s="10">
        <v>45744</v>
      </c>
      <c r="C363" s="13" t="str">
        <f>Покупатели!C338</f>
        <v>Орунбаев</v>
      </c>
      <c r="D363" s="8" t="str">
        <f>VLOOKUP(C363,Покупатели!$C$2:$Q$738,15,0)</f>
        <v>MX4000002S0002048</v>
      </c>
    </row>
    <row r="364" spans="1:4" ht="13.2">
      <c r="A364" s="12">
        <v>1519</v>
      </c>
      <c r="B364" s="10">
        <v>45744</v>
      </c>
      <c r="C364" s="13" t="str">
        <f>Покупатели!C339</f>
        <v>Пшеничный</v>
      </c>
      <c r="D364" s="8" t="str">
        <f>VLOOKUP(C364,Покупатели!$C$2:$Q$738,15,0)</f>
        <v>MX4000002S0001965</v>
      </c>
    </row>
    <row r="365" spans="1:4" ht="13.2">
      <c r="A365" s="12">
        <v>1520</v>
      </c>
      <c r="B365" s="10">
        <v>45744</v>
      </c>
      <c r="C365" s="13" t="str">
        <f>Покупатели!C340</f>
        <v>Таджиев</v>
      </c>
      <c r="D365" s="8" t="str">
        <f>VLOOKUP(C365,Покупатели!$C$2:$Q$738,15,0)</f>
        <v>MX4000002S0001883</v>
      </c>
    </row>
    <row r="366" spans="1:4" ht="13.2">
      <c r="A366" s="12">
        <v>1521</v>
      </c>
      <c r="B366" s="10">
        <v>45744</v>
      </c>
      <c r="C366" s="13" t="str">
        <f>Покупатели!C341</f>
        <v>Шаламбар</v>
      </c>
      <c r="D366" s="8" t="str">
        <f>VLOOKUP(C366,Покупатели!$C$2:$Q$738,15,0)</f>
        <v>MX4000002S0001889</v>
      </c>
    </row>
    <row r="367" spans="1:4" ht="13.2">
      <c r="A367" s="12">
        <v>1522</v>
      </c>
      <c r="B367" s="10">
        <v>45745</v>
      </c>
      <c r="C367" s="13" t="str">
        <f>Покупатели!C342</f>
        <v>Алибеков</v>
      </c>
      <c r="D367" s="8" t="str">
        <f>VLOOKUP(C367,Покупатели!$C$2:$Q$738,15,0)</f>
        <v>MX4000002S0001976</v>
      </c>
    </row>
    <row r="368" spans="1:4" ht="13.2">
      <c r="A368" s="12">
        <v>1523</v>
      </c>
      <c r="B368" s="10">
        <v>45746</v>
      </c>
      <c r="C368" s="13" t="str">
        <f>Покупатели!C343</f>
        <v>Билялова</v>
      </c>
      <c r="D368" s="8" t="str">
        <f>VLOOKUP(C368,Покупатели!$C$2:$Q$738,15,0)</f>
        <v>MX4000002S0002058</v>
      </c>
    </row>
    <row r="369" spans="1:4" ht="13.2">
      <c r="A369" s="12">
        <v>1524</v>
      </c>
      <c r="B369" s="10">
        <v>45747</v>
      </c>
      <c r="C369" s="11" t="s">
        <v>37</v>
      </c>
      <c r="D369" s="8" t="s">
        <v>38</v>
      </c>
    </row>
    <row r="370" spans="1:4" ht="13.2">
      <c r="A370" s="12">
        <v>1525</v>
      </c>
      <c r="B370" s="10">
        <v>45747</v>
      </c>
      <c r="C370" s="13" t="str">
        <f>Покупатели!C344</f>
        <v>Каиржанов</v>
      </c>
      <c r="D370" s="8" t="str">
        <f>VLOOKUP(C370,Покупатели!$C$2:$Q$738,15,0)</f>
        <v>MX4000002S0002057</v>
      </c>
    </row>
    <row r="371" spans="1:4" ht="13.2">
      <c r="A371" s="12">
        <v>1526</v>
      </c>
      <c r="B371" s="10">
        <v>45747</v>
      </c>
      <c r="C371" s="13" t="str">
        <f>Покупатели!C345</f>
        <v>Ұлықпан</v>
      </c>
      <c r="D371" s="8" t="str">
        <f>VLOOKUP(C371,Покупатели!$C$2:$Q$738,15,0)</f>
        <v>MX4000004S0001949</v>
      </c>
    </row>
    <row r="372" spans="1:4" ht="13.2">
      <c r="A372" s="12">
        <v>1527</v>
      </c>
      <c r="B372" s="10">
        <v>45748</v>
      </c>
      <c r="C372" s="13" t="str">
        <f>Покупатели!C346</f>
        <v>Абаев</v>
      </c>
      <c r="D372" s="8" t="str">
        <f>VLOOKUP(C372,Покупатели!$C$2:$Q$738,15,0)</f>
        <v>MX4000002S0002053</v>
      </c>
    </row>
    <row r="373" spans="1:4" ht="13.2">
      <c r="A373" s="12">
        <v>1528</v>
      </c>
      <c r="B373" s="10">
        <v>45748</v>
      </c>
      <c r="C373" s="13" t="str">
        <f>Покупатели!C347</f>
        <v>Садуакасов</v>
      </c>
      <c r="D373" s="8" t="str">
        <f>VLOOKUP(C373,Покупатели!$C$2:$Q$738,15,0)</f>
        <v>MX4000002S0001899</v>
      </c>
    </row>
    <row r="374" spans="1:4" ht="13.2">
      <c r="A374" s="12">
        <v>1529</v>
      </c>
      <c r="B374" s="10">
        <v>45749</v>
      </c>
      <c r="C374" s="13" t="str">
        <f>Покупатели!C348</f>
        <v>Ильин</v>
      </c>
      <c r="D374" s="8" t="str">
        <f>VLOOKUP(C374,Покупатели!$C$2:$Q$738,15,0)</f>
        <v>MX4000002S0002059</v>
      </c>
    </row>
    <row r="375" spans="1:4" ht="13.2">
      <c r="A375" s="12">
        <v>1530</v>
      </c>
      <c r="B375" s="10">
        <v>45749</v>
      </c>
      <c r="C375" s="13" t="str">
        <f>Покупатели!C349</f>
        <v>Москаленко</v>
      </c>
      <c r="D375" s="8" t="str">
        <f>VLOOKUP(C375,Покупатели!$C$2:$Q$738,15,0)</f>
        <v>MX4000002S0002028</v>
      </c>
    </row>
    <row r="376" spans="1:4" ht="13.2">
      <c r="A376" s="12">
        <v>1531</v>
      </c>
      <c r="B376" s="10">
        <v>45749</v>
      </c>
      <c r="C376" s="13" t="str">
        <f>Покупатели!C350</f>
        <v>Алиева 1</v>
      </c>
      <c r="D376" s="8" t="str">
        <f>VLOOKUP(C376,Покупатели!$C$2:$Q$738,15,0)</f>
        <v>MX4000002S0001893</v>
      </c>
    </row>
    <row r="377" spans="1:4" ht="13.2">
      <c r="A377" s="12">
        <v>1532</v>
      </c>
      <c r="B377" s="10">
        <v>45749</v>
      </c>
      <c r="C377" s="13" t="str">
        <f>Покупатели!C351</f>
        <v>Ченкин</v>
      </c>
      <c r="D377" s="8" t="str">
        <f>VLOOKUP(C377,Покупатели!$C$2:$Q$738,15,0)</f>
        <v>MX4000002S0001884</v>
      </c>
    </row>
    <row r="378" spans="1:4" ht="13.2">
      <c r="A378" s="12">
        <v>1533</v>
      </c>
      <c r="B378" s="10">
        <v>45749</v>
      </c>
      <c r="C378" s="13" t="str">
        <f>Покупатели!C352</f>
        <v>Омарбек</v>
      </c>
      <c r="D378" s="8" t="str">
        <f>VLOOKUP(C378,Покупатели!$C$2:$Q$738,15,0)</f>
        <v>MX4000002S0001892</v>
      </c>
    </row>
    <row r="379" spans="1:4" ht="13.2">
      <c r="A379" s="12">
        <v>1534</v>
      </c>
      <c r="B379" s="10">
        <v>45749</v>
      </c>
      <c r="C379" s="13" t="str">
        <f>Покупатели!C353</f>
        <v>Агамбаев</v>
      </c>
      <c r="D379" s="8" t="str">
        <f>VLOOKUP(C379,Покупатели!$C$2:$Q$738,15,0)</f>
        <v>MX4000002S0001898</v>
      </c>
    </row>
    <row r="380" spans="1:4" ht="13.2">
      <c r="A380" s="12">
        <v>1535</v>
      </c>
      <c r="B380" s="10">
        <v>45749</v>
      </c>
      <c r="C380" s="13" t="str">
        <f>Покупатели!C354</f>
        <v>Гусев</v>
      </c>
      <c r="D380" s="8" t="str">
        <f>VLOOKUP(C380,Покупатели!$C$2:$Q$738,15,0)</f>
        <v>MX4000002S0002013</v>
      </c>
    </row>
    <row r="381" spans="1:4" ht="13.2">
      <c r="A381" s="12">
        <v>1536</v>
      </c>
      <c r="B381" s="10">
        <v>45749</v>
      </c>
      <c r="C381" s="13" t="str">
        <f>Покупатели!C355</f>
        <v>Давыденко</v>
      </c>
      <c r="D381" s="8" t="str">
        <f>VLOOKUP(C381,Покупатели!$C$2:$Q$738,15,0)</f>
        <v>MX4000002R0001871</v>
      </c>
    </row>
    <row r="382" spans="1:4" ht="13.2">
      <c r="A382" s="12">
        <v>1537</v>
      </c>
      <c r="B382" s="10">
        <v>45749</v>
      </c>
      <c r="C382" s="13" t="str">
        <f>Покупатели!C356</f>
        <v>Султанкулов</v>
      </c>
      <c r="D382" s="8" t="str">
        <f>VLOOKUP(C382,Покупатели!$C$2:$Q$738,15,0)</f>
        <v>MX4000002R0001637</v>
      </c>
    </row>
    <row r="383" spans="1:4" ht="13.2">
      <c r="A383" s="12">
        <v>1538</v>
      </c>
      <c r="B383" s="10">
        <v>45750</v>
      </c>
      <c r="C383" s="13" t="str">
        <f>Покупатели!C357</f>
        <v>Доненко</v>
      </c>
      <c r="D383" s="8" t="str">
        <f>VLOOKUP(C383,Покупатели!$C$2:$Q$738,15,0)</f>
        <v>MX4000002S0002056</v>
      </c>
    </row>
    <row r="384" spans="1:4" ht="13.2">
      <c r="A384" s="12">
        <v>1539</v>
      </c>
      <c r="B384" s="10">
        <v>45750</v>
      </c>
      <c r="C384" s="13" t="str">
        <f>Покупатели!C358</f>
        <v>Чуяков</v>
      </c>
      <c r="D384" s="8" t="str">
        <f>VLOOKUP(C384,Покупатели!$C$2:$Q$738,15,0)</f>
        <v>MX4000002R0001870</v>
      </c>
    </row>
    <row r="385" spans="1:4" ht="13.2">
      <c r="A385" s="12">
        <v>1540</v>
      </c>
      <c r="B385" s="10">
        <v>45750</v>
      </c>
      <c r="C385" s="11" t="s">
        <v>39</v>
      </c>
      <c r="D385" s="11" t="s">
        <v>40</v>
      </c>
    </row>
    <row r="386" spans="1:4" ht="13.2">
      <c r="A386" s="12">
        <v>1541</v>
      </c>
      <c r="B386" s="10">
        <v>45751</v>
      </c>
      <c r="C386" s="11" t="str">
        <f>'юр лица'!C12</f>
        <v>"АстанаЭлектроПрофСервис"</v>
      </c>
      <c r="D386" s="11" t="s">
        <v>41</v>
      </c>
    </row>
    <row r="387" spans="1:4" ht="13.2">
      <c r="A387" s="12"/>
      <c r="B387" s="10"/>
      <c r="C387" s="11" t="str">
        <f>'юр лица'!C12</f>
        <v>"АстанаЭлектроПрофСервис"</v>
      </c>
      <c r="D387" s="11" t="s">
        <v>42</v>
      </c>
    </row>
    <row r="388" spans="1:4" ht="13.2">
      <c r="A388" s="12"/>
      <c r="B388" s="10"/>
      <c r="C388" s="11" t="str">
        <f>'юр лица'!C12</f>
        <v>"АстанаЭлектроПрофСервис"</v>
      </c>
      <c r="D388" s="11" t="s">
        <v>43</v>
      </c>
    </row>
    <row r="389" spans="1:4" ht="13.2">
      <c r="A389" s="12"/>
      <c r="B389" s="10"/>
      <c r="C389" s="11" t="str">
        <f>'юр лица'!C12</f>
        <v>"АстанаЭлектроПрофСервис"</v>
      </c>
      <c r="D389" s="11" t="s">
        <v>44</v>
      </c>
    </row>
    <row r="390" spans="1:4" ht="13.2">
      <c r="A390" s="12"/>
      <c r="B390" s="10"/>
      <c r="C390" s="11" t="str">
        <f>'юр лица'!C12</f>
        <v>"АстанаЭлектроПрофСервис"</v>
      </c>
      <c r="D390" s="11" t="s">
        <v>45</v>
      </c>
    </row>
    <row r="391" spans="1:4" ht="13.2">
      <c r="A391" s="12"/>
      <c r="B391" s="10"/>
      <c r="C391" s="11" t="str">
        <f>'юр лица'!C12</f>
        <v>"АстанаЭлектроПрофСервис"</v>
      </c>
      <c r="D391" s="11" t="s">
        <v>46</v>
      </c>
    </row>
    <row r="392" spans="1:4" ht="13.2">
      <c r="A392" s="12"/>
      <c r="B392" s="10"/>
      <c r="C392" s="11" t="str">
        <f>'юр лица'!C12</f>
        <v>"АстанаЭлектроПрофСервис"</v>
      </c>
      <c r="D392" s="11" t="s">
        <v>47</v>
      </c>
    </row>
    <row r="393" spans="1:4" ht="13.2">
      <c r="A393" s="12"/>
      <c r="B393" s="10"/>
      <c r="C393" s="11" t="str">
        <f>'юр лица'!C12</f>
        <v>"АстанаЭлектроПрофСервис"</v>
      </c>
      <c r="D393" s="11" t="s">
        <v>48</v>
      </c>
    </row>
    <row r="394" spans="1:4" ht="13.2">
      <c r="A394" s="12"/>
      <c r="B394" s="10"/>
      <c r="C394" s="11" t="str">
        <f>'юр лица'!C12</f>
        <v>"АстанаЭлектроПрофСервис"</v>
      </c>
      <c r="D394" s="11" t="s">
        <v>49</v>
      </c>
    </row>
    <row r="395" spans="1:4" ht="13.2">
      <c r="A395" s="12"/>
      <c r="B395" s="10"/>
      <c r="C395" s="11" t="str">
        <f>'юр лица'!C12</f>
        <v>"АстанаЭлектроПрофСервис"</v>
      </c>
      <c r="D395" s="11" t="s">
        <v>50</v>
      </c>
    </row>
    <row r="396" spans="1:4" ht="13.2">
      <c r="A396" s="12">
        <v>1542</v>
      </c>
      <c r="B396" s="10">
        <v>45751</v>
      </c>
      <c r="C396" s="13" t="str">
        <f>Покупатели!C359</f>
        <v>Стрежнёв</v>
      </c>
      <c r="D396" s="16" t="str">
        <f>VLOOKUP(C396,Покупатели!$C$2:$Q$738,15,0)</f>
        <v>MX4000002S0002085</v>
      </c>
    </row>
    <row r="397" spans="1:4" ht="13.2">
      <c r="A397" s="12">
        <v>1543</v>
      </c>
      <c r="B397" s="10">
        <v>45751</v>
      </c>
      <c r="C397" s="13" t="str">
        <f>Покупатели!C360</f>
        <v>Умирбаев</v>
      </c>
      <c r="D397" s="16" t="str">
        <f>VLOOKUP(C397,Покупатели!$C$2:$Q$738,15,0)</f>
        <v>MX4000002S0002073</v>
      </c>
    </row>
    <row r="398" spans="1:4" ht="13.2">
      <c r="A398" s="12">
        <v>1544</v>
      </c>
      <c r="B398" s="10">
        <v>45751</v>
      </c>
      <c r="C398" s="13" t="str">
        <f>Покупатели!C361</f>
        <v>Галицкий</v>
      </c>
      <c r="D398" s="16" t="str">
        <f>VLOOKUP(C398,Покупатели!$C$2:$Q$738,15,0)</f>
        <v>MX4000002S0002070</v>
      </c>
    </row>
    <row r="399" spans="1:4" ht="13.2">
      <c r="A399" s="12">
        <v>1545</v>
      </c>
      <c r="B399" s="10">
        <v>45754</v>
      </c>
      <c r="C399" s="13" t="str">
        <f>Покупатели!C362</f>
        <v>Харламова</v>
      </c>
      <c r="D399" s="16" t="str">
        <f>VLOOKUP(C399,Покупатели!$C$2:$Q$738,15,0)</f>
        <v>MX4000002S0001891</v>
      </c>
    </row>
    <row r="400" spans="1:4" ht="13.2">
      <c r="A400" s="12">
        <v>1546</v>
      </c>
      <c r="B400" s="10">
        <v>45754</v>
      </c>
      <c r="C400" s="13" t="str">
        <f>Покупатели!C363</f>
        <v>Құсмолданов</v>
      </c>
      <c r="D400" s="16" t="str">
        <f>VLOOKUP(C400,Покупатели!$C$2:$Q$738,15,0)</f>
        <v>MX4000002R0001872</v>
      </c>
    </row>
    <row r="401" spans="1:4" ht="13.2">
      <c r="A401" s="12">
        <v>1547</v>
      </c>
      <c r="B401" s="10">
        <v>45754</v>
      </c>
      <c r="C401" s="13" t="str">
        <f>Покупатели!C364</f>
        <v>Именов</v>
      </c>
      <c r="D401" s="16" t="str">
        <f>VLOOKUP(C401,Покупатели!$C$2:$Q$738,15,0)</f>
        <v>MX4000002S0001897</v>
      </c>
    </row>
    <row r="402" spans="1:4" ht="13.2">
      <c r="A402" s="12">
        <v>1548</v>
      </c>
      <c r="B402" s="10">
        <v>45754</v>
      </c>
      <c r="C402" s="13" t="str">
        <f>Покупатели!C365</f>
        <v>Науанов</v>
      </c>
      <c r="D402" s="16" t="str">
        <f>VLOOKUP(C402,Покупатели!$C$2:$Q$738,15,0)</f>
        <v>MX4000002S0002086</v>
      </c>
    </row>
    <row r="403" spans="1:4" ht="13.2">
      <c r="A403" s="12">
        <v>1549</v>
      </c>
      <c r="B403" s="10">
        <v>45754</v>
      </c>
      <c r="C403" s="13" t="str">
        <f>Покупатели!C366</f>
        <v>Ганевич</v>
      </c>
      <c r="D403" s="16" t="str">
        <f>VLOOKUP(C403,Покупатели!$C$2:$Q$738,15,0)</f>
        <v>MX4000002S0002084</v>
      </c>
    </row>
    <row r="404" spans="1:4" ht="13.2">
      <c r="A404" s="12">
        <v>1550</v>
      </c>
      <c r="B404" s="10">
        <v>45755</v>
      </c>
      <c r="C404" s="13" t="str">
        <f>Покупатели!C367</f>
        <v>Кутлузаманов</v>
      </c>
      <c r="D404" s="16" t="str">
        <f>VLOOKUP(C404,Покупатели!$C$2:$Q$738,15,0)</f>
        <v>MX4000002S0002024</v>
      </c>
    </row>
    <row r="405" spans="1:4" ht="13.2">
      <c r="A405" s="12">
        <v>1551</v>
      </c>
      <c r="B405" s="10">
        <v>45755</v>
      </c>
      <c r="C405" s="13" t="str">
        <f>Покупатели!C368</f>
        <v>Хазтай</v>
      </c>
      <c r="D405" s="16" t="str">
        <f>VLOOKUP(C405,Покупатели!$C$2:$Q$738,15,0)</f>
        <v>MX4000002S0002054</v>
      </c>
    </row>
    <row r="406" spans="1:4" ht="13.2">
      <c r="A406" s="12">
        <v>1552</v>
      </c>
      <c r="B406" s="10">
        <v>45755</v>
      </c>
      <c r="C406" s="13" t="str">
        <f>Покупатели!C369</f>
        <v>Колесников</v>
      </c>
      <c r="D406" s="16" t="str">
        <f>VLOOKUP(C406,Покупатели!$C$2:$Q$738,15,0)</f>
        <v>MX4000002S0002045</v>
      </c>
    </row>
    <row r="407" spans="1:4" ht="13.2">
      <c r="A407" s="12">
        <v>1553</v>
      </c>
      <c r="B407" s="10">
        <v>45755</v>
      </c>
      <c r="C407" s="13" t="str">
        <f>Покупатели!C370</f>
        <v>Величко</v>
      </c>
      <c r="D407" s="16" t="str">
        <f>VLOOKUP(C407,Покупатели!$C$2:$Q$738,15,0)</f>
        <v>MX4000002S0001982</v>
      </c>
    </row>
    <row r="408" spans="1:4" ht="13.2">
      <c r="A408" s="12">
        <v>1554</v>
      </c>
      <c r="B408" s="10">
        <v>45757</v>
      </c>
      <c r="C408" s="13" t="str">
        <f>Покупатели!C371</f>
        <v>Абильдин</v>
      </c>
      <c r="D408" s="16" t="str">
        <f>VLOOKUP(C408,Покупатели!$C$2:$Q$738,15,0)</f>
        <v>MX4000002S0002043</v>
      </c>
    </row>
    <row r="409" spans="1:4" ht="13.2">
      <c r="A409" s="12">
        <v>1555</v>
      </c>
      <c r="B409" s="10">
        <v>45757</v>
      </c>
      <c r="C409" s="13" t="str">
        <f>Покупатели!C372</f>
        <v>Джандарбеков</v>
      </c>
      <c r="D409" s="16" t="str">
        <f>VLOOKUP(C409,Покупатели!$C$2:$Q$738,15,0)</f>
        <v>MX4000002S0001977</v>
      </c>
    </row>
    <row r="410" spans="1:4" ht="13.2">
      <c r="A410" s="12">
        <v>1556</v>
      </c>
      <c r="B410" s="10">
        <v>45757</v>
      </c>
      <c r="C410" s="13" t="str">
        <f>Покупатели!C373</f>
        <v>Нурлыбай</v>
      </c>
      <c r="D410" s="16" t="str">
        <f>VLOOKUP(C410,Покупатели!$C$2:$Q$738,15,0)</f>
        <v>MX4000002R0001613</v>
      </c>
    </row>
    <row r="411" spans="1:4" ht="13.2">
      <c r="A411" s="12">
        <v>1557</v>
      </c>
      <c r="B411" s="10">
        <v>45758</v>
      </c>
      <c r="C411" s="13" t="str">
        <f>Покупатели!C374</f>
        <v>Имангалиев</v>
      </c>
      <c r="D411" s="16" t="str">
        <f>VLOOKUP(C411,Покупатели!$C$2:$Q$738,15,0)</f>
        <v>MX4000002S0001895</v>
      </c>
    </row>
    <row r="412" spans="1:4" ht="13.2">
      <c r="A412" s="12">
        <v>1558</v>
      </c>
      <c r="B412" s="10">
        <v>45760</v>
      </c>
      <c r="C412" s="13" t="str">
        <f>Покупатели!C375</f>
        <v>Мерей</v>
      </c>
      <c r="D412" s="16" t="str">
        <f>VLOOKUP(C412,Покупатели!$C$2:$Q$738,15,0)</f>
        <v>MX4000002S0002055</v>
      </c>
    </row>
    <row r="413" spans="1:4" ht="13.2">
      <c r="A413" s="12">
        <v>1559</v>
      </c>
      <c r="B413" s="10">
        <v>45761</v>
      </c>
      <c r="C413" s="13" t="str">
        <f>Покупатели!C376</f>
        <v>Андруцуляк 1</v>
      </c>
      <c r="D413" s="16" t="str">
        <f>VLOOKUP(C413,Покупатели!$C$2:$Q$738,15,0)</f>
        <v>MX4000002S0001978</v>
      </c>
    </row>
    <row r="414" spans="1:4" ht="13.2">
      <c r="A414" s="12">
        <v>1560</v>
      </c>
      <c r="B414" s="10">
        <v>45765</v>
      </c>
      <c r="C414" s="13" t="str">
        <f>Покупатели!C735</f>
        <v>Андруцуляк 2</v>
      </c>
      <c r="D414" s="16" t="str">
        <f>VLOOKUP(C414,Покупатели!$C$2:$Q$738,15,0)</f>
        <v>MX4000002S0001983</v>
      </c>
    </row>
    <row r="415" spans="1:4" ht="13.2">
      <c r="A415" s="12">
        <v>1561</v>
      </c>
      <c r="B415" s="10">
        <v>45762</v>
      </c>
      <c r="C415" s="13" t="str">
        <f>Покупатели!C377</f>
        <v>Жилиев</v>
      </c>
      <c r="D415" s="16" t="str">
        <f>VLOOKUP(C415,Покупатели!$C$2:$Q$738,15,0)</f>
        <v>MX4000002S0001910</v>
      </c>
    </row>
    <row r="416" spans="1:4" ht="13.2">
      <c r="A416" s="12">
        <v>1562</v>
      </c>
      <c r="B416" s="10">
        <v>45762</v>
      </c>
      <c r="C416" s="13" t="str">
        <f>Покупатели!C378</f>
        <v>Айткенов</v>
      </c>
      <c r="D416" s="16" t="str">
        <f>VLOOKUP(C416,Покупатели!$C$2:$Q$738,15,0)</f>
        <v>MX4000002S0002081</v>
      </c>
    </row>
    <row r="417" spans="1:4" ht="13.2">
      <c r="A417" s="12">
        <v>1563</v>
      </c>
      <c r="B417" s="10">
        <v>45762</v>
      </c>
      <c r="C417" s="13" t="str">
        <f>Покупатели!C379</f>
        <v>Небышинец</v>
      </c>
      <c r="D417" s="16" t="str">
        <f>VLOOKUP(C417,Покупатели!$C$2:$Q$738,15,0)</f>
        <v>MX4000002S0001951</v>
      </c>
    </row>
    <row r="418" spans="1:4" ht="13.2">
      <c r="A418" s="12">
        <v>1564</v>
      </c>
      <c r="B418" s="10">
        <v>45762</v>
      </c>
      <c r="C418" s="13" t="str">
        <f>Покупатели!C380</f>
        <v>Мазур</v>
      </c>
      <c r="D418" s="16" t="str">
        <f>VLOOKUP(C418,Покупатели!$C$2:$Q$738,15,0)</f>
        <v>MX4000002S0001924</v>
      </c>
    </row>
    <row r="419" spans="1:4" ht="13.2">
      <c r="A419" s="12">
        <v>1565</v>
      </c>
      <c r="B419" s="10">
        <v>45763</v>
      </c>
      <c r="C419" s="13" t="str">
        <f>Покупатели!C381</f>
        <v>Ковригина</v>
      </c>
      <c r="D419" s="16" t="str">
        <f>VLOOKUP(C419,Покупатели!$C$2:$Q$738,15,0)</f>
        <v>MX4000002S0001984</v>
      </c>
    </row>
    <row r="420" spans="1:4" ht="13.2">
      <c r="A420" s="12">
        <v>1566</v>
      </c>
      <c r="B420" s="10">
        <v>45762</v>
      </c>
      <c r="C420" s="13" t="str">
        <f>Покупатели!C382</f>
        <v>Асылбек</v>
      </c>
      <c r="D420" s="16" t="str">
        <f>VLOOKUP(C420,Покупатели!$C$2:$Q$738,15,0)</f>
        <v>MX4000002S0002080</v>
      </c>
    </row>
    <row r="421" spans="1:4" ht="13.2">
      <c r="A421" s="12">
        <v>1567</v>
      </c>
      <c r="B421" s="10">
        <v>45763</v>
      </c>
      <c r="C421" s="13" t="str">
        <f>Покупатели!C383</f>
        <v>Керимов</v>
      </c>
      <c r="D421" s="16" t="str">
        <f>VLOOKUP(C421,Покупатели!$C$2:$Q$738,15,0)</f>
        <v>MX4000002S0002087</v>
      </c>
    </row>
    <row r="422" spans="1:4" ht="13.2">
      <c r="A422" s="12">
        <v>1568</v>
      </c>
      <c r="B422" s="10">
        <v>45763</v>
      </c>
      <c r="C422" s="13" t="str">
        <f>Покупатели!C384</f>
        <v>Кадышев</v>
      </c>
      <c r="D422" s="16" t="str">
        <f>VLOOKUP(C422,Покупатели!$C$2:$Q$738,15,0)</f>
        <v>MX4000002S0002088</v>
      </c>
    </row>
    <row r="423" spans="1:4" ht="13.2">
      <c r="A423" s="12">
        <v>1569</v>
      </c>
      <c r="B423" s="10">
        <v>45764</v>
      </c>
      <c r="C423" s="13" t="str">
        <f>Покупатели!C385</f>
        <v>Утешев</v>
      </c>
      <c r="D423" s="16" t="str">
        <f>VLOOKUP(C423,Покупатели!$C$2:$Q$738,15,0)</f>
        <v>MX4000002S0002092</v>
      </c>
    </row>
    <row r="424" spans="1:4" ht="13.2">
      <c r="A424" s="12">
        <v>1570</v>
      </c>
      <c r="B424" s="10">
        <v>45764</v>
      </c>
      <c r="C424" s="13" t="str">
        <f>Покупатели!C386</f>
        <v>Добровольский</v>
      </c>
      <c r="D424" s="16" t="str">
        <f>VLOOKUP(C424,Покупатели!$C$2:$Q$738,15,0)</f>
        <v>MX4000004S0002089</v>
      </c>
    </row>
    <row r="425" spans="1:4" ht="13.2">
      <c r="A425" s="12">
        <v>1571</v>
      </c>
      <c r="B425" s="10">
        <v>45764</v>
      </c>
      <c r="C425" s="13" t="str">
        <f>Покупатели!C387</f>
        <v>Кошанов</v>
      </c>
      <c r="D425" s="16" t="str">
        <f>VLOOKUP(C425,Покупатели!$C$2:$Q$738,15,0)</f>
        <v>MX4000003S0002093</v>
      </c>
    </row>
    <row r="426" spans="1:4" ht="13.2">
      <c r="A426" s="12">
        <v>1572</v>
      </c>
      <c r="B426" s="10">
        <v>45766</v>
      </c>
      <c r="C426" s="13" t="str">
        <f>Покупатели!C388</f>
        <v>Зырянов 3</v>
      </c>
      <c r="D426" s="16" t="str">
        <f>VLOOKUP(C426,Покупатели!$C$2:$Q$738,15,0)</f>
        <v>MX4000002S0001911</v>
      </c>
    </row>
    <row r="427" spans="1:4" ht="13.2">
      <c r="A427" s="12">
        <v>1573</v>
      </c>
      <c r="B427" s="10">
        <v>45766</v>
      </c>
      <c r="C427" s="13" t="str">
        <f>Покупатели!C389</f>
        <v>Караев</v>
      </c>
      <c r="D427" s="16" t="str">
        <f>VLOOKUP(C427,Покупатели!$C$2:$Q$738,15,0)</f>
        <v>MX4000002S0001925</v>
      </c>
    </row>
    <row r="428" spans="1:4" ht="13.2">
      <c r="A428" s="12">
        <v>1574</v>
      </c>
      <c r="B428" s="10">
        <v>45768</v>
      </c>
      <c r="C428" s="13" t="str">
        <f>Покупатели!C390</f>
        <v>Баймолданов</v>
      </c>
      <c r="D428" s="16" t="str">
        <f>VLOOKUP(C428,Покупатели!$C$2:$Q$738,15,0)</f>
        <v>MX4000002S0001896</v>
      </c>
    </row>
    <row r="429" spans="1:4" ht="13.2">
      <c r="A429" s="12">
        <v>1575</v>
      </c>
      <c r="B429" s="10">
        <v>45768</v>
      </c>
      <c r="C429" s="13" t="str">
        <f>Покупатели!C391</f>
        <v>Киреев</v>
      </c>
      <c r="D429" s="16" t="str">
        <f>VLOOKUP(C429,Покупатели!$C$2:$Q$738,15,0)</f>
        <v>MX4000002S0002094</v>
      </c>
    </row>
    <row r="430" spans="1:4" ht="13.2">
      <c r="A430" s="12">
        <v>1576</v>
      </c>
      <c r="B430" s="10">
        <v>45768</v>
      </c>
      <c r="C430" s="13" t="str">
        <f>Покупатели!C392</f>
        <v>Абжанов</v>
      </c>
      <c r="D430" s="16" t="str">
        <f>VLOOKUP(C430,Покупатели!$C$2:$Q$738,15,0)</f>
        <v>MX4000002S0002115</v>
      </c>
    </row>
    <row r="431" spans="1:4" ht="13.2">
      <c r="A431" s="12">
        <v>1577</v>
      </c>
      <c r="B431" s="10">
        <v>45768</v>
      </c>
      <c r="C431" s="13" t="str">
        <f>Покупатели!C393</f>
        <v>Замятин</v>
      </c>
      <c r="D431" s="16" t="str">
        <f>VLOOKUP(C431,Покупатели!$C$2:$Q$738,15,0)</f>
        <v>MX4000002S0002097</v>
      </c>
    </row>
    <row r="432" spans="1:4" ht="13.2">
      <c r="A432" s="12">
        <v>1578</v>
      </c>
      <c r="B432" s="10">
        <v>45768</v>
      </c>
      <c r="C432" s="13" t="str">
        <f>Покупатели!C394</f>
        <v>Даутов 1</v>
      </c>
      <c r="D432" s="16" t="str">
        <f>VLOOKUP(C432,Покупатели!$C$2:$Q$738,15,0)</f>
        <v>MX4000002S0002101</v>
      </c>
    </row>
    <row r="433" spans="1:4" ht="13.2">
      <c r="A433" s="12">
        <v>1579</v>
      </c>
      <c r="B433" s="10">
        <v>45768</v>
      </c>
      <c r="C433" s="13" t="str">
        <f>Покупатели!C395</f>
        <v>Раев</v>
      </c>
      <c r="D433" s="16" t="str">
        <f>VLOOKUP(C433,Покупатели!$C$2:$Q$738,15,0)</f>
        <v>MX4000002R0001815</v>
      </c>
    </row>
    <row r="434" spans="1:4" ht="13.2">
      <c r="A434" s="12">
        <v>1580</v>
      </c>
      <c r="B434" s="10">
        <v>45769</v>
      </c>
      <c r="C434" s="13" t="str">
        <f>Покупатели!C396</f>
        <v>Лита</v>
      </c>
      <c r="D434" s="16" t="str">
        <f>VLOOKUP(C434,Покупатели!$C$2:$Q$738,15,0)</f>
        <v>MX4000002S0002105</v>
      </c>
    </row>
    <row r="435" spans="1:4" ht="13.2">
      <c r="A435" s="12">
        <v>1581</v>
      </c>
      <c r="B435" s="10">
        <v>45769</v>
      </c>
      <c r="C435" s="13" t="str">
        <f>Покупатели!C397</f>
        <v>Умирбеков1</v>
      </c>
      <c r="D435" s="16" t="str">
        <f>VLOOKUP(C435,Покупатели!$C$2:$Q$738,15,0)</f>
        <v>MX4000002S0002082</v>
      </c>
    </row>
    <row r="436" spans="1:4" ht="13.2">
      <c r="A436" s="12">
        <v>1582</v>
      </c>
      <c r="B436" s="10">
        <v>45770</v>
      </c>
      <c r="C436" s="13" t="str">
        <f>Покупатели!C398</f>
        <v>Омаров</v>
      </c>
      <c r="D436" s="16" t="str">
        <f>VLOOKUP(C436,Покупатели!$C$2:$Q$738,15,0)</f>
        <v>MX4000002S0002103</v>
      </c>
    </row>
    <row r="437" spans="1:4" ht="13.2">
      <c r="A437" s="12">
        <v>1583</v>
      </c>
      <c r="B437" s="10">
        <v>45772</v>
      </c>
      <c r="C437" s="13" t="str">
        <f>Покупатели!C399</f>
        <v>Кузнецов2</v>
      </c>
      <c r="D437" s="16" t="str">
        <f>VLOOKUP(C437,Покупатели!$C$2:$Q$738,15,0)</f>
        <v>MX4000004S0002107</v>
      </c>
    </row>
    <row r="438" spans="1:4" ht="13.2">
      <c r="A438" s="12">
        <v>1584</v>
      </c>
      <c r="B438" s="10">
        <v>45774</v>
      </c>
      <c r="C438" s="13" t="str">
        <f>Покупатели!C400</f>
        <v>Сарсенбеков</v>
      </c>
      <c r="D438" s="16" t="str">
        <f>VLOOKUP(C438,Покупатели!$C$2:$Q$738,15,0)</f>
        <v>MX4000002S0002108</v>
      </c>
    </row>
    <row r="439" spans="1:4" ht="13.2">
      <c r="A439" s="12">
        <v>1585</v>
      </c>
      <c r="B439" s="10">
        <v>45771</v>
      </c>
      <c r="C439" s="13" t="str">
        <f>Покупатели!C401</f>
        <v>Касенов</v>
      </c>
      <c r="D439" s="16" t="str">
        <f>VLOOKUP(C439,Покупатели!$C$2:$Q$738,15,0)</f>
        <v>MX4000002S0002083</v>
      </c>
    </row>
    <row r="440" spans="1:4" ht="13.2">
      <c r="A440" s="12">
        <v>1586</v>
      </c>
      <c r="B440" s="10">
        <v>45771</v>
      </c>
      <c r="C440" s="13" t="str">
        <f>Покупатели!C402</f>
        <v>Шаяхметов</v>
      </c>
      <c r="D440" s="16" t="str">
        <f>VLOOKUP(C440,Покупатели!$C$2:$Q$738,15,0)</f>
        <v>MX4000002S0002098</v>
      </c>
    </row>
    <row r="441" spans="1:4" ht="13.2">
      <c r="A441" s="12">
        <v>1587</v>
      </c>
      <c r="B441" s="10">
        <v>45771</v>
      </c>
      <c r="C441" s="13" t="str">
        <f>Покупатели!C403</f>
        <v>Аренов</v>
      </c>
      <c r="D441" s="16" t="str">
        <f>VLOOKUP(C441,Покупатели!$C$2:$Q$738,15,0)</f>
        <v>MX4000005S0002112</v>
      </c>
    </row>
    <row r="442" spans="1:4" ht="13.2">
      <c r="A442" s="12">
        <v>1588</v>
      </c>
      <c r="B442" s="10">
        <v>45772</v>
      </c>
      <c r="C442" s="13" t="str">
        <f>Покупатели!C404</f>
        <v>Аймухамбетов</v>
      </c>
      <c r="D442" s="16" t="str">
        <f>VLOOKUP(C442,Покупатели!$C$2:$Q$738,15,0)</f>
        <v>MX4000002S0001926</v>
      </c>
    </row>
    <row r="443" spans="1:4" ht="13.2">
      <c r="A443" s="12">
        <v>1589</v>
      </c>
      <c r="B443" s="10">
        <v>45772</v>
      </c>
      <c r="C443" s="13" t="str">
        <f>Покупатели!C405</f>
        <v>Абилов</v>
      </c>
      <c r="D443" s="16" t="str">
        <f>VLOOKUP(C443,Покупатели!$C$2:$Q$738,15,0)</f>
        <v>MX4000002S0001916</v>
      </c>
    </row>
    <row r="444" spans="1:4" ht="13.2">
      <c r="A444" s="12">
        <v>1590</v>
      </c>
      <c r="B444" s="10">
        <v>45772</v>
      </c>
      <c r="C444" s="13" t="str">
        <f>Покупатели!C406</f>
        <v>Буткевич</v>
      </c>
      <c r="D444" s="16" t="str">
        <f>VLOOKUP(C444,Покупатели!$C$2:$Q$738,15,0)</f>
        <v>MX4000002S0002099</v>
      </c>
    </row>
    <row r="445" spans="1:4" ht="13.2">
      <c r="A445" s="12">
        <v>1591</v>
      </c>
      <c r="B445" s="10">
        <v>45772</v>
      </c>
      <c r="C445" s="13" t="str">
        <f>Покупатели!C407</f>
        <v>Багаутдинов</v>
      </c>
      <c r="D445" s="16" t="str">
        <f>VLOOKUP(C445,Покупатели!$C$2:$Q$738,15,0)</f>
        <v>MX4000002S0001915</v>
      </c>
    </row>
    <row r="446" spans="1:4" ht="13.2">
      <c r="A446" s="12">
        <v>1592</v>
      </c>
      <c r="B446" s="10">
        <v>45775</v>
      </c>
      <c r="C446" s="13" t="str">
        <f>Покупатели!C408</f>
        <v>Дроздова</v>
      </c>
      <c r="D446" s="16" t="str">
        <f>VLOOKUP(C446,Покупатели!$C$2:$Q$738,15,0)</f>
        <v>MX4000002S0001931</v>
      </c>
    </row>
    <row r="447" spans="1:4" ht="13.2">
      <c r="A447" s="12">
        <v>1593</v>
      </c>
      <c r="B447" s="10">
        <v>45775</v>
      </c>
      <c r="C447" s="13" t="str">
        <f>Покупатели!C409</f>
        <v>Ананьин</v>
      </c>
      <c r="D447" s="16" t="str">
        <f>VLOOKUP(C447,Покупатели!$C$2:$Q$738,15,0)</f>
        <v>MX4000002R0001614</v>
      </c>
    </row>
    <row r="448" spans="1:4" ht="13.2">
      <c r="A448" s="12">
        <v>1594</v>
      </c>
      <c r="B448" s="10">
        <v>45775</v>
      </c>
      <c r="C448" s="13" t="str">
        <f>Покупатели!C410</f>
        <v>Курманбаев</v>
      </c>
      <c r="D448" s="16" t="str">
        <f>VLOOKUP(C448,Покупатели!$C$2:$Q$738,15,0)</f>
        <v>MX4000002R0001903</v>
      </c>
    </row>
    <row r="449" spans="1:4" ht="13.2">
      <c r="A449" s="12">
        <v>1595</v>
      </c>
      <c r="B449" s="10">
        <v>45775</v>
      </c>
      <c r="C449" s="13" t="str">
        <f>Покупатели!C411</f>
        <v>Есмагамбетов</v>
      </c>
      <c r="D449" s="16" t="str">
        <f>VLOOKUP(C449,Покупатели!$C$2:$Q$738,15,0)</f>
        <v>MX4000002S0002118</v>
      </c>
    </row>
    <row r="450" spans="1:4" ht="13.2">
      <c r="A450" s="12">
        <v>1596</v>
      </c>
      <c r="B450" s="10">
        <v>45776</v>
      </c>
      <c r="C450" s="13" t="str">
        <f>Покупатели!C412</f>
        <v>Питимко</v>
      </c>
      <c r="D450" s="16" t="str">
        <f>VLOOKUP(C450,Покупатели!$C$2:$Q$738,15,0)</f>
        <v>MX4000002S0002117</v>
      </c>
    </row>
    <row r="451" spans="1:4" ht="13.2">
      <c r="A451" s="12">
        <v>1597</v>
      </c>
      <c r="B451" s="10">
        <v>45777</v>
      </c>
      <c r="C451" s="13" t="str">
        <f>Покупатели!C413</f>
        <v>Жакуда</v>
      </c>
      <c r="D451" s="16" t="str">
        <f>VLOOKUP(C451,Покупатели!$C$2:$Q$738,15,0)</f>
        <v>MX4000002S0002091</v>
      </c>
    </row>
    <row r="452" spans="1:4" ht="13.2">
      <c r="A452" s="17">
        <v>1598</v>
      </c>
      <c r="B452" s="18">
        <v>45777</v>
      </c>
      <c r="C452" s="19" t="s">
        <v>51</v>
      </c>
      <c r="D452" s="20" t="s">
        <v>52</v>
      </c>
    </row>
    <row r="453" spans="1:4" ht="13.2">
      <c r="A453" s="12">
        <v>1599</v>
      </c>
      <c r="B453" s="21">
        <v>45777</v>
      </c>
      <c r="C453" s="13" t="str">
        <f>Покупатели!C414</f>
        <v>Аманбаев</v>
      </c>
      <c r="D453" s="16" t="str">
        <f>VLOOKUP(C453,Покупатели!$C$2:$Q$738,15,0)</f>
        <v>MX4000002S0002109</v>
      </c>
    </row>
    <row r="454" spans="1:4" ht="13.2">
      <c r="A454" s="12">
        <v>1600</v>
      </c>
      <c r="B454" s="21">
        <v>45781</v>
      </c>
      <c r="C454" s="13" t="str">
        <f>Покупатели!C415</f>
        <v>Пшенко</v>
      </c>
      <c r="D454" s="16" t="str">
        <f>VLOOKUP(C454,Покупатели!$C$2:$Q$738,15,0)</f>
        <v>MX4000002S0002116</v>
      </c>
    </row>
    <row r="455" spans="1:4" ht="13.2">
      <c r="A455" s="12">
        <v>1601</v>
      </c>
      <c r="B455" s="21">
        <v>45782</v>
      </c>
      <c r="C455" s="13" t="str">
        <f>Покупатели!C416</f>
        <v>Ахванов</v>
      </c>
      <c r="D455" s="16" t="str">
        <f>VLOOKUP(C455,Покупатели!$C$2:$Q$738,15,0)</f>
        <v>MX4000002S0001918</v>
      </c>
    </row>
    <row r="456" spans="1:4" ht="13.2">
      <c r="A456" s="12">
        <v>1602</v>
      </c>
      <c r="B456" s="21">
        <v>45782</v>
      </c>
      <c r="C456" s="13" t="str">
        <f>Покупатели!C417</f>
        <v>Оскаров</v>
      </c>
      <c r="D456" s="16" t="str">
        <f>VLOOKUP(C456,Покупатели!$C$2:$Q$738,15,0)</f>
        <v>MX4000002S0002120</v>
      </c>
    </row>
    <row r="457" spans="1:4" ht="13.2">
      <c r="A457" s="12">
        <v>1603</v>
      </c>
      <c r="B457" s="21">
        <v>45782</v>
      </c>
      <c r="C457" s="13" t="str">
        <f>Покупатели!C418</f>
        <v>Тайсариев</v>
      </c>
      <c r="D457" s="16" t="str">
        <f>VLOOKUP(C457,Покупатели!$C$2:$Q$738,15,0)</f>
        <v>MX4000002S0001920</v>
      </c>
    </row>
    <row r="458" spans="1:4" ht="13.2">
      <c r="A458" s="12">
        <v>1604</v>
      </c>
      <c r="B458" s="21">
        <v>45782</v>
      </c>
      <c r="C458" s="13" t="str">
        <f>Покупатели!C419</f>
        <v>Рысбаев</v>
      </c>
      <c r="D458" s="16" t="str">
        <f>VLOOKUP(C458,Покупатели!$C$2:$Q$738,15,0)</f>
        <v>MX4000002S0001894</v>
      </c>
    </row>
    <row r="459" spans="1:4" ht="13.2">
      <c r="A459" s="12">
        <v>1605</v>
      </c>
      <c r="B459" s="21">
        <v>45782</v>
      </c>
      <c r="C459" s="13" t="str">
        <f>Покупатели!C420</f>
        <v>Боранбай</v>
      </c>
      <c r="D459" s="16" t="str">
        <f>VLOOKUP(C459,Покупатели!$C$2:$Q$738,15,0)</f>
        <v>MX4000004S0001956</v>
      </c>
    </row>
    <row r="460" spans="1:4" ht="13.2">
      <c r="A460" s="12">
        <v>1606</v>
      </c>
      <c r="B460" s="21">
        <v>45782</v>
      </c>
      <c r="C460" s="13" t="str">
        <f>Покупатели!C421</f>
        <v>Хайролла</v>
      </c>
      <c r="D460" s="16" t="str">
        <f>VLOOKUP(C460,Покупатели!$C$2:$Q$738,15,0)</f>
        <v>MX4000002S0002113</v>
      </c>
    </row>
    <row r="461" spans="1:4" ht="13.2">
      <c r="A461" s="12">
        <v>1607</v>
      </c>
      <c r="B461" s="21">
        <v>45783</v>
      </c>
      <c r="C461" s="13" t="str">
        <f>Покупатели!C422</f>
        <v>Абишев</v>
      </c>
      <c r="D461" s="16" t="str">
        <f>VLOOKUP(C461,Покупатели!$C$2:$Q$738,15,0)</f>
        <v>MX4000002R0001610</v>
      </c>
    </row>
    <row r="462" spans="1:4" ht="13.2">
      <c r="A462" s="12">
        <v>1608</v>
      </c>
      <c r="B462" s="21">
        <v>45782</v>
      </c>
      <c r="C462" s="13" t="str">
        <f>Покупатели!C423</f>
        <v>Батырханов</v>
      </c>
      <c r="D462" s="16" t="str">
        <f>VLOOKUP(C462,Покупатели!$C$2:$Q$738,15,0)</f>
        <v>MX4000002S0001923</v>
      </c>
    </row>
    <row r="463" spans="1:4" ht="13.2">
      <c r="A463" s="12">
        <v>1609</v>
      </c>
      <c r="B463" s="21">
        <v>45783</v>
      </c>
      <c r="C463" s="13" t="str">
        <f>Покупатели!C424</f>
        <v>Мажитов</v>
      </c>
      <c r="D463" s="16" t="str">
        <f>VLOOKUP(C463,Покупатели!$C$2:$Q$738,15,0)</f>
        <v>MX4000002S0002122</v>
      </c>
    </row>
    <row r="464" spans="1:4" ht="13.2">
      <c r="A464" s="12">
        <v>1610</v>
      </c>
      <c r="B464" s="21">
        <v>45783</v>
      </c>
      <c r="C464" s="13" t="str">
        <f>Покупатели!C425</f>
        <v>Дюсенаев</v>
      </c>
      <c r="D464" s="16" t="str">
        <f>VLOOKUP(C464,Покупатели!$C$2:$Q$738,15,0)</f>
        <v>MX4000002S0002123</v>
      </c>
    </row>
    <row r="465" spans="1:4" ht="13.2">
      <c r="A465" s="12">
        <v>1611</v>
      </c>
      <c r="B465" s="21">
        <v>45784</v>
      </c>
      <c r="C465" s="13" t="str">
        <f>Покупатели!C426</f>
        <v>Сланбеков</v>
      </c>
      <c r="D465" s="16" t="str">
        <f>VLOOKUP(C465,Покупатели!$C$2:$Q$738,15,0)</f>
        <v>MX4000002S0002096</v>
      </c>
    </row>
    <row r="466" spans="1:4" ht="13.2">
      <c r="A466" s="12">
        <v>1612</v>
      </c>
      <c r="B466" s="21">
        <v>45785</v>
      </c>
      <c r="C466" s="13" t="str">
        <f>Покупатели!C427</f>
        <v>Хаджиюпов</v>
      </c>
      <c r="D466" s="16" t="str">
        <f>VLOOKUP(C466,Покупатели!$C$2:$Q$738,15,0)</f>
        <v>MX4000002S0001902</v>
      </c>
    </row>
    <row r="467" spans="1:4" ht="13.2">
      <c r="A467" s="12">
        <v>1613</v>
      </c>
      <c r="B467" s="21">
        <v>45785</v>
      </c>
      <c r="C467" s="13" t="str">
        <f>Покупатели!C428</f>
        <v>Калыкбаев</v>
      </c>
      <c r="D467" s="16" t="str">
        <f>VLOOKUP(C467,Покупатели!$C$2:$Q$738,15,0)</f>
        <v>MX4000002S0002016</v>
      </c>
    </row>
    <row r="468" spans="1:4" ht="13.2">
      <c r="A468" s="12">
        <v>1614</v>
      </c>
      <c r="B468" s="21">
        <v>45785</v>
      </c>
      <c r="C468" s="13" t="str">
        <f>Покупатели!C429</f>
        <v>Мұқаметжан</v>
      </c>
      <c r="D468" s="16" t="str">
        <f>VLOOKUP(C468,Покупатели!$C$2:$Q$738,15,0)</f>
        <v>MX4000002S0001900</v>
      </c>
    </row>
    <row r="469" spans="1:4" ht="13.2">
      <c r="A469" s="12">
        <v>1615</v>
      </c>
      <c r="B469" s="21">
        <v>45787</v>
      </c>
      <c r="C469" s="13" t="str">
        <f>Покупатели!C430</f>
        <v>Гурнаков</v>
      </c>
      <c r="D469" s="16" t="str">
        <f>VLOOKUP(C469,Покупатели!$C$2:$Q$738,15,0)</f>
        <v>MX4000002R0001864</v>
      </c>
    </row>
    <row r="470" spans="1:4" ht="13.2">
      <c r="A470" s="12">
        <v>1616</v>
      </c>
      <c r="B470" s="21">
        <v>45788</v>
      </c>
      <c r="C470" s="13" t="str">
        <f>Покупатели!C431</f>
        <v>Паралыс</v>
      </c>
      <c r="D470" s="16" t="str">
        <f>VLOOKUP(C470,Покупатели!$C$2:$Q$738,15,0)</f>
        <v>MX4000002R0001935</v>
      </c>
    </row>
    <row r="471" spans="1:4" ht="13.2">
      <c r="A471" s="12">
        <v>1617</v>
      </c>
      <c r="B471" s="21">
        <v>45789</v>
      </c>
      <c r="C471" s="13" t="str">
        <f>Покупатели!C432</f>
        <v>Байкенов</v>
      </c>
      <c r="D471" s="16" t="str">
        <f>VLOOKUP(C471,Покупатели!$C$2:$Q$738,15,0)</f>
        <v>MX4000002S0002090</v>
      </c>
    </row>
    <row r="472" spans="1:4" ht="13.2">
      <c r="A472" s="12">
        <v>1618</v>
      </c>
      <c r="B472" s="21">
        <v>45789</v>
      </c>
      <c r="C472" s="13" t="str">
        <f>Покупатели!C433</f>
        <v>Бесчетный</v>
      </c>
      <c r="D472" s="16" t="str">
        <f>VLOOKUP(C472,Покупатели!$C$2:$Q$738,15,0)</f>
        <v>MX4000002S0001919</v>
      </c>
    </row>
    <row r="473" spans="1:4" ht="13.2">
      <c r="A473" s="12">
        <v>1619</v>
      </c>
      <c r="B473" s="21">
        <v>45789</v>
      </c>
      <c r="C473" s="13" t="str">
        <f>Покупатели!C434</f>
        <v>Хасенов1</v>
      </c>
      <c r="D473" s="16" t="str">
        <f>VLOOKUP(C473,Покупатели!$C$2:$Q$738,15,0)</f>
        <v>MX4000002S0002136</v>
      </c>
    </row>
    <row r="474" spans="1:4" ht="13.2">
      <c r="A474" s="12">
        <v>1620</v>
      </c>
      <c r="B474" s="21">
        <v>45789</v>
      </c>
      <c r="C474" s="13" t="str">
        <f>Покупатели!C435</f>
        <v>Серікұлы</v>
      </c>
      <c r="D474" s="16" t="str">
        <f>VLOOKUP(C474,Покупатели!$C$2:$Q$738,15,0)</f>
        <v>MX4000004S0002111</v>
      </c>
    </row>
    <row r="475" spans="1:4" ht="13.2">
      <c r="A475" s="12">
        <v>1621</v>
      </c>
      <c r="B475" s="21">
        <v>45789</v>
      </c>
      <c r="C475" s="13" t="str">
        <f>Покупатели!C436</f>
        <v>Маер</v>
      </c>
      <c r="D475" s="16" t="str">
        <f>VLOOKUP(C475,Покупатели!$C$2:$Q$738,15,0)</f>
        <v>MX4000002S0002104</v>
      </c>
    </row>
    <row r="476" spans="1:4" ht="13.2">
      <c r="A476" s="12">
        <v>1622</v>
      </c>
      <c r="B476" s="21">
        <v>45789</v>
      </c>
      <c r="C476" s="13" t="str">
        <f>Покупатели!C437</f>
        <v>Аханов</v>
      </c>
      <c r="D476" s="16" t="str">
        <f>VLOOKUP(C476,Покупатели!$C$2:$Q$738,15,0)</f>
        <v>MX4000002S0001929</v>
      </c>
    </row>
    <row r="477" spans="1:4" ht="13.2">
      <c r="A477" s="12">
        <v>1623</v>
      </c>
      <c r="B477" s="21">
        <v>45790</v>
      </c>
      <c r="C477" s="13" t="str">
        <f>Покупатели!C438</f>
        <v>Попов</v>
      </c>
      <c r="D477" s="16" t="str">
        <f>VLOOKUP(C477,Покупатели!$C$2:$Q$738,15,0)</f>
        <v>MX4000002S0002140</v>
      </c>
    </row>
    <row r="478" spans="1:4" ht="13.2">
      <c r="A478" s="12">
        <v>1624</v>
      </c>
      <c r="B478" s="21">
        <v>45790</v>
      </c>
      <c r="C478" s="11" t="s">
        <v>53</v>
      </c>
      <c r="D478" s="11" t="s">
        <v>54</v>
      </c>
    </row>
    <row r="479" spans="1:4" ht="13.2">
      <c r="A479" s="12">
        <v>1625</v>
      </c>
      <c r="B479" s="21">
        <v>45790</v>
      </c>
      <c r="C479" s="13" t="str">
        <f>Покупатели!C439</f>
        <v>Махамбетова</v>
      </c>
      <c r="D479" s="16" t="str">
        <f>VLOOKUP(C479,Покупатели!$C$2:$Q$738,15,0)</f>
        <v>MX4000002S0002114</v>
      </c>
    </row>
    <row r="480" spans="1:4" ht="13.2">
      <c r="A480" s="12">
        <v>1626</v>
      </c>
      <c r="B480" s="21">
        <v>45791</v>
      </c>
      <c r="C480" s="13" t="str">
        <f>Покупатели!C440</f>
        <v>Асанбаев</v>
      </c>
      <c r="D480" s="16" t="str">
        <f>VLOOKUP(C480,Покупатели!$C$2:$Q$738,15,0)</f>
        <v>MX4000002S0002147</v>
      </c>
    </row>
    <row r="481" spans="1:4" ht="13.2">
      <c r="A481" s="12">
        <v>1627</v>
      </c>
      <c r="B481" s="21">
        <v>45791</v>
      </c>
      <c r="C481" s="13" t="str">
        <f>Покупатели!C441</f>
        <v>Тоқтамұрат1</v>
      </c>
      <c r="D481" s="16" t="str">
        <f>VLOOKUP(C481,Покупатели!$C$2:$Q$738,15,0)</f>
        <v>MX4000002S0002141</v>
      </c>
    </row>
    <row r="482" spans="1:4" ht="13.2">
      <c r="A482" s="12">
        <v>1628</v>
      </c>
      <c r="B482" s="21">
        <v>45791</v>
      </c>
      <c r="C482" s="13" t="str">
        <f>Покупатели!C442</f>
        <v>Тущанов</v>
      </c>
      <c r="D482" s="16" t="str">
        <f>VLOOKUP(C482,Покупатели!$C$2:$Q$738,15,0)</f>
        <v>MX4000002S0002145</v>
      </c>
    </row>
    <row r="483" spans="1:4" ht="13.2">
      <c r="A483" s="12">
        <v>1629</v>
      </c>
      <c r="B483" s="21">
        <v>45791</v>
      </c>
      <c r="C483" s="13" t="str">
        <f>Покупатели!C443</f>
        <v>Мадиев</v>
      </c>
      <c r="D483" s="16" t="str">
        <f>VLOOKUP(C483,Покупатели!$C$2:$Q$738,15,0)</f>
        <v>MX4000002S0002149</v>
      </c>
    </row>
    <row r="484" spans="1:4" ht="13.2">
      <c r="A484" s="12">
        <v>1630</v>
      </c>
      <c r="B484" s="21">
        <v>45791</v>
      </c>
      <c r="C484" s="13" t="str">
        <f>Покупатели!C444</f>
        <v>Матаев</v>
      </c>
      <c r="D484" s="16" t="str">
        <f>VLOOKUP(C484,Покупатели!$C$2:$Q$738,15,0)</f>
        <v>MX4000002S0001921</v>
      </c>
    </row>
    <row r="485" spans="1:4" ht="13.2">
      <c r="A485" s="12">
        <v>1631</v>
      </c>
      <c r="B485" s="10">
        <v>45762</v>
      </c>
      <c r="C485" s="11" t="s">
        <v>55</v>
      </c>
      <c r="D485" s="11" t="s">
        <v>56</v>
      </c>
    </row>
    <row r="486" spans="1:4" ht="13.2">
      <c r="A486" s="12">
        <v>1632</v>
      </c>
      <c r="B486" s="21">
        <v>45793</v>
      </c>
      <c r="C486" s="13" t="str">
        <f>Покупатели!C445</f>
        <v>Авдгалах</v>
      </c>
      <c r="D486" s="16" t="str">
        <f>VLOOKUP(C486,Покупатели!$C$2:$Q$738,15,0)</f>
        <v>MX4000004S0002150</v>
      </c>
    </row>
    <row r="487" spans="1:4" ht="13.2">
      <c r="A487" s="12">
        <v>1633</v>
      </c>
      <c r="B487" s="21">
        <v>45794</v>
      </c>
      <c r="C487" s="13" t="str">
        <f>Покупатели!C446</f>
        <v>Садуов</v>
      </c>
      <c r="D487" s="16" t="str">
        <f>VLOOKUP(C487,Покупатели!$C$2:$Q$738,15,0)</f>
        <v>MX4000002S0001930</v>
      </c>
    </row>
    <row r="488" spans="1:4" ht="13.2">
      <c r="A488" s="12">
        <v>1634</v>
      </c>
      <c r="B488" s="10">
        <v>45794</v>
      </c>
      <c r="C488" s="13" t="str">
        <f>Покупатели!C447</f>
        <v>Габченко</v>
      </c>
      <c r="D488" s="16" t="str">
        <f>VLOOKUP(C488,Покупатели!$C$2:$Q$738,15,0)</f>
        <v>MX4000002S0002155</v>
      </c>
    </row>
    <row r="489" spans="1:4" ht="13.2">
      <c r="A489" s="12">
        <v>1635</v>
      </c>
      <c r="B489" s="21">
        <v>45796</v>
      </c>
      <c r="C489" s="13" t="str">
        <f>Покупатели!C732</f>
        <v>Бердиханову 1</v>
      </c>
      <c r="D489" s="16" t="str">
        <f>VLOOKUP(C489,Покупатели!$C$2:$Q$738,15,0)</f>
        <v>MX4000002S0001968</v>
      </c>
    </row>
    <row r="490" spans="1:4" ht="13.2">
      <c r="A490" s="12">
        <v>1636</v>
      </c>
      <c r="B490" s="21">
        <v>45796</v>
      </c>
      <c r="C490" s="13" t="str">
        <f>Покупатели!C448</f>
        <v>Ашербеков</v>
      </c>
      <c r="D490" s="16" t="str">
        <f>VLOOKUP(C490,Покупатели!$C$2:$Q$738,15,0)</f>
        <v>MX4000002S0002158</v>
      </c>
    </row>
    <row r="491" spans="1:4" ht="13.2">
      <c r="A491" s="12">
        <v>1637</v>
      </c>
      <c r="B491" s="21">
        <v>45796</v>
      </c>
      <c r="C491" s="13" t="str">
        <f>Покупатели!C449</f>
        <v>Балахан</v>
      </c>
      <c r="D491" s="16" t="str">
        <f>VLOOKUP(C491,Покупатели!$C$2:$Q$738,15,0)</f>
        <v>MX4000004S0002133</v>
      </c>
    </row>
    <row r="492" spans="1:4" ht="13.2">
      <c r="A492" s="12">
        <v>1638</v>
      </c>
      <c r="B492" s="21">
        <v>45796</v>
      </c>
      <c r="C492" s="11" t="s">
        <v>57</v>
      </c>
      <c r="D492" s="11" t="s">
        <v>58</v>
      </c>
    </row>
    <row r="493" spans="1:4" ht="13.2">
      <c r="A493" s="12">
        <v>1639</v>
      </c>
      <c r="B493" s="21">
        <v>45796</v>
      </c>
      <c r="C493" s="11" t="s">
        <v>59</v>
      </c>
      <c r="D493" s="16" t="str">
        <f>VLOOKUP(C493,Покупатели!$C$2:$Q$738,15,0)</f>
        <v>MX4000002R0001627</v>
      </c>
    </row>
    <row r="494" spans="1:4" ht="13.2">
      <c r="A494" s="12">
        <v>1640</v>
      </c>
      <c r="B494" s="21">
        <v>45796</v>
      </c>
      <c r="C494" s="13" t="str">
        <f>Покупатели!C451</f>
        <v>Асанов</v>
      </c>
      <c r="D494" s="16" t="str">
        <f>VLOOKUP(C494,Покупатели!$C$2:$Q$738,15,0)</f>
        <v>MX4000002S0002151</v>
      </c>
    </row>
    <row r="495" spans="1:4" ht="13.2">
      <c r="A495" s="12">
        <v>1641</v>
      </c>
      <c r="B495" s="21">
        <v>45796</v>
      </c>
      <c r="C495" s="13" t="str">
        <f>Покупатели!C452</f>
        <v>Өмірлі</v>
      </c>
      <c r="D495" s="16" t="str">
        <f>VLOOKUP(C495,Покупатели!$C$2:$Q$738,15,0)</f>
        <v>MX4000002S0001963</v>
      </c>
    </row>
    <row r="496" spans="1:4" ht="13.2">
      <c r="A496" s="12">
        <v>1642</v>
      </c>
      <c r="B496" s="21">
        <v>45797</v>
      </c>
      <c r="C496" s="13" t="str">
        <f>Покупатели!C453</f>
        <v>Сулейменов 1</v>
      </c>
      <c r="D496" s="16" t="str">
        <f>VLOOKUP(C496,Покупатели!$C$2:$Q$738,15,0)</f>
        <v>MX4000002S0002146</v>
      </c>
    </row>
    <row r="497" spans="1:4" ht="13.2">
      <c r="A497" s="12">
        <v>1643</v>
      </c>
      <c r="B497" s="21">
        <v>45797</v>
      </c>
      <c r="C497" s="13" t="str">
        <f>Покупатели!C454</f>
        <v>Конюша</v>
      </c>
      <c r="D497" s="16" t="str">
        <f>VLOOKUP(C497,Покупатели!$C$2:$Q$738,15,0)</f>
        <v>MX4000002S0002162</v>
      </c>
    </row>
    <row r="498" spans="1:4" ht="13.2">
      <c r="A498" s="12">
        <v>1644</v>
      </c>
      <c r="B498" s="21">
        <v>45798</v>
      </c>
      <c r="C498" s="13" t="str">
        <f>Покупатели!C455</f>
        <v>Туленов</v>
      </c>
      <c r="D498" s="16" t="str">
        <f>VLOOKUP(C498,Покупатели!$C$2:$Q$738,15,0)</f>
        <v>MX4000002S0002148</v>
      </c>
    </row>
    <row r="499" spans="1:4" ht="13.2">
      <c r="A499" s="12">
        <v>1645</v>
      </c>
      <c r="B499" s="21">
        <v>45798</v>
      </c>
      <c r="C499" s="13" t="str">
        <f>Покупатели!C456</f>
        <v>Акбердин</v>
      </c>
      <c r="D499" s="16" t="str">
        <f>VLOOKUP(C499,Покупатели!$C$2:$Q$738,15,0)</f>
        <v>MX4000002S0002166</v>
      </c>
    </row>
    <row r="500" spans="1:4" ht="13.2">
      <c r="A500" s="12">
        <v>1646</v>
      </c>
      <c r="B500" s="21">
        <v>45798</v>
      </c>
      <c r="C500" s="13" t="str">
        <f>Покупатели!C457</f>
        <v>Темирханов</v>
      </c>
      <c r="D500" s="16" t="str">
        <f>VLOOKUP(C500,Покупатели!$C$2:$Q$738,15,0)</f>
        <v>MX4000002S0002164</v>
      </c>
    </row>
    <row r="501" spans="1:4" ht="13.2">
      <c r="A501" s="12">
        <v>1647</v>
      </c>
      <c r="B501" s="21">
        <v>45798</v>
      </c>
      <c r="C501" s="13" t="str">
        <f>Покупатели!C458</f>
        <v>Айкенов</v>
      </c>
      <c r="D501" s="16" t="str">
        <f>VLOOKUP(C501,Покупатели!$C$2:$Q$738,15,0)</f>
        <v>MX4000002S0001979</v>
      </c>
    </row>
    <row r="502" spans="1:4" ht="13.2">
      <c r="A502" s="12">
        <v>1648</v>
      </c>
      <c r="B502" s="21">
        <v>45799</v>
      </c>
      <c r="C502" s="13" t="str">
        <f>Покупатели!C459</f>
        <v>Мошанов</v>
      </c>
      <c r="D502" s="16" t="str">
        <f>VLOOKUP(C502,Покупатели!$C$2:$Q$738,15,0)</f>
        <v>MX4000002S0002159</v>
      </c>
    </row>
    <row r="503" spans="1:4" ht="13.2">
      <c r="A503" s="12">
        <v>1649</v>
      </c>
      <c r="B503" s="21">
        <v>45800</v>
      </c>
      <c r="C503" s="13" t="str">
        <f>'юр лица'!C13</f>
        <v>"ЕН-ДАЛА"</v>
      </c>
      <c r="D503" s="8" t="s">
        <v>60</v>
      </c>
    </row>
    <row r="504" spans="1:4" ht="13.2">
      <c r="A504" s="12">
        <v>1650</v>
      </c>
      <c r="B504" s="21">
        <v>45800</v>
      </c>
      <c r="C504" s="13" t="str">
        <f>Покупатели!C460</f>
        <v>Аскарова</v>
      </c>
      <c r="D504" s="16" t="str">
        <f>VLOOKUP(C504,Покупатели!$C$2:$Q$738,15,0)</f>
        <v>MX4000002S0002167</v>
      </c>
    </row>
    <row r="505" spans="1:4" ht="13.2">
      <c r="A505" s="12">
        <v>1651</v>
      </c>
      <c r="B505" s="21">
        <v>45800</v>
      </c>
      <c r="C505" s="13" t="str">
        <f>Покупатели!C461</f>
        <v>Степаненко 1</v>
      </c>
      <c r="D505" s="16" t="str">
        <f>VLOOKUP(C505,Покупатели!$C$2:$Q$738,15,0)</f>
        <v>MX4000002S0002170</v>
      </c>
    </row>
    <row r="506" spans="1:4" ht="13.2">
      <c r="A506" s="12">
        <v>1652</v>
      </c>
      <c r="B506" s="21">
        <v>45800</v>
      </c>
      <c r="C506" s="13" t="str">
        <f>Покупатели!C462</f>
        <v>Мухаметкаримов</v>
      </c>
      <c r="D506" s="16" t="str">
        <f>VLOOKUP(C506,Покупатели!$C$2:$Q$738,15,0)</f>
        <v>MX4000002S0002171</v>
      </c>
    </row>
    <row r="507" spans="1:4" ht="13.2">
      <c r="A507" s="12">
        <v>1653</v>
      </c>
      <c r="B507" s="21">
        <v>45800</v>
      </c>
      <c r="C507" s="13" t="str">
        <f>Покупатели!C463</f>
        <v>Гасанов 1</v>
      </c>
      <c r="D507" s="16" t="str">
        <f>VLOOKUP(C507,Покупатели!$C$2:$Q$738,15,0)</f>
        <v>MX4000002S0002169</v>
      </c>
    </row>
    <row r="508" spans="1:4" ht="13.2">
      <c r="A508" s="12">
        <v>1654</v>
      </c>
      <c r="B508" s="21">
        <v>45801</v>
      </c>
      <c r="C508" s="13" t="str">
        <f>Покупатели!C464</f>
        <v>Эргарт</v>
      </c>
      <c r="D508" s="16" t="str">
        <f>VLOOKUP(C508,Покупатели!$C$2:$Q$738,15,0)</f>
        <v>MX4000002S0002163</v>
      </c>
    </row>
    <row r="509" spans="1:4" ht="13.2">
      <c r="A509" s="12">
        <v>1655</v>
      </c>
      <c r="B509" s="21">
        <v>45803</v>
      </c>
      <c r="C509" s="13" t="str">
        <f>Покупатели!C465</f>
        <v>Колдин</v>
      </c>
      <c r="D509" s="16" t="str">
        <f>VLOOKUP(C509,Покупатели!$C$2:$Q$738,15,0)</f>
        <v>MX4000002S0002128</v>
      </c>
    </row>
    <row r="510" spans="1:4" ht="13.2">
      <c r="A510" s="12">
        <v>1656</v>
      </c>
      <c r="B510" s="21">
        <v>45803</v>
      </c>
      <c r="C510" s="13" t="str">
        <f>Покупатели!C466</f>
        <v>Ахметхан</v>
      </c>
      <c r="D510" s="16" t="str">
        <f>VLOOKUP(C510,Покупатели!$C$2:$Q$738,15,0)</f>
        <v>MX4000004S0002172</v>
      </c>
    </row>
    <row r="511" spans="1:4" ht="13.2">
      <c r="A511" s="12">
        <v>1657</v>
      </c>
      <c r="B511" s="21">
        <v>45803</v>
      </c>
      <c r="C511" s="13" t="str">
        <f>Покупатели!C467</f>
        <v>Төлендіұлы</v>
      </c>
      <c r="D511" s="16" t="str">
        <f>VLOOKUP(C511,Покупатели!$C$2:$Q$738,15,0)</f>
        <v>MX4000002S0001913</v>
      </c>
    </row>
    <row r="512" spans="1:4" ht="13.2">
      <c r="A512" s="12">
        <v>1658</v>
      </c>
      <c r="B512" s="21">
        <v>45804</v>
      </c>
      <c r="C512" s="13" t="str">
        <f>Покупатели!C468</f>
        <v>Турешев</v>
      </c>
      <c r="D512" s="16" t="str">
        <f>VLOOKUP(C512,Покупатели!$C$2:$Q$738,15,0)</f>
        <v>MX4000002S0002160</v>
      </c>
    </row>
    <row r="513" spans="1:4" ht="13.2">
      <c r="A513" s="12">
        <v>1659</v>
      </c>
      <c r="B513" s="21">
        <v>45804</v>
      </c>
      <c r="C513" s="13" t="str">
        <f>Покупатели!C469</f>
        <v>Дрожанников</v>
      </c>
      <c r="D513" s="16" t="str">
        <f>VLOOKUP(C513,Покупатели!$C$2:$Q$738,15,0)</f>
        <v>MX4000004S0002106</v>
      </c>
    </row>
    <row r="514" spans="1:4" ht="13.2">
      <c r="A514" s="12">
        <v>1660</v>
      </c>
      <c r="B514" s="21">
        <v>45804</v>
      </c>
      <c r="C514" s="13" t="str">
        <f>Покупатели!C470</f>
        <v>Абиров</v>
      </c>
      <c r="D514" s="16" t="str">
        <f>VLOOKUP(C514,Покупатели!$C$2:$Q$738,15,0)</f>
        <v>MX4000002S0001912</v>
      </c>
    </row>
    <row r="515" spans="1:4" ht="13.2">
      <c r="A515" s="12">
        <v>1661</v>
      </c>
      <c r="B515" s="21">
        <v>45804</v>
      </c>
      <c r="C515" s="13" t="str">
        <f>Покупатели!C471</f>
        <v>Коптлеуов</v>
      </c>
      <c r="D515" s="16" t="str">
        <f>VLOOKUP(C515,Покупатели!$C$2:$Q$738,15,0)</f>
        <v>MX4000002S0002125</v>
      </c>
    </row>
    <row r="516" spans="1:4" ht="13.2">
      <c r="A516" s="12">
        <v>1662</v>
      </c>
      <c r="B516" s="21">
        <v>45804</v>
      </c>
      <c r="C516" s="13" t="str">
        <f>Покупатели!C472</f>
        <v>Клеймёнов</v>
      </c>
      <c r="D516" s="16" t="str">
        <f>VLOOKUP(C516,Покупатели!$C$2:$Q$738,15,0)</f>
        <v>MX4000002S0001964</v>
      </c>
    </row>
    <row r="517" spans="1:4" ht="13.2">
      <c r="A517" s="12">
        <v>1663</v>
      </c>
      <c r="B517" s="21">
        <v>45805</v>
      </c>
      <c r="C517" s="13" t="str">
        <f>Покупатели!C473</f>
        <v>Нурболат</v>
      </c>
      <c r="D517" s="16" t="str">
        <f>VLOOKUP(C517,Покупатели!$C$2:$Q$738,15,0)</f>
        <v>MX4000002S0002173</v>
      </c>
    </row>
    <row r="518" spans="1:4" ht="13.2">
      <c r="A518" s="12">
        <v>1664</v>
      </c>
      <c r="B518" s="21">
        <v>45806</v>
      </c>
      <c r="C518" s="13" t="str">
        <f>'юр лица'!C14</f>
        <v>"Арлан систем НС"</v>
      </c>
      <c r="D518" s="8" t="s">
        <v>61</v>
      </c>
    </row>
    <row r="519" spans="1:4" ht="13.2">
      <c r="A519" s="12">
        <v>1665</v>
      </c>
      <c r="B519" s="21">
        <v>45806</v>
      </c>
      <c r="C519" s="13" t="str">
        <f>Покупатели!C474</f>
        <v>Ибрагимов</v>
      </c>
      <c r="D519" s="16" t="str">
        <f>VLOOKUP(C519,Покупатели!$C$2:$Q$738,15,0)</f>
        <v>MX4000002S0002179</v>
      </c>
    </row>
    <row r="520" spans="1:4" ht="13.2">
      <c r="A520" s="12">
        <v>1666</v>
      </c>
      <c r="B520" s="21">
        <v>45806</v>
      </c>
      <c r="C520" s="13" t="str">
        <f>Покупатели!C475</f>
        <v>Жанаев</v>
      </c>
      <c r="D520" s="16" t="str">
        <f>VLOOKUP(C520,Покупатели!$C$2:$Q$738,15,0)</f>
        <v>MX4000002S0002142</v>
      </c>
    </row>
    <row r="521" spans="1:4" ht="13.2">
      <c r="A521" s="12">
        <v>1667</v>
      </c>
      <c r="B521" s="21">
        <v>45806</v>
      </c>
      <c r="C521" s="13" t="str">
        <f>Покупатели!C476</f>
        <v>Нурмаганов</v>
      </c>
      <c r="D521" s="16" t="str">
        <f>VLOOKUP(C521,Покупатели!$C$2:$Q$738,15,0)</f>
        <v>MX4000002S0002180</v>
      </c>
    </row>
    <row r="522" spans="1:4" ht="13.2">
      <c r="A522" s="12">
        <v>1668</v>
      </c>
      <c r="B522" s="21">
        <v>45806</v>
      </c>
      <c r="C522" s="15" t="s">
        <v>62</v>
      </c>
      <c r="D522" s="8" t="s">
        <v>63</v>
      </c>
    </row>
    <row r="523" spans="1:4" ht="13.2">
      <c r="A523" s="12">
        <v>1669</v>
      </c>
      <c r="B523" s="21">
        <v>45807</v>
      </c>
      <c r="C523" s="13" t="str">
        <f>Покупатели!C477</f>
        <v>Уразов</v>
      </c>
      <c r="D523" s="16" t="str">
        <f>VLOOKUP(C523,Покупатели!$C$2:$Q$738,15,0)</f>
        <v>MX4000002S0002181</v>
      </c>
    </row>
    <row r="524" spans="1:4" ht="13.2">
      <c r="A524" s="12">
        <v>1670</v>
      </c>
      <c r="B524" s="21">
        <v>45807</v>
      </c>
      <c r="C524" s="13" t="str">
        <f>Покупатели!C478</f>
        <v>Кабдин</v>
      </c>
      <c r="D524" s="16" t="str">
        <f>VLOOKUP(C524,Покупатели!$C$2:$Q$738,15,0)</f>
        <v>MX4000002S0002168</v>
      </c>
    </row>
    <row r="525" spans="1:4" ht="13.2">
      <c r="A525" s="12">
        <v>1671</v>
      </c>
      <c r="B525" s="21">
        <v>45807</v>
      </c>
      <c r="C525" s="13" t="str">
        <f>Покупатели!C479</f>
        <v>Еңсегенов</v>
      </c>
      <c r="D525" s="16" t="str">
        <f>VLOOKUP(C525,Покупатели!$C$2:$Q$738,15,0)</f>
        <v>MX4000002S0002178</v>
      </c>
    </row>
    <row r="526" spans="1:4" ht="13.2">
      <c r="A526" s="12">
        <v>1672</v>
      </c>
      <c r="B526" s="21">
        <v>45807</v>
      </c>
      <c r="C526" s="13" t="str">
        <f>Покупатели!C480</f>
        <v>Заборин</v>
      </c>
      <c r="D526" s="16" t="str">
        <f>VLOOKUP(C526,Покупатели!$C$2:$Q$738,15,0)</f>
        <v>MX4000002S0001927</v>
      </c>
    </row>
    <row r="527" spans="1:4" ht="13.2">
      <c r="A527" s="12">
        <v>1673</v>
      </c>
      <c r="B527" s="21">
        <v>45807</v>
      </c>
      <c r="C527" s="13" t="str">
        <f>Покупатели!C481</f>
        <v>Голубев</v>
      </c>
      <c r="D527" s="16" t="str">
        <f>VLOOKUP(C527,Покупатели!$C$2:$Q$738,15,0)</f>
        <v>MX4000002S0002174</v>
      </c>
    </row>
    <row r="528" spans="1:4" ht="13.2">
      <c r="A528" s="12">
        <v>1674</v>
      </c>
      <c r="B528" s="21">
        <v>45810</v>
      </c>
      <c r="C528" s="13" t="str">
        <f>Покупатели!C482</f>
        <v>Дуйсембаев</v>
      </c>
      <c r="D528" s="16" t="str">
        <f>VLOOKUP(C528,Покупатели!$C$2:$Q$738,15,0)</f>
        <v>MX4000002S0002184</v>
      </c>
    </row>
    <row r="529" spans="1:4" ht="13.2">
      <c r="A529" s="12">
        <v>1675</v>
      </c>
      <c r="B529" s="21">
        <v>45810</v>
      </c>
      <c r="C529" s="13" t="str">
        <f>Покупатели!C483</f>
        <v>Убраимов</v>
      </c>
      <c r="D529" s="16" t="str">
        <f>VLOOKUP(C529,Покупатели!$C$2:$Q$738,15,0)</f>
        <v>MX4000004S0002132</v>
      </c>
    </row>
    <row r="530" spans="1:4" ht="13.2">
      <c r="A530" s="12">
        <v>1676</v>
      </c>
      <c r="B530" s="21">
        <v>45811</v>
      </c>
      <c r="C530" s="13" t="str">
        <f>Покупатели!C484</f>
        <v>Абдиров</v>
      </c>
      <c r="D530" s="16" t="str">
        <f>VLOOKUP(C530,Покупатели!$C$2:$Q$738,15,0)</f>
        <v>MX4000002S0002176</v>
      </c>
    </row>
    <row r="531" spans="1:4" ht="13.2">
      <c r="A531" s="12">
        <v>1677</v>
      </c>
      <c r="B531" s="21">
        <v>45811</v>
      </c>
      <c r="C531" s="13" t="str">
        <f>Покупатели!C733</f>
        <v>Бердиханов 2</v>
      </c>
      <c r="D531" s="16" t="str">
        <f>VLOOKUP(C531,Покупатели!$C$2:$Q$738,15,0)</f>
        <v>MX4000002S0001907</v>
      </c>
    </row>
    <row r="532" spans="1:4" ht="13.2">
      <c r="A532" s="12">
        <v>1678</v>
      </c>
      <c r="B532" s="21">
        <v>45811</v>
      </c>
      <c r="C532" s="11" t="s">
        <v>64</v>
      </c>
    </row>
    <row r="533" spans="1:4" ht="13.2">
      <c r="A533" s="12">
        <v>1679</v>
      </c>
      <c r="B533" s="21">
        <v>45811</v>
      </c>
      <c r="C533" s="13" t="str">
        <f>Покупатели!C485</f>
        <v>Жуков</v>
      </c>
      <c r="D533" s="16" t="str">
        <f>VLOOKUP(C533,Покупатели!$C$2:$Q$738,15,0)</f>
        <v>MX4000002S0002186</v>
      </c>
    </row>
    <row r="534" spans="1:4" ht="13.2">
      <c r="A534" s="12">
        <v>1680</v>
      </c>
      <c r="B534" s="21">
        <v>45813</v>
      </c>
      <c r="C534" s="13" t="str">
        <f>Покупатели!C486</f>
        <v>Чичеров</v>
      </c>
      <c r="D534" s="16" t="str">
        <f>VLOOKUP(C534,Покупатели!$C$2:$Q$738,15,0)</f>
        <v>MX4000002S0002188</v>
      </c>
    </row>
    <row r="535" spans="1:4" ht="13.2">
      <c r="A535" s="12">
        <v>1681</v>
      </c>
      <c r="B535" s="21">
        <v>45815</v>
      </c>
      <c r="C535" s="13" t="str">
        <f>Покупатели!C487</f>
        <v>Зайцев</v>
      </c>
      <c r="D535" s="16" t="str">
        <f>VLOOKUP(C535,Покупатели!$C$2:$Q$738,15,0)</f>
        <v>MX4000002S0001962</v>
      </c>
    </row>
    <row r="536" spans="1:4" ht="13.2">
      <c r="A536" s="12">
        <v>1682</v>
      </c>
      <c r="B536" s="21">
        <v>45813</v>
      </c>
      <c r="C536" s="13" t="str">
        <f>Покупатели!C488</f>
        <v>Оразалин</v>
      </c>
      <c r="D536" s="16" t="str">
        <f>VLOOKUP(C536,Покупатели!$C$2:$Q$738,15,0)</f>
        <v>MX4000002S0002191</v>
      </c>
    </row>
    <row r="537" spans="1:4" ht="13.2">
      <c r="A537" s="12">
        <v>1683</v>
      </c>
      <c r="B537" s="21">
        <v>45813</v>
      </c>
      <c r="C537" s="13" t="str">
        <f>Покупатели!C489</f>
        <v>Андрющенко</v>
      </c>
      <c r="D537" s="16" t="str">
        <f>VLOOKUP(C537,Покупатели!$C$2:$Q$738,15,0)</f>
        <v>MX4000002S0002182</v>
      </c>
    </row>
    <row r="538" spans="1:4" ht="13.2">
      <c r="A538" s="12">
        <v>1684</v>
      </c>
      <c r="B538" s="21">
        <v>45814</v>
      </c>
      <c r="C538" s="13" t="str">
        <f>Покупатели!C490</f>
        <v>Жумабеков</v>
      </c>
      <c r="D538" s="16" t="str">
        <f>VLOOKUP(C538,Покупатели!$C$2:$Q$738,15,0)</f>
        <v>MX4000002S0001914</v>
      </c>
    </row>
    <row r="539" spans="1:4" ht="13.2">
      <c r="A539" s="12">
        <v>1685</v>
      </c>
      <c r="B539" s="21">
        <v>45814</v>
      </c>
      <c r="C539" s="13" t="str">
        <f>Покупатели!C491</f>
        <v>Катанова</v>
      </c>
      <c r="D539" s="16" t="str">
        <f>VLOOKUP(C539,Покупатели!$C$2:$Q$738,15,0)</f>
        <v>MX4000002S0002039</v>
      </c>
    </row>
    <row r="540" spans="1:4" ht="13.2">
      <c r="A540" s="12">
        <v>1686</v>
      </c>
      <c r="B540" s="21">
        <v>45817</v>
      </c>
      <c r="C540" s="11" t="s">
        <v>65</v>
      </c>
    </row>
    <row r="541" spans="1:4" ht="13.2">
      <c r="A541" s="12">
        <v>1687</v>
      </c>
      <c r="B541" s="21">
        <v>45818</v>
      </c>
      <c r="C541" s="13" t="str">
        <f>Покупатели!C492</f>
        <v>Игиликов</v>
      </c>
      <c r="D541" s="16" t="str">
        <f>VLOOKUP(C541,Покупатели!$C$2:$Q$738,15,0)</f>
        <v>MX4000002S0001928</v>
      </c>
    </row>
    <row r="542" spans="1:4" ht="13.2">
      <c r="A542" s="12">
        <v>1688</v>
      </c>
      <c r="B542" s="21">
        <v>45818</v>
      </c>
      <c r="C542" s="11" t="s">
        <v>66</v>
      </c>
      <c r="D542" s="11" t="s">
        <v>67</v>
      </c>
    </row>
    <row r="543" spans="1:4" ht="13.2">
      <c r="A543" s="12">
        <v>1689</v>
      </c>
      <c r="B543" s="21">
        <v>45818</v>
      </c>
      <c r="C543" s="11" t="str">
        <f>'юр лица'!C15</f>
        <v>Лидер Stroy Групп</v>
      </c>
      <c r="D543" s="11" t="s">
        <v>68</v>
      </c>
    </row>
    <row r="544" spans="1:4" ht="13.2">
      <c r="A544" s="12">
        <v>1690</v>
      </c>
      <c r="B544" s="21">
        <v>45818</v>
      </c>
      <c r="C544" s="13" t="str">
        <f>Покупатели!C493</f>
        <v>Кемелханов</v>
      </c>
      <c r="D544" s="16" t="str">
        <f>VLOOKUP(C544,Покупатели!$C$2:$Q$738,15,0)</f>
        <v>MX4000002S0001917</v>
      </c>
    </row>
    <row r="545" spans="1:4" ht="13.2">
      <c r="A545" s="12">
        <v>1691</v>
      </c>
      <c r="B545" s="21">
        <v>45819</v>
      </c>
      <c r="C545" s="13" t="str">
        <f>Покупатели!C494</f>
        <v>Козленко</v>
      </c>
      <c r="D545" s="16" t="str">
        <f>VLOOKUP(C545,Покупатели!$C$2:$Q$738,15,0)</f>
        <v>MX4000002S0002197</v>
      </c>
    </row>
    <row r="546" spans="1:4" ht="13.2">
      <c r="A546" s="12">
        <v>1692</v>
      </c>
      <c r="B546" s="21">
        <v>45819</v>
      </c>
      <c r="C546" s="13" t="str">
        <f>Покупатели!C495</f>
        <v>Бураков</v>
      </c>
      <c r="D546" s="16" t="str">
        <f>VLOOKUP(C546,Покупатели!$C$2:$Q$738,15,0)</f>
        <v>MX4000002S0002177</v>
      </c>
    </row>
    <row r="547" spans="1:4" ht="13.2">
      <c r="A547" s="12">
        <v>1693</v>
      </c>
      <c r="B547" s="21">
        <v>45819</v>
      </c>
      <c r="C547" s="13" t="str">
        <f>Покупатели!C496</f>
        <v>Мавлют</v>
      </c>
      <c r="D547" s="16" t="str">
        <f>VLOOKUP(C547,Покупатели!$C$2:$Q$738,15,0)</f>
        <v>MX4000002S0002198</v>
      </c>
    </row>
    <row r="548" spans="1:4" ht="13.2">
      <c r="A548" s="12">
        <v>1694</v>
      </c>
      <c r="B548" s="21">
        <v>45820</v>
      </c>
      <c r="C548" s="13" t="str">
        <f>Покупатели!C497</f>
        <v>Мухатаев</v>
      </c>
      <c r="D548" s="16" t="str">
        <f>VLOOKUP(C548,Покупатели!$C$2:$Q$738,15,0)</f>
        <v>MX4000002S0002154</v>
      </c>
    </row>
    <row r="549" spans="1:4" ht="13.2">
      <c r="A549" s="12">
        <v>1695</v>
      </c>
      <c r="B549" s="21">
        <v>45821</v>
      </c>
      <c r="C549" s="13" t="str">
        <f>Покупатели!C498</f>
        <v>Сулейменов 3</v>
      </c>
      <c r="D549" s="16" t="str">
        <f>VLOOKUP(C549,Покупатели!$C$2:$Q$738,15,0)</f>
        <v>MX4000002S0002185</v>
      </c>
    </row>
    <row r="550" spans="1:4" ht="13.2">
      <c r="A550" s="12">
        <v>1696</v>
      </c>
      <c r="B550" s="21">
        <v>45824</v>
      </c>
      <c r="C550" s="13" t="str">
        <f>Покупатели!C499</f>
        <v>Бердиханов 3</v>
      </c>
      <c r="D550" s="16" t="str">
        <f>VLOOKUP(C550,Покупатели!$C$2:$Q$738,15,0)</f>
        <v>MX4000002S0002030</v>
      </c>
    </row>
    <row r="551" spans="1:4" ht="13.2">
      <c r="A551" s="12">
        <v>1697</v>
      </c>
      <c r="B551" s="21">
        <v>45824</v>
      </c>
      <c r="C551" s="13" t="str">
        <f>Покупатели!C500</f>
        <v>Литвиненко</v>
      </c>
      <c r="D551" s="16" t="str">
        <f>VLOOKUP(C551,Покупатели!$C$2:$Q$738,15,0)</f>
        <v>MX4000002S0002175</v>
      </c>
    </row>
    <row r="552" spans="1:4" ht="13.2">
      <c r="A552" s="12">
        <v>1698</v>
      </c>
      <c r="B552" s="10">
        <v>45824</v>
      </c>
      <c r="C552" s="11" t="s">
        <v>69</v>
      </c>
      <c r="D552" s="11" t="s">
        <v>70</v>
      </c>
    </row>
    <row r="553" spans="1:4" ht="13.2">
      <c r="A553" s="12">
        <v>1699</v>
      </c>
      <c r="B553" s="10">
        <v>45824</v>
      </c>
      <c r="C553" s="13" t="str">
        <f>Покупатели!C501</f>
        <v>Шакиров 1</v>
      </c>
      <c r="D553" s="16" t="str">
        <f>VLOOKUP(C553,Покупатели!$C$2:$Q$738,15,0)</f>
        <v>MX4000002S0002190</v>
      </c>
    </row>
    <row r="554" spans="1:4" ht="13.2">
      <c r="A554" s="12">
        <v>1700</v>
      </c>
      <c r="B554" s="10">
        <v>45825</v>
      </c>
      <c r="C554" s="13" t="str">
        <f>Покупатели!C502</f>
        <v>Степаненко</v>
      </c>
      <c r="D554" s="16" t="str">
        <f>VLOOKUP(C554,Покупатели!$C$2:$Q$738,15,0)</f>
        <v>MX4000002S0002206</v>
      </c>
    </row>
    <row r="555" spans="1:4" ht="13.2">
      <c r="A555" s="12">
        <v>1701</v>
      </c>
      <c r="B555" s="10">
        <v>45826</v>
      </c>
      <c r="C555" s="13" t="str">
        <f>Покупатели!C503</f>
        <v>Абдыгалиев</v>
      </c>
      <c r="D555" s="16" t="str">
        <f>VLOOKUP(C555,Покупатели!$C$2:$Q$738,15,0)</f>
        <v>MX4000002S0001932</v>
      </c>
    </row>
    <row r="556" spans="1:4" ht="13.2">
      <c r="A556" s="12">
        <v>1702</v>
      </c>
      <c r="B556" s="10">
        <v>45826</v>
      </c>
      <c r="C556" s="13" t="str">
        <f>Покупатели!C504</f>
        <v>Азиев</v>
      </c>
      <c r="D556" s="16" t="str">
        <f>VLOOKUP(C556,Покупатели!$C$2:$Q$738,15,0)</f>
        <v>MX4000002S0002110</v>
      </c>
    </row>
    <row r="557" spans="1:4" ht="13.2">
      <c r="A557" s="12">
        <v>1703</v>
      </c>
      <c r="B557" s="10">
        <v>45827</v>
      </c>
      <c r="C557" s="13" t="str">
        <f>Покупатели!C505</f>
        <v>Бойко</v>
      </c>
      <c r="D557" s="16" t="str">
        <f>VLOOKUP(C557,Покупатели!$C$2:$Q$738,15,0)</f>
        <v>MX4000002S0002199</v>
      </c>
    </row>
    <row r="558" spans="1:4" ht="13.2">
      <c r="A558" s="12">
        <v>1704</v>
      </c>
      <c r="B558" s="10">
        <v>45827</v>
      </c>
      <c r="C558" s="11" t="s">
        <v>71</v>
      </c>
      <c r="D558" s="11" t="s">
        <v>72</v>
      </c>
    </row>
    <row r="559" spans="1:4" ht="13.2">
      <c r="A559" s="12">
        <v>1705</v>
      </c>
      <c r="B559" s="10">
        <v>45828</v>
      </c>
      <c r="C559" s="13" t="str">
        <f>Покупатели!C506</f>
        <v>Марченко</v>
      </c>
      <c r="D559" s="16" t="str">
        <f>VLOOKUP(C559,Покупатели!$C$2:$Q$738,15,0)</f>
        <v>MX4000002S0002209</v>
      </c>
    </row>
    <row r="560" spans="1:4" ht="13.2">
      <c r="A560" s="12">
        <v>1706</v>
      </c>
      <c r="B560" s="10">
        <v>45829</v>
      </c>
      <c r="C560" s="13" t="str">
        <f>Покупатели!C507</f>
        <v>Аббасов</v>
      </c>
      <c r="D560" s="16" t="str">
        <f>VLOOKUP(C560,Покупатели!$C$2:$Q$738,15,0)</f>
        <v>MX4000002S0001909</v>
      </c>
    </row>
    <row r="561" spans="1:4" ht="13.2">
      <c r="A561" s="12">
        <v>1707</v>
      </c>
      <c r="B561" s="10">
        <v>45829</v>
      </c>
      <c r="C561" s="13" t="str">
        <f>Покупатели!C508</f>
        <v>Жусупов</v>
      </c>
      <c r="D561" s="16" t="str">
        <f>VLOOKUP(C561,Покупатели!$C$2:$Q$738,15,0)</f>
        <v>MX4000002S0002200</v>
      </c>
    </row>
    <row r="562" spans="1:4" ht="13.2">
      <c r="A562" s="12">
        <v>1708</v>
      </c>
      <c r="B562" s="10">
        <v>45829</v>
      </c>
      <c r="C562" s="13" t="str">
        <f>Покупатели!C509</f>
        <v>Полонская</v>
      </c>
      <c r="D562" s="16" t="str">
        <f>VLOOKUP(C562,Покупатели!$C$2:$Q$738,15,0)</f>
        <v>MX4000002S0002208</v>
      </c>
    </row>
    <row r="563" spans="1:4" ht="13.2">
      <c r="A563" s="12">
        <v>1709</v>
      </c>
      <c r="B563" s="10">
        <v>45830</v>
      </c>
      <c r="C563" s="13" t="str">
        <f>Покупатели!C510</f>
        <v>Баубеков</v>
      </c>
      <c r="D563" s="16" t="str">
        <f>VLOOKUP(C563,Покупатели!$C$2:$Q$738,15,0)</f>
        <v>MX4000002S0002205</v>
      </c>
    </row>
    <row r="564" spans="1:4" ht="13.2">
      <c r="A564" s="12">
        <v>1710</v>
      </c>
      <c r="B564" s="10">
        <v>45830</v>
      </c>
      <c r="C564" s="13" t="str">
        <f>Покупатели!C511</f>
        <v>Айтмагамбетов</v>
      </c>
      <c r="D564" s="16" t="str">
        <f>VLOOKUP(C564,Покупатели!$C$2:$Q$738,15,0)</f>
        <v>MX4000002S0002183</v>
      </c>
    </row>
    <row r="565" spans="1:4" ht="13.2">
      <c r="A565" s="12">
        <v>1711</v>
      </c>
      <c r="B565" s="10">
        <v>45831</v>
      </c>
      <c r="C565" s="13" t="str">
        <f>Покупатели!C512</f>
        <v>Теминский</v>
      </c>
      <c r="D565" s="16" t="str">
        <f>VLOOKUP(C565,Покупатели!$C$2:$Q$738,15,0)</f>
        <v>MX4000002S0002207</v>
      </c>
    </row>
    <row r="566" spans="1:4" ht="13.2">
      <c r="A566" s="12">
        <v>1712</v>
      </c>
      <c r="B566" s="10">
        <v>45831</v>
      </c>
      <c r="C566" s="11" t="s">
        <v>73</v>
      </c>
      <c r="D566" s="11" t="s">
        <v>74</v>
      </c>
    </row>
    <row r="567" spans="1:4" ht="13.2">
      <c r="A567" s="12">
        <v>1713</v>
      </c>
      <c r="B567" s="10">
        <v>45831</v>
      </c>
      <c r="C567" s="13" t="str">
        <f>Покупатели!C513</f>
        <v>Туруспеков</v>
      </c>
      <c r="D567" s="16" t="str">
        <f>VLOOKUP(C567,Покупатели!$C$2:$Q$738,15,0)</f>
        <v>MX4000002R0001726</v>
      </c>
    </row>
    <row r="568" spans="1:4" ht="13.2">
      <c r="A568" s="12">
        <v>1714</v>
      </c>
      <c r="B568" s="10">
        <v>45831</v>
      </c>
      <c r="C568" s="13" t="str">
        <f>Покупатели!C514</f>
        <v>Сарсенбаев</v>
      </c>
      <c r="D568" s="16" t="str">
        <f>VLOOKUP(C568,Покупатели!$C$2:$Q$738,15,0)</f>
        <v>MX4000002S0001969</v>
      </c>
    </row>
    <row r="569" spans="1:4" ht="13.2">
      <c r="A569" s="12">
        <v>1715</v>
      </c>
      <c r="B569" s="10">
        <v>45831</v>
      </c>
      <c r="C569" s="13" t="str">
        <f>Покупатели!C515</f>
        <v>Магжанов</v>
      </c>
      <c r="D569" s="16" t="str">
        <f>VLOOKUP(C569,Покупатели!$C$2:$Q$738,15,0)</f>
        <v>MX4000002S0002202</v>
      </c>
    </row>
    <row r="570" spans="1:4" ht="13.2">
      <c r="A570" s="12">
        <v>1716</v>
      </c>
      <c r="B570" s="10">
        <v>45831</v>
      </c>
      <c r="C570" s="13" t="str">
        <f>Покупатели!C516</f>
        <v>Гафнер</v>
      </c>
      <c r="D570" s="16" t="str">
        <f>VLOOKUP(C570,Покупатели!$C$2:$Q$738,15,0)</f>
        <v>MX4000002S0002215</v>
      </c>
    </row>
    <row r="571" spans="1:4" ht="13.2">
      <c r="A571" s="12">
        <v>1717</v>
      </c>
      <c r="B571" s="10">
        <v>45831</v>
      </c>
      <c r="C571" s="13" t="str">
        <f>Покупатели!C517</f>
        <v>Тоқатов</v>
      </c>
      <c r="D571" s="16" t="str">
        <f>VLOOKUP(C571,Покупатели!$C$2:$Q$738,15,0)</f>
        <v>MX4000002S0002204</v>
      </c>
    </row>
    <row r="572" spans="1:4" ht="13.2">
      <c r="A572" s="12">
        <v>1718</v>
      </c>
      <c r="B572" s="10">
        <v>45831</v>
      </c>
      <c r="C572" s="13" t="str">
        <f>Покупатели!C518</f>
        <v>Джамалиев</v>
      </c>
      <c r="D572" s="16" t="str">
        <f>VLOOKUP(C572,Покупатели!$C$2:$Q$738,15,0)</f>
        <v>MX4000002S0002212</v>
      </c>
    </row>
    <row r="573" spans="1:4" ht="13.2">
      <c r="A573" s="12">
        <v>1719</v>
      </c>
      <c r="B573" s="10">
        <v>45831</v>
      </c>
      <c r="C573" s="13" t="str">
        <f>Покупатели!C519</f>
        <v>Мадалиев</v>
      </c>
      <c r="D573" s="16" t="str">
        <f>VLOOKUP(C573,Покупатели!$C$2:$Q$738,15,0)</f>
        <v>MX4000004S0002196</v>
      </c>
    </row>
    <row r="574" spans="1:4" ht="13.2">
      <c r="A574" s="12">
        <v>1720</v>
      </c>
      <c r="B574" s="10">
        <v>45832</v>
      </c>
      <c r="C574" s="13" t="str">
        <f>Покупатели!C520</f>
        <v>Даутов</v>
      </c>
      <c r="D574" s="16" t="str">
        <f>VLOOKUP(C574,Покупатели!$C$2:$Q$738,15,0)</f>
        <v>MX4000002S0002134</v>
      </c>
    </row>
    <row r="575" spans="1:4" ht="13.2">
      <c r="A575" s="12">
        <v>1721</v>
      </c>
      <c r="B575" s="10">
        <v>45832</v>
      </c>
      <c r="C575" s="13" t="str">
        <f>Покупатели!C521</f>
        <v>Жумукаев</v>
      </c>
      <c r="D575" s="16" t="str">
        <f>VLOOKUP(C575,Покупатели!$C$2:$Q$738,15,0)</f>
        <v>MX4000002S0002216</v>
      </c>
    </row>
    <row r="576" spans="1:4" ht="13.2">
      <c r="A576" s="12">
        <v>1722</v>
      </c>
      <c r="B576" s="10">
        <v>45832</v>
      </c>
      <c r="C576" s="11" t="s">
        <v>75</v>
      </c>
      <c r="D576" s="13"/>
    </row>
    <row r="577" spans="1:4" ht="13.2">
      <c r="A577" s="12">
        <v>1723</v>
      </c>
      <c r="B577" s="10">
        <v>45832</v>
      </c>
      <c r="C577" s="13" t="str">
        <f>Покупатели!C522</f>
        <v>Ефременюк</v>
      </c>
      <c r="D577" s="16" t="str">
        <f>VLOOKUP(C577,Покупатели!$C$2:$Q$738,15,0)</f>
        <v>MX4000002S0002214</v>
      </c>
    </row>
    <row r="578" spans="1:4" ht="13.2">
      <c r="A578" s="12">
        <v>1724</v>
      </c>
      <c r="B578" s="10">
        <v>45833</v>
      </c>
      <c r="C578" s="13" t="str">
        <f>Покупатели!C523</f>
        <v>Таракбаев</v>
      </c>
      <c r="D578" s="16" t="str">
        <f>VLOOKUP(C578,Покупатели!$C$2:$Q$738,15,0)</f>
        <v>MX4000002S0002130</v>
      </c>
    </row>
    <row r="579" spans="1:4" ht="13.2">
      <c r="A579" s="12">
        <v>1725</v>
      </c>
      <c r="B579" s="10">
        <v>45833</v>
      </c>
      <c r="C579" s="13" t="str">
        <f>Покупатели!C524</f>
        <v>Жунусов</v>
      </c>
      <c r="D579" s="16" t="str">
        <f>VLOOKUP(C579,Покупатели!$C$2:$Q$738,15,0)</f>
        <v>MX4000002S0002217</v>
      </c>
    </row>
    <row r="580" spans="1:4" ht="13.2">
      <c r="A580" s="12">
        <v>1726</v>
      </c>
      <c r="B580" s="10">
        <v>45833</v>
      </c>
      <c r="C580" s="13" t="str">
        <f>Покупатели!C525</f>
        <v>Ахматов</v>
      </c>
      <c r="D580" s="16" t="str">
        <f>VLOOKUP(C580,Покупатели!$C$2:$Q$738,15,0)</f>
        <v>MX4000002S0002031</v>
      </c>
    </row>
    <row r="581" spans="1:4" ht="13.2">
      <c r="A581" s="12">
        <v>1727</v>
      </c>
      <c r="B581" s="10">
        <v>45839</v>
      </c>
      <c r="C581" s="13" t="str">
        <f>Покупатели!C526</f>
        <v>Кунанбаев</v>
      </c>
      <c r="D581" s="16" t="str">
        <f>VLOOKUP(C581,Покупатели!$C$2:$Q$738,15,0)</f>
        <v>MX4000002S0001908</v>
      </c>
    </row>
    <row r="582" spans="1:4" ht="13.2">
      <c r="A582" s="12">
        <v>1728</v>
      </c>
      <c r="B582" s="10">
        <v>45839</v>
      </c>
      <c r="C582" s="13" t="str">
        <f>Покупатели!C527</f>
        <v>Тлеулесов</v>
      </c>
      <c r="D582" s="16" t="str">
        <f>VLOOKUP(C582,Покупатели!$C$2:$Q$738,15,0)</f>
        <v>MX4000002S0002201</v>
      </c>
    </row>
    <row r="583" spans="1:4" ht="13.2">
      <c r="A583" s="12">
        <v>1729</v>
      </c>
      <c r="B583" s="10">
        <v>45839</v>
      </c>
      <c r="C583" s="13" t="str">
        <f>Покупатели!C528</f>
        <v>Топалов</v>
      </c>
      <c r="D583" s="16" t="str">
        <f>VLOOKUP(C583,Покупатели!$C$2:$Q$738,15,0)</f>
        <v>MX4000002S0002035</v>
      </c>
    </row>
    <row r="584" spans="1:4" ht="13.2">
      <c r="A584" s="12">
        <v>1730</v>
      </c>
      <c r="B584" s="10">
        <v>45839</v>
      </c>
      <c r="C584" s="13" t="str">
        <f>Покупатели!C529</f>
        <v>Бердиханов 4</v>
      </c>
      <c r="D584" s="16" t="str">
        <f>VLOOKUP(C584,Покупатели!$C$2:$Q$738,15,0)</f>
        <v>MX4000002S0002036</v>
      </c>
    </row>
    <row r="585" spans="1:4" ht="13.2">
      <c r="A585" s="12">
        <v>1731</v>
      </c>
      <c r="B585" s="10">
        <v>45840</v>
      </c>
      <c r="C585" s="13" t="str">
        <f>Покупатели!C530</f>
        <v>Шарипов</v>
      </c>
      <c r="D585" s="16" t="str">
        <f>VLOOKUP(C585,Покупатели!$C$2:$Q$738,15,0)</f>
        <v>MX4000002S0002223</v>
      </c>
    </row>
    <row r="586" spans="1:4" ht="13.2">
      <c r="A586" s="12">
        <v>1732</v>
      </c>
      <c r="B586" s="10">
        <v>45840</v>
      </c>
      <c r="C586" s="13" t="str">
        <f>Покупатели!C531</f>
        <v>Вятчанин</v>
      </c>
      <c r="D586" s="16" t="str">
        <f>VLOOKUP(C586,Покупатели!$C$2:$Q$738,15,0)</f>
        <v>MX4000002S0002219</v>
      </c>
    </row>
    <row r="587" spans="1:4" ht="13.2">
      <c r="A587" s="12">
        <v>1733</v>
      </c>
      <c r="B587" s="10">
        <v>45841</v>
      </c>
      <c r="C587" s="11" t="s">
        <v>76</v>
      </c>
      <c r="D587" s="11" t="s">
        <v>77</v>
      </c>
    </row>
    <row r="588" spans="1:4" ht="13.2">
      <c r="A588" s="12">
        <v>1734</v>
      </c>
      <c r="B588" s="10">
        <v>45841</v>
      </c>
      <c r="C588" s="13" t="str">
        <f>Покупатели!C532</f>
        <v>Шевченко</v>
      </c>
      <c r="D588" s="16" t="str">
        <f>VLOOKUP(C588,Покупатели!$C$2:$Q$738,15,0)</f>
        <v>MX4000002S0002213</v>
      </c>
    </row>
    <row r="589" spans="1:4" ht="13.2">
      <c r="A589" s="12">
        <v>1735</v>
      </c>
      <c r="B589" s="10">
        <v>45842</v>
      </c>
      <c r="C589" s="13" t="str">
        <f>Покупатели!C533</f>
        <v>Сыздыков 1</v>
      </c>
      <c r="D589" s="16" t="str">
        <f>VLOOKUP(C589,Покупатели!$C$2:$Q$738,15,0)</f>
        <v>MX4000002S0002218</v>
      </c>
    </row>
    <row r="590" spans="1:4" ht="13.2">
      <c r="A590" s="12">
        <v>1736</v>
      </c>
      <c r="B590" s="10">
        <v>45842</v>
      </c>
      <c r="C590" s="13" t="str">
        <f>Покупатели!C534</f>
        <v>Ульмаханов</v>
      </c>
      <c r="D590" s="16" t="str">
        <f>VLOOKUP(C590,Покупатели!$C$2:$Q$738,15,0)</f>
        <v>MX4000002S0001922</v>
      </c>
    </row>
    <row r="591" spans="1:4" ht="13.2">
      <c r="A591" s="12">
        <v>1737</v>
      </c>
      <c r="B591" s="10">
        <v>45843</v>
      </c>
      <c r="C591" s="13" t="str">
        <f>Покупатели!C535</f>
        <v>Танкеев</v>
      </c>
      <c r="D591" s="16" t="str">
        <f>VLOOKUP(C591,Покупатели!$C$2:$Q$738,15,0)</f>
        <v>MX4000002S0002221</v>
      </c>
    </row>
    <row r="592" spans="1:4" ht="13.2">
      <c r="A592" s="12">
        <v>1738</v>
      </c>
      <c r="B592" s="10">
        <v>45846</v>
      </c>
      <c r="C592" s="13" t="str">
        <f>Покупатели!C536</f>
        <v>Полукаров</v>
      </c>
      <c r="D592" s="16" t="str">
        <f>VLOOKUP(C592,Покупатели!$C$2:$Q$738,15,0)</f>
        <v>MX4000002S0002225</v>
      </c>
    </row>
    <row r="593" spans="1:4" ht="13.2">
      <c r="A593" s="12">
        <v>1739</v>
      </c>
      <c r="B593" s="10">
        <v>45848</v>
      </c>
      <c r="C593" s="13" t="str">
        <f>Покупатели!C537</f>
        <v>Ауган</v>
      </c>
      <c r="D593" s="16" t="str">
        <f>VLOOKUP(C593,Покупатели!$C$2:$Q$738,15,0)</f>
        <v>MX4000002S0002032</v>
      </c>
    </row>
    <row r="594" spans="1:4" ht="13.2">
      <c r="A594" s="12">
        <v>1740</v>
      </c>
      <c r="B594" s="10">
        <v>45848</v>
      </c>
      <c r="C594" s="13" t="str">
        <f>Покупатели!C538</f>
        <v>Логинов</v>
      </c>
      <c r="D594" s="16" t="str">
        <f>VLOOKUP(C594,Покупатели!$C$2:$Q$738,15,0)</f>
        <v>MX4000002S0001995</v>
      </c>
    </row>
    <row r="595" spans="1:4" ht="13.2">
      <c r="A595" s="12">
        <v>1741</v>
      </c>
      <c r="B595" s="10">
        <v>45849</v>
      </c>
      <c r="C595" s="13" t="str">
        <f>Покупатели!C539</f>
        <v>Куттугожин</v>
      </c>
      <c r="D595" s="16" t="str">
        <f>VLOOKUP(C595,Покупатели!$C$2:$Q$738,15,0)</f>
        <v>MX4000002S0002228</v>
      </c>
    </row>
    <row r="596" spans="1:4" ht="13.2">
      <c r="A596" s="12">
        <v>1742</v>
      </c>
      <c r="B596" s="10">
        <v>45849</v>
      </c>
      <c r="C596" s="13" t="str">
        <f>Покупатели!C540</f>
        <v>Тен</v>
      </c>
      <c r="D596" s="16" t="str">
        <f>VLOOKUP(C596,Покупатели!$C$2:$Q$738,15,0)</f>
        <v>MX4000002S0002034</v>
      </c>
    </row>
    <row r="597" spans="1:4" ht="13.2">
      <c r="A597" s="12">
        <v>1743</v>
      </c>
      <c r="B597" s="10">
        <v>45852</v>
      </c>
      <c r="C597" s="11" t="s">
        <v>78</v>
      </c>
      <c r="D597" s="11" t="s">
        <v>79</v>
      </c>
    </row>
    <row r="598" spans="1:4" ht="13.2">
      <c r="A598" s="12">
        <v>1744</v>
      </c>
      <c r="B598" s="10">
        <v>45852</v>
      </c>
      <c r="C598" s="13" t="str">
        <f>Покупатели!C541</f>
        <v>Кузнецов</v>
      </c>
      <c r="D598" s="16" t="str">
        <f>VLOOKUP(C598,Покупатели!$C$2:$Q$738,15,0)</f>
        <v>MX4000002S0002229</v>
      </c>
    </row>
    <row r="599" spans="1:4" ht="13.2">
      <c r="A599" s="12">
        <v>1745</v>
      </c>
      <c r="B599" s="10">
        <v>45852</v>
      </c>
      <c r="C599" s="13" t="str">
        <f>Покупатели!C542</f>
        <v>Семёнов</v>
      </c>
      <c r="D599" s="16" t="str">
        <f>VLOOKUP(C599,Покупатели!$C$2:$Q$738,15,0)</f>
        <v>MX4000002S0002033</v>
      </c>
    </row>
    <row r="600" spans="1:4" ht="13.2">
      <c r="A600" s="12">
        <v>1746</v>
      </c>
      <c r="B600" s="10">
        <v>45853</v>
      </c>
      <c r="C600" s="13" t="str">
        <f>Покупатели!C543</f>
        <v>Сатанова</v>
      </c>
      <c r="D600" s="16" t="str">
        <f>VLOOKUP(C600,Покупатели!$C$2:$Q$738,15,0)</f>
        <v>MX4000002S0002236</v>
      </c>
    </row>
    <row r="601" spans="1:4" ht="13.2">
      <c r="A601" s="12">
        <v>1747</v>
      </c>
      <c r="B601" s="10">
        <v>45853</v>
      </c>
      <c r="C601" s="13" t="str">
        <f>Покупатели!C544</f>
        <v>Оздоев</v>
      </c>
      <c r="D601" s="16" t="str">
        <f>VLOOKUP(C601,Покупатели!$C$2:$Q$738,15,0)</f>
        <v>MX4000002S0002226</v>
      </c>
    </row>
    <row r="602" spans="1:4" ht="13.2">
      <c r="A602" s="12">
        <v>1748</v>
      </c>
      <c r="B602" s="10">
        <v>45854</v>
      </c>
      <c r="C602" s="13" t="str">
        <f>Покупатели!C545</f>
        <v>Герасев 1</v>
      </c>
      <c r="D602" s="16" t="str">
        <f>VLOOKUP(C602,Покупатели!$C$2:$Q$738,15,0)</f>
        <v>MX4000002S0002235</v>
      </c>
    </row>
    <row r="603" spans="1:4" ht="13.2">
      <c r="A603" s="12">
        <v>1749</v>
      </c>
      <c r="B603" s="10">
        <v>45855</v>
      </c>
      <c r="C603" s="13" t="str">
        <f>Покупатели!C546</f>
        <v>Бодров</v>
      </c>
      <c r="D603" s="16" t="str">
        <f>VLOOKUP(C603,Покупатели!$C$2:$Q$738,15,0)</f>
        <v>MX4000002S0002234</v>
      </c>
    </row>
    <row r="604" spans="1:4" ht="13.2">
      <c r="A604" s="12">
        <v>1750</v>
      </c>
      <c r="B604" s="10">
        <v>45855</v>
      </c>
      <c r="C604" s="13" t="str">
        <f>Покупатели!C547</f>
        <v>Абильмажинов</v>
      </c>
      <c r="D604" s="16" t="str">
        <f>VLOOKUP(C604,Покупатели!$C$2:$Q$738,15,0)</f>
        <v>MX4000002S0001991</v>
      </c>
    </row>
    <row r="605" spans="1:4" ht="13.2">
      <c r="A605" s="12">
        <v>1751</v>
      </c>
      <c r="B605" s="10">
        <v>45855</v>
      </c>
      <c r="C605" s="13" t="str">
        <f>Покупатели!C548</f>
        <v>Гасанов</v>
      </c>
      <c r="D605" s="16" t="str">
        <f>VLOOKUP(C605,Покупатели!$C$2:$Q$738,15,0)</f>
        <v>MX4000002S0002137</v>
      </c>
    </row>
    <row r="606" spans="1:4" ht="13.2">
      <c r="A606" s="12">
        <v>1752</v>
      </c>
      <c r="B606" s="10">
        <v>45855</v>
      </c>
      <c r="C606" s="13" t="str">
        <f>Покупатели!C549</f>
        <v>Пилипенко</v>
      </c>
      <c r="D606" s="16" t="str">
        <f>VLOOKUP(C606,Покупатели!$C$2:$Q$738,15,0)</f>
        <v>MX4000002S0002227</v>
      </c>
    </row>
    <row r="607" spans="1:4" ht="13.2">
      <c r="A607" s="12">
        <v>1753</v>
      </c>
      <c r="B607" s="10">
        <v>45855</v>
      </c>
      <c r="C607" s="13" t="str">
        <f>Покупатели!C550</f>
        <v>Умирбеков</v>
      </c>
      <c r="D607" s="16" t="str">
        <f>VLOOKUP(C607,Покупатели!$C$2:$Q$738,15,0)</f>
        <v>MX4000002S0002189</v>
      </c>
    </row>
    <row r="608" spans="1:4" ht="13.2">
      <c r="A608" s="12">
        <v>1755</v>
      </c>
      <c r="B608" s="10">
        <v>45855</v>
      </c>
      <c r="C608" s="13" t="str">
        <f>Покупатели!C551</f>
        <v>Крутовцев</v>
      </c>
      <c r="D608" s="16" t="str">
        <f>VLOOKUP(C608,Покупатели!$C$2:$Q$738,15,0)</f>
        <v>MX4000002S0002222</v>
      </c>
    </row>
    <row r="609" spans="1:4" ht="13.2">
      <c r="A609" s="12">
        <v>1756</v>
      </c>
      <c r="B609" s="10">
        <v>45856</v>
      </c>
      <c r="C609" s="13" t="str">
        <f>Покупатели!C552</f>
        <v>Копбаев 1</v>
      </c>
      <c r="D609" s="16" t="str">
        <f>VLOOKUP(C609,Покупатели!$C$2:$Q$738,15,0)</f>
        <v>MX4000002S0001990</v>
      </c>
    </row>
    <row r="610" spans="1:4" ht="13.2">
      <c r="A610" s="12">
        <v>1757</v>
      </c>
      <c r="B610" s="10">
        <v>45856</v>
      </c>
      <c r="C610" s="13" t="str">
        <f>Покупатели!C553</f>
        <v>Бердиханов5</v>
      </c>
      <c r="D610" s="16" t="str">
        <f>VLOOKUP(C610,Покупатели!$C$2:$Q$738,15,0)</f>
        <v>MX4000002S0001989</v>
      </c>
    </row>
    <row r="611" spans="1:4" ht="13.2">
      <c r="A611" s="12">
        <v>1758</v>
      </c>
      <c r="B611" s="10">
        <v>45881</v>
      </c>
      <c r="C611" s="13" t="str">
        <f>Покупатели!C554</f>
        <v>Сулейменов</v>
      </c>
      <c r="D611" s="16" t="str">
        <f>VLOOKUP(C611,Покупатели!$C$2:$Q$738,15,0)</f>
        <v>MX4000004S0002241</v>
      </c>
    </row>
    <row r="612" spans="1:4" ht="13.2">
      <c r="A612" s="12">
        <v>1759</v>
      </c>
      <c r="B612" s="10">
        <v>45859</v>
      </c>
      <c r="C612" s="13" t="str">
        <f>Покупатели!C555</f>
        <v>Иващенко 1</v>
      </c>
      <c r="D612" s="16" t="str">
        <f>VLOOKUP(C612,Покупатели!$C$2:$Q$738,15,0)</f>
        <v>MX4000002S0001947</v>
      </c>
    </row>
    <row r="613" spans="1:4" ht="13.2">
      <c r="A613" s="12">
        <v>1760</v>
      </c>
      <c r="B613" s="10">
        <v>45859</v>
      </c>
      <c r="C613" s="13" t="str">
        <f>Покупатели!C556</f>
        <v>Канафин</v>
      </c>
      <c r="D613" s="16" t="str">
        <f>VLOOKUP(C613,Покупатели!$C$2:$Q$738,15,0)</f>
        <v>MX4000002S0002231</v>
      </c>
    </row>
    <row r="614" spans="1:4" ht="13.2">
      <c r="A614" s="12">
        <v>1761</v>
      </c>
      <c r="B614" s="10">
        <v>45862</v>
      </c>
      <c r="C614" s="13" t="str">
        <f>Покупатели!C557</f>
        <v>Әбдіғаппаров</v>
      </c>
      <c r="D614" s="16" t="str">
        <f>VLOOKUP(C614,Покупатели!$C$2:$Q$738,15,0)</f>
        <v>MX4000002S0002037</v>
      </c>
    </row>
    <row r="615" spans="1:4" ht="13.2">
      <c r="A615" s="12">
        <v>1762</v>
      </c>
      <c r="B615" s="10">
        <v>45862</v>
      </c>
      <c r="C615" s="13" t="str">
        <f>Покупатели!C558</f>
        <v>Згуровец</v>
      </c>
      <c r="D615" s="16" t="str">
        <f>VLOOKUP(C615,Покупатели!$C$2:$Q$738,15,0)</f>
        <v>MX4000002S0002244</v>
      </c>
    </row>
    <row r="616" spans="1:4" ht="13.2">
      <c r="A616" s="12">
        <v>1763</v>
      </c>
      <c r="B616" s="10">
        <v>45866</v>
      </c>
      <c r="C616" s="11" t="s">
        <v>80</v>
      </c>
      <c r="D616" s="11" t="s">
        <v>81</v>
      </c>
    </row>
    <row r="617" spans="1:4" ht="13.2">
      <c r="A617" s="12">
        <v>1764</v>
      </c>
      <c r="B617" s="10">
        <v>45867</v>
      </c>
      <c r="C617" s="11" t="s">
        <v>82</v>
      </c>
      <c r="D617" s="8" t="s">
        <v>83</v>
      </c>
    </row>
    <row r="618" spans="1:4" ht="13.2">
      <c r="A618" s="12">
        <v>1765</v>
      </c>
      <c r="B618" s="10">
        <v>45869</v>
      </c>
      <c r="C618" s="13" t="str">
        <f>Покупатели!C559</f>
        <v>Чернова</v>
      </c>
      <c r="D618" s="16" t="str">
        <f>VLOOKUP(C618,Покупатели!$C$2:$Q$738,15,0)</f>
        <v>MX4000002S0002062</v>
      </c>
    </row>
    <row r="619" spans="1:4" ht="13.2">
      <c r="A619" s="12">
        <v>1766</v>
      </c>
      <c r="B619" s="10">
        <v>45871</v>
      </c>
      <c r="C619" s="11" t="str">
        <f>Покупатели!C560</f>
        <v>Дукен</v>
      </c>
      <c r="D619" s="16" t="str">
        <f>VLOOKUP(C619,Покупатели!$C$2:$Q$738,15,0)</f>
        <v>MX4000002S0002249</v>
      </c>
    </row>
    <row r="620" spans="1:4" ht="13.2">
      <c r="A620" s="12">
        <v>1767</v>
      </c>
      <c r="B620" s="10">
        <v>45874</v>
      </c>
      <c r="C620" s="13" t="str">
        <f>Покупатели!C561</f>
        <v>Ильясов</v>
      </c>
      <c r="D620" s="16" t="str">
        <f>VLOOKUP(C620,Покупатели!$C$2:$Q$738,15,0)</f>
        <v>MX4000002S0002245</v>
      </c>
    </row>
    <row r="621" spans="1:4" ht="13.2">
      <c r="A621" s="12">
        <v>1768</v>
      </c>
      <c r="B621" s="10">
        <v>45874</v>
      </c>
      <c r="C621" s="11" t="str">
        <f>Покупатели!C562</f>
        <v>Поздеев</v>
      </c>
      <c r="D621" s="16" t="str">
        <f>VLOOKUP(C621,Покупатели!$C$2:$Q$738,15,0)</f>
        <v>MX4000002S0001942</v>
      </c>
    </row>
    <row r="622" spans="1:4" ht="13.2">
      <c r="A622" s="12">
        <v>1769</v>
      </c>
      <c r="B622" s="10">
        <v>45874</v>
      </c>
      <c r="C622" s="13" t="str">
        <f>Покупатели!C563</f>
        <v>Жукенов</v>
      </c>
      <c r="D622" s="16" t="str">
        <f>VLOOKUP(C622,Покупатели!$C$2:$Q$738,15,0)</f>
        <v>MX4000002S0002251</v>
      </c>
    </row>
    <row r="623" spans="1:4" ht="13.2">
      <c r="A623" s="12">
        <v>1770</v>
      </c>
      <c r="B623" s="10">
        <v>45874</v>
      </c>
      <c r="C623" s="11" t="str">
        <f>Покупатели!C564</f>
        <v>Блудший</v>
      </c>
      <c r="D623" s="16" t="str">
        <f>VLOOKUP(C623,Покупатели!$C$2:$Q$738,15,0)</f>
        <v>MX4000002S0002247</v>
      </c>
    </row>
    <row r="624" spans="1:4" ht="13.2">
      <c r="A624" s="12">
        <v>1771</v>
      </c>
      <c r="B624" s="10">
        <v>45874</v>
      </c>
      <c r="C624" s="11" t="str">
        <f>Покупатели!C565</f>
        <v>Ульман</v>
      </c>
      <c r="D624" s="16" t="str">
        <f>VLOOKUP(C624,Покупатели!$C$2:$Q$738,15,0)</f>
        <v>MX4000002S0002135</v>
      </c>
    </row>
    <row r="625" spans="1:4" ht="13.2">
      <c r="A625" s="12">
        <v>1772</v>
      </c>
      <c r="B625" s="10">
        <v>45874</v>
      </c>
      <c r="C625" s="11" t="str">
        <f>Покупатели!C566</f>
        <v>Тлеубаев</v>
      </c>
      <c r="D625" s="16" t="str">
        <f>VLOOKUP(C625,Покупатели!$C$2:$Q$738,15,0)</f>
        <v>MX4000002S0002250</v>
      </c>
    </row>
    <row r="626" spans="1:4" ht="13.2">
      <c r="A626" s="12">
        <v>1773</v>
      </c>
      <c r="B626" s="10">
        <v>45874</v>
      </c>
      <c r="C626" s="11" t="str">
        <f>Покупатели!C567</f>
        <v>Макажанов</v>
      </c>
      <c r="D626" s="16" t="str">
        <f>VLOOKUP(C626,Покупатели!$C$2:$Q$738,15,0)</f>
        <v>MX4000002S0002067</v>
      </c>
    </row>
    <row r="627" spans="1:4" ht="13.2">
      <c r="A627" s="12">
        <v>1774</v>
      </c>
      <c r="B627" s="10">
        <v>45875</v>
      </c>
      <c r="C627" s="11" t="str">
        <f>Покупатели!C568</f>
        <v>Серік</v>
      </c>
      <c r="D627" s="16" t="str">
        <f>VLOOKUP(C627,Покупатели!$C$2:$Q$738,15,0)</f>
        <v>MX4000002S0001988</v>
      </c>
    </row>
    <row r="628" spans="1:4" ht="13.2">
      <c r="A628" s="12">
        <v>1775</v>
      </c>
      <c r="B628" s="10">
        <v>45877</v>
      </c>
      <c r="C628" s="11" t="str">
        <f>Покупатели!C569</f>
        <v>Амансарин</v>
      </c>
      <c r="D628" s="16" t="str">
        <f>VLOOKUP(C628,Покупатели!$C$2:$Q$738,15,0)</f>
        <v>MX4000002S0002256</v>
      </c>
    </row>
    <row r="629" spans="1:4" ht="13.2">
      <c r="A629" s="12">
        <v>1776</v>
      </c>
      <c r="B629" s="10">
        <v>45880</v>
      </c>
      <c r="C629" s="11" t="str">
        <f>Покупатели!C570</f>
        <v>Чуйков</v>
      </c>
      <c r="D629" s="16" t="str">
        <f>VLOOKUP(C629,Покупатели!$C$2:$Q$738,15,0)</f>
        <v>MX4000002S0002257</v>
      </c>
    </row>
    <row r="630" spans="1:4" ht="13.2">
      <c r="A630" s="12">
        <v>1777</v>
      </c>
      <c r="B630" s="10">
        <v>45902</v>
      </c>
      <c r="C630" s="11" t="str">
        <f>Покупатели!C571</f>
        <v>Үндістан</v>
      </c>
      <c r="D630" s="16" t="str">
        <f>VLOOKUP(C630,Покупатели!$C$2:$Q$738,15,0)</f>
        <v>MX4000002S0001948</v>
      </c>
    </row>
    <row r="631" spans="1:4" ht="13.2">
      <c r="A631" s="12">
        <v>1778</v>
      </c>
      <c r="B631" s="10">
        <v>45880</v>
      </c>
      <c r="C631" s="11" t="str">
        <f>Покупатели!C572</f>
        <v>Васильченко</v>
      </c>
      <c r="D631" s="16" t="str">
        <f>VLOOKUP(C631,Покупатели!$C$2:$Q$738,15,0)</f>
        <v>MX4000002S0001992</v>
      </c>
    </row>
    <row r="632" spans="1:4" ht="13.2">
      <c r="A632" s="12">
        <v>1779</v>
      </c>
      <c r="B632" s="10">
        <v>45883</v>
      </c>
      <c r="C632" s="11" t="str">
        <f>Покупатели!C573</f>
        <v>Джапаров</v>
      </c>
      <c r="D632" s="16" t="str">
        <f>VLOOKUP(C632,Покупатели!$C$2:$Q$738,15,0)</f>
        <v>MX4000002S0002065</v>
      </c>
    </row>
    <row r="633" spans="1:4" ht="13.2">
      <c r="A633" s="12">
        <v>1780</v>
      </c>
      <c r="B633" s="10">
        <v>45883</v>
      </c>
      <c r="C633" s="11" t="str">
        <f>Покупатели!C574</f>
        <v>Доценко</v>
      </c>
      <c r="D633" s="16" t="str">
        <f>VLOOKUP(C633,Покупатели!$C$2:$Q$738,15,0)</f>
        <v>MX4000002S0002194</v>
      </c>
    </row>
    <row r="634" spans="1:4" ht="13.2">
      <c r="A634" s="12">
        <v>1781</v>
      </c>
      <c r="B634" s="10">
        <v>45883</v>
      </c>
      <c r="C634" s="11" t="str">
        <f>Покупатели!C575</f>
        <v>Соловьёв</v>
      </c>
      <c r="D634" s="16" t="str">
        <f>VLOOKUP(C634,Покупатели!$C$2:$Q$738,15,0)</f>
        <v>MX4000002S0002258</v>
      </c>
    </row>
    <row r="635" spans="1:4" ht="13.2">
      <c r="A635" s="12">
        <v>1782</v>
      </c>
      <c r="B635" s="10">
        <v>45884</v>
      </c>
      <c r="C635" s="11" t="str">
        <f>Покупатели!C576</f>
        <v>Ницевич</v>
      </c>
      <c r="D635" s="16" t="str">
        <f>VLOOKUP(C635,Покупатели!$C$2:$Q$738,15,0)</f>
        <v>MX4000002S0002253</v>
      </c>
    </row>
    <row r="636" spans="1:4" ht="13.2">
      <c r="A636" s="12">
        <v>1783</v>
      </c>
      <c r="B636" s="10">
        <v>45885</v>
      </c>
      <c r="C636" s="11" t="str">
        <f>Покупатели!C577</f>
        <v>Шашдавлетова</v>
      </c>
      <c r="D636" s="16" t="str">
        <f>VLOOKUP(C636,Покупатели!$C$2:$Q$738,15,0)</f>
        <v>MX4000002S0002255</v>
      </c>
    </row>
    <row r="637" spans="1:4" ht="13.2">
      <c r="A637" s="12">
        <v>1784</v>
      </c>
      <c r="B637" s="10">
        <v>45887</v>
      </c>
      <c r="C637" s="11" t="str">
        <f>Покупатели!C578</f>
        <v>Миллер2</v>
      </c>
      <c r="D637" s="16" t="str">
        <f>VLOOKUP(C637,Покупатели!$C$2:$Q$738,15,0)</f>
        <v>MX4000002S0002230</v>
      </c>
    </row>
    <row r="638" spans="1:4" ht="13.2">
      <c r="A638" s="12">
        <v>1785</v>
      </c>
      <c r="B638" s="10">
        <v>45887</v>
      </c>
      <c r="C638" s="11" t="str">
        <f>Покупатели!C579</f>
        <v>Миллер</v>
      </c>
      <c r="D638" s="16" t="str">
        <f>VLOOKUP(C638,Покупатели!$C$2:$Q$738,15,0)</f>
        <v>MX4000002S0002254</v>
      </c>
    </row>
    <row r="639" spans="1:4" ht="13.2">
      <c r="A639" s="12">
        <v>1786</v>
      </c>
      <c r="B639" s="10">
        <v>45887</v>
      </c>
      <c r="C639" s="11" t="str">
        <f>Покупатели!C580</f>
        <v>Дорохов</v>
      </c>
      <c r="D639" s="16" t="str">
        <f>VLOOKUP(C639,Покупатели!$C$2:$Q$738,15,0)</f>
        <v>MX4000002S0001997</v>
      </c>
    </row>
    <row r="640" spans="1:4" ht="13.2">
      <c r="A640" s="12">
        <v>1787</v>
      </c>
      <c r="B640" s="10">
        <v>45887</v>
      </c>
      <c r="C640" s="11" t="str">
        <f>Покупатели!C581</f>
        <v>Тоқтамұрат</v>
      </c>
      <c r="D640" s="16" t="str">
        <f>VLOOKUP(C640,Покупатели!$C$2:$Q$738,15,0)</f>
        <v>MX4000004S0002242</v>
      </c>
    </row>
    <row r="641" spans="1:4" ht="13.2">
      <c r="A641" s="12">
        <v>1788</v>
      </c>
      <c r="B641" s="10">
        <v>45887</v>
      </c>
      <c r="C641" s="11" t="str">
        <f>Покупатели!C582</f>
        <v>Ролдугин</v>
      </c>
      <c r="D641" s="16" t="str">
        <f>VLOOKUP(C641,Покупатели!$C$2:$Q$738,15,0)</f>
        <v>MX4000004S0002138</v>
      </c>
    </row>
    <row r="642" spans="1:4" ht="13.2">
      <c r="A642" s="12">
        <v>1789</v>
      </c>
      <c r="B642" s="10">
        <v>45887</v>
      </c>
      <c r="C642" s="11" t="str">
        <f>Покупатели!C583</f>
        <v>Хусаинов</v>
      </c>
      <c r="D642" s="16" t="str">
        <f>VLOOKUP(C642,Покупатели!$C$2:$Q$738,15,0)</f>
        <v>MX4000002S0002259</v>
      </c>
    </row>
    <row r="643" spans="1:4" ht="13.2">
      <c r="A643" s="12">
        <v>1790</v>
      </c>
      <c r="B643" s="10">
        <v>45888</v>
      </c>
      <c r="C643" s="13" t="str">
        <f>'юр лица'!C16</f>
        <v>"МТС АГРО Акколь"</v>
      </c>
      <c r="D643" s="8" t="s">
        <v>84</v>
      </c>
    </row>
    <row r="644" spans="1:4" ht="13.2">
      <c r="A644" s="12">
        <v>1791</v>
      </c>
      <c r="B644" s="10">
        <v>45887</v>
      </c>
      <c r="C644" s="11" t="str">
        <f>Покупатели!C584</f>
        <v>Рыбаков</v>
      </c>
      <c r="D644" s="16" t="str">
        <f>VLOOKUP(C644,Покупатели!$C$2:$Q$738,15,0)</f>
        <v>MX4000002S0002240</v>
      </c>
    </row>
    <row r="645" spans="1:4" ht="13.2">
      <c r="A645" s="12">
        <v>1792</v>
      </c>
      <c r="B645" s="10">
        <v>45888</v>
      </c>
      <c r="C645" s="11" t="str">
        <f>Покупатели!C585</f>
        <v>Исмаилов</v>
      </c>
      <c r="D645" s="16" t="str">
        <f>VLOOKUP(C645,Покупатели!$C$2:$Q$738,15,0)</f>
        <v>MX4000002S0002063</v>
      </c>
    </row>
    <row r="646" spans="1:4" ht="13.2">
      <c r="A646" s="12">
        <v>1793</v>
      </c>
      <c r="B646" s="10">
        <v>45889</v>
      </c>
      <c r="C646" s="11" t="str">
        <f>Покупатели!C586</f>
        <v>Балтаханова</v>
      </c>
      <c r="D646" s="16" t="str">
        <f>VLOOKUP(C646,Покупатели!$C$2:$Q$738,15,0)</f>
        <v>MX4000002S0002066</v>
      </c>
    </row>
    <row r="647" spans="1:4" ht="13.2">
      <c r="A647" s="12">
        <v>1794</v>
      </c>
      <c r="B647" s="10">
        <v>45889</v>
      </c>
      <c r="C647" s="11" t="str">
        <f>Покупатели!C587</f>
        <v>Портнягин</v>
      </c>
      <c r="D647" s="16" t="str">
        <f>VLOOKUP(C647,Покупатели!$C$2:$Q$738,15,0)</f>
        <v>MX4000002S0002126</v>
      </c>
    </row>
    <row r="648" spans="1:4" ht="13.2">
      <c r="A648" s="12">
        <v>1795</v>
      </c>
      <c r="B648" s="10">
        <v>45890</v>
      </c>
      <c r="C648" s="11" t="str">
        <f>Покупатели!C588</f>
        <v>Трусов</v>
      </c>
      <c r="D648" s="16" t="str">
        <f>VLOOKUP(C648,Покупатели!$C$2:$Q$738,15,0)</f>
        <v>MX4000002S0002127</v>
      </c>
    </row>
    <row r="649" spans="1:4" ht="13.2">
      <c r="A649" s="12">
        <v>1796</v>
      </c>
      <c r="B649" s="10">
        <v>45890</v>
      </c>
      <c r="C649" s="11" t="str">
        <f>Покупатели!C589</f>
        <v>Куатов</v>
      </c>
      <c r="D649" s="16" t="str">
        <f>VLOOKUP(C649,Покупатели!$C$2:$Q$738,15,0)</f>
        <v>MX4000002R0001617</v>
      </c>
    </row>
    <row r="650" spans="1:4" ht="13.2">
      <c r="A650" s="12">
        <v>1797</v>
      </c>
      <c r="B650" s="10">
        <v>45890</v>
      </c>
      <c r="C650" s="11" t="str">
        <f>Покупатели!C590</f>
        <v>Белосаров</v>
      </c>
      <c r="D650" s="16" t="str">
        <f>VLOOKUP(C650,Покупатели!$C$2:$Q$738,15,0)</f>
        <v>MX4000002S0002295</v>
      </c>
    </row>
    <row r="651" spans="1:4" ht="13.2">
      <c r="A651" s="12">
        <v>1798</v>
      </c>
      <c r="B651" s="10">
        <v>45891</v>
      </c>
      <c r="C651" s="11" t="str">
        <f>Покупатели!C591</f>
        <v>Усимбаев</v>
      </c>
      <c r="D651" s="16" t="str">
        <f>VLOOKUP(C651,Покупатели!$C$2:$Q$738,15,0)</f>
        <v>MX4000002S0002061</v>
      </c>
    </row>
    <row r="652" spans="1:4" ht="13.2">
      <c r="A652" s="12">
        <v>1799</v>
      </c>
      <c r="B652" s="10">
        <v>45891</v>
      </c>
      <c r="C652" s="11" t="s">
        <v>85</v>
      </c>
      <c r="D652" s="15" t="s">
        <v>86</v>
      </c>
    </row>
    <row r="653" spans="1:4" ht="13.2">
      <c r="A653" s="12">
        <v>1800</v>
      </c>
      <c r="B653" s="10">
        <v>45891</v>
      </c>
      <c r="C653" s="13" t="str">
        <f>Покупатели!C592</f>
        <v>Петров</v>
      </c>
      <c r="D653" s="16" t="str">
        <f>VLOOKUP(C653,Покупатели!$C$2:$Q$738,15,0)</f>
        <v>MX4000002S0002129</v>
      </c>
    </row>
    <row r="654" spans="1:4" ht="13.2">
      <c r="A654" s="12">
        <v>1801</v>
      </c>
      <c r="B654" s="10">
        <v>45894</v>
      </c>
      <c r="C654" s="13" t="str">
        <f>Покупатели!C593</f>
        <v>Садретдинов</v>
      </c>
      <c r="D654" s="16" t="str">
        <f>VLOOKUP(C654,Покупатели!$C$2:$Q$738,15,0)</f>
        <v>MX4000002S0002304</v>
      </c>
    </row>
    <row r="655" spans="1:4" ht="13.2">
      <c r="A655" s="12">
        <v>1802</v>
      </c>
      <c r="B655" s="10">
        <v>45894</v>
      </c>
      <c r="C655" s="13" t="str">
        <f>Покупатели!C594</f>
        <v>Burkit</v>
      </c>
      <c r="D655" s="16" t="str">
        <f>VLOOKUP(C655,Покупатели!$C$2:$Q$738,15,0)</f>
        <v>MX4000002S0002239</v>
      </c>
    </row>
    <row r="656" spans="1:4" ht="13.2">
      <c r="A656" s="12">
        <v>1803</v>
      </c>
      <c r="B656" s="10">
        <v>45894</v>
      </c>
      <c r="C656" s="13" t="str">
        <f>Покупатели!C595</f>
        <v>Нурдунов</v>
      </c>
      <c r="D656" s="16" t="str">
        <f>VLOOKUP(C656,Покупатели!$C$2:$Q$738,15,0)</f>
        <v>MX4000002S0001938</v>
      </c>
    </row>
    <row r="657" spans="1:4" ht="13.2">
      <c r="A657" s="12">
        <v>1804</v>
      </c>
      <c r="B657" s="10">
        <v>45895</v>
      </c>
      <c r="C657" s="13" t="str">
        <f>Покупатели!C596</f>
        <v>Тажибаев</v>
      </c>
      <c r="D657" s="16" t="str">
        <f>VLOOKUP(C657,Покупатели!$C$2:$Q$738,15,0)</f>
        <v>MX4000002S0002296</v>
      </c>
    </row>
    <row r="658" spans="1:4" ht="13.2">
      <c r="A658" s="12">
        <v>1805</v>
      </c>
      <c r="B658" s="10">
        <v>45896</v>
      </c>
      <c r="C658" s="13" t="str">
        <f>Покупатели!C597</f>
        <v>Құлабек</v>
      </c>
      <c r="D658" s="16" t="str">
        <f>VLOOKUP(C658,Покупатели!$C$2:$Q$738,15,0)</f>
        <v>MX4000002S0002252</v>
      </c>
    </row>
    <row r="659" spans="1:4" ht="13.2">
      <c r="A659" s="12">
        <v>1806</v>
      </c>
      <c r="B659" s="10">
        <v>45896</v>
      </c>
      <c r="C659" s="11" t="s">
        <v>87</v>
      </c>
    </row>
    <row r="660" spans="1:4" ht="13.2">
      <c r="A660" s="12">
        <v>1807</v>
      </c>
      <c r="B660" s="10">
        <v>45897</v>
      </c>
      <c r="C660" s="13" t="str">
        <f>Покупатели!C598</f>
        <v>Серкебаев</v>
      </c>
      <c r="D660" s="16" t="str">
        <f>VLOOKUP(C660,Покупатели!$C$2:$Q$738,15,0)</f>
        <v>MX4000002S0002064</v>
      </c>
    </row>
    <row r="661" spans="1:4" ht="13.2">
      <c r="A661" s="12">
        <v>1808</v>
      </c>
      <c r="B661" s="10">
        <v>45897</v>
      </c>
      <c r="C661" s="13" t="str">
        <f>Покупатели!C599</f>
        <v>Мамедов</v>
      </c>
      <c r="D661" s="16" t="str">
        <f>VLOOKUP(C661,Покупатели!$C$2:$Q$738,15,0)</f>
        <v>MX4000002S0001944</v>
      </c>
    </row>
    <row r="662" spans="1:4" ht="13.2">
      <c r="A662" s="12">
        <v>1809</v>
      </c>
      <c r="B662" s="10">
        <v>45897</v>
      </c>
      <c r="C662" s="13" t="str">
        <f>Покупатели!C600</f>
        <v>Герасев</v>
      </c>
      <c r="D662" s="16" t="str">
        <f>VLOOKUP(C662,Покупатели!$C$2:$Q$738,15,0)</f>
        <v>MX4000002S0002307</v>
      </c>
    </row>
    <row r="663" spans="1:4" ht="13.2">
      <c r="A663" s="12">
        <v>1810</v>
      </c>
      <c r="B663" s="10">
        <v>45897</v>
      </c>
      <c r="C663" s="13" t="str">
        <f>Покупатели!C601</f>
        <v>Иргалиев</v>
      </c>
      <c r="D663" s="16" t="str">
        <f>VLOOKUP(C663,Покупатели!$C$2:$Q$738,15,0)</f>
        <v>MX4000002S0002306</v>
      </c>
    </row>
    <row r="664" spans="1:4" ht="13.2">
      <c r="A664" s="12">
        <v>1811</v>
      </c>
      <c r="B664" s="10">
        <v>45898</v>
      </c>
      <c r="C664" s="13" t="str">
        <f>Покупатели!C602</f>
        <v>Спичкин</v>
      </c>
      <c r="D664" s="16" t="str">
        <f>VLOOKUP(C664,Покупатели!$C$2:$Q$738,15,0)</f>
        <v>MX4000002S0002068</v>
      </c>
    </row>
    <row r="665" spans="1:4" ht="13.2">
      <c r="A665" s="12">
        <v>1812</v>
      </c>
      <c r="B665" s="10">
        <v>45899</v>
      </c>
      <c r="C665" s="13" t="str">
        <f>Покупатели!C603</f>
        <v>Мужкенов</v>
      </c>
      <c r="D665" s="16" t="str">
        <f>VLOOKUP(C665,Покупатели!$C$2:$Q$738,15,0)</f>
        <v>MX4000002S0002298</v>
      </c>
    </row>
    <row r="666" spans="1:4" ht="13.2">
      <c r="A666" s="12">
        <v>1813</v>
      </c>
      <c r="B666" s="10">
        <v>45902</v>
      </c>
      <c r="C666" s="13" t="str">
        <f>Покупатели!C604</f>
        <v>Загородкин</v>
      </c>
      <c r="D666" s="16" t="str">
        <f>VLOOKUP(C666,Покупатели!$C$2:$Q$738,15,0)</f>
        <v>MX4000002S0002238</v>
      </c>
    </row>
    <row r="667" spans="1:4" ht="13.2">
      <c r="A667" s="12">
        <v>1814</v>
      </c>
      <c r="B667" s="10">
        <v>45902</v>
      </c>
      <c r="C667" s="13" t="str">
        <f>Покупатели!C605</f>
        <v>Мақсат</v>
      </c>
      <c r="D667" s="16" t="str">
        <f>VLOOKUP(C667,Покупатели!$C$2:$Q$738,15,0)</f>
        <v>MX4000002S0001939</v>
      </c>
    </row>
    <row r="668" spans="1:4" ht="13.2">
      <c r="A668" s="12">
        <v>1815</v>
      </c>
      <c r="B668" s="10">
        <v>45903</v>
      </c>
      <c r="C668" s="13" t="str">
        <f>Покупатели!C606</f>
        <v>Фомин</v>
      </c>
      <c r="D668" s="16" t="str">
        <f>VLOOKUP(C668,Покупатели!$C$2:$Q$738,15,0)</f>
        <v>MX4000002S0002299</v>
      </c>
    </row>
    <row r="669" spans="1:4" ht="13.2">
      <c r="A669" s="12">
        <v>1816</v>
      </c>
      <c r="B669" s="10">
        <v>45904</v>
      </c>
      <c r="C669" s="13" t="str">
        <f>Покупатели!C607</f>
        <v>Тасимов</v>
      </c>
      <c r="D669" s="16" t="str">
        <f>VLOOKUP(C669,Покупатели!$C$2:$Q$738,15,0)</f>
        <v>MX4000002S0002243</v>
      </c>
    </row>
    <row r="670" spans="1:4" ht="13.2">
      <c r="A670" s="12">
        <v>1817</v>
      </c>
      <c r="B670" s="10">
        <v>45908</v>
      </c>
      <c r="C670" s="13" t="str">
        <f>'юр лица'!C17</f>
        <v>SULTANBEIBARUS</v>
      </c>
      <c r="D670" s="11" t="s">
        <v>88</v>
      </c>
    </row>
    <row r="671" spans="1:4" ht="13.2">
      <c r="A671" s="22"/>
      <c r="B671" s="10"/>
      <c r="C671" s="13" t="str">
        <f>'юр лица'!C18</f>
        <v>SULTANBEIBARUS</v>
      </c>
      <c r="D671" s="11" t="s">
        <v>89</v>
      </c>
    </row>
    <row r="672" spans="1:4" ht="13.2">
      <c r="A672" s="22"/>
      <c r="B672" s="10"/>
      <c r="C672" s="13" t="str">
        <f>'юр лица'!C19</f>
        <v>SULTANBEIBARUS</v>
      </c>
      <c r="D672" s="11" t="s">
        <v>90</v>
      </c>
    </row>
    <row r="673" spans="1:4" ht="13.2">
      <c r="A673" s="12">
        <v>1818</v>
      </c>
      <c r="B673" s="10">
        <v>45909</v>
      </c>
      <c r="C673" s="13" t="str">
        <f>Покупатели!C608</f>
        <v>Томпышев</v>
      </c>
      <c r="D673" s="13" t="str">
        <f>VLOOKUP(C673,Покупатели!$C$2:$Q$738,15,0)</f>
        <v>MX4000002S0002325</v>
      </c>
    </row>
    <row r="674" spans="1:4" ht="13.2">
      <c r="A674" s="12">
        <v>1819</v>
      </c>
      <c r="B674" s="10">
        <v>45909</v>
      </c>
      <c r="C674" s="13" t="str">
        <f>Покупатели!C609</f>
        <v>Атыгожин</v>
      </c>
      <c r="D674" s="13" t="str">
        <f>VLOOKUP(C674,Покупатели!$C$2:$Q$738,15,0)</f>
        <v>MX4000004S0002326</v>
      </c>
    </row>
    <row r="675" spans="1:4" ht="13.2">
      <c r="A675" s="12">
        <v>1820</v>
      </c>
      <c r="B675" s="10">
        <v>45909</v>
      </c>
      <c r="C675" s="13" t="str">
        <f>Покупатели!C610</f>
        <v>Наурызбаев</v>
      </c>
      <c r="D675" s="16" t="str">
        <f>VLOOKUP(C675,Покупатели!$C$2:$Q$738,15,0)</f>
        <v>MX4000002S0001890</v>
      </c>
    </row>
    <row r="676" spans="1:4" ht="13.2">
      <c r="A676" s="12">
        <v>1821</v>
      </c>
      <c r="B676" s="10">
        <v>45910</v>
      </c>
      <c r="C676" s="13" t="str">
        <f>Покупатели!C611</f>
        <v>Шутенко</v>
      </c>
      <c r="D676" s="16" t="str">
        <f>VLOOKUP(C676,Покупатели!$C$2:$Q$738,15,0)</f>
        <v>MX4000002S0002265</v>
      </c>
    </row>
    <row r="677" spans="1:4" ht="13.2">
      <c r="A677" s="12">
        <v>1822</v>
      </c>
      <c r="B677" s="10">
        <v>45910</v>
      </c>
      <c r="C677" s="13" t="str">
        <f>Покупатели!C612</f>
        <v>Акмолдин</v>
      </c>
      <c r="D677" s="16" t="str">
        <f>VLOOKUP(C677,Покупатели!$C$2:$Q$738,15,0)</f>
        <v>MX4000002S0002327</v>
      </c>
    </row>
    <row r="678" spans="1:4" ht="13.2">
      <c r="A678" s="12">
        <v>1823</v>
      </c>
      <c r="B678" s="10">
        <v>45910</v>
      </c>
      <c r="C678" s="13" t="str">
        <f>Покупатели!C613</f>
        <v>Пазылов</v>
      </c>
      <c r="D678" s="16" t="str">
        <f>VLOOKUP(C678,Покупатели!$C$2:$Q$738,15,0)</f>
        <v>MX4000002S0002277</v>
      </c>
    </row>
    <row r="679" spans="1:4" ht="13.2">
      <c r="A679" s="12">
        <v>1824</v>
      </c>
      <c r="B679" s="10">
        <v>45910</v>
      </c>
      <c r="C679" s="13" t="str">
        <f>Покупатели!C614</f>
        <v>Сабит</v>
      </c>
      <c r="D679" s="16" t="str">
        <f>VLOOKUP(C679,Покупатели!$C$2:$Q$738,15,0)</f>
        <v>MX4000002S0002309</v>
      </c>
    </row>
    <row r="680" spans="1:4" ht="13.2">
      <c r="A680" s="12">
        <v>1825</v>
      </c>
      <c r="B680" s="10">
        <v>45912</v>
      </c>
      <c r="C680" s="13" t="str">
        <f>Покупатели!C615</f>
        <v>Ғаббас</v>
      </c>
      <c r="D680" s="16" t="str">
        <f>VLOOKUP(C680,Покупатели!$C$2:$Q$738,15,0)</f>
        <v>MX4000004S0002248</v>
      </c>
    </row>
    <row r="681" spans="1:4" ht="13.2">
      <c r="A681" s="12">
        <v>1826</v>
      </c>
      <c r="B681" s="10">
        <v>45912</v>
      </c>
      <c r="C681" s="13" t="str">
        <f>Покупатели!C616</f>
        <v>Фабрициус</v>
      </c>
      <c r="D681" s="16" t="str">
        <f>VLOOKUP(C681,Покупатели!$C$2:$Q$738,15,0)</f>
        <v>MX4000002S0002279</v>
      </c>
    </row>
    <row r="682" spans="1:4" ht="13.2">
      <c r="A682" s="12">
        <v>1827</v>
      </c>
      <c r="B682" s="10">
        <v>45912</v>
      </c>
      <c r="C682" s="11" t="s">
        <v>91</v>
      </c>
    </row>
    <row r="683" spans="1:4" ht="13.2">
      <c r="A683" s="12">
        <v>1828</v>
      </c>
      <c r="B683" s="10">
        <v>45912</v>
      </c>
      <c r="C683" s="13" t="str">
        <f>Покупатели!C617</f>
        <v>Осипов</v>
      </c>
      <c r="D683" s="16" t="str">
        <f>VLOOKUP(C683,Покупатели!$C$2:$Q$738,15,0)</f>
        <v>MX4000002S0002330</v>
      </c>
    </row>
    <row r="684" spans="1:4" ht="13.2">
      <c r="A684" s="12">
        <v>1829</v>
      </c>
      <c r="B684" s="10">
        <v>45915</v>
      </c>
      <c r="C684" s="13" t="str">
        <f>Покупатели!C618</f>
        <v>Копбаев 2</v>
      </c>
      <c r="D684" s="16" t="str">
        <f>VLOOKUP(C684,Покупатели!$C$2:$Q$738,15,0)</f>
        <v>MX4000002S0002276</v>
      </c>
    </row>
    <row r="685" spans="1:4" ht="13.2">
      <c r="A685" s="12">
        <v>1830</v>
      </c>
      <c r="B685" s="10">
        <v>45915</v>
      </c>
      <c r="C685" s="11" t="s">
        <v>92</v>
      </c>
    </row>
    <row r="686" spans="1:4" ht="13.2">
      <c r="A686" s="12">
        <v>1831</v>
      </c>
      <c r="B686" s="10">
        <v>45915</v>
      </c>
      <c r="C686" s="13" t="str">
        <f>Покупатели!C619</f>
        <v>Бортников</v>
      </c>
      <c r="D686" s="16" t="str">
        <f>VLOOKUP(C686,Покупатели!$C$2:$Q$738,15,0)</f>
        <v>MX4000002S0002275</v>
      </c>
    </row>
    <row r="687" spans="1:4" ht="13.2">
      <c r="A687" s="12">
        <v>1832</v>
      </c>
      <c r="B687" s="10">
        <v>45915</v>
      </c>
      <c r="C687" s="13" t="str">
        <f>Покупатели!C734</f>
        <v>Бердиханов 3</v>
      </c>
      <c r="D687" s="16" t="str">
        <f>VLOOKUP(C687,Покупатели!$C$2:$Q$738,15,0)</f>
        <v>MX4000002S0002030</v>
      </c>
    </row>
    <row r="688" spans="1:4" ht="13.2">
      <c r="A688" s="12">
        <v>1833</v>
      </c>
      <c r="B688" s="10">
        <v>45916</v>
      </c>
      <c r="C688" s="13" t="str">
        <f>Покупатели!C620</f>
        <v>Бенкс</v>
      </c>
      <c r="D688" s="16" t="str">
        <f>VLOOKUP(C688,Покупатели!$C$2:$Q$738,15,0)</f>
        <v>MX4000002S0002069</v>
      </c>
    </row>
    <row r="689" spans="1:4" ht="13.2">
      <c r="A689" s="12">
        <v>1834</v>
      </c>
      <c r="B689" s="10">
        <v>45918</v>
      </c>
      <c r="C689" s="13" t="str">
        <f>Покупатели!C621</f>
        <v>Мухамеджанов</v>
      </c>
      <c r="D689" s="16" t="str">
        <f>VLOOKUP(C689,Покупатели!$C$2:$Q$738,15,0)</f>
        <v>MX4000002S0002331</v>
      </c>
    </row>
    <row r="690" spans="1:4" ht="13.2">
      <c r="A690" s="12">
        <v>1835</v>
      </c>
      <c r="B690" s="10">
        <v>45918</v>
      </c>
      <c r="C690" s="13" t="str">
        <f>Покупатели!C622</f>
        <v>Казиева</v>
      </c>
      <c r="D690" s="16" t="str">
        <f>VLOOKUP(C690,Покупатели!$C$2:$Q$738,15,0)</f>
        <v>MX4000002S0001993</v>
      </c>
    </row>
    <row r="691" spans="1:4" ht="13.2">
      <c r="A691" s="12">
        <v>1836</v>
      </c>
      <c r="B691" s="10">
        <v>45918</v>
      </c>
      <c r="C691" s="13" t="str">
        <f>Покупатели!C623</f>
        <v>Черкашин</v>
      </c>
      <c r="D691" s="16" t="str">
        <f>VLOOKUP(C691,Покупатели!$C$2:$Q$738,15,0)</f>
        <v>MX4000002S0002310</v>
      </c>
    </row>
    <row r="692" spans="1:4" ht="13.2">
      <c r="A692" s="12">
        <v>1837</v>
      </c>
      <c r="B692" s="10">
        <v>45918</v>
      </c>
      <c r="C692" s="13" t="str">
        <f>Покупатели!C624</f>
        <v>Голубь</v>
      </c>
      <c r="D692" s="16" t="str">
        <f>VLOOKUP(C692,Покупатели!$C$2:$Q$738,15,0)</f>
        <v>MX4000002S0002332</v>
      </c>
    </row>
    <row r="693" spans="1:4" ht="13.2">
      <c r="A693" s="12">
        <v>1838</v>
      </c>
      <c r="B693" s="10">
        <v>45919</v>
      </c>
      <c r="C693" s="13" t="str">
        <f>Покупатели!C625</f>
        <v>Альжанов</v>
      </c>
      <c r="D693" s="16" t="str">
        <f>VLOOKUP(C693,Покупатели!$C$2:$Q$738,15,0)</f>
        <v>MX4000002S0002333</v>
      </c>
    </row>
    <row r="694" spans="1:4" ht="13.2">
      <c r="A694" s="12">
        <v>1839</v>
      </c>
      <c r="B694" s="10">
        <v>45919</v>
      </c>
      <c r="C694" s="11" t="s">
        <v>93</v>
      </c>
      <c r="D694" s="11" t="s">
        <v>94</v>
      </c>
    </row>
    <row r="695" spans="1:4" ht="13.2">
      <c r="A695" s="12">
        <v>1840</v>
      </c>
      <c r="B695" s="10">
        <v>45919</v>
      </c>
      <c r="C695" s="11" t="str">
        <f>Покупатели!C626</f>
        <v>Кадырова</v>
      </c>
      <c r="D695" s="16" t="str">
        <f>VLOOKUP(C695,Покупатели!$C$2:$Q$738,15,0)</f>
        <v>MX4000002S0002337</v>
      </c>
    </row>
    <row r="696" spans="1:4" ht="13.2">
      <c r="A696" s="12">
        <v>1841</v>
      </c>
      <c r="B696" s="10">
        <v>45921</v>
      </c>
      <c r="C696" s="11" t="str">
        <f>Покупатели!C627</f>
        <v>Амренов</v>
      </c>
      <c r="D696" s="16" t="str">
        <f>VLOOKUP(C696,Покупатели!$C$2:$Q$738,15,0)</f>
        <v>MX4000004S0002264</v>
      </c>
    </row>
    <row r="697" spans="1:4" ht="13.2">
      <c r="A697" s="12">
        <v>1842</v>
      </c>
      <c r="B697" s="10">
        <v>45922</v>
      </c>
      <c r="C697" s="11" t="str">
        <f>Покупатели!C628</f>
        <v>Мейрамов</v>
      </c>
      <c r="D697" s="16" t="str">
        <f>VLOOKUP(C697,Покупатели!$C$2:$Q$738,15,0)</f>
        <v>MX4000002S0002336</v>
      </c>
    </row>
    <row r="698" spans="1:4" ht="13.2">
      <c r="A698" s="12">
        <v>1843</v>
      </c>
      <c r="B698" s="10">
        <v>45922</v>
      </c>
      <c r="C698" s="11" t="str">
        <f>Покупатели!C629</f>
        <v>Дүйсен</v>
      </c>
      <c r="D698" s="16" t="str">
        <f>VLOOKUP(C698,Покупатели!$C$2:$Q$738,15,0)</f>
        <v>MX4000002S0002339</v>
      </c>
    </row>
    <row r="699" spans="1:4" ht="13.2">
      <c r="A699" s="12">
        <v>1844</v>
      </c>
      <c r="B699" s="10">
        <v>45922</v>
      </c>
      <c r="C699" s="11" t="str">
        <f>Покупатели!C630</f>
        <v>Иванов</v>
      </c>
      <c r="D699" s="16" t="str">
        <f>VLOOKUP(C699,Покупатели!$C$2:$Q$738,15,0)</f>
        <v>MX4000002S0002340</v>
      </c>
    </row>
    <row r="700" spans="1:4" ht="13.2">
      <c r="A700" s="12">
        <v>1845</v>
      </c>
      <c r="B700" s="10">
        <v>45922</v>
      </c>
      <c r="C700" s="11" t="str">
        <f>Покупатели!C631</f>
        <v>Габдуллин</v>
      </c>
      <c r="D700" s="16" t="str">
        <f>VLOOKUP(C700,Покупатели!$C$2:$Q$738,15,0)</f>
        <v>MX4000002S0002341</v>
      </c>
    </row>
    <row r="701" spans="1:4" ht="13.2">
      <c r="A701" s="12">
        <v>1846</v>
      </c>
      <c r="B701" s="10">
        <v>45922</v>
      </c>
      <c r="C701" s="11" t="str">
        <f>Покупатели!C632</f>
        <v>Алпеисов</v>
      </c>
      <c r="D701" s="16" t="str">
        <f>VLOOKUP(C701,Покупатели!$C$2:$Q$738,15,0)</f>
        <v>MX4000002S0002297</v>
      </c>
    </row>
    <row r="702" spans="1:4" ht="13.2">
      <c r="A702" s="12">
        <v>1847</v>
      </c>
      <c r="B702" s="10">
        <v>45922</v>
      </c>
      <c r="C702" s="11" t="str">
        <f>Покупатели!C633</f>
        <v>Тоганасов</v>
      </c>
      <c r="D702" s="16" t="str">
        <f>VLOOKUP(C702,Покупатели!$C$2:$Q$738,15,0)</f>
        <v>MX4000004S0002342</v>
      </c>
    </row>
    <row r="703" spans="1:4" ht="13.2">
      <c r="A703" s="12">
        <v>1848</v>
      </c>
      <c r="B703" s="10">
        <v>45922</v>
      </c>
      <c r="C703" s="11" t="str">
        <f>Покупатели!C634</f>
        <v>Джапенов</v>
      </c>
      <c r="D703" s="16" t="str">
        <f>VLOOKUP(C703,Покупатели!$C$2:$Q$738,15,0)</f>
        <v>MX4000002S0002343</v>
      </c>
    </row>
    <row r="704" spans="1:4" ht="13.2">
      <c r="A704" s="12">
        <v>1849</v>
      </c>
      <c r="B704" s="10">
        <v>45922</v>
      </c>
      <c r="C704" s="11" t="str">
        <f>Покупатели!C635</f>
        <v>Оспанов</v>
      </c>
      <c r="D704" s="16" t="str">
        <f>VLOOKUP(C704,Покупатели!$C$2:$Q$738,15,0)</f>
        <v>MX4000002S0002281</v>
      </c>
    </row>
    <row r="705" spans="1:4" ht="13.2">
      <c r="A705" s="12">
        <v>1850</v>
      </c>
      <c r="B705" s="10">
        <v>45923</v>
      </c>
      <c r="C705" s="11" t="str">
        <f>Покупатели!C636</f>
        <v>Ким</v>
      </c>
      <c r="D705" s="16" t="str">
        <f>VLOOKUP(C705,Покупатели!$C$2:$Q$738,15,0)</f>
        <v>MX4000002S0002060</v>
      </c>
    </row>
    <row r="706" spans="1:4" ht="13.2">
      <c r="A706" s="12">
        <v>1851</v>
      </c>
      <c r="B706" s="10">
        <v>45924</v>
      </c>
      <c r="C706" s="11" t="str">
        <f>Покупатели!C637</f>
        <v>Бакин</v>
      </c>
      <c r="D706" s="16" t="str">
        <f>VLOOKUP(C706,Покупатели!$C$2:$Q$738,15,0)</f>
        <v>MX4000002S0002266</v>
      </c>
    </row>
    <row r="707" spans="1:4" ht="13.2">
      <c r="A707" s="12">
        <v>1852</v>
      </c>
      <c r="B707" s="10">
        <v>45925</v>
      </c>
      <c r="C707" s="11" t="str">
        <f>Покупатели!C638</f>
        <v>Бекмаганбет</v>
      </c>
      <c r="D707" s="16" t="str">
        <f>VLOOKUP(C707,Покупатели!$C$2:$Q$738,15,0)</f>
        <v>MX4000002S0002301</v>
      </c>
    </row>
    <row r="708" spans="1:4" ht="13.2">
      <c r="A708" s="12">
        <v>1853</v>
      </c>
      <c r="B708" s="10">
        <v>45925</v>
      </c>
      <c r="C708" s="11" t="str">
        <f>Покупатели!C639</f>
        <v>Шакиров</v>
      </c>
      <c r="D708" s="16" t="str">
        <f>VLOOKUP(C708,Покупатели!$C$2:$Q$738,15,0)</f>
        <v>MX4000002S0002288</v>
      </c>
    </row>
    <row r="709" spans="1:4" ht="13.2">
      <c r="A709" s="12">
        <v>1854</v>
      </c>
      <c r="B709" s="10">
        <v>45926</v>
      </c>
      <c r="C709" s="11" t="str">
        <f>Покупатели!C640</f>
        <v>Лапко</v>
      </c>
      <c r="D709" s="16" t="str">
        <f>VLOOKUP(C709,Покупатели!$C$2:$Q$738,15,0)</f>
        <v>MX4000002S0002344</v>
      </c>
    </row>
    <row r="710" spans="1:4" ht="13.2">
      <c r="A710" s="12">
        <v>1855</v>
      </c>
      <c r="B710" s="10">
        <v>45926</v>
      </c>
      <c r="C710" s="11" t="str">
        <f>Покупатели!C641</f>
        <v>Сейтказинов</v>
      </c>
      <c r="D710" s="16" t="str">
        <f>VLOOKUP(C710,Покупатели!$C$2:$Q$738,15,0)</f>
        <v>MX4000002S0002345</v>
      </c>
    </row>
    <row r="711" spans="1:4" ht="13.2">
      <c r="A711" s="12">
        <v>1856</v>
      </c>
      <c r="B711" s="10">
        <v>45929</v>
      </c>
      <c r="C711" s="11" t="str">
        <f>Покупатели!C642</f>
        <v>Хазиев</v>
      </c>
      <c r="D711" s="16" t="str">
        <f>VLOOKUP(C711,Покупатели!$C$2:$Q$738,15,0)</f>
        <v>MX4000002S0001943</v>
      </c>
    </row>
    <row r="712" spans="1:4" ht="13.2">
      <c r="A712" s="12">
        <v>1857</v>
      </c>
      <c r="B712" s="10">
        <v>45929</v>
      </c>
      <c r="C712" s="11" t="str">
        <f>Покупатели!C643</f>
        <v>Қарабатыр</v>
      </c>
      <c r="D712" s="16" t="str">
        <f>VLOOKUP(C712,Покупатели!$C$2:$Q$738,15,0)</f>
        <v>MX4000004S0002139</v>
      </c>
    </row>
    <row r="713" spans="1:4" ht="13.2">
      <c r="A713" s="12">
        <v>1858</v>
      </c>
      <c r="B713" s="10">
        <v>45929</v>
      </c>
      <c r="C713" s="11" t="str">
        <f>Покупатели!C644</f>
        <v>Айдарханов</v>
      </c>
      <c r="D713" s="16" t="str">
        <f>VLOOKUP(C713,Покупатели!$C$2:$Q$738,15,0)</f>
        <v>MX4000002S0002348</v>
      </c>
    </row>
    <row r="714" spans="1:4" ht="13.2">
      <c r="A714" s="12">
        <v>1859</v>
      </c>
      <c r="B714" s="10">
        <v>45930</v>
      </c>
      <c r="C714" s="11" t="str">
        <f>Покупатели!C645</f>
        <v>Хуршудов</v>
      </c>
      <c r="D714" s="16" t="str">
        <f>VLOOKUP(C714,Покупатели!$C$2:$Q$738,15,0)</f>
        <v>MX4000002S0002274</v>
      </c>
    </row>
    <row r="715" spans="1:4" ht="13.2">
      <c r="A715" s="12">
        <v>1860</v>
      </c>
      <c r="B715" s="10">
        <v>45930</v>
      </c>
      <c r="C715" s="11" t="str">
        <f>Покупатели!C646</f>
        <v>Мұса</v>
      </c>
      <c r="D715" s="16" t="str">
        <f>VLOOKUP(C715,Покупатели!$C$2:$Q$738,15,0)</f>
        <v>MX4000002S0002334</v>
      </c>
    </row>
    <row r="716" spans="1:4" ht="13.2">
      <c r="A716" s="12">
        <v>1861</v>
      </c>
      <c r="B716" s="10">
        <v>45932</v>
      </c>
      <c r="C716" s="11" t="str">
        <f>Покупатели!C647</f>
        <v>Сыздыков</v>
      </c>
      <c r="D716" s="16" t="str">
        <f>VLOOKUP(C716,Покупатели!$C$2:$Q$738,15,0)</f>
        <v>MX4000002S0002346</v>
      </c>
    </row>
    <row r="717" spans="1:4" ht="13.2">
      <c r="A717" s="12">
        <v>1862</v>
      </c>
      <c r="B717" s="10">
        <v>45933</v>
      </c>
      <c r="C717" s="11" t="str">
        <f>Покупатели!C648</f>
        <v>Нугуманов</v>
      </c>
      <c r="D717" s="16" t="str">
        <f>VLOOKUP(C717,Покупатели!$C$2:$Q$738,15,0)</f>
        <v>MX4000002S0002349</v>
      </c>
    </row>
    <row r="718" spans="1:4" ht="13.2">
      <c r="A718" s="12">
        <v>1863</v>
      </c>
      <c r="B718" s="10">
        <v>45933</v>
      </c>
      <c r="C718" s="11" t="str">
        <f>Покупатели!C649</f>
        <v>Калугина</v>
      </c>
      <c r="D718" s="16" t="str">
        <f>VLOOKUP(C718,Покупатели!$C$2:$Q$738,15,0)</f>
        <v>MX4000002R0001597</v>
      </c>
    </row>
    <row r="719" spans="1:4" ht="13.2">
      <c r="A719" s="12">
        <v>1864</v>
      </c>
      <c r="B719" s="10">
        <v>45933</v>
      </c>
      <c r="C719" s="11" t="str">
        <f>Покупатели!C650</f>
        <v>Югай</v>
      </c>
      <c r="D719" s="16" t="str">
        <f>VLOOKUP(C719,Покупатели!$C$2:$Q$738,15,0)</f>
        <v>MX4000002S0001901</v>
      </c>
    </row>
    <row r="720" spans="1:4" ht="13.2">
      <c r="A720" s="12">
        <v>1865</v>
      </c>
      <c r="B720" s="10">
        <v>45936</v>
      </c>
      <c r="C720" s="11" t="str">
        <f>Покупатели!C651</f>
        <v>Ескендиров</v>
      </c>
      <c r="D720" s="16" t="str">
        <f>VLOOKUP(C720,Покупатели!$C$2:$Q$738,15,0)</f>
        <v>MX4000002S0002328</v>
      </c>
    </row>
    <row r="721" spans="1:4" ht="13.2">
      <c r="A721" s="12">
        <v>1866</v>
      </c>
      <c r="B721" s="10">
        <v>45936</v>
      </c>
      <c r="C721" s="11" t="str">
        <f>Покупатели!C652</f>
        <v>Кошкимбаев</v>
      </c>
      <c r="D721" s="16" t="str">
        <f>VLOOKUP(C721,Покупатели!$C$2:$Q$738,15,0)</f>
        <v>MX4000002S0002323</v>
      </c>
    </row>
    <row r="722" spans="1:4" ht="13.2">
      <c r="A722" s="12">
        <v>1867</v>
      </c>
      <c r="B722" s="10">
        <v>45937</v>
      </c>
      <c r="C722" s="11" t="str">
        <f>Покупатели!C653</f>
        <v>Хан</v>
      </c>
      <c r="D722" s="16" t="str">
        <f>VLOOKUP(C722,Покупатели!$C$2:$Q$738,15,0)</f>
        <v>MX4000002S0002272</v>
      </c>
    </row>
    <row r="723" spans="1:4" ht="13.2">
      <c r="A723" s="12">
        <v>1868</v>
      </c>
      <c r="B723" s="10">
        <v>45937</v>
      </c>
      <c r="C723" s="11" t="str">
        <f>Покупатели!C654</f>
        <v>Кабылов</v>
      </c>
      <c r="D723" s="16" t="str">
        <f>VLOOKUP(C723,Покупатели!$C$2:$Q$738,15,0)</f>
        <v>MX4000002S0002300</v>
      </c>
    </row>
    <row r="724" spans="1:4" ht="13.2">
      <c r="A724" s="12">
        <v>1869</v>
      </c>
      <c r="B724" s="10">
        <v>45939</v>
      </c>
      <c r="C724" s="11" t="str">
        <f>Покупатели!C655</f>
        <v>Почепко</v>
      </c>
      <c r="D724" s="16" t="str">
        <f>VLOOKUP(C724,Покупатели!$C$2:$Q$738,15,0)</f>
        <v>MX4000002S0001954</v>
      </c>
    </row>
    <row r="725" spans="1:4" ht="13.2">
      <c r="A725" s="12">
        <v>1870</v>
      </c>
      <c r="B725" s="10">
        <v>45939</v>
      </c>
      <c r="C725" s="11" t="str">
        <f>Покупатели!C656</f>
        <v>Зуев</v>
      </c>
      <c r="D725" s="16" t="str">
        <f>VLOOKUP(C725,Покупатели!$C$2:$Q$738,15,0)</f>
        <v>MX4000002S0002311</v>
      </c>
    </row>
    <row r="726" spans="1:4" ht="13.2">
      <c r="A726" s="12">
        <v>1871</v>
      </c>
      <c r="B726" s="10">
        <v>45939</v>
      </c>
      <c r="C726" s="11" t="str">
        <f>Покупатели!C657</f>
        <v>Норбаев</v>
      </c>
      <c r="D726" s="16" t="str">
        <f>VLOOKUP(C726,Покупатели!$C$2:$Q$738,15,0)</f>
        <v>MX4000002S0002360</v>
      </c>
    </row>
    <row r="727" spans="1:4" ht="13.2">
      <c r="A727" s="12">
        <v>1872</v>
      </c>
      <c r="B727" s="10">
        <v>45939</v>
      </c>
      <c r="C727" s="11" t="str">
        <f>Покупатели!C658</f>
        <v>Бектимисов</v>
      </c>
      <c r="D727" s="16" t="str">
        <f>VLOOKUP(C727,Покупатели!$C$2:$Q$738,15,0)</f>
        <v>MX4000002S0002316</v>
      </c>
    </row>
    <row r="728" spans="1:4" ht="13.2">
      <c r="A728" s="12">
        <v>1873</v>
      </c>
      <c r="B728" s="10">
        <v>45940</v>
      </c>
      <c r="C728" s="11" t="str">
        <f>Покупатели!C659</f>
        <v>Шакимов</v>
      </c>
      <c r="D728" s="16" t="str">
        <f>VLOOKUP(C728,Покупатели!$C$2:$Q$738,15,0)</f>
        <v>MX4000002S0002313</v>
      </c>
    </row>
    <row r="729" spans="1:4" ht="13.2">
      <c r="A729" s="12">
        <v>1874</v>
      </c>
      <c r="B729" s="10">
        <v>45940</v>
      </c>
      <c r="C729" s="11" t="str">
        <f>Покупатели!C660</f>
        <v>Ержанов</v>
      </c>
      <c r="D729" s="16" t="str">
        <f>VLOOKUP(C729,Покупатели!$C$2:$Q$738,15,0)</f>
        <v>MX4000002S0002361</v>
      </c>
    </row>
    <row r="730" spans="1:4" ht="13.2">
      <c r="A730" s="12">
        <v>1875</v>
      </c>
      <c r="B730" s="10">
        <v>45941</v>
      </c>
      <c r="C730" s="11" t="str">
        <f>Покупатели!C661</f>
        <v>Нурсултан</v>
      </c>
      <c r="D730" s="16" t="str">
        <f>VLOOKUP(C730,Покупатели!$C$2:$Q$738,15,0)</f>
        <v>MX4000004S0002362</v>
      </c>
    </row>
    <row r="731" spans="1:4" ht="13.2">
      <c r="A731" s="12">
        <v>1876</v>
      </c>
      <c r="B731" s="10">
        <v>45943</v>
      </c>
      <c r="C731" s="11" t="str">
        <f>Покупатели!C662</f>
        <v>Колмаков</v>
      </c>
      <c r="D731" s="16" t="str">
        <f>VLOOKUP(C731,Покупатели!$C$2:$Q$738,15,0)</f>
        <v>MX4000002S0002335</v>
      </c>
    </row>
    <row r="732" spans="1:4" ht="13.2">
      <c r="A732" s="12">
        <v>1877</v>
      </c>
      <c r="B732" s="10">
        <v>45943</v>
      </c>
      <c r="C732" s="11" t="str">
        <f>Покупатели!C663</f>
        <v>Гаппарова</v>
      </c>
      <c r="D732" s="16" t="str">
        <f>VLOOKUP(C732,Покупатели!$C$2:$Q$738,15,0)</f>
        <v>MX4000002S0002271</v>
      </c>
    </row>
    <row r="733" spans="1:4" ht="13.2">
      <c r="A733" s="12">
        <v>1878</v>
      </c>
      <c r="B733" s="10">
        <v>45944</v>
      </c>
      <c r="C733" s="11" t="str">
        <f>Покупатели!C664</f>
        <v>Абсатаров</v>
      </c>
      <c r="D733" s="16" t="str">
        <f>VLOOKUP(C733,Покупатели!$C$2:$Q$738,15,0)</f>
        <v>MX4000004S0002262</v>
      </c>
    </row>
    <row r="734" spans="1:4" ht="13.2">
      <c r="A734" s="12">
        <v>1879</v>
      </c>
      <c r="B734" s="10">
        <v>45944</v>
      </c>
      <c r="C734" s="11" t="str">
        <f>Покупатели!C665</f>
        <v>Бушенов</v>
      </c>
      <c r="D734" s="16" t="str">
        <f>VLOOKUP(C734,Покупатели!$C$2:$Q$738,15,0)</f>
        <v>MX4000004S0002261</v>
      </c>
    </row>
    <row r="735" spans="1:4" ht="13.2">
      <c r="A735" s="12">
        <v>1880</v>
      </c>
      <c r="B735" s="10">
        <v>45944</v>
      </c>
      <c r="C735" s="11" t="str">
        <f>Покупатели!C666</f>
        <v>Маханбетұлы</v>
      </c>
      <c r="D735" s="16" t="str">
        <f>VLOOKUP(C735,Покупатели!$C$2:$Q$738,15,0)</f>
        <v>MX4000002S0002293</v>
      </c>
    </row>
    <row r="736" spans="1:4" ht="13.2">
      <c r="A736" s="12">
        <v>1881</v>
      </c>
      <c r="B736" s="10">
        <v>45945</v>
      </c>
      <c r="C736" s="11" t="str">
        <f>Покупатели!C667</f>
        <v>Алиева</v>
      </c>
      <c r="D736" s="16" t="str">
        <f>VLOOKUP(C736,Покупатели!$C$2:$Q$738,15,0)</f>
        <v>MX4000002S0002322</v>
      </c>
    </row>
    <row r="737" spans="1:4" ht="13.2">
      <c r="A737" s="12">
        <v>1882</v>
      </c>
      <c r="B737" s="10">
        <v>45945</v>
      </c>
      <c r="C737" s="11" t="s">
        <v>95</v>
      </c>
    </row>
    <row r="738" spans="1:4" ht="13.2">
      <c r="A738" s="12">
        <v>1883</v>
      </c>
      <c r="B738" s="10">
        <v>45946</v>
      </c>
      <c r="C738" s="13" t="str">
        <f>Покупатели!C668</f>
        <v>Иманболов</v>
      </c>
      <c r="D738" s="16" t="str">
        <f>VLOOKUP(C738,Покупатели!$C$2:$Q$738,15,0)</f>
        <v>MX4000002S0002319</v>
      </c>
    </row>
    <row r="739" spans="1:4" ht="13.2">
      <c r="A739" s="12">
        <v>1884</v>
      </c>
      <c r="B739" s="10">
        <v>45947</v>
      </c>
      <c r="C739" s="13" t="str">
        <f>Покупатели!C669</f>
        <v>Кушьялов</v>
      </c>
      <c r="D739" s="16" t="str">
        <f>VLOOKUP(C739,Покупатели!$C$2:$Q$738,15,0)</f>
        <v>MX4000002S0002365</v>
      </c>
    </row>
    <row r="740" spans="1:4" ht="13.2">
      <c r="A740" s="12">
        <v>1885</v>
      </c>
      <c r="B740" s="10">
        <v>45947</v>
      </c>
      <c r="C740" s="13" t="str">
        <f>Покупатели!C670</f>
        <v>Валеев</v>
      </c>
      <c r="D740" s="16" t="str">
        <f>VLOOKUP(C740,Покупатели!$C$2:$Q$738,15,0)</f>
        <v>MX4000002S0002273</v>
      </c>
    </row>
    <row r="741" spans="1:4" ht="13.2">
      <c r="A741" s="12">
        <v>1886</v>
      </c>
      <c r="B741" s="10">
        <v>45950</v>
      </c>
      <c r="C741" s="13" t="str">
        <f>Покупатели!C671</f>
        <v>Хасенов</v>
      </c>
      <c r="D741" s="16" t="str">
        <f>VLOOKUP(C741,Покупатели!$C$2:$Q$738,15,0)</f>
        <v>MX4000002S0002363</v>
      </c>
    </row>
    <row r="742" spans="1:4" ht="13.2">
      <c r="A742" s="12">
        <v>1887</v>
      </c>
      <c r="B742" s="10">
        <v>45950</v>
      </c>
      <c r="C742" s="13" t="str">
        <f>Покупатели!C672</f>
        <v>Боблян</v>
      </c>
      <c r="D742" s="16" t="str">
        <f>VLOOKUP(C742,Покупатели!$C$2:$Q$738,15,0)</f>
        <v>MX4000002S0002364</v>
      </c>
    </row>
    <row r="743" spans="1:4" ht="13.2">
      <c r="A743" s="12">
        <v>1888</v>
      </c>
      <c r="B743" s="10">
        <v>45950</v>
      </c>
      <c r="C743" s="13" t="str">
        <f>Покупатели!C673</f>
        <v>Ибдиев</v>
      </c>
      <c r="D743" s="16" t="str">
        <f>VLOOKUP(C743,Покупатели!$C$2:$Q$738,15,0)</f>
        <v>MX4000002S0002280</v>
      </c>
    </row>
    <row r="744" spans="1:4" ht="13.2">
      <c r="A744" s="12">
        <v>1889</v>
      </c>
      <c r="B744" s="10">
        <v>45950</v>
      </c>
      <c r="C744" s="13" t="str">
        <f>Покупатели!C674</f>
        <v>Кемал</v>
      </c>
      <c r="D744" s="16" t="str">
        <f>VLOOKUP(C744,Покупатели!$C$2:$Q$738,15,0)</f>
        <v>MX4000002S0002324</v>
      </c>
    </row>
    <row r="745" spans="1:4" ht="13.2">
      <c r="A745" s="12">
        <v>1890</v>
      </c>
      <c r="B745" s="10">
        <v>45951</v>
      </c>
      <c r="C745" s="13" t="str">
        <f>Покупатели!C675</f>
        <v>Пашин</v>
      </c>
      <c r="D745" s="16" t="str">
        <f>VLOOKUP(C745,Покупатели!$C$2:$Q$738,15,0)</f>
        <v>MX4000002S0002347</v>
      </c>
    </row>
    <row r="746" spans="1:4" ht="13.2">
      <c r="A746" s="12">
        <v>1891</v>
      </c>
      <c r="B746" s="10">
        <v>45952</v>
      </c>
      <c r="C746" s="13" t="str">
        <f>Покупатели!C676</f>
        <v>Бекеев</v>
      </c>
      <c r="D746" s="16" t="str">
        <f>VLOOKUP(C746,Покупатели!$C$2:$Q$738,15,0)</f>
        <v>MX4000002S0002395</v>
      </c>
    </row>
    <row r="747" spans="1:4" ht="13.2">
      <c r="A747" s="12">
        <v>1892</v>
      </c>
      <c r="B747" s="10">
        <v>45954</v>
      </c>
      <c r="C747" s="13" t="str">
        <f>Покупатели!C677</f>
        <v>Ахметжанов</v>
      </c>
      <c r="D747" s="16" t="str">
        <f>VLOOKUP(C747,Покупатели!$C$2:$Q$738,15,0)</f>
        <v>MX4000002S0002394</v>
      </c>
    </row>
    <row r="748" spans="1:4" ht="13.2">
      <c r="A748" s="12">
        <v>1893</v>
      </c>
      <c r="B748" s="10">
        <v>45958</v>
      </c>
      <c r="C748" s="13" t="str">
        <f>Покупатели!C678</f>
        <v>Мергембаев</v>
      </c>
      <c r="D748" s="16" t="str">
        <f>VLOOKUP(C748,Покупатели!$C$2:$Q$738,15,0)</f>
        <v>MX4000002S0002397</v>
      </c>
    </row>
    <row r="749" spans="1:4" ht="13.2">
      <c r="A749" s="12">
        <v>1894</v>
      </c>
      <c r="B749" s="10">
        <v>45958</v>
      </c>
      <c r="C749" s="13" t="str">
        <f>Покупатели!C679</f>
        <v>Дюсенова</v>
      </c>
      <c r="D749" s="16" t="str">
        <f>VLOOKUP(C749,Покупатели!$C$2:$Q$738,15,0)</f>
        <v>MX4000002S0002396</v>
      </c>
    </row>
    <row r="750" spans="1:4" ht="13.2">
      <c r="A750" s="12">
        <v>1895</v>
      </c>
      <c r="B750" s="10">
        <v>45959</v>
      </c>
      <c r="C750" s="13" t="str">
        <f>Покупатели!C680</f>
        <v>Тайгараева</v>
      </c>
      <c r="D750" s="16" t="str">
        <f>VLOOKUP(C750,Покупатели!$C$2:$Q$738,15,0)</f>
        <v>MX4000002S0002366</v>
      </c>
    </row>
    <row r="751" spans="1:4" ht="13.2">
      <c r="A751" s="12">
        <v>1896</v>
      </c>
      <c r="B751" s="10">
        <v>45959</v>
      </c>
      <c r="C751" s="13" t="str">
        <f>Покупатели!C681</f>
        <v>Алиев</v>
      </c>
      <c r="D751" s="16" t="str">
        <f>VLOOKUP(C751,Покупатели!$C$2:$Q$738,15,0)</f>
        <v>MX4000002S0002317</v>
      </c>
    </row>
    <row r="752" spans="1:4" ht="13.2">
      <c r="A752" s="12">
        <v>1897</v>
      </c>
      <c r="B752" s="10">
        <v>45959</v>
      </c>
      <c r="C752" s="13" t="str">
        <f>Покупатели!C682</f>
        <v>Балабатырова</v>
      </c>
      <c r="D752" s="16" t="str">
        <f>VLOOKUP(C752,Покупатели!$C$2:$Q$738,15,0)</f>
        <v>MX4000005P0001296</v>
      </c>
    </row>
    <row r="753" spans="1:4" ht="13.2">
      <c r="A753" s="12">
        <v>1898</v>
      </c>
      <c r="B753" s="10">
        <v>45960</v>
      </c>
      <c r="C753" s="13" t="str">
        <f>Покупатели!C683</f>
        <v>Ахмаров</v>
      </c>
      <c r="D753" s="16" t="str">
        <f>VLOOKUP(C753,Покупатели!$C$2:$Q$738,15,0)</f>
        <v>MX4000002S0002292</v>
      </c>
    </row>
    <row r="754" spans="1:4" ht="13.2">
      <c r="A754" s="12">
        <v>1899</v>
      </c>
      <c r="B754" s="10">
        <v>45960</v>
      </c>
      <c r="C754" s="13" t="str">
        <f>Покупатели!C684</f>
        <v>Байжуманов</v>
      </c>
      <c r="D754" s="16" t="str">
        <f>VLOOKUP(C754,Покупатели!$C$2:$Q$738,15,0)</f>
        <v>MX4000002S0002320</v>
      </c>
    </row>
    <row r="755" spans="1:4" ht="13.2">
      <c r="A755" s="12">
        <v>1900</v>
      </c>
      <c r="B755" s="10">
        <v>45961</v>
      </c>
      <c r="C755" s="13" t="str">
        <f>Покупатели!C685</f>
        <v>Хрипунов</v>
      </c>
      <c r="D755" s="16" t="str">
        <f>VLOOKUP(C755,Покупатели!$C$2:$Q$738,15,0)</f>
        <v>MX4000002S0002318</v>
      </c>
    </row>
    <row r="756" spans="1:4" ht="13.2">
      <c r="A756" s="12">
        <v>1901</v>
      </c>
      <c r="B756" s="10">
        <v>45964</v>
      </c>
      <c r="C756" s="13" t="str">
        <f>Покупатели!C686</f>
        <v>Тұрғынбай</v>
      </c>
      <c r="D756" s="16" t="str">
        <f>VLOOKUP(C756,Покупатели!$C$2:$Q$738,15,0)</f>
        <v>MX4000002S0002286</v>
      </c>
    </row>
    <row r="757" spans="1:4" ht="13.2">
      <c r="A757" s="12">
        <v>1902</v>
      </c>
      <c r="B757" s="10">
        <v>45965</v>
      </c>
      <c r="C757" s="13" t="str">
        <f>Покупатели!C687</f>
        <v>Кусаинов</v>
      </c>
      <c r="D757" s="16" t="str">
        <f>VLOOKUP(C757,Покупатели!$C$2:$Q$738,15,0)</f>
        <v>MX4000002S0002321</v>
      </c>
    </row>
    <row r="758" spans="1:4" ht="13.2">
      <c r="A758" s="12">
        <v>1903</v>
      </c>
      <c r="B758" s="10">
        <v>45966</v>
      </c>
      <c r="C758" s="13" t="str">
        <f>Покупатели!C688</f>
        <v>Емерхан</v>
      </c>
      <c r="D758" s="16" t="str">
        <f>VLOOKUP(C758,Покупатели!$C$2:$Q$738,15,0)</f>
        <v>MX4000002S0002406</v>
      </c>
    </row>
    <row r="759" spans="1:4" ht="13.2">
      <c r="A759" s="12">
        <v>1904</v>
      </c>
      <c r="B759" s="10">
        <v>45966</v>
      </c>
      <c r="C759" s="13" t="str">
        <f>Покупатели!C689</f>
        <v>Жаксыбаев</v>
      </c>
      <c r="D759" s="16" t="str">
        <f>VLOOKUP(C759,Покупатели!$C$2:$Q$738,15,0)</f>
        <v>MX4000002S0002287</v>
      </c>
    </row>
    <row r="760" spans="1:4" ht="13.2">
      <c r="A760" s="12">
        <v>1905</v>
      </c>
      <c r="B760" s="10">
        <v>45967</v>
      </c>
      <c r="C760" s="13" t="str">
        <f>Покупатели!C690</f>
        <v>Ансабаев</v>
      </c>
      <c r="D760" s="16" t="str">
        <f>VLOOKUP(C760,Покупатели!$C$2:$Q$738,15,0)</f>
        <v>MX4000002S0002421</v>
      </c>
    </row>
    <row r="761" spans="1:4" ht="13.2">
      <c r="A761" s="12">
        <v>1906</v>
      </c>
      <c r="B761" s="10">
        <v>45967</v>
      </c>
      <c r="C761" s="13" t="str">
        <f>Покупатели!C691</f>
        <v>Набатов</v>
      </c>
      <c r="D761" s="16" t="str">
        <f>VLOOKUP(C761,Покупатели!$C$2:$Q$738,15,0)</f>
        <v>MX4000004S0001987</v>
      </c>
    </row>
    <row r="762" spans="1:4" ht="13.2">
      <c r="A762" s="12">
        <v>1907</v>
      </c>
      <c r="B762" s="10">
        <v>45967</v>
      </c>
      <c r="C762" s="13" t="str">
        <f>Покупатели!C692</f>
        <v>Мустафин</v>
      </c>
      <c r="D762" s="16" t="str">
        <f>VLOOKUP(C762,Покупатели!$C$2:$Q$738,15,0)</f>
        <v>MX4000002S0002237</v>
      </c>
    </row>
    <row r="763" spans="1:4" ht="13.2">
      <c r="A763" s="12">
        <v>1908</v>
      </c>
      <c r="B763" s="10">
        <v>45971</v>
      </c>
      <c r="C763" s="13" t="str">
        <f>Покупатели!C693</f>
        <v>Баймагамбетов</v>
      </c>
      <c r="D763" s="16" t="str">
        <f>VLOOKUP(C763,Покупатели!$C$2:$Q$738,15,0)</f>
        <v>MX4000002S0002432</v>
      </c>
    </row>
    <row r="764" spans="1:4" ht="13.2">
      <c r="A764" s="12">
        <v>1909</v>
      </c>
      <c r="B764" s="10">
        <v>45972</v>
      </c>
      <c r="C764" s="13" t="str">
        <f>Покупатели!C694</f>
        <v>Машин</v>
      </c>
      <c r="D764" s="16" t="str">
        <f>VLOOKUP(C764,Покупатели!$C$2:$Q$738,15,0)</f>
        <v>MX4000002S0002291</v>
      </c>
    </row>
    <row r="765" spans="1:4" ht="13.2">
      <c r="A765" s="12">
        <v>1910</v>
      </c>
      <c r="B765" s="10">
        <v>45972</v>
      </c>
      <c r="C765" s="13" t="str">
        <f>Покупатели!C695</f>
        <v>Доненов</v>
      </c>
      <c r="D765" s="16" t="str">
        <f>VLOOKUP(C765,Покупатели!$C$2:$Q$738,15,0)</f>
        <v>MX4000002S0002400</v>
      </c>
    </row>
    <row r="766" spans="1:4" ht="13.2">
      <c r="A766" s="12">
        <v>1911</v>
      </c>
      <c r="B766" s="10">
        <v>45972</v>
      </c>
      <c r="C766" s="13" t="str">
        <f>Покупатели!C696</f>
        <v>Аскарбаев</v>
      </c>
      <c r="D766" s="16" t="str">
        <f>VLOOKUP(C766,Покупатели!$C$2:$Q$738,15,0)</f>
        <v>MX4000002S0002430</v>
      </c>
    </row>
    <row r="767" spans="1:4" ht="13.2">
      <c r="A767" s="12">
        <v>1912</v>
      </c>
      <c r="B767" s="10">
        <v>45973</v>
      </c>
      <c r="C767" s="13" t="str">
        <f>Покупатели!C697</f>
        <v>Абдрахманов</v>
      </c>
      <c r="D767" s="16" t="str">
        <f>VLOOKUP(C767,Покупатели!$C$2:$Q$738,15,0)</f>
        <v>MX4000002S0002436</v>
      </c>
    </row>
    <row r="768" spans="1:4" ht="13.2">
      <c r="A768" s="12">
        <v>1913</v>
      </c>
      <c r="B768" s="10">
        <v>45973</v>
      </c>
      <c r="C768" s="13" t="str">
        <f>Покупатели!C698</f>
        <v>Музейко</v>
      </c>
      <c r="D768" s="16" t="str">
        <f>VLOOKUP(C768,Покупатели!$C$2:$Q$738,15,0)</f>
        <v>MX4000002S0002437</v>
      </c>
    </row>
    <row r="769" spans="1:4" ht="13.2">
      <c r="A769" s="12">
        <v>1914</v>
      </c>
      <c r="B769" s="10">
        <v>45974</v>
      </c>
      <c r="C769" s="13" t="str">
        <f>Покупатели!C731</f>
        <v>Бердиханов</v>
      </c>
      <c r="D769" s="16" t="str">
        <f>VLOOKUP(C769,Покупатели!$C$2:$Q$738,15,0)</f>
        <v>MX4000002S0002355</v>
      </c>
    </row>
    <row r="770" spans="1:4" ht="13.2">
      <c r="A770" s="12">
        <v>1915</v>
      </c>
      <c r="B770" s="10">
        <v>45974</v>
      </c>
      <c r="C770" s="13" t="str">
        <f>Покупатели!C699</f>
        <v>Исламова</v>
      </c>
      <c r="D770" s="16" t="str">
        <f>VLOOKUP(C770,Покупатели!$C$2:$Q$738,15,0)</f>
        <v>MX4000002S0002405</v>
      </c>
    </row>
    <row r="771" spans="1:4" ht="13.2">
      <c r="A771" s="12">
        <v>1916</v>
      </c>
      <c r="B771" s="10">
        <v>45975</v>
      </c>
      <c r="C771" s="13" t="str">
        <f>Покупатели!C700</f>
        <v>Токулова</v>
      </c>
      <c r="D771" s="16" t="str">
        <f>VLOOKUP(C771,Покупатели!$C$2:$Q$738,15,0)</f>
        <v>MX4000002S0002399</v>
      </c>
    </row>
    <row r="772" spans="1:4" ht="13.2">
      <c r="A772" s="12">
        <v>1917</v>
      </c>
      <c r="B772" s="10">
        <v>45975</v>
      </c>
      <c r="C772" s="13" t="str">
        <f>Покупатели!C701</f>
        <v>Байрамов</v>
      </c>
      <c r="D772" s="16" t="str">
        <f>VLOOKUP(C772,Покупатели!$C$2:$Q$738,15,0)</f>
        <v>MX4000002S0002427</v>
      </c>
    </row>
    <row r="773" spans="1:4" ht="13.2">
      <c r="A773" s="12">
        <v>1918</v>
      </c>
      <c r="B773" s="10">
        <v>45978</v>
      </c>
      <c r="C773" s="13" t="str">
        <f>Покупатели!C702</f>
        <v>Бегзал</v>
      </c>
      <c r="D773" s="16" t="str">
        <f>VLOOKUP(C773,Покупатели!$C$2:$Q$738,15,0)</f>
        <v>MX4000002S0002434</v>
      </c>
    </row>
    <row r="774" spans="1:4" ht="13.2">
      <c r="A774" s="12">
        <v>1919</v>
      </c>
      <c r="B774" s="10">
        <v>45979</v>
      </c>
      <c r="C774" s="13" t="str">
        <f>Покупатели!C703</f>
        <v>Төлеген</v>
      </c>
      <c r="D774" s="16" t="str">
        <f>VLOOKUP(C774,Покупатели!$C$2:$Q$738,15,0)</f>
        <v>MX4000004S0002431</v>
      </c>
    </row>
    <row r="775" spans="1:4" ht="13.2">
      <c r="A775" s="12">
        <v>1920</v>
      </c>
      <c r="B775" s="10">
        <v>45979</v>
      </c>
      <c r="C775" s="13" t="str">
        <f>Покупатели!C704</f>
        <v>Зырянов</v>
      </c>
      <c r="D775" s="16" t="str">
        <f>VLOOKUP(C775,Покупатели!$C$2:$Q$738,15,0)</f>
        <v>MX4000002S0002285</v>
      </c>
    </row>
    <row r="776" spans="1:4" ht="13.2">
      <c r="A776" s="12">
        <v>1921</v>
      </c>
      <c r="B776" s="10">
        <v>45980</v>
      </c>
      <c r="C776" s="13" t="str">
        <f>Покупатели!C705</f>
        <v>Иманжанов</v>
      </c>
      <c r="D776" s="16" t="str">
        <f>VLOOKUP(C776,Покупатели!$C$2:$Q$738,15,0)</f>
        <v>MX4000005S0002440</v>
      </c>
    </row>
    <row r="777" spans="1:4" ht="13.2">
      <c r="A777" s="12">
        <v>1922</v>
      </c>
      <c r="B777" s="10">
        <v>45981</v>
      </c>
      <c r="C777" s="13" t="str">
        <f>Покупатели!C706</f>
        <v>Ашихмин 1</v>
      </c>
      <c r="D777" s="16" t="str">
        <f>VLOOKUP(C777,Покупатели!$C$2:$Q$738,15,0)</f>
        <v>MX4000002S0002401</v>
      </c>
    </row>
    <row r="778" spans="1:4" ht="13.2">
      <c r="A778" s="12">
        <v>1923</v>
      </c>
      <c r="B778" s="10">
        <v>45982</v>
      </c>
      <c r="C778" s="13" t="str">
        <f>Покупатели!C707</f>
        <v>Костюков</v>
      </c>
      <c r="D778" s="16" t="str">
        <f>VLOOKUP(C778,Покупатели!$C$2:$Q$738,15,0)</f>
        <v>MX4000002S0002367</v>
      </c>
    </row>
    <row r="779" spans="1:4" ht="13.2">
      <c r="A779" s="12">
        <v>1924</v>
      </c>
      <c r="B779" s="10">
        <v>45983</v>
      </c>
      <c r="C779" s="13" t="str">
        <f>Покупатели!C708</f>
        <v>Уалиев</v>
      </c>
      <c r="D779" s="16" t="str">
        <f>VLOOKUP(C779,Покупатели!$C$2:$Q$738,15,0)</f>
        <v>MX4000002S0002402</v>
      </c>
    </row>
    <row r="780" spans="1:4" ht="13.2">
      <c r="A780" s="12">
        <v>1925</v>
      </c>
      <c r="B780" s="10">
        <v>45984</v>
      </c>
      <c r="C780" s="13" t="str">
        <f>Покупатели!C709</f>
        <v>Оңалбеков</v>
      </c>
      <c r="D780" s="16" t="str">
        <f>VLOOKUP(C780,Покупатели!$C$2:$Q$738,15,0)</f>
        <v>MX4000004S0002305</v>
      </c>
    </row>
    <row r="781" spans="1:4" ht="13.2">
      <c r="A781" s="12">
        <v>1926</v>
      </c>
      <c r="B781" s="10">
        <v>45984</v>
      </c>
      <c r="C781" s="13" t="str">
        <f>Покупатели!C710</f>
        <v>Аманжолов</v>
      </c>
      <c r="D781" s="16" t="str">
        <f>VLOOKUP(C781,Покупатели!$C$2:$Q$738,15,0)</f>
        <v>MX4000002S0002404</v>
      </c>
    </row>
    <row r="782" spans="1:4" ht="13.2">
      <c r="A782" s="12">
        <v>1927</v>
      </c>
      <c r="B782" s="10">
        <v>45985</v>
      </c>
      <c r="C782" s="13" t="str">
        <f>Покупатели!C711</f>
        <v>Артемьев</v>
      </c>
      <c r="D782" s="16" t="str">
        <f>VLOOKUP(C782,Покупатели!$C$2:$Q$738,15,0)</f>
        <v>MX4000002S0002350</v>
      </c>
    </row>
    <row r="783" spans="1:4" ht="13.2">
      <c r="A783" s="12">
        <v>1928</v>
      </c>
      <c r="B783" s="10">
        <v>45986</v>
      </c>
      <c r="C783" s="13" t="str">
        <f>Покупатели!C712</f>
        <v>Михайдаров</v>
      </c>
      <c r="D783" s="16" t="str">
        <f>VLOOKUP(C783,Покупатели!$C$2:$Q$738,15,0)</f>
        <v>MX4000002S0002403</v>
      </c>
    </row>
    <row r="784" spans="1:4" ht="13.2">
      <c r="A784" s="12">
        <v>1929</v>
      </c>
      <c r="B784" s="10">
        <v>45986</v>
      </c>
      <c r="C784" s="13" t="str">
        <f>Покупатели!C713</f>
        <v>Палатченко</v>
      </c>
      <c r="D784" s="16" t="str">
        <f>VLOOKUP(C784,Покупатели!$C$2:$Q$738,15,0)</f>
        <v>MX4000002S0002447</v>
      </c>
    </row>
    <row r="785" spans="1:4" ht="13.2">
      <c r="A785" s="12">
        <v>1930</v>
      </c>
      <c r="B785" s="10">
        <v>45987</v>
      </c>
      <c r="C785" s="13" t="str">
        <f>Покупатели!C714</f>
        <v>Кулимбетов</v>
      </c>
      <c r="D785" s="16" t="str">
        <f>VLOOKUP(C785,Покупатели!$C$2:$Q$738,15,0)</f>
        <v>MX4000002S0002351</v>
      </c>
    </row>
    <row r="786" spans="1:4" ht="13.2">
      <c r="A786" s="12">
        <v>1931</v>
      </c>
      <c r="B786" s="10">
        <v>45987</v>
      </c>
      <c r="C786" s="13" t="str">
        <f>Покупатели!C715</f>
        <v>Нұрымбет</v>
      </c>
      <c r="D786" s="16" t="str">
        <f>VLOOKUP(C786,Покупатели!$C$2:$Q$738,15,0)</f>
        <v>MX4000002S0002441</v>
      </c>
    </row>
    <row r="787" spans="1:4" ht="13.2">
      <c r="A787" s="12">
        <v>1932</v>
      </c>
      <c r="B787" s="10">
        <v>45987</v>
      </c>
      <c r="C787" s="13" t="str">
        <f>Покупатели!C716</f>
        <v>Кононов</v>
      </c>
      <c r="D787" s="16" t="str">
        <f>VLOOKUP(C787,Покупатели!$C$2:$Q$738,15,0)</f>
        <v>MX4000004S0002438</v>
      </c>
    </row>
    <row r="788" spans="1:4" ht="13.2">
      <c r="A788" s="12">
        <v>1933</v>
      </c>
      <c r="B788" s="10">
        <v>45987</v>
      </c>
      <c r="C788" s="13" t="str">
        <f>Покупатели!C717</f>
        <v>Пастухов</v>
      </c>
      <c r="D788" s="16" t="str">
        <f>VLOOKUP(C788,Покупатели!$C$2:$Q$738,15,0)</f>
        <v>MX4000002S0002356</v>
      </c>
    </row>
    <row r="789" spans="1:4" ht="13.2">
      <c r="A789" s="12">
        <v>1934</v>
      </c>
      <c r="B789" s="10">
        <v>45988</v>
      </c>
      <c r="C789" s="13" t="str">
        <f>Покупатели!C718</f>
        <v>Айтимов</v>
      </c>
      <c r="D789" s="16" t="str">
        <f>VLOOKUP(C789,Покупатели!$C$2:$Q$738,15,0)</f>
        <v>MX4000005S0002446</v>
      </c>
    </row>
    <row r="790" spans="1:4" ht="13.2">
      <c r="A790" s="12">
        <v>1935</v>
      </c>
      <c r="B790" s="10">
        <v>45988</v>
      </c>
      <c r="C790" s="11" t="s">
        <v>96</v>
      </c>
      <c r="D790" s="11" t="s">
        <v>97</v>
      </c>
    </row>
    <row r="791" spans="1:4" ht="13.2">
      <c r="A791" s="12">
        <v>1936</v>
      </c>
      <c r="B791" s="10">
        <v>45989</v>
      </c>
      <c r="C791" s="13" t="str">
        <f>Покупатели!C719</f>
        <v>Көшербай</v>
      </c>
      <c r="D791" s="16" t="str">
        <f>VLOOKUP(C791,Покупатели!$C$2:$Q$738,15,0)</f>
        <v>MX4000002S0002352</v>
      </c>
    </row>
    <row r="792" spans="1:4" ht="13.2">
      <c r="A792" s="12">
        <v>1937</v>
      </c>
      <c r="B792" s="10">
        <v>45989</v>
      </c>
      <c r="C792" s="13" t="str">
        <f>Покупатели!C720</f>
        <v>Бендов</v>
      </c>
      <c r="D792" s="16" t="str">
        <f>VLOOKUP(C792,Покупатели!$C$2:$Q$738,15,0)</f>
        <v>MX4000002S0002449</v>
      </c>
    </row>
    <row r="793" spans="1:4" ht="13.2">
      <c r="A793" s="12">
        <v>1938</v>
      </c>
      <c r="B793" s="10">
        <v>45992</v>
      </c>
      <c r="C793" s="13" t="str">
        <f>Покупатели!C721</f>
        <v>Шешкиль</v>
      </c>
      <c r="D793" s="16" t="str">
        <f>VLOOKUP(C793,Покупатели!$C$2:$Q$738,15,0)</f>
        <v>MX4000002S0002450</v>
      </c>
    </row>
    <row r="794" spans="1:4" ht="13.2">
      <c r="A794" s="12">
        <v>1939</v>
      </c>
      <c r="B794" s="10">
        <v>45992</v>
      </c>
      <c r="C794" s="13" t="str">
        <f>Покупатели!C722</f>
        <v>Шумаков</v>
      </c>
      <c r="D794" s="16" t="str">
        <f>VLOOKUP(C794,Покупатели!$C$2:$Q$738,15,0)</f>
        <v>MX4000002S0002451</v>
      </c>
    </row>
    <row r="795" spans="1:4" ht="13.2">
      <c r="A795" s="12">
        <v>1940</v>
      </c>
      <c r="B795" s="10">
        <v>45992</v>
      </c>
      <c r="C795" s="13" t="str">
        <f>Покупатели!C723</f>
        <v>Ашихмин</v>
      </c>
      <c r="D795" s="16" t="str">
        <f>VLOOKUP(C795,Покупатели!$C$2:$Q$738,15,0)</f>
        <v>MX4000002S0002398</v>
      </c>
    </row>
    <row r="796" spans="1:4" ht="13.2">
      <c r="A796" s="12">
        <v>1941</v>
      </c>
      <c r="B796" s="10">
        <v>45993</v>
      </c>
      <c r="C796" s="13" t="str">
        <f>Покупатели!C724</f>
        <v>Иващенко</v>
      </c>
      <c r="D796" s="16" t="str">
        <f>VLOOKUP(C796,Покупатели!$C$2:$Q$738,15,0)</f>
        <v>MX4000002S0002263</v>
      </c>
    </row>
    <row r="797" spans="1:4" ht="13.2">
      <c r="A797" s="12">
        <v>1942</v>
      </c>
      <c r="B797" s="10">
        <v>45994</v>
      </c>
      <c r="C797" s="13" t="str">
        <f>Покупатели!C725</f>
        <v>Сагинбеков</v>
      </c>
      <c r="D797" s="16" t="str">
        <f>VLOOKUP(C797,Покупатели!$C$2:$Q$738,15,0)</f>
        <v>MX4000002S0002359</v>
      </c>
    </row>
    <row r="798" spans="1:4" ht="13.2">
      <c r="A798" s="12">
        <v>1943</v>
      </c>
      <c r="B798" s="10">
        <v>45994</v>
      </c>
      <c r="C798" s="13" t="str">
        <f>Покупатели!C726</f>
        <v>Галиулин</v>
      </c>
      <c r="D798" s="16" t="str">
        <f>VLOOKUP(C798,Покупатели!$C$2:$Q$738,15,0)</f>
        <v>MX4000004S0002423</v>
      </c>
    </row>
    <row r="799" spans="1:4" ht="13.2">
      <c r="A799" s="12">
        <v>1944</v>
      </c>
      <c r="B799" s="10">
        <v>45996</v>
      </c>
      <c r="C799" s="13" t="str">
        <f>Покупатели!C727</f>
        <v>Нурхайдаров</v>
      </c>
      <c r="D799" s="16" t="str">
        <f>VLOOKUP(C799,Покупатели!$C$2:$Q$738,15,0)</f>
        <v>MX4000002S0002354</v>
      </c>
    </row>
    <row r="800" spans="1:4" ht="13.2">
      <c r="A800" s="12">
        <v>1945</v>
      </c>
      <c r="B800" s="10">
        <v>45996</v>
      </c>
      <c r="C800" s="13" t="str">
        <f>Покупатели!C728</f>
        <v>Азбасов</v>
      </c>
      <c r="D800" s="16" t="str">
        <f>VLOOKUP(C800,Покупатели!$C$2:$Q$738,15,0)</f>
        <v>MX4000002S0002357</v>
      </c>
    </row>
    <row r="801" spans="1:4" ht="13.2">
      <c r="A801" s="12">
        <v>1946</v>
      </c>
      <c r="B801" s="10">
        <v>45996</v>
      </c>
      <c r="C801" s="11" t="s">
        <v>98</v>
      </c>
    </row>
    <row r="802" spans="1:4" ht="13.2">
      <c r="A802" s="12">
        <v>1947</v>
      </c>
      <c r="B802" s="10">
        <v>45998</v>
      </c>
      <c r="C802" s="13" t="str">
        <f>Покупатели!C729</f>
        <v>Копбаев</v>
      </c>
      <c r="D802" s="16" t="str">
        <f>VLOOKUP(C802,Покупатели!$C$2:$Q$738,15,0)</f>
        <v>MX4000002S0002353</v>
      </c>
    </row>
    <row r="803" spans="1:4" ht="13.2">
      <c r="A803" s="12">
        <v>1948</v>
      </c>
      <c r="B803" s="10">
        <v>45999</v>
      </c>
      <c r="C803" s="13" t="str">
        <f>Покупатели!C730</f>
        <v>Ордабаев</v>
      </c>
      <c r="D803" s="16" t="str">
        <f>VLOOKUP(C803,Покупатели!$C$2:$Q$738,15,0)</f>
        <v>MX4000002S0002389</v>
      </c>
    </row>
    <row r="804" spans="1:4" ht="13.2">
      <c r="A804" s="22"/>
      <c r="B804" s="23"/>
      <c r="C804" s="13"/>
      <c r="D804" s="13"/>
    </row>
    <row r="805" spans="1:4" ht="13.2">
      <c r="A805" s="22"/>
      <c r="B805" s="23"/>
      <c r="C805" s="13"/>
      <c r="D805" s="13"/>
    </row>
    <row r="806" spans="1:4" ht="13.2">
      <c r="A806" s="22"/>
      <c r="B806" s="23"/>
      <c r="C806" s="13"/>
      <c r="D806" s="13"/>
    </row>
    <row r="807" spans="1:4" ht="13.2">
      <c r="A807" s="22"/>
      <c r="B807" s="23"/>
      <c r="C807" s="13"/>
      <c r="D807" s="13"/>
    </row>
    <row r="808" spans="1:4" ht="13.2">
      <c r="A808" s="22"/>
      <c r="B808" s="23"/>
      <c r="C808" s="13"/>
      <c r="D808" s="13"/>
    </row>
    <row r="809" spans="1:4" ht="13.2">
      <c r="A809" s="22"/>
      <c r="B809" s="23"/>
      <c r="C809" s="13"/>
      <c r="D809" s="13"/>
    </row>
    <row r="810" spans="1:4" ht="13.2">
      <c r="A810" s="22"/>
      <c r="B810" s="23"/>
      <c r="C810" s="13"/>
      <c r="D810" s="13"/>
    </row>
    <row r="811" spans="1:4" ht="13.2">
      <c r="A811" s="22"/>
      <c r="B811" s="23"/>
      <c r="C811" s="13"/>
      <c r="D811" s="13"/>
    </row>
    <row r="812" spans="1:4" ht="13.2">
      <c r="A812" s="22"/>
      <c r="B812" s="23"/>
      <c r="C812" s="13"/>
      <c r="D812" s="13"/>
    </row>
    <row r="813" spans="1:4" ht="13.2">
      <c r="A813" s="22"/>
      <c r="B813" s="23"/>
      <c r="C813" s="13"/>
      <c r="D813" s="13"/>
    </row>
    <row r="814" spans="1:4" ht="13.2">
      <c r="A814" s="22"/>
      <c r="B814" s="23"/>
      <c r="C814" s="13"/>
      <c r="D814" s="13"/>
    </row>
    <row r="815" spans="1:4" ht="13.2">
      <c r="A815" s="22"/>
      <c r="B815" s="23"/>
      <c r="C815" s="13"/>
      <c r="D815" s="13"/>
    </row>
    <row r="816" spans="1:4" ht="13.2">
      <c r="A816" s="22"/>
      <c r="B816" s="23"/>
      <c r="C816" s="13"/>
      <c r="D816" s="13"/>
    </row>
    <row r="817" spans="1:4" ht="13.2">
      <c r="A817" s="22"/>
      <c r="B817" s="23"/>
      <c r="C817" s="13"/>
      <c r="D817" s="13"/>
    </row>
    <row r="818" spans="1:4" ht="13.2">
      <c r="A818" s="22"/>
      <c r="B818" s="23"/>
      <c r="C818" s="13"/>
      <c r="D818" s="13"/>
    </row>
    <row r="819" spans="1:4" ht="13.2">
      <c r="A819" s="22"/>
      <c r="B819" s="23"/>
      <c r="C819" s="13"/>
      <c r="D819" s="13"/>
    </row>
    <row r="820" spans="1:4" ht="13.2">
      <c r="A820" s="22"/>
      <c r="B820" s="23"/>
      <c r="C820" s="13"/>
      <c r="D820" s="13"/>
    </row>
    <row r="821" spans="1:4" ht="13.2">
      <c r="A821" s="22"/>
      <c r="B821" s="23"/>
      <c r="C821" s="13"/>
      <c r="D821" s="13"/>
    </row>
    <row r="822" spans="1:4" ht="13.2">
      <c r="A822" s="22"/>
      <c r="B822" s="23"/>
      <c r="C822" s="13"/>
      <c r="D822" s="13"/>
    </row>
    <row r="823" spans="1:4" ht="13.2">
      <c r="A823" s="22"/>
      <c r="B823" s="23"/>
      <c r="C823" s="13"/>
      <c r="D823" s="13"/>
    </row>
    <row r="824" spans="1:4" ht="13.2">
      <c r="A824" s="22"/>
      <c r="B824" s="23"/>
      <c r="C824" s="13"/>
      <c r="D824" s="13"/>
    </row>
    <row r="825" spans="1:4" ht="13.2">
      <c r="A825" s="22"/>
      <c r="B825" s="23"/>
      <c r="C825" s="13"/>
      <c r="D825" s="13"/>
    </row>
    <row r="826" spans="1:4" ht="13.2">
      <c r="A826" s="22"/>
      <c r="B826" s="23"/>
      <c r="C826" s="13"/>
      <c r="D826" s="13"/>
    </row>
    <row r="827" spans="1:4" ht="13.2">
      <c r="A827" s="22"/>
      <c r="B827" s="23"/>
      <c r="C827" s="13"/>
      <c r="D827" s="13"/>
    </row>
    <row r="828" spans="1:4" ht="13.2">
      <c r="A828" s="22"/>
      <c r="B828" s="23"/>
      <c r="C828" s="13"/>
      <c r="D828" s="13"/>
    </row>
    <row r="829" spans="1:4" ht="13.2">
      <c r="A829" s="22"/>
      <c r="B829" s="23"/>
      <c r="C829" s="13"/>
      <c r="D829" s="13"/>
    </row>
    <row r="830" spans="1:4" ht="13.2">
      <c r="A830" s="22"/>
      <c r="B830" s="23"/>
      <c r="C830" s="13"/>
      <c r="D830" s="13"/>
    </row>
    <row r="831" spans="1:4" ht="13.2">
      <c r="A831" s="22"/>
      <c r="B831" s="23"/>
      <c r="C831" s="13"/>
      <c r="D831" s="13"/>
    </row>
    <row r="832" spans="1:4" ht="13.2">
      <c r="A832" s="22"/>
      <c r="B832" s="23"/>
      <c r="C832" s="13"/>
      <c r="D832" s="13"/>
    </row>
    <row r="833" spans="1:4" ht="13.2">
      <c r="A833" s="22"/>
      <c r="B833" s="23"/>
      <c r="C833" s="13"/>
      <c r="D833" s="13"/>
    </row>
    <row r="834" spans="1:4" ht="13.2">
      <c r="A834" s="22"/>
      <c r="B834" s="23"/>
      <c r="C834" s="13"/>
      <c r="D834" s="13"/>
    </row>
    <row r="835" spans="1:4" ht="13.2">
      <c r="A835" s="22"/>
      <c r="B835" s="23"/>
      <c r="C835" s="13"/>
      <c r="D835" s="13"/>
    </row>
    <row r="836" spans="1:4" ht="13.2">
      <c r="A836" s="22"/>
      <c r="B836" s="23"/>
      <c r="C836" s="13"/>
      <c r="D836" s="13"/>
    </row>
    <row r="837" spans="1:4" ht="13.2">
      <c r="A837" s="22"/>
      <c r="B837" s="23"/>
      <c r="C837" s="13"/>
      <c r="D837" s="13"/>
    </row>
    <row r="838" spans="1:4" ht="13.2">
      <c r="A838" s="22"/>
      <c r="B838" s="23"/>
      <c r="C838" s="13"/>
      <c r="D838" s="13"/>
    </row>
    <row r="839" spans="1:4" ht="13.2">
      <c r="A839" s="22"/>
      <c r="B839" s="23"/>
      <c r="C839" s="13"/>
      <c r="D839" s="13"/>
    </row>
    <row r="840" spans="1:4" ht="13.2">
      <c r="A840" s="22"/>
      <c r="B840" s="23"/>
      <c r="C840" s="13"/>
      <c r="D840" s="13"/>
    </row>
    <row r="841" spans="1:4" ht="13.2">
      <c r="A841" s="22"/>
      <c r="B841" s="23"/>
      <c r="C841" s="13"/>
      <c r="D841" s="13"/>
    </row>
    <row r="842" spans="1:4" ht="13.2">
      <c r="A842" s="22"/>
      <c r="B842" s="23"/>
      <c r="C842" s="13"/>
      <c r="D842" s="13"/>
    </row>
    <row r="843" spans="1:4" ht="13.2">
      <c r="A843" s="22"/>
      <c r="B843" s="23"/>
      <c r="C843" s="13"/>
      <c r="D843" s="13"/>
    </row>
    <row r="844" spans="1:4" ht="13.2">
      <c r="A844" s="22"/>
      <c r="B844" s="23"/>
      <c r="C844" s="13"/>
      <c r="D844" s="13"/>
    </row>
    <row r="845" spans="1:4" ht="13.2">
      <c r="A845" s="22"/>
      <c r="B845" s="23"/>
      <c r="C845" s="13"/>
      <c r="D845" s="13"/>
    </row>
    <row r="846" spans="1:4" ht="13.2">
      <c r="A846" s="22"/>
      <c r="B846" s="23"/>
      <c r="C846" s="13"/>
      <c r="D846" s="13"/>
    </row>
    <row r="847" spans="1:4" ht="13.2">
      <c r="A847" s="22"/>
      <c r="B847" s="23"/>
      <c r="C847" s="13"/>
      <c r="D847" s="13"/>
    </row>
    <row r="848" spans="1:4" ht="13.2">
      <c r="A848" s="22"/>
      <c r="B848" s="23"/>
      <c r="C848" s="13"/>
      <c r="D848" s="13"/>
    </row>
    <row r="849" spans="1:4" ht="13.2">
      <c r="A849" s="22"/>
      <c r="B849" s="23"/>
      <c r="C849" s="13"/>
      <c r="D849" s="13"/>
    </row>
    <row r="850" spans="1:4" ht="13.2">
      <c r="A850" s="22"/>
      <c r="B850" s="23"/>
      <c r="C850" s="13"/>
      <c r="D850" s="13"/>
    </row>
    <row r="851" spans="1:4" ht="13.2">
      <c r="A851" s="22"/>
      <c r="B851" s="23"/>
      <c r="C851" s="13"/>
      <c r="D851" s="13"/>
    </row>
    <row r="852" spans="1:4" ht="13.2">
      <c r="A852" s="22"/>
      <c r="B852" s="23"/>
      <c r="C852" s="13"/>
      <c r="D852" s="13"/>
    </row>
    <row r="853" spans="1:4" ht="13.2">
      <c r="A853" s="22"/>
      <c r="B853" s="23"/>
      <c r="C853" s="13"/>
      <c r="D853" s="13"/>
    </row>
    <row r="854" spans="1:4" ht="13.2">
      <c r="A854" s="22"/>
      <c r="B854" s="23"/>
      <c r="C854" s="13"/>
      <c r="D854" s="13"/>
    </row>
    <row r="855" spans="1:4" ht="13.2">
      <c r="A855" s="22"/>
      <c r="B855" s="23"/>
      <c r="C855" s="13"/>
      <c r="D855" s="13"/>
    </row>
    <row r="856" spans="1:4" ht="13.2">
      <c r="A856" s="22"/>
      <c r="B856" s="23"/>
      <c r="C856" s="13"/>
      <c r="D856" s="13"/>
    </row>
    <row r="857" spans="1:4" ht="13.2">
      <c r="A857" s="22"/>
      <c r="B857" s="23"/>
      <c r="C857" s="13"/>
      <c r="D857" s="13"/>
    </row>
    <row r="858" spans="1:4" ht="13.2">
      <c r="A858" s="22"/>
      <c r="B858" s="23"/>
      <c r="C858" s="13"/>
      <c r="D858" s="13"/>
    </row>
    <row r="859" spans="1:4" ht="13.2">
      <c r="A859" s="22"/>
      <c r="B859" s="23"/>
      <c r="C859" s="13"/>
      <c r="D859" s="13"/>
    </row>
    <row r="860" spans="1:4" ht="13.2">
      <c r="A860" s="22"/>
      <c r="B860" s="23"/>
      <c r="C860" s="13"/>
      <c r="D860" s="13"/>
    </row>
    <row r="861" spans="1:4" ht="13.2">
      <c r="A861" s="22"/>
      <c r="B861" s="23"/>
      <c r="C861" s="13"/>
      <c r="D861" s="13"/>
    </row>
    <row r="862" spans="1:4" ht="13.2">
      <c r="A862" s="22"/>
      <c r="B862" s="23"/>
      <c r="C862" s="13"/>
      <c r="D862" s="13"/>
    </row>
    <row r="863" spans="1:4" ht="13.2">
      <c r="A863" s="22"/>
      <c r="B863" s="23"/>
      <c r="C863" s="13"/>
      <c r="D863" s="13"/>
    </row>
    <row r="864" spans="1:4" ht="13.2">
      <c r="A864" s="22"/>
      <c r="B864" s="23"/>
      <c r="C864" s="13"/>
      <c r="D864" s="13"/>
    </row>
    <row r="865" spans="1:4" ht="13.2">
      <c r="A865" s="22"/>
      <c r="B865" s="23"/>
      <c r="C865" s="13"/>
      <c r="D865" s="13"/>
    </row>
    <row r="866" spans="1:4" ht="13.2">
      <c r="A866" s="22"/>
      <c r="B866" s="23"/>
      <c r="C866" s="13"/>
      <c r="D866" s="13"/>
    </row>
    <row r="867" spans="1:4" ht="13.2">
      <c r="A867" s="22"/>
      <c r="B867" s="23"/>
      <c r="C867" s="13"/>
      <c r="D867" s="13"/>
    </row>
    <row r="868" spans="1:4" ht="13.2">
      <c r="A868" s="22"/>
      <c r="B868" s="23"/>
      <c r="C868" s="13"/>
      <c r="D868" s="13"/>
    </row>
    <row r="869" spans="1:4" ht="13.2">
      <c r="A869" s="22"/>
      <c r="B869" s="23"/>
      <c r="C869" s="13"/>
      <c r="D869" s="13"/>
    </row>
    <row r="870" spans="1:4" ht="13.2">
      <c r="A870" s="22"/>
      <c r="B870" s="23"/>
      <c r="C870" s="13"/>
      <c r="D870" s="13"/>
    </row>
    <row r="871" spans="1:4" ht="13.2">
      <c r="A871" s="22"/>
      <c r="B871" s="23"/>
      <c r="C871" s="13"/>
      <c r="D871" s="13"/>
    </row>
    <row r="872" spans="1:4" ht="13.2">
      <c r="A872" s="22"/>
      <c r="B872" s="23"/>
      <c r="C872" s="13"/>
      <c r="D872" s="13"/>
    </row>
    <row r="873" spans="1:4" ht="13.2">
      <c r="A873" s="22"/>
      <c r="B873" s="23"/>
      <c r="C873" s="13"/>
      <c r="D873" s="13"/>
    </row>
    <row r="874" spans="1:4" ht="13.2">
      <c r="A874" s="22"/>
      <c r="B874" s="23"/>
      <c r="C874" s="13"/>
      <c r="D874" s="13"/>
    </row>
    <row r="875" spans="1:4" ht="13.2">
      <c r="A875" s="22"/>
      <c r="B875" s="23"/>
      <c r="C875" s="13"/>
      <c r="D875" s="13"/>
    </row>
    <row r="876" spans="1:4" ht="13.2">
      <c r="A876" s="22"/>
      <c r="B876" s="23"/>
      <c r="C876" s="13"/>
      <c r="D876" s="13"/>
    </row>
    <row r="877" spans="1:4" ht="13.2">
      <c r="A877" s="22"/>
      <c r="B877" s="23"/>
      <c r="C877" s="13"/>
      <c r="D877" s="13"/>
    </row>
    <row r="878" spans="1:4" ht="13.2">
      <c r="A878" s="22"/>
      <c r="B878" s="23"/>
      <c r="C878" s="13"/>
      <c r="D878" s="13"/>
    </row>
    <row r="879" spans="1:4" ht="13.2">
      <c r="A879" s="22"/>
      <c r="B879" s="23"/>
      <c r="C879" s="13"/>
      <c r="D879" s="13"/>
    </row>
    <row r="880" spans="1:4" ht="13.2">
      <c r="A880" s="22"/>
      <c r="B880" s="23"/>
      <c r="C880" s="13"/>
      <c r="D880" s="13"/>
    </row>
    <row r="881" spans="1:4" ht="13.2">
      <c r="A881" s="22"/>
      <c r="B881" s="23"/>
      <c r="C881" s="13"/>
      <c r="D881" s="13"/>
    </row>
    <row r="882" spans="1:4" ht="13.2">
      <c r="A882" s="22"/>
      <c r="B882" s="23"/>
      <c r="C882" s="13"/>
      <c r="D882" s="13"/>
    </row>
    <row r="883" spans="1:4" ht="13.2">
      <c r="A883" s="22"/>
      <c r="B883" s="23"/>
      <c r="C883" s="13"/>
      <c r="D883" s="13"/>
    </row>
    <row r="884" spans="1:4" ht="13.2">
      <c r="A884" s="22"/>
      <c r="B884" s="23"/>
      <c r="C884" s="13"/>
      <c r="D884" s="13"/>
    </row>
    <row r="885" spans="1:4" ht="13.2">
      <c r="A885" s="22"/>
      <c r="B885" s="23"/>
      <c r="C885" s="13"/>
      <c r="D885" s="13"/>
    </row>
    <row r="886" spans="1:4" ht="13.2">
      <c r="A886" s="22"/>
      <c r="B886" s="23"/>
      <c r="C886" s="13"/>
      <c r="D886" s="13"/>
    </row>
    <row r="887" spans="1:4" ht="13.2">
      <c r="A887" s="22"/>
      <c r="B887" s="23"/>
      <c r="C887" s="13"/>
      <c r="D887" s="13"/>
    </row>
    <row r="888" spans="1:4" ht="13.2">
      <c r="A888" s="22"/>
      <c r="B888" s="23"/>
      <c r="C888" s="13"/>
      <c r="D888" s="13"/>
    </row>
    <row r="889" spans="1:4" ht="13.2">
      <c r="A889" s="22"/>
      <c r="B889" s="23"/>
      <c r="C889" s="13"/>
      <c r="D889" s="13"/>
    </row>
    <row r="890" spans="1:4" ht="13.2">
      <c r="A890" s="22"/>
      <c r="B890" s="23"/>
      <c r="C890" s="13"/>
      <c r="D890" s="13"/>
    </row>
    <row r="891" spans="1:4" ht="13.2">
      <c r="A891" s="22"/>
      <c r="B891" s="23"/>
      <c r="C891" s="13"/>
      <c r="D891" s="13"/>
    </row>
    <row r="892" spans="1:4" ht="13.2">
      <c r="A892" s="22"/>
      <c r="B892" s="23"/>
      <c r="C892" s="13"/>
      <c r="D892" s="13"/>
    </row>
    <row r="893" spans="1:4" ht="13.2">
      <c r="A893" s="22"/>
      <c r="B893" s="23"/>
      <c r="C893" s="13"/>
      <c r="D893" s="13"/>
    </row>
    <row r="894" spans="1:4" ht="13.2">
      <c r="A894" s="22"/>
      <c r="B894" s="23"/>
      <c r="C894" s="13"/>
      <c r="D894" s="13"/>
    </row>
    <row r="895" spans="1:4" ht="13.2">
      <c r="A895" s="22"/>
      <c r="B895" s="23"/>
      <c r="C895" s="13"/>
      <c r="D895" s="13"/>
    </row>
    <row r="896" spans="1:4" ht="13.2">
      <c r="A896" s="22"/>
      <c r="B896" s="23"/>
      <c r="C896" s="13"/>
      <c r="D896" s="13"/>
    </row>
    <row r="897" spans="1:4" ht="13.2">
      <c r="A897" s="22"/>
      <c r="B897" s="23"/>
      <c r="C897" s="13"/>
      <c r="D897" s="13"/>
    </row>
    <row r="898" spans="1:4" ht="13.2">
      <c r="A898" s="22"/>
      <c r="B898" s="23"/>
      <c r="C898" s="13"/>
      <c r="D898" s="13"/>
    </row>
    <row r="899" spans="1:4" ht="13.2">
      <c r="A899" s="22"/>
      <c r="B899" s="23"/>
      <c r="C899" s="13"/>
      <c r="D899" s="13"/>
    </row>
    <row r="900" spans="1:4" ht="13.2">
      <c r="A900" s="22"/>
      <c r="B900" s="23"/>
      <c r="C900" s="13"/>
      <c r="D900" s="13"/>
    </row>
    <row r="901" spans="1:4" ht="13.2">
      <c r="A901" s="22"/>
      <c r="B901" s="23"/>
      <c r="C901" s="13"/>
      <c r="D901" s="13"/>
    </row>
    <row r="902" spans="1:4" ht="13.2">
      <c r="A902" s="22"/>
      <c r="B902" s="23"/>
      <c r="C902" s="13"/>
      <c r="D902" s="13"/>
    </row>
    <row r="903" spans="1:4" ht="13.2">
      <c r="A903" s="22"/>
      <c r="B903" s="23"/>
      <c r="C903" s="13"/>
      <c r="D903" s="13"/>
    </row>
    <row r="904" spans="1:4" ht="13.2">
      <c r="A904" s="22"/>
      <c r="B904" s="23"/>
      <c r="C904" s="13"/>
      <c r="D904" s="13"/>
    </row>
    <row r="905" spans="1:4" ht="13.2">
      <c r="A905" s="22"/>
      <c r="B905" s="23"/>
      <c r="C905" s="13"/>
      <c r="D905" s="13"/>
    </row>
    <row r="906" spans="1:4" ht="13.2">
      <c r="A906" s="22"/>
      <c r="B906" s="23"/>
      <c r="C906" s="13"/>
      <c r="D906" s="13"/>
    </row>
    <row r="907" spans="1:4" ht="13.2">
      <c r="A907" s="22"/>
      <c r="B907" s="23"/>
      <c r="C907" s="13"/>
      <c r="D907" s="13"/>
    </row>
    <row r="908" spans="1:4" ht="13.2">
      <c r="A908" s="22"/>
      <c r="B908" s="23"/>
      <c r="C908" s="13"/>
      <c r="D908" s="13"/>
    </row>
    <row r="909" spans="1:4" ht="13.2">
      <c r="A909" s="22"/>
      <c r="B909" s="23"/>
      <c r="C909" s="13"/>
      <c r="D909" s="13"/>
    </row>
    <row r="910" spans="1:4" ht="13.2">
      <c r="A910" s="22"/>
      <c r="B910" s="23"/>
      <c r="C910" s="13"/>
      <c r="D910" s="13"/>
    </row>
    <row r="911" spans="1:4" ht="13.2">
      <c r="A911" s="22"/>
      <c r="B911" s="23"/>
      <c r="C911" s="13"/>
      <c r="D911" s="13"/>
    </row>
    <row r="912" spans="1:4" ht="13.2">
      <c r="A912" s="22"/>
      <c r="B912" s="23"/>
      <c r="C912" s="13"/>
      <c r="D912" s="13"/>
    </row>
    <row r="913" spans="1:4" ht="13.2">
      <c r="A913" s="22"/>
      <c r="B913" s="23"/>
      <c r="C913" s="13"/>
      <c r="D913" s="13"/>
    </row>
    <row r="914" spans="1:4" ht="13.2">
      <c r="A914" s="22"/>
      <c r="B914" s="23"/>
      <c r="C914" s="13"/>
      <c r="D914" s="13"/>
    </row>
    <row r="915" spans="1:4" ht="13.2">
      <c r="A915" s="22"/>
      <c r="B915" s="23"/>
      <c r="C915" s="13"/>
      <c r="D915" s="13"/>
    </row>
    <row r="916" spans="1:4" ht="13.2">
      <c r="A916" s="22"/>
      <c r="B916" s="23"/>
      <c r="C916" s="13"/>
      <c r="D916" s="13"/>
    </row>
    <row r="917" spans="1:4" ht="13.2">
      <c r="A917" s="22"/>
      <c r="B917" s="23"/>
      <c r="C917" s="13"/>
      <c r="D917" s="13"/>
    </row>
    <row r="918" spans="1:4" ht="13.2">
      <c r="A918" s="22"/>
      <c r="B918" s="23"/>
      <c r="C918" s="13"/>
      <c r="D918" s="13"/>
    </row>
    <row r="919" spans="1:4" ht="13.2">
      <c r="A919" s="22"/>
      <c r="B919" s="23"/>
      <c r="C919" s="13"/>
      <c r="D919" s="13"/>
    </row>
    <row r="920" spans="1:4" ht="13.2">
      <c r="A920" s="22"/>
      <c r="B920" s="23"/>
      <c r="C920" s="13"/>
      <c r="D920" s="13"/>
    </row>
    <row r="921" spans="1:4" ht="13.2">
      <c r="A921" s="22"/>
      <c r="B921" s="23"/>
      <c r="C921" s="13"/>
      <c r="D921" s="13"/>
    </row>
    <row r="922" spans="1:4" ht="13.2">
      <c r="A922" s="22"/>
      <c r="B922" s="23"/>
      <c r="C922" s="13"/>
      <c r="D922" s="13"/>
    </row>
    <row r="923" spans="1:4" ht="13.2">
      <c r="A923" s="22"/>
      <c r="B923" s="23"/>
      <c r="C923" s="13"/>
      <c r="D923" s="13"/>
    </row>
    <row r="924" spans="1:4" ht="13.2">
      <c r="A924" s="22"/>
      <c r="B924" s="23"/>
      <c r="C924" s="13"/>
      <c r="D924" s="13"/>
    </row>
    <row r="925" spans="1:4" ht="13.2">
      <c r="A925" s="22"/>
      <c r="B925" s="23"/>
      <c r="C925" s="13"/>
      <c r="D925" s="13"/>
    </row>
    <row r="926" spans="1:4" ht="13.2">
      <c r="A926" s="22"/>
      <c r="B926" s="23"/>
      <c r="C926" s="13"/>
      <c r="D926" s="13"/>
    </row>
    <row r="927" spans="1:4" ht="13.2">
      <c r="A927" s="22"/>
      <c r="B927" s="23"/>
      <c r="C927" s="13"/>
      <c r="D927" s="13"/>
    </row>
    <row r="928" spans="1:4" ht="13.2">
      <c r="A928" s="22"/>
      <c r="B928" s="23"/>
      <c r="C928" s="13"/>
      <c r="D928" s="13"/>
    </row>
    <row r="929" spans="1:4" ht="13.2">
      <c r="A929" s="22"/>
      <c r="B929" s="23"/>
      <c r="C929" s="13"/>
      <c r="D929" s="13"/>
    </row>
    <row r="930" spans="1:4" ht="13.2">
      <c r="A930" s="22"/>
      <c r="B930" s="23"/>
      <c r="C930" s="13"/>
      <c r="D930" s="13"/>
    </row>
    <row r="931" spans="1:4" ht="13.2">
      <c r="A931" s="22"/>
      <c r="B931" s="23"/>
      <c r="C931" s="13"/>
      <c r="D931" s="13"/>
    </row>
    <row r="932" spans="1:4" ht="13.2">
      <c r="A932" s="22"/>
      <c r="B932" s="23"/>
      <c r="C932" s="13"/>
      <c r="D932" s="13"/>
    </row>
    <row r="933" spans="1:4" ht="13.2">
      <c r="A933" s="22"/>
      <c r="B933" s="23"/>
      <c r="C933" s="13"/>
      <c r="D933" s="13"/>
    </row>
    <row r="934" spans="1:4" ht="13.2">
      <c r="A934" s="22"/>
      <c r="B934" s="23"/>
      <c r="C934" s="13"/>
      <c r="D934" s="13"/>
    </row>
    <row r="935" spans="1:4" ht="13.2">
      <c r="A935" s="22"/>
      <c r="B935" s="23"/>
      <c r="C935" s="13"/>
      <c r="D935" s="13"/>
    </row>
    <row r="936" spans="1:4" ht="13.2">
      <c r="A936" s="22"/>
      <c r="B936" s="23"/>
      <c r="C936" s="13"/>
      <c r="D936" s="13"/>
    </row>
    <row r="937" spans="1:4" ht="13.2">
      <c r="A937" s="22"/>
      <c r="B937" s="23"/>
      <c r="C937" s="13"/>
      <c r="D937" s="13"/>
    </row>
    <row r="938" spans="1:4" ht="13.2">
      <c r="A938" s="22"/>
      <c r="B938" s="23"/>
      <c r="C938" s="13"/>
      <c r="D938" s="13"/>
    </row>
    <row r="939" spans="1:4" ht="13.2">
      <c r="A939" s="22"/>
      <c r="B939" s="23"/>
      <c r="C939" s="13"/>
      <c r="D939" s="13"/>
    </row>
    <row r="940" spans="1:4" ht="13.2">
      <c r="A940" s="22"/>
      <c r="B940" s="23"/>
      <c r="C940" s="13"/>
      <c r="D940" s="13"/>
    </row>
    <row r="941" spans="1:4" ht="13.2">
      <c r="A941" s="22"/>
      <c r="B941" s="23"/>
      <c r="C941" s="13"/>
      <c r="D941" s="13"/>
    </row>
    <row r="942" spans="1:4" ht="13.2">
      <c r="A942" s="22"/>
      <c r="B942" s="23"/>
      <c r="C942" s="13"/>
      <c r="D942" s="13"/>
    </row>
    <row r="943" spans="1:4" ht="13.2">
      <c r="A943" s="22"/>
      <c r="B943" s="23"/>
      <c r="C943" s="13"/>
      <c r="D943" s="13"/>
    </row>
    <row r="944" spans="1:4" ht="13.2">
      <c r="A944" s="22"/>
      <c r="B944" s="23"/>
      <c r="C944" s="13"/>
      <c r="D944" s="13"/>
    </row>
    <row r="945" spans="1:4" ht="13.2">
      <c r="A945" s="22"/>
      <c r="B945" s="23"/>
      <c r="C945" s="13"/>
      <c r="D945" s="13"/>
    </row>
    <row r="946" spans="1:4" ht="13.2">
      <c r="A946" s="22"/>
      <c r="B946" s="23"/>
      <c r="C946" s="13"/>
      <c r="D946" s="13"/>
    </row>
    <row r="947" spans="1:4" ht="13.2">
      <c r="A947" s="22"/>
      <c r="B947" s="23"/>
      <c r="C947" s="13"/>
      <c r="D947" s="13"/>
    </row>
    <row r="948" spans="1:4" ht="13.2">
      <c r="A948" s="22"/>
      <c r="B948" s="23"/>
      <c r="C948" s="13"/>
      <c r="D948" s="13"/>
    </row>
    <row r="949" spans="1:4" ht="13.2">
      <c r="A949" s="22"/>
      <c r="B949" s="23"/>
      <c r="C949" s="13"/>
      <c r="D949" s="13"/>
    </row>
    <row r="950" spans="1:4" ht="13.2">
      <c r="A950" s="22"/>
      <c r="B950" s="23"/>
      <c r="C950" s="13"/>
      <c r="D950" s="13"/>
    </row>
    <row r="951" spans="1:4" ht="13.2">
      <c r="A951" s="22"/>
      <c r="B951" s="23"/>
      <c r="C951" s="13"/>
      <c r="D951" s="13"/>
    </row>
    <row r="952" spans="1:4" ht="13.2">
      <c r="A952" s="22"/>
      <c r="B952" s="23"/>
      <c r="C952" s="13"/>
      <c r="D952" s="13"/>
    </row>
    <row r="953" spans="1:4" ht="13.2">
      <c r="A953" s="22"/>
      <c r="B953" s="23"/>
      <c r="C953" s="13"/>
      <c r="D953" s="13"/>
    </row>
    <row r="954" spans="1:4" ht="13.2">
      <c r="A954" s="22"/>
      <c r="B954" s="23"/>
      <c r="C954" s="13"/>
      <c r="D954" s="13"/>
    </row>
    <row r="955" spans="1:4" ht="13.2">
      <c r="A955" s="22"/>
      <c r="B955" s="23"/>
      <c r="C955" s="13"/>
      <c r="D955" s="13"/>
    </row>
    <row r="956" spans="1:4" ht="13.2">
      <c r="A956" s="22"/>
      <c r="B956" s="23"/>
      <c r="C956" s="13"/>
      <c r="D956" s="13"/>
    </row>
    <row r="957" spans="1:4" ht="13.2">
      <c r="A957" s="22"/>
      <c r="B957" s="23"/>
      <c r="C957" s="13"/>
      <c r="D957" s="13"/>
    </row>
    <row r="958" spans="1:4" ht="13.2">
      <c r="A958" s="22"/>
      <c r="B958" s="23"/>
      <c r="C958" s="13"/>
      <c r="D958" s="13"/>
    </row>
    <row r="959" spans="1:4" ht="13.2">
      <c r="A959" s="22"/>
      <c r="B959" s="23"/>
      <c r="C959" s="13"/>
      <c r="D959" s="13"/>
    </row>
    <row r="960" spans="1:4" ht="13.2">
      <c r="A960" s="22"/>
      <c r="B960" s="23"/>
      <c r="C960" s="13"/>
      <c r="D960" s="13"/>
    </row>
    <row r="961" spans="1:4" ht="13.2">
      <c r="A961" s="22"/>
      <c r="B961" s="23"/>
      <c r="C961" s="13"/>
      <c r="D961" s="13"/>
    </row>
    <row r="962" spans="1:4" ht="13.2">
      <c r="A962" s="22"/>
      <c r="B962" s="23"/>
      <c r="C962" s="13"/>
      <c r="D962" s="13"/>
    </row>
    <row r="963" spans="1:4" ht="13.2">
      <c r="A963" s="22"/>
      <c r="B963" s="23"/>
      <c r="C963" s="13"/>
      <c r="D963" s="13"/>
    </row>
    <row r="964" spans="1:4" ht="13.2">
      <c r="A964" s="22"/>
      <c r="B964" s="23"/>
      <c r="C964" s="13"/>
      <c r="D964" s="13"/>
    </row>
    <row r="965" spans="1:4" ht="13.2">
      <c r="A965" s="22"/>
      <c r="B965" s="23"/>
      <c r="C965" s="13"/>
      <c r="D965" s="13"/>
    </row>
    <row r="966" spans="1:4" ht="13.2">
      <c r="A966" s="22"/>
      <c r="B966" s="23"/>
      <c r="C966" s="13"/>
      <c r="D966" s="13"/>
    </row>
    <row r="967" spans="1:4" ht="13.2">
      <c r="A967" s="22"/>
      <c r="B967" s="23"/>
      <c r="C967" s="13"/>
      <c r="D967" s="13"/>
    </row>
    <row r="968" spans="1:4" ht="13.2">
      <c r="A968" s="22"/>
      <c r="B968" s="23"/>
      <c r="C968" s="13"/>
      <c r="D968" s="13"/>
    </row>
    <row r="969" spans="1:4" ht="13.2">
      <c r="A969" s="22"/>
      <c r="B969" s="23"/>
      <c r="C969" s="13"/>
      <c r="D969" s="13"/>
    </row>
    <row r="970" spans="1:4" ht="13.2">
      <c r="A970" s="22"/>
      <c r="B970" s="23"/>
      <c r="C970" s="13"/>
      <c r="D970" s="13"/>
    </row>
    <row r="971" spans="1:4" ht="13.2">
      <c r="A971" s="22"/>
      <c r="B971" s="23"/>
      <c r="C971" s="13"/>
      <c r="D971" s="13"/>
    </row>
    <row r="972" spans="1:4" ht="13.2">
      <c r="A972" s="22"/>
      <c r="B972" s="23"/>
      <c r="C972" s="13"/>
      <c r="D972" s="13"/>
    </row>
    <row r="973" spans="1:4" ht="13.2">
      <c r="A973" s="22"/>
      <c r="B973" s="23"/>
      <c r="C973" s="13"/>
      <c r="D973" s="13"/>
    </row>
    <row r="974" spans="1:4" ht="13.2">
      <c r="A974" s="22"/>
      <c r="B974" s="23"/>
      <c r="C974" s="13"/>
      <c r="D974" s="13"/>
    </row>
    <row r="975" spans="1:4" ht="13.2">
      <c r="A975" s="22"/>
      <c r="B975" s="23"/>
      <c r="C975" s="13"/>
      <c r="D975" s="13"/>
    </row>
    <row r="976" spans="1:4" ht="13.2">
      <c r="A976" s="22"/>
      <c r="B976" s="23"/>
      <c r="C976" s="13"/>
      <c r="D976" s="13"/>
    </row>
    <row r="977" spans="1:4" ht="13.2">
      <c r="A977" s="22"/>
      <c r="B977" s="23"/>
      <c r="C977" s="13"/>
      <c r="D977" s="13"/>
    </row>
    <row r="978" spans="1:4" ht="13.2">
      <c r="A978" s="22"/>
      <c r="B978" s="23"/>
      <c r="C978" s="13"/>
      <c r="D978" s="13"/>
    </row>
    <row r="979" spans="1:4" ht="13.2">
      <c r="A979" s="22"/>
      <c r="B979" s="23"/>
      <c r="C979" s="13"/>
      <c r="D979" s="13"/>
    </row>
    <row r="980" spans="1:4" ht="13.2">
      <c r="A980" s="22"/>
      <c r="B980" s="23"/>
      <c r="C980" s="13"/>
      <c r="D980" s="13"/>
    </row>
    <row r="981" spans="1:4" ht="13.2">
      <c r="A981" s="22"/>
      <c r="B981" s="23"/>
      <c r="C981" s="13"/>
      <c r="D981" s="13"/>
    </row>
    <row r="982" spans="1:4" ht="13.2">
      <c r="A982" s="22"/>
      <c r="B982" s="23"/>
      <c r="C982" s="13"/>
      <c r="D982" s="13"/>
    </row>
  </sheetData>
  <conditionalFormatting sqref="D1:D62 D64:D72 D74:D982">
    <cfRule type="expression" dxfId="11" priority="1">
      <formula>AND(NOT(ISBLANK(D1)), COUNTIF($D$1:$D982, "=" &amp; D1) &gt; 1)</formula>
    </cfRule>
  </conditionalFormatting>
  <conditionalFormatting sqref="C1:C982">
    <cfRule type="expression" dxfId="10" priority="2">
      <formula>AND(NOT(ISBLANK(C1)), COUNTIF($C$1:$C982, "=" &amp; C1) &gt; 1)</formula>
    </cfRule>
  </conditionalFormatting>
  <conditionalFormatting sqref="A1:A982">
    <cfRule type="expression" dxfId="9" priority="3">
      <formula>AND(NOT(ISBLANK(A1)), COUNTIF($A$1:$A982, "=" &amp; A1) &gt; 1)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O178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2" width="17.77734375" customWidth="1"/>
    <col min="3" max="3" width="18.88671875" customWidth="1"/>
    <col min="4" max="4" width="29.6640625" customWidth="1"/>
    <col min="5" max="5" width="6.109375" customWidth="1"/>
    <col min="6" max="6" width="11" customWidth="1"/>
    <col min="7" max="7" width="7.88671875" customWidth="1"/>
    <col min="8" max="8" width="7.33203125" customWidth="1"/>
    <col min="9" max="9" width="13.88671875" customWidth="1"/>
    <col min="10" max="10" width="10.33203125" customWidth="1"/>
    <col min="11" max="11" width="11.44140625" customWidth="1"/>
    <col min="12" max="12" width="8.77734375" customWidth="1"/>
    <col min="13" max="13" width="21.21875" customWidth="1"/>
    <col min="14" max="15" width="15.33203125" customWidth="1"/>
  </cols>
  <sheetData>
    <row r="1" spans="1:15">
      <c r="A1" s="24" t="s">
        <v>99</v>
      </c>
      <c r="B1" s="24" t="s">
        <v>100</v>
      </c>
      <c r="C1" s="24" t="s">
        <v>101</v>
      </c>
      <c r="D1" s="24" t="s">
        <v>102</v>
      </c>
      <c r="E1" s="24" t="s">
        <v>103</v>
      </c>
      <c r="F1" s="24" t="s">
        <v>104</v>
      </c>
      <c r="G1" s="24" t="s">
        <v>105</v>
      </c>
      <c r="H1" s="24" t="s">
        <v>106</v>
      </c>
      <c r="I1" s="24" t="s">
        <v>107</v>
      </c>
      <c r="J1" s="25" t="s">
        <v>108</v>
      </c>
      <c r="K1" s="25" t="s">
        <v>109</v>
      </c>
      <c r="L1" s="25" t="s">
        <v>110</v>
      </c>
      <c r="M1" s="25" t="s">
        <v>111</v>
      </c>
      <c r="N1" s="25" t="s">
        <v>112</v>
      </c>
      <c r="O1" s="25"/>
    </row>
    <row r="2" spans="1:15">
      <c r="A2" s="26">
        <v>45520.740456087966</v>
      </c>
      <c r="B2" s="26"/>
      <c r="C2" s="8" t="s">
        <v>113</v>
      </c>
      <c r="D2" s="8" t="s">
        <v>114</v>
      </c>
      <c r="E2" s="8" t="s">
        <v>115</v>
      </c>
      <c r="F2" s="8" t="s">
        <v>115</v>
      </c>
      <c r="G2" s="8" t="s">
        <v>116</v>
      </c>
      <c r="H2" s="8" t="s">
        <v>115</v>
      </c>
      <c r="I2" s="27">
        <v>45520</v>
      </c>
      <c r="J2" s="8" t="s">
        <v>117</v>
      </c>
      <c r="K2" s="8" t="s">
        <v>118</v>
      </c>
      <c r="L2" s="8" t="s">
        <v>119</v>
      </c>
      <c r="M2" s="16" t="str">
        <f ca="1">IFERROR(__xludf.DUMMYFUNCTION("JOIN("""",VLOOKUP(D2,'для артикула'!$A$2:$B$7,2,0),VLOOKUP(G2,'для артикула'!$A$13:$B$14,2,0),VLOOKUP(E2,'для артикула'!$A$9:$B$11,2,0),VLOOKUP(F2,'для артикула'!$A$17:$B$19,2,0),VLOOKUP(J2,'для артикула'!$A$22:$B$23,2,0),VLOOKUP(H2,'для артикула'!$A$26:$"&amp;"B$30,2,0))"),"002-2013-OK")</f>
        <v>002-2013-OK</v>
      </c>
      <c r="N2" s="8" t="str">
        <f>IF(ISNUMBER(MATCH(C2, 'Реестр договоров'!$D$2:$D$900, 0)), "Продано", "В наличии")</f>
        <v>Продано</v>
      </c>
    </row>
    <row r="3" spans="1:15">
      <c r="A3" s="26">
        <v>45632.550036504632</v>
      </c>
      <c r="B3" s="26"/>
      <c r="C3" s="8" t="s">
        <v>120</v>
      </c>
      <c r="D3" s="8" t="s">
        <v>114</v>
      </c>
      <c r="E3" s="8">
        <v>50</v>
      </c>
      <c r="F3" s="8" t="s">
        <v>116</v>
      </c>
      <c r="G3" s="8" t="s">
        <v>116</v>
      </c>
      <c r="H3" s="8" t="s">
        <v>115</v>
      </c>
      <c r="I3" s="27">
        <v>45628</v>
      </c>
      <c r="J3" s="8" t="s">
        <v>117</v>
      </c>
      <c r="K3" s="8" t="s">
        <v>121</v>
      </c>
      <c r="L3" s="8" t="s">
        <v>119</v>
      </c>
      <c r="M3" s="16" t="str">
        <f ca="1">IFERROR(__xludf.DUMMYFUNCTION("JOIN("""",VLOOKUP(D3,'для артикула'!$A$2:$B$7,2,0),VLOOKUP(G3,'для артикула'!$A$13:$B$14,2,0),VLOOKUP(E3,'для артикула'!$A$9:$B$11,2,0),VLOOKUP(F3,'для артикула'!$A$17:$B$19,2,0),VLOOKUP(J3,'для артикула'!$A$22:$B$23,2,0),VLOOKUP(H3,'для артикула'!$A$26:$"&amp;"B$30,2,0))"),"002-2013E50Q13-OK")</f>
        <v>002-2013E50Q13-OK</v>
      </c>
      <c r="N3" s="8" t="str">
        <f>IF(ISNUMBER(MATCH(C3, 'Реестр договоров'!$D$2:$D$900, 0)), "Продано", "В наличии")</f>
        <v>Продано</v>
      </c>
    </row>
    <row r="4" spans="1:15">
      <c r="A4" s="26">
        <v>45646.439088483792</v>
      </c>
      <c r="B4" s="26"/>
      <c r="C4" s="8" t="s">
        <v>122</v>
      </c>
      <c r="D4" s="8" t="s">
        <v>114</v>
      </c>
      <c r="E4" s="8">
        <v>50</v>
      </c>
      <c r="F4" s="8" t="s">
        <v>116</v>
      </c>
      <c r="G4" s="8" t="s">
        <v>116</v>
      </c>
      <c r="H4" s="8" t="s">
        <v>115</v>
      </c>
      <c r="I4" s="27">
        <v>45641</v>
      </c>
      <c r="J4" s="8" t="s">
        <v>117</v>
      </c>
      <c r="K4" s="8" t="s">
        <v>121</v>
      </c>
      <c r="L4" s="8" t="s">
        <v>119</v>
      </c>
      <c r="M4" s="16" t="str">
        <f ca="1">IFERROR(__xludf.DUMMYFUNCTION("JOIN("""",VLOOKUP(D4,'для артикула'!$A$2:$B$7,2,0),VLOOKUP(G4,'для артикула'!$A$13:$B$14,2,0),VLOOKUP(E4,'для артикула'!$A$9:$B$11,2,0),VLOOKUP(F4,'для артикула'!$A$17:$B$19,2,0),VLOOKUP(J4,'для артикула'!$A$22:$B$23,2,0),VLOOKUP(H4,'для артикула'!$A$26:$"&amp;"B$30,2,0))"),"002-2013E50Q13-OK")</f>
        <v>002-2013E50Q13-OK</v>
      </c>
      <c r="N4" s="8" t="str">
        <f>IF(ISNUMBER(MATCH(C4, 'Реестр договоров'!$D$2:$D$900, 0)), "Продано", "В наличии")</f>
        <v>Продано</v>
      </c>
    </row>
    <row r="5" spans="1:15">
      <c r="A5" s="26">
        <v>45617.56612596065</v>
      </c>
      <c r="B5" s="26"/>
      <c r="C5" s="8" t="s">
        <v>27</v>
      </c>
      <c r="D5" s="8" t="s">
        <v>114</v>
      </c>
      <c r="E5" s="8">
        <v>50</v>
      </c>
      <c r="F5" s="8" t="s">
        <v>116</v>
      </c>
      <c r="G5" s="8" t="s">
        <v>116</v>
      </c>
      <c r="H5" s="8" t="s">
        <v>115</v>
      </c>
      <c r="I5" s="27">
        <v>45617</v>
      </c>
      <c r="J5" s="8" t="s">
        <v>117</v>
      </c>
      <c r="K5" s="8" t="s">
        <v>121</v>
      </c>
      <c r="L5" s="8" t="s">
        <v>119</v>
      </c>
      <c r="M5" s="16" t="str">
        <f ca="1">IFERROR(__xludf.DUMMYFUNCTION("JOIN("""",VLOOKUP(D5,'для артикула'!$A$2:$B$7,2,0),VLOOKUP(G5,'для артикула'!$A$13:$B$14,2,0),VLOOKUP(E5,'для артикула'!$A$9:$B$11,2,0),VLOOKUP(F5,'для артикула'!$A$17:$B$19,2,0),VLOOKUP(J5,'для артикула'!$A$22:$B$23,2,0),VLOOKUP(H5,'для артикула'!$A$26:$"&amp;"B$30,2,0))"),"002-2013E50Q13-OK")</f>
        <v>002-2013E50Q13-OK</v>
      </c>
      <c r="N5" s="8" t="str">
        <f>IF(ISNUMBER(MATCH(C5, 'Реестр договоров'!$D$2:$D$900, 0)), "Продано", "В наличии")</f>
        <v>Продано</v>
      </c>
    </row>
    <row r="6" spans="1:15">
      <c r="A6" s="26">
        <v>45617.52874115741</v>
      </c>
      <c r="B6" s="26"/>
      <c r="C6" s="8" t="s">
        <v>26</v>
      </c>
      <c r="D6" s="8" t="s">
        <v>114</v>
      </c>
      <c r="E6" s="8">
        <v>50</v>
      </c>
      <c r="F6" s="8" t="s">
        <v>116</v>
      </c>
      <c r="G6" s="8" t="s">
        <v>116</v>
      </c>
      <c r="H6" s="8" t="s">
        <v>115</v>
      </c>
      <c r="I6" s="27">
        <v>45617</v>
      </c>
      <c r="J6" s="8" t="s">
        <v>117</v>
      </c>
      <c r="K6" s="8" t="s">
        <v>121</v>
      </c>
      <c r="L6" s="8" t="s">
        <v>119</v>
      </c>
      <c r="M6" s="16" t="str">
        <f ca="1">IFERROR(__xludf.DUMMYFUNCTION("JOIN("""",VLOOKUP(D6,'для артикула'!$A$2:$B$7,2,0),VLOOKUP(G6,'для артикула'!$A$13:$B$14,2,0),VLOOKUP(E6,'для артикула'!$A$9:$B$11,2,0),VLOOKUP(F6,'для артикула'!$A$17:$B$19,2,0),VLOOKUP(J6,'для артикула'!$A$22:$B$23,2,0),VLOOKUP(H6,'для артикула'!$A$26:$"&amp;"B$30,2,0))"),"002-2013E50Q13-OK")</f>
        <v>002-2013E50Q13-OK</v>
      </c>
      <c r="N6" s="8" t="str">
        <f>IF(ISNUMBER(MATCH(C6, 'Реестр договоров'!$D$2:$D$900, 0)), "Продано", "В наличии")</f>
        <v>Продано</v>
      </c>
    </row>
    <row r="7" spans="1:15">
      <c r="A7" s="26">
        <v>45617.528424780088</v>
      </c>
      <c r="B7" s="26"/>
      <c r="C7" s="8" t="s">
        <v>25</v>
      </c>
      <c r="D7" s="8" t="s">
        <v>114</v>
      </c>
      <c r="E7" s="8">
        <v>50</v>
      </c>
      <c r="F7" s="8" t="s">
        <v>116</v>
      </c>
      <c r="G7" s="8" t="s">
        <v>116</v>
      </c>
      <c r="H7" s="8" t="s">
        <v>115</v>
      </c>
      <c r="I7" s="27">
        <v>45617</v>
      </c>
      <c r="J7" s="8" t="s">
        <v>117</v>
      </c>
      <c r="K7" s="8" t="s">
        <v>121</v>
      </c>
      <c r="L7" s="8" t="s">
        <v>119</v>
      </c>
      <c r="M7" s="16" t="str">
        <f ca="1">IFERROR(__xludf.DUMMYFUNCTION("JOIN("""",VLOOKUP(D7,'для артикула'!$A$2:$B$7,2,0),VLOOKUP(G7,'для артикула'!$A$13:$B$14,2,0),VLOOKUP(E7,'для артикула'!$A$9:$B$11,2,0),VLOOKUP(F7,'для артикула'!$A$17:$B$19,2,0),VLOOKUP(J7,'для артикула'!$A$22:$B$23,2,0),VLOOKUP(H7,'для артикула'!$A$26:$"&amp;"B$30,2,0))"),"002-2013E50Q13-OK")</f>
        <v>002-2013E50Q13-OK</v>
      </c>
      <c r="N7" s="8" t="str">
        <f>IF(ISNUMBER(MATCH(C7, 'Реестр договоров'!$D$2:$D$900, 0)), "Продано", "В наличии")</f>
        <v>Продано</v>
      </c>
    </row>
    <row r="8" spans="1:15">
      <c r="A8" s="26">
        <v>45617.528132627311</v>
      </c>
      <c r="B8" s="26"/>
      <c r="C8" s="8" t="s">
        <v>24</v>
      </c>
      <c r="D8" s="8" t="s">
        <v>114</v>
      </c>
      <c r="E8" s="8">
        <v>50</v>
      </c>
      <c r="F8" s="8" t="s">
        <v>116</v>
      </c>
      <c r="G8" s="8" t="s">
        <v>116</v>
      </c>
      <c r="H8" s="8" t="s">
        <v>115</v>
      </c>
      <c r="I8" s="27">
        <v>45617</v>
      </c>
      <c r="J8" s="8" t="s">
        <v>117</v>
      </c>
      <c r="K8" s="8" t="s">
        <v>121</v>
      </c>
      <c r="L8" s="8" t="s">
        <v>119</v>
      </c>
      <c r="M8" s="16" t="str">
        <f ca="1">IFERROR(__xludf.DUMMYFUNCTION("JOIN("""",VLOOKUP(D8,'для артикула'!$A$2:$B$7,2,0),VLOOKUP(G8,'для артикула'!$A$13:$B$14,2,0),VLOOKUP(E8,'для артикула'!$A$9:$B$11,2,0),VLOOKUP(F8,'для артикула'!$A$17:$B$19,2,0),VLOOKUP(J8,'для артикула'!$A$22:$B$23,2,0),VLOOKUP(H8,'для артикула'!$A$26:$"&amp;"B$30,2,0))"),"002-2013E50Q13-OK")</f>
        <v>002-2013E50Q13-OK</v>
      </c>
      <c r="N8" s="8" t="str">
        <f>IF(ISNUMBER(MATCH(C8, 'Реестр договоров'!$D$2:$D$900, 0)), "Продано", "В наличии")</f>
        <v>Продано</v>
      </c>
    </row>
    <row r="9" spans="1:15">
      <c r="A9" s="26">
        <v>45637.773227152778</v>
      </c>
      <c r="B9" s="26"/>
      <c r="C9" s="8" t="s">
        <v>123</v>
      </c>
      <c r="D9" s="8" t="s">
        <v>114</v>
      </c>
      <c r="E9" s="8">
        <v>50</v>
      </c>
      <c r="F9" s="8" t="s">
        <v>116</v>
      </c>
      <c r="G9" s="8" t="s">
        <v>116</v>
      </c>
      <c r="H9" s="8" t="s">
        <v>115</v>
      </c>
      <c r="I9" s="27">
        <v>45637</v>
      </c>
      <c r="J9" s="8" t="s">
        <v>117</v>
      </c>
      <c r="K9" s="8" t="s">
        <v>124</v>
      </c>
      <c r="L9" s="8" t="s">
        <v>119</v>
      </c>
      <c r="M9" s="16" t="str">
        <f ca="1">IFERROR(__xludf.DUMMYFUNCTION("JOIN("""",VLOOKUP(D9,'для артикула'!$A$2:$B$7,2,0),VLOOKUP(G9,'для артикула'!$A$13:$B$14,2,0),VLOOKUP(E9,'для артикула'!$A$9:$B$11,2,0),VLOOKUP(F9,'для артикула'!$A$17:$B$19,2,0),VLOOKUP(J9,'для артикула'!$A$22:$B$23,2,0),VLOOKUP(H9,'для артикула'!$A$26:$"&amp;"B$30,2,0))"),"002-2013E50Q13-OK")</f>
        <v>002-2013E50Q13-OK</v>
      </c>
      <c r="N9" s="8" t="str">
        <f>IF(ISNUMBER(MATCH(C9, 'Реестр договоров'!$D$2:$D$900, 0)), "Продано", "В наличии")</f>
        <v>Продано</v>
      </c>
    </row>
    <row r="10" spans="1:15">
      <c r="A10" s="26">
        <v>45610.653211168981</v>
      </c>
      <c r="B10" s="26"/>
      <c r="C10" s="8" t="s">
        <v>125</v>
      </c>
      <c r="D10" s="8" t="s">
        <v>114</v>
      </c>
      <c r="E10" s="8">
        <v>50</v>
      </c>
      <c r="F10" s="8" t="s">
        <v>116</v>
      </c>
      <c r="G10" s="8" t="s">
        <v>116</v>
      </c>
      <c r="H10" s="8">
        <v>30</v>
      </c>
      <c r="I10" s="27">
        <v>45610</v>
      </c>
      <c r="J10" s="8" t="s">
        <v>117</v>
      </c>
      <c r="K10" s="8" t="s">
        <v>118</v>
      </c>
      <c r="L10" s="8" t="s">
        <v>119</v>
      </c>
      <c r="M10" s="16" t="str">
        <f ca="1">IFERROR(__xludf.DUMMYFUNCTION("JOIN("""",VLOOKUP(D10,'для артикула'!$A$2:$B$7,2,0),VLOOKUP(G10,'для артикула'!$A$13:$B$14,2,0),VLOOKUP(E10,'для артикула'!$A$9:$B$11,2,0),VLOOKUP(F10,'для артикула'!$A$17:$B$19,2,0),VLOOKUP(J10,'для артикула'!$A$22:$B$23,2,0),VLOOKUP(H10,'для артикула'!$"&amp;"A$26:$B$30,2,0))"),"002-2013E50Q13-OK30")</f>
        <v>002-2013E50Q13-OK30</v>
      </c>
      <c r="N10" s="8" t="str">
        <f>IF(ISNUMBER(MATCH(C10, 'Реестр договоров'!$D$2:$D$900, 0)), "Продано", "В наличии")</f>
        <v>Продано</v>
      </c>
    </row>
    <row r="11" spans="1:15">
      <c r="A11" s="26">
        <v>45604.420774710648</v>
      </c>
      <c r="B11" s="26"/>
      <c r="C11" s="8" t="s">
        <v>126</v>
      </c>
      <c r="D11" s="8" t="s">
        <v>114</v>
      </c>
      <c r="E11" s="8">
        <v>50</v>
      </c>
      <c r="F11" s="8" t="s">
        <v>116</v>
      </c>
      <c r="G11" s="8" t="s">
        <v>116</v>
      </c>
      <c r="H11" s="8" t="s">
        <v>115</v>
      </c>
      <c r="I11" s="27">
        <v>45604</v>
      </c>
      <c r="J11" s="8" t="s">
        <v>117</v>
      </c>
      <c r="K11" s="8" t="s">
        <v>118</v>
      </c>
      <c r="L11" s="8" t="s">
        <v>119</v>
      </c>
      <c r="M11" s="16" t="str">
        <f ca="1">IFERROR(__xludf.DUMMYFUNCTION("JOIN("""",VLOOKUP(D11,'для артикула'!$A$2:$B$7,2,0),VLOOKUP(G11,'для артикула'!$A$13:$B$14,2,0),VLOOKUP(E11,'для артикула'!$A$9:$B$11,2,0),VLOOKUP(F11,'для артикула'!$A$17:$B$19,2,0),VLOOKUP(J11,'для артикула'!$A$22:$B$23,2,0),VLOOKUP(H11,'для артикула'!$"&amp;"A$26:$B$30,2,0))"),"002-2013E50Q13-OK")</f>
        <v>002-2013E50Q13-OK</v>
      </c>
      <c r="N11" s="8" t="str">
        <f>IF(ISNUMBER(MATCH(C11, 'Реестр договоров'!$D$2:$D$900, 0)), "Продано", "В наличии")</f>
        <v>Продано</v>
      </c>
    </row>
    <row r="12" spans="1:15">
      <c r="A12" s="26">
        <v>45637.811585752315</v>
      </c>
      <c r="B12" s="26"/>
      <c r="C12" s="8" t="s">
        <v>127</v>
      </c>
      <c r="D12" s="8" t="s">
        <v>114</v>
      </c>
      <c r="E12" s="8">
        <v>30</v>
      </c>
      <c r="F12" s="8" t="s">
        <v>116</v>
      </c>
      <c r="G12" s="8" t="s">
        <v>116</v>
      </c>
      <c r="H12" s="8" t="s">
        <v>115</v>
      </c>
      <c r="I12" s="27">
        <v>45637</v>
      </c>
      <c r="J12" s="8" t="s">
        <v>117</v>
      </c>
      <c r="K12" s="8" t="s">
        <v>124</v>
      </c>
      <c r="L12" s="8" t="s">
        <v>119</v>
      </c>
      <c r="M12" s="16" t="str">
        <f ca="1">IFERROR(__xludf.DUMMYFUNCTION("JOIN("""",VLOOKUP(D12,'для артикула'!$A$2:$B$7,2,0),VLOOKUP(G12,'для артикула'!$A$13:$B$14,2,0),VLOOKUP(E12,'для артикула'!$A$9:$B$11,2,0),VLOOKUP(F12,'для артикула'!$A$17:$B$19,2,0),VLOOKUP(J12,'для артикула'!$A$22:$B$23,2,0),VLOOKUP(H12,'для артикула'!$"&amp;"A$26:$B$30,2,0))"),"002-2013E30Q13-OK")</f>
        <v>002-2013E30Q13-OK</v>
      </c>
      <c r="N12" s="8" t="str">
        <f>IF(ISNUMBER(MATCH(C12, 'Реестр договоров'!$D$2:$D$900, 0)), "Продано", "В наличии")</f>
        <v>Продано</v>
      </c>
    </row>
    <row r="13" spans="1:15">
      <c r="A13" s="26">
        <v>45635.50549546296</v>
      </c>
      <c r="B13" s="26"/>
      <c r="C13" s="8" t="s">
        <v>128</v>
      </c>
      <c r="D13" s="8" t="s">
        <v>114</v>
      </c>
      <c r="E13" s="8">
        <v>50</v>
      </c>
      <c r="F13" s="8" t="s">
        <v>116</v>
      </c>
      <c r="G13" s="8" t="s">
        <v>116</v>
      </c>
      <c r="H13" s="8" t="s">
        <v>115</v>
      </c>
      <c r="I13" s="27">
        <v>45628</v>
      </c>
      <c r="J13" s="8" t="s">
        <v>117</v>
      </c>
      <c r="K13" s="8" t="s">
        <v>124</v>
      </c>
      <c r="L13" s="8" t="s">
        <v>119</v>
      </c>
      <c r="M13" s="16" t="str">
        <f ca="1">IFERROR(__xludf.DUMMYFUNCTION("JOIN("""",VLOOKUP(D13,'для артикула'!$A$2:$B$7,2,0),VLOOKUP(G13,'для артикула'!$A$13:$B$14,2,0),VLOOKUP(E13,'для артикула'!$A$9:$B$11,2,0),VLOOKUP(F13,'для артикула'!$A$17:$B$19,2,0),VLOOKUP(J13,'для артикула'!$A$22:$B$23,2,0),VLOOKUP(H13,'для артикула'!$"&amp;"A$26:$B$30,2,0))"),"002-2013E50Q13-OK")</f>
        <v>002-2013E50Q13-OK</v>
      </c>
      <c r="N13" s="8" t="str">
        <f>IF(ISNUMBER(MATCH(C13, 'Реестр договоров'!$D$2:$D$900, 0)), "Продано", "В наличии")</f>
        <v>Продано</v>
      </c>
    </row>
    <row r="14" spans="1:15">
      <c r="A14" s="26">
        <v>45629.597869398145</v>
      </c>
      <c r="B14" s="26"/>
      <c r="C14" s="8" t="s">
        <v>129</v>
      </c>
      <c r="D14" s="8" t="s">
        <v>114</v>
      </c>
      <c r="E14" s="8">
        <v>50</v>
      </c>
      <c r="F14" s="8" t="s">
        <v>116</v>
      </c>
      <c r="G14" s="8" t="s">
        <v>116</v>
      </c>
      <c r="H14" s="8" t="s">
        <v>115</v>
      </c>
      <c r="I14" s="27">
        <v>45629</v>
      </c>
      <c r="J14" s="8" t="s">
        <v>117</v>
      </c>
      <c r="K14" s="8" t="s">
        <v>121</v>
      </c>
      <c r="L14" s="8" t="s">
        <v>119</v>
      </c>
      <c r="M14" s="16" t="str">
        <f ca="1">IFERROR(__xludf.DUMMYFUNCTION("JOIN("""",VLOOKUP(D14,'для артикула'!$A$2:$B$7,2,0),VLOOKUP(G14,'для артикула'!$A$13:$B$14,2,0),VLOOKUP(E14,'для артикула'!$A$9:$B$11,2,0),VLOOKUP(F14,'для артикула'!$A$17:$B$19,2,0),VLOOKUP(J14,'для артикула'!$A$22:$B$23,2,0),VLOOKUP(H14,'для артикула'!$"&amp;"A$26:$B$30,2,0))"),"002-2013E50Q13-OK")</f>
        <v>002-2013E50Q13-OK</v>
      </c>
      <c r="N14" s="8" t="str">
        <f>IF(ISNUMBER(MATCH(C14, 'Реестр договоров'!$D$2:$D$900, 0)), "Продано", "В наличии")</f>
        <v>Продано</v>
      </c>
    </row>
    <row r="15" spans="1:15">
      <c r="A15" s="26">
        <v>45617.527676655096</v>
      </c>
      <c r="B15" s="26"/>
      <c r="C15" s="8" t="s">
        <v>23</v>
      </c>
      <c r="D15" s="8" t="s">
        <v>114</v>
      </c>
      <c r="E15" s="8">
        <v>50</v>
      </c>
      <c r="F15" s="8" t="s">
        <v>116</v>
      </c>
      <c r="G15" s="8" t="s">
        <v>116</v>
      </c>
      <c r="H15" s="8" t="s">
        <v>115</v>
      </c>
      <c r="I15" s="27">
        <v>45617</v>
      </c>
      <c r="J15" s="8" t="s">
        <v>117</v>
      </c>
      <c r="K15" s="8" t="s">
        <v>121</v>
      </c>
      <c r="L15" s="8" t="s">
        <v>119</v>
      </c>
      <c r="M15" s="16" t="str">
        <f ca="1">IFERROR(__xludf.DUMMYFUNCTION("JOIN("""",VLOOKUP(D15,'для артикула'!$A$2:$B$7,2,0),VLOOKUP(G15,'для артикула'!$A$13:$B$14,2,0),VLOOKUP(E15,'для артикула'!$A$9:$B$11,2,0),VLOOKUP(F15,'для артикула'!$A$17:$B$19,2,0),VLOOKUP(J15,'для артикула'!$A$22:$B$23,2,0),VLOOKUP(H15,'для артикула'!$"&amp;"A$26:$B$30,2,0))"),"002-2013E50Q13-OK")</f>
        <v>002-2013E50Q13-OK</v>
      </c>
      <c r="N15" s="8" t="str">
        <f>IF(ISNUMBER(MATCH(C15, 'Реестр договоров'!$D$2:$D$900, 0)), "Продано", "В наличии")</f>
        <v>Продано</v>
      </c>
    </row>
    <row r="16" spans="1:15">
      <c r="A16" s="26">
        <v>45617.601412928241</v>
      </c>
      <c r="B16" s="26"/>
      <c r="C16" s="8" t="s">
        <v>28</v>
      </c>
      <c r="D16" s="8" t="s">
        <v>114</v>
      </c>
      <c r="E16" s="8">
        <v>30</v>
      </c>
      <c r="F16" s="8" t="s">
        <v>116</v>
      </c>
      <c r="G16" s="8" t="s">
        <v>116</v>
      </c>
      <c r="H16" s="8" t="s">
        <v>115</v>
      </c>
      <c r="I16" s="27">
        <v>45617</v>
      </c>
      <c r="J16" s="8" t="s">
        <v>117</v>
      </c>
      <c r="K16" s="8" t="s">
        <v>121</v>
      </c>
      <c r="L16" s="8" t="s">
        <v>119</v>
      </c>
      <c r="M16" s="16" t="str">
        <f ca="1">IFERROR(__xludf.DUMMYFUNCTION("JOIN("""",VLOOKUP(D16,'для артикула'!$A$2:$B$7,2,0),VLOOKUP(G16,'для артикула'!$A$13:$B$14,2,0),VLOOKUP(E16,'для артикула'!$A$9:$B$11,2,0),VLOOKUP(F16,'для артикула'!$A$17:$B$19,2,0),VLOOKUP(J16,'для артикула'!$A$22:$B$23,2,0),VLOOKUP(H16,'для артикула'!$"&amp;"A$26:$B$30,2,0))"),"002-2013E30Q13-OK")</f>
        <v>002-2013E30Q13-OK</v>
      </c>
      <c r="N16" s="8" t="str">
        <f>IF(ISNUMBER(MATCH(C16, 'Реестр договоров'!$D$2:$D$900, 0)), "Продано", "В наличии")</f>
        <v>Продано</v>
      </c>
    </row>
    <row r="17" spans="1:14">
      <c r="A17" s="26">
        <v>45617.527007777782</v>
      </c>
      <c r="B17" s="26"/>
      <c r="C17" s="8" t="s">
        <v>21</v>
      </c>
      <c r="D17" s="8" t="s">
        <v>114</v>
      </c>
      <c r="E17" s="8">
        <v>50</v>
      </c>
      <c r="F17" s="8" t="s">
        <v>116</v>
      </c>
      <c r="G17" s="8" t="s">
        <v>116</v>
      </c>
      <c r="H17" s="8" t="s">
        <v>115</v>
      </c>
      <c r="I17" s="27">
        <v>45617</v>
      </c>
      <c r="J17" s="8" t="s">
        <v>117</v>
      </c>
      <c r="K17" s="8" t="s">
        <v>121</v>
      </c>
      <c r="L17" s="8" t="s">
        <v>119</v>
      </c>
      <c r="M17" s="16" t="str">
        <f ca="1">IFERROR(__xludf.DUMMYFUNCTION("JOIN("""",VLOOKUP(D17,'для артикула'!$A$2:$B$7,2,0),VLOOKUP(G17,'для артикула'!$A$13:$B$14,2,0),VLOOKUP(E17,'для артикула'!$A$9:$B$11,2,0),VLOOKUP(F17,'для артикула'!$A$17:$B$19,2,0),VLOOKUP(J17,'для артикула'!$A$22:$B$23,2,0),VLOOKUP(H17,'для артикула'!$"&amp;"A$26:$B$30,2,0))"),"002-2013E50Q13-OK")</f>
        <v>002-2013E50Q13-OK</v>
      </c>
      <c r="N17" s="8" t="str">
        <f>IF(ISNUMBER(MATCH(C17, 'Реестр договоров'!$D$2:$D$900, 0)), "Продано", "В наличии")</f>
        <v>Продано</v>
      </c>
    </row>
    <row r="18" spans="1:14">
      <c r="A18" s="26">
        <v>45652.48748556713</v>
      </c>
      <c r="B18" s="26"/>
      <c r="C18" s="8" t="s">
        <v>130</v>
      </c>
      <c r="D18" s="8" t="s">
        <v>114</v>
      </c>
      <c r="E18" s="8">
        <v>30</v>
      </c>
      <c r="F18" s="8" t="s">
        <v>116</v>
      </c>
      <c r="G18" s="8" t="s">
        <v>116</v>
      </c>
      <c r="H18" s="8" t="s">
        <v>115</v>
      </c>
      <c r="I18" s="27">
        <v>45652</v>
      </c>
      <c r="J18" s="8" t="s">
        <v>117</v>
      </c>
      <c r="K18" s="8" t="s">
        <v>121</v>
      </c>
      <c r="L18" s="8" t="s">
        <v>119</v>
      </c>
      <c r="M18" s="16" t="str">
        <f ca="1">IFERROR(__xludf.DUMMYFUNCTION("JOIN("""",VLOOKUP(D18,'для артикула'!$A$2:$B$7,2,0),VLOOKUP(G18,'для артикула'!$A$13:$B$14,2,0),VLOOKUP(E18,'для артикула'!$A$9:$B$11,2,0),VLOOKUP(F18,'для артикула'!$A$17:$B$19,2,0),VLOOKUP(J18,'для артикула'!$A$22:$B$23,2,0),VLOOKUP(H18,'для артикула'!$"&amp;"A$26:$B$30,2,0))"),"002-2013E30Q13-OK")</f>
        <v>002-2013E30Q13-OK</v>
      </c>
      <c r="N18" s="8" t="str">
        <f>IF(ISNUMBER(MATCH(C18, 'Реестр договоров'!$D$2:$D$900, 0)), "Продано", "В наличии")</f>
        <v>Продано</v>
      </c>
    </row>
    <row r="19" spans="1:14">
      <c r="A19" s="26">
        <v>45644.555182638884</v>
      </c>
      <c r="B19" s="26"/>
      <c r="C19" s="8" t="s">
        <v>131</v>
      </c>
      <c r="D19" s="8" t="s">
        <v>114</v>
      </c>
      <c r="E19" s="8">
        <v>50</v>
      </c>
      <c r="F19" s="8" t="s">
        <v>116</v>
      </c>
      <c r="G19" s="8" t="s">
        <v>116</v>
      </c>
      <c r="H19" s="8" t="s">
        <v>115</v>
      </c>
      <c r="I19" s="27">
        <v>45629</v>
      </c>
      <c r="J19" s="8" t="s">
        <v>117</v>
      </c>
      <c r="K19" s="8" t="s">
        <v>121</v>
      </c>
      <c r="L19" s="8" t="s">
        <v>119</v>
      </c>
      <c r="M19" s="16" t="str">
        <f ca="1">IFERROR(__xludf.DUMMYFUNCTION("JOIN("""",VLOOKUP(D19,'для артикула'!$A$2:$B$7,2,0),VLOOKUP(G19,'для артикула'!$A$13:$B$14,2,0),VLOOKUP(E19,'для артикула'!$A$9:$B$11,2,0),VLOOKUP(F19,'для артикула'!$A$17:$B$19,2,0),VLOOKUP(J19,'для артикула'!$A$22:$B$23,2,0),VLOOKUP(H19,'для артикула'!$"&amp;"A$26:$B$30,2,0))"),"002-2013E50Q13-OK")</f>
        <v>002-2013E50Q13-OK</v>
      </c>
      <c r="N19" s="8" t="str">
        <f>IF(ISNUMBER(MATCH(C19, 'Реестр договоров'!$D$2:$D$900, 0)), "Продано", "В наличии")</f>
        <v>Продано</v>
      </c>
    </row>
    <row r="20" spans="1:14">
      <c r="A20" s="26">
        <v>45617.527373090277</v>
      </c>
      <c r="B20" s="26"/>
      <c r="C20" s="8" t="s">
        <v>22</v>
      </c>
      <c r="D20" s="8" t="s">
        <v>114</v>
      </c>
      <c r="E20" s="8">
        <v>50</v>
      </c>
      <c r="F20" s="8" t="s">
        <v>116</v>
      </c>
      <c r="G20" s="8" t="s">
        <v>116</v>
      </c>
      <c r="H20" s="8" t="s">
        <v>115</v>
      </c>
      <c r="I20" s="27">
        <v>45617</v>
      </c>
      <c r="J20" s="8" t="s">
        <v>117</v>
      </c>
      <c r="K20" s="8" t="s">
        <v>121</v>
      </c>
      <c r="L20" s="8" t="s">
        <v>119</v>
      </c>
      <c r="M20" s="16" t="str">
        <f ca="1">IFERROR(__xludf.DUMMYFUNCTION("JOIN("""",VLOOKUP(D20,'для артикула'!$A$2:$B$7,2,0),VLOOKUP(G20,'для артикула'!$A$13:$B$14,2,0),VLOOKUP(E20,'для артикула'!$A$9:$B$11,2,0),VLOOKUP(F20,'для артикула'!$A$17:$B$19,2,0),VLOOKUP(J20,'для артикула'!$A$22:$B$23,2,0),VLOOKUP(H20,'для артикула'!$"&amp;"A$26:$B$30,2,0))"),"002-2013E50Q13-OK")</f>
        <v>002-2013E50Q13-OK</v>
      </c>
      <c r="N20" s="8" t="str">
        <f>IF(ISNUMBER(MATCH(C20, 'Реестр договоров'!$D$2:$D$900, 0)), "Продано", "В наличии")</f>
        <v>Продано</v>
      </c>
    </row>
    <row r="21" spans="1:14">
      <c r="A21" s="26">
        <v>45609.514499895835</v>
      </c>
      <c r="B21" s="26"/>
      <c r="C21" s="8" t="s">
        <v>132</v>
      </c>
      <c r="D21" s="8" t="s">
        <v>114</v>
      </c>
      <c r="E21" s="8">
        <v>50</v>
      </c>
      <c r="F21" s="8" t="s">
        <v>116</v>
      </c>
      <c r="G21" s="8" t="s">
        <v>116</v>
      </c>
      <c r="H21" s="8" t="s">
        <v>115</v>
      </c>
      <c r="I21" s="27">
        <v>45609</v>
      </c>
      <c r="J21" s="8" t="s">
        <v>117</v>
      </c>
      <c r="K21" s="8" t="s">
        <v>121</v>
      </c>
      <c r="L21" s="8" t="s">
        <v>119</v>
      </c>
      <c r="M21" s="16" t="str">
        <f ca="1">IFERROR(__xludf.DUMMYFUNCTION("JOIN("""",VLOOKUP(D21,'для артикула'!$A$2:$B$7,2,0),VLOOKUP(G21,'для артикула'!$A$13:$B$14,2,0),VLOOKUP(E21,'для артикула'!$A$9:$B$11,2,0),VLOOKUP(F21,'для артикула'!$A$17:$B$19,2,0),VLOOKUP(J21,'для артикула'!$A$22:$B$23,2,0),VLOOKUP(H21,'для артикула'!$"&amp;"A$26:$B$30,2,0))"),"002-2013E50Q13-OK")</f>
        <v>002-2013E50Q13-OK</v>
      </c>
      <c r="N21" s="8" t="str">
        <f>IF(ISNUMBER(MATCH(C21, 'Реестр договоров'!$D$2:$D$900, 0)), "Продано", "В наличии")</f>
        <v>Продано</v>
      </c>
    </row>
    <row r="22" spans="1:14">
      <c r="A22" s="26">
        <v>45588.500121631943</v>
      </c>
      <c r="B22" s="26"/>
      <c r="C22" s="8" t="s">
        <v>133</v>
      </c>
      <c r="D22" s="8" t="s">
        <v>114</v>
      </c>
      <c r="E22" s="8">
        <v>50</v>
      </c>
      <c r="F22" s="8" t="s">
        <v>116</v>
      </c>
      <c r="G22" s="8" t="s">
        <v>116</v>
      </c>
      <c r="H22" s="8">
        <v>30</v>
      </c>
      <c r="I22" s="27">
        <v>45588</v>
      </c>
      <c r="J22" s="8" t="s">
        <v>117</v>
      </c>
      <c r="K22" s="8" t="s">
        <v>118</v>
      </c>
      <c r="L22" s="8" t="s">
        <v>119</v>
      </c>
      <c r="M22" s="16" t="str">
        <f ca="1">IFERROR(__xludf.DUMMYFUNCTION("JOIN("""",VLOOKUP(D22,'для артикула'!$A$2:$B$7,2,0),VLOOKUP(G22,'для артикула'!$A$13:$B$14,2,0),VLOOKUP(E22,'для артикула'!$A$9:$B$11,2,0),VLOOKUP(F22,'для артикула'!$A$17:$B$19,2,0),VLOOKUP(J22,'для артикула'!$A$22:$B$23,2,0),VLOOKUP(H22,'для артикула'!$"&amp;"A$26:$B$30,2,0))"),"002-2013E50Q13-OK30")</f>
        <v>002-2013E50Q13-OK30</v>
      </c>
      <c r="N22" s="8" t="str">
        <f>IF(ISNUMBER(MATCH(C22, 'Реестр договоров'!$D$2:$D$900, 0)), "Продано", "В наличии")</f>
        <v>Продано</v>
      </c>
    </row>
    <row r="23" spans="1:14">
      <c r="A23" s="26">
        <v>45583.610990393514</v>
      </c>
      <c r="B23" s="26"/>
      <c r="C23" s="8" t="s">
        <v>134</v>
      </c>
      <c r="D23" s="8" t="s">
        <v>114</v>
      </c>
      <c r="E23" s="8">
        <v>50</v>
      </c>
      <c r="F23" s="8" t="s">
        <v>116</v>
      </c>
      <c r="G23" s="8" t="s">
        <v>116</v>
      </c>
      <c r="H23" s="8">
        <v>30</v>
      </c>
      <c r="I23" s="27">
        <v>45583</v>
      </c>
      <c r="J23" s="8" t="s">
        <v>117</v>
      </c>
      <c r="K23" s="8" t="s">
        <v>124</v>
      </c>
      <c r="L23" s="8" t="s">
        <v>119</v>
      </c>
      <c r="M23" s="16" t="str">
        <f ca="1">IFERROR(__xludf.DUMMYFUNCTION("JOIN("""",VLOOKUP(D23,'для артикула'!$A$2:$B$7,2,0),VLOOKUP(G23,'для артикула'!$A$13:$B$14,2,0),VLOOKUP(E23,'для артикула'!$A$9:$B$11,2,0),VLOOKUP(F23,'для артикула'!$A$17:$B$19,2,0),VLOOKUP(J23,'для артикула'!$A$22:$B$23,2,0),VLOOKUP(H23,'для артикула'!$"&amp;"A$26:$B$30,2,0))"),"002-2013E50Q13-OK30")</f>
        <v>002-2013E50Q13-OK30</v>
      </c>
      <c r="N23" s="8" t="str">
        <f>IF(ISNUMBER(MATCH(C23, 'Реестр договоров'!$D$2:$D$900, 0)), "Продано", "В наличии")</f>
        <v>Продано</v>
      </c>
    </row>
    <row r="24" spans="1:14">
      <c r="A24" s="26">
        <v>45583.607985891205</v>
      </c>
      <c r="B24" s="26"/>
      <c r="C24" s="8" t="s">
        <v>135</v>
      </c>
      <c r="D24" s="8" t="s">
        <v>114</v>
      </c>
      <c r="E24" s="8">
        <v>30</v>
      </c>
      <c r="F24" s="8" t="s">
        <v>116</v>
      </c>
      <c r="G24" s="8" t="s">
        <v>116</v>
      </c>
      <c r="H24" s="8">
        <v>60</v>
      </c>
      <c r="I24" s="27">
        <v>45583</v>
      </c>
      <c r="J24" s="8" t="s">
        <v>117</v>
      </c>
      <c r="K24" s="8" t="s">
        <v>124</v>
      </c>
      <c r="L24" s="8" t="s">
        <v>119</v>
      </c>
      <c r="M24" s="16" t="str">
        <f ca="1">IFERROR(__xludf.DUMMYFUNCTION("JOIN("""",VLOOKUP(D24,'для артикула'!$A$2:$B$7,2,0),VLOOKUP(G24,'для артикула'!$A$13:$B$14,2,0),VLOOKUP(E24,'для артикула'!$A$9:$B$11,2,0),VLOOKUP(F24,'для артикула'!$A$17:$B$19,2,0),VLOOKUP(J24,'для артикула'!$A$22:$B$23,2,0),VLOOKUP(H24,'для артикула'!$"&amp;"A$26:$B$30,2,0))"),"002-2013E30Q13-OK60")</f>
        <v>002-2013E30Q13-OK60</v>
      </c>
      <c r="N24" s="8" t="str">
        <f>IF(ISNUMBER(MATCH(C24, 'Реестр договоров'!$D$2:$D$900, 0)), "Продано", "В наличии")</f>
        <v>Продано</v>
      </c>
    </row>
    <row r="25" spans="1:14">
      <c r="A25" s="26">
        <v>45579.734545057872</v>
      </c>
      <c r="B25" s="26"/>
      <c r="C25" s="8" t="s">
        <v>136</v>
      </c>
      <c r="D25" s="8" t="s">
        <v>114</v>
      </c>
      <c r="E25" s="8">
        <v>30</v>
      </c>
      <c r="F25" s="8" t="s">
        <v>116</v>
      </c>
      <c r="G25" s="8" t="s">
        <v>116</v>
      </c>
      <c r="H25" s="8" t="s">
        <v>115</v>
      </c>
      <c r="I25" s="27">
        <v>45579</v>
      </c>
      <c r="J25" s="8" t="s">
        <v>117</v>
      </c>
      <c r="K25" s="8" t="s">
        <v>124</v>
      </c>
      <c r="L25" s="8" t="s">
        <v>119</v>
      </c>
      <c r="M25" s="16" t="str">
        <f ca="1">IFERROR(__xludf.DUMMYFUNCTION("JOIN("""",VLOOKUP(D25,'для артикула'!$A$2:$B$7,2,0),VLOOKUP(G25,'для артикула'!$A$13:$B$14,2,0),VLOOKUP(E25,'для артикула'!$A$9:$B$11,2,0),VLOOKUP(F25,'для артикула'!$A$17:$B$19,2,0),VLOOKUP(J25,'для артикула'!$A$22:$B$23,2,0),VLOOKUP(H25,'для артикула'!$"&amp;"A$26:$B$30,2,0))"),"002-2013E30Q13-OK")</f>
        <v>002-2013E30Q13-OK</v>
      </c>
      <c r="N25" s="8" t="str">
        <f>IF(ISNUMBER(MATCH(C25, 'Реестр договоров'!$D$2:$D$900, 0)), "Продано", "В наличии")</f>
        <v>Продано</v>
      </c>
    </row>
    <row r="26" spans="1:14">
      <c r="A26" s="26">
        <v>45579.733741770833</v>
      </c>
      <c r="B26" s="26"/>
      <c r="C26" s="8" t="s">
        <v>137</v>
      </c>
      <c r="D26" s="8" t="s">
        <v>114</v>
      </c>
      <c r="E26" s="8">
        <v>50</v>
      </c>
      <c r="F26" s="8" t="s">
        <v>116</v>
      </c>
      <c r="G26" s="8" t="s">
        <v>116</v>
      </c>
      <c r="H26" s="8" t="s">
        <v>115</v>
      </c>
      <c r="I26" s="27">
        <v>45579</v>
      </c>
      <c r="J26" s="8" t="s">
        <v>117</v>
      </c>
      <c r="K26" s="8" t="s">
        <v>124</v>
      </c>
      <c r="L26" s="8" t="s">
        <v>119</v>
      </c>
      <c r="M26" s="16" t="str">
        <f ca="1">IFERROR(__xludf.DUMMYFUNCTION("JOIN("""",VLOOKUP(D26,'для артикула'!$A$2:$B$7,2,0),VLOOKUP(G26,'для артикула'!$A$13:$B$14,2,0),VLOOKUP(E26,'для артикула'!$A$9:$B$11,2,0),VLOOKUP(F26,'для артикула'!$A$17:$B$19,2,0),VLOOKUP(J26,'для артикула'!$A$22:$B$23,2,0),VLOOKUP(H26,'для артикула'!$"&amp;"A$26:$B$30,2,0))"),"002-2013E50Q13-OK")</f>
        <v>002-2013E50Q13-OK</v>
      </c>
      <c r="N26" s="8" t="str">
        <f>IF(ISNUMBER(MATCH(C26, 'Реестр договоров'!$D$2:$D$900, 0)), "Продано", "В наличии")</f>
        <v>Продано</v>
      </c>
    </row>
    <row r="27" spans="1:14">
      <c r="A27" s="26">
        <v>45575.702725833333</v>
      </c>
      <c r="B27" s="26"/>
      <c r="C27" s="8" t="s">
        <v>138</v>
      </c>
      <c r="D27" s="8" t="s">
        <v>114</v>
      </c>
      <c r="E27" s="8">
        <v>50</v>
      </c>
      <c r="F27" s="8" t="s">
        <v>116</v>
      </c>
      <c r="G27" s="8" t="s">
        <v>116</v>
      </c>
      <c r="H27" s="8" t="s">
        <v>115</v>
      </c>
      <c r="I27" s="27">
        <v>45575</v>
      </c>
      <c r="J27" s="8" t="s">
        <v>117</v>
      </c>
      <c r="K27" s="8" t="s">
        <v>118</v>
      </c>
      <c r="L27" s="8" t="s">
        <v>119</v>
      </c>
      <c r="M27" s="16" t="str">
        <f ca="1">IFERROR(__xludf.DUMMYFUNCTION("JOIN("""",VLOOKUP(D27,'для артикула'!$A$2:$B$7,2,0),VLOOKUP(G27,'для артикула'!$A$13:$B$14,2,0),VLOOKUP(E27,'для артикула'!$A$9:$B$11,2,0),VLOOKUP(F27,'для артикула'!$A$17:$B$19,2,0),VLOOKUP(J27,'для артикула'!$A$22:$B$23,2,0),VLOOKUP(H27,'для артикула'!$"&amp;"A$26:$B$30,2,0))"),"002-2013E50Q13-OK")</f>
        <v>002-2013E50Q13-OK</v>
      </c>
      <c r="N27" s="8" t="str">
        <f>IF(ISNUMBER(MATCH(C27, 'Реестр договоров'!$D$2:$D$900, 0)), "Продано", "В наличии")</f>
        <v>Продано</v>
      </c>
    </row>
    <row r="28" spans="1:14">
      <c r="A28" s="26">
        <v>45579.751128599542</v>
      </c>
      <c r="B28" s="26"/>
      <c r="C28" s="8" t="s">
        <v>139</v>
      </c>
      <c r="D28" s="8" t="s">
        <v>114</v>
      </c>
      <c r="E28" s="8">
        <v>50</v>
      </c>
      <c r="F28" s="8" t="s">
        <v>116</v>
      </c>
      <c r="G28" s="8" t="s">
        <v>116</v>
      </c>
      <c r="H28" s="8" t="s">
        <v>115</v>
      </c>
      <c r="I28" s="27">
        <v>45579</v>
      </c>
      <c r="J28" s="8" t="s">
        <v>117</v>
      </c>
      <c r="K28" s="8" t="s">
        <v>124</v>
      </c>
      <c r="L28" s="8" t="s">
        <v>119</v>
      </c>
      <c r="M28" s="16" t="str">
        <f ca="1">IFERROR(__xludf.DUMMYFUNCTION("JOIN("""",VLOOKUP(D28,'для артикула'!$A$2:$B$7,2,0),VLOOKUP(G28,'для артикула'!$A$13:$B$14,2,0),VLOOKUP(E28,'для артикула'!$A$9:$B$11,2,0),VLOOKUP(F28,'для артикула'!$A$17:$B$19,2,0),VLOOKUP(J28,'для артикула'!$A$22:$B$23,2,0),VLOOKUP(H28,'для артикула'!$"&amp;"A$26:$B$30,2,0))"),"002-2013E50Q13-OK")</f>
        <v>002-2013E50Q13-OK</v>
      </c>
      <c r="N28" s="8" t="str">
        <f>IF(ISNUMBER(MATCH(C28, 'Реестр договоров'!$D$2:$D$900, 0)), "Продано", "В наличии")</f>
        <v>Продано</v>
      </c>
    </row>
    <row r="29" spans="1:14">
      <c r="A29" s="26">
        <v>45579.751857037038</v>
      </c>
      <c r="B29" s="26"/>
      <c r="C29" s="8" t="s">
        <v>140</v>
      </c>
      <c r="D29" s="8" t="s">
        <v>114</v>
      </c>
      <c r="E29" s="8">
        <v>30</v>
      </c>
      <c r="F29" s="8" t="s">
        <v>116</v>
      </c>
      <c r="G29" s="8" t="s">
        <v>116</v>
      </c>
      <c r="H29" s="8">
        <v>60</v>
      </c>
      <c r="I29" s="27">
        <v>45579</v>
      </c>
      <c r="J29" s="8" t="s">
        <v>117</v>
      </c>
      <c r="K29" s="8" t="s">
        <v>124</v>
      </c>
      <c r="L29" s="8" t="s">
        <v>119</v>
      </c>
      <c r="M29" s="16" t="str">
        <f ca="1">IFERROR(__xludf.DUMMYFUNCTION("JOIN("""",VLOOKUP(D29,'для артикула'!$A$2:$B$7,2,0),VLOOKUP(G29,'для артикула'!$A$13:$B$14,2,0),VLOOKUP(E29,'для артикула'!$A$9:$B$11,2,0),VLOOKUP(F29,'для артикула'!$A$17:$B$19,2,0),VLOOKUP(J29,'для артикула'!$A$22:$B$23,2,0),VLOOKUP(H29,'для артикула'!$"&amp;"A$26:$B$30,2,0))"),"002-2013E30Q13-OK60")</f>
        <v>002-2013E30Q13-OK60</v>
      </c>
      <c r="N29" s="8" t="str">
        <f>IF(ISNUMBER(MATCH(C29, 'Реестр договоров'!$D$2:$D$900, 0)), "Продано", "В наличии")</f>
        <v>Продано</v>
      </c>
    </row>
    <row r="30" spans="1:14">
      <c r="A30" s="26">
        <v>45568.481023657412</v>
      </c>
      <c r="B30" s="26"/>
      <c r="C30" s="8" t="s">
        <v>141</v>
      </c>
      <c r="D30" s="8" t="s">
        <v>114</v>
      </c>
      <c r="E30" s="8">
        <v>50</v>
      </c>
      <c r="F30" s="8" t="s">
        <v>116</v>
      </c>
      <c r="G30" s="8" t="s">
        <v>116</v>
      </c>
      <c r="H30" s="8">
        <v>30</v>
      </c>
      <c r="I30" s="27">
        <v>45568</v>
      </c>
      <c r="J30" s="8" t="s">
        <v>117</v>
      </c>
      <c r="K30" s="8" t="s">
        <v>118</v>
      </c>
      <c r="L30" s="8" t="s">
        <v>119</v>
      </c>
      <c r="M30" s="16" t="str">
        <f ca="1">IFERROR(__xludf.DUMMYFUNCTION("JOIN("""",VLOOKUP(D30,'для артикула'!$A$2:$B$7,2,0),VLOOKUP(G30,'для артикула'!$A$13:$B$14,2,0),VLOOKUP(E30,'для артикула'!$A$9:$B$11,2,0),VLOOKUP(F30,'для артикула'!$A$17:$B$19,2,0),VLOOKUP(J30,'для артикула'!$A$22:$B$23,2,0),VLOOKUP(H30,'для артикула'!$"&amp;"A$26:$B$30,2,0))"),"002-2013E50Q13-OK30")</f>
        <v>002-2013E50Q13-OK30</v>
      </c>
      <c r="N30" s="8" t="str">
        <f>IF(ISNUMBER(MATCH(C30, 'Реестр договоров'!$D$2:$D$900, 0)), "Продано", "В наличии")</f>
        <v>Продано</v>
      </c>
    </row>
    <row r="31" spans="1:14">
      <c r="A31" s="26">
        <v>45579.746362800928</v>
      </c>
      <c r="B31" s="26"/>
      <c r="C31" s="8" t="s">
        <v>142</v>
      </c>
      <c r="D31" s="8" t="s">
        <v>114</v>
      </c>
      <c r="E31" s="8">
        <v>50</v>
      </c>
      <c r="F31" s="8" t="s">
        <v>116</v>
      </c>
      <c r="G31" s="8" t="s">
        <v>116</v>
      </c>
      <c r="H31" s="8">
        <v>30</v>
      </c>
      <c r="I31" s="27">
        <v>45579</v>
      </c>
      <c r="J31" s="8" t="s">
        <v>117</v>
      </c>
      <c r="K31" s="8" t="s">
        <v>124</v>
      </c>
      <c r="L31" s="8" t="s">
        <v>119</v>
      </c>
      <c r="M31" s="16" t="str">
        <f ca="1">IFERROR(__xludf.DUMMYFUNCTION("JOIN("""",VLOOKUP(D31,'для артикула'!$A$2:$B$7,2,0),VLOOKUP(G31,'для артикула'!$A$13:$B$14,2,0),VLOOKUP(E31,'для артикула'!$A$9:$B$11,2,0),VLOOKUP(F31,'для артикула'!$A$17:$B$19,2,0),VLOOKUP(J31,'для артикула'!$A$22:$B$23,2,0),VLOOKUP(H31,'для артикула'!$"&amp;"A$26:$B$30,2,0))"),"002-2013E50Q13-OK30")</f>
        <v>002-2013E50Q13-OK30</v>
      </c>
      <c r="N31" s="8" t="str">
        <f>IF(ISNUMBER(MATCH(C31, 'Реестр договоров'!$D$2:$D$900, 0)), "Продано", "В наличии")</f>
        <v>Продано</v>
      </c>
    </row>
    <row r="32" spans="1:14">
      <c r="A32" s="26">
        <v>45579.747134166668</v>
      </c>
      <c r="B32" s="26"/>
      <c r="C32" s="8" t="s">
        <v>143</v>
      </c>
      <c r="D32" s="8" t="s">
        <v>114</v>
      </c>
      <c r="E32" s="8">
        <v>50</v>
      </c>
      <c r="F32" s="8" t="s">
        <v>144</v>
      </c>
      <c r="G32" s="8" t="s">
        <v>144</v>
      </c>
      <c r="H32" s="8">
        <v>30</v>
      </c>
      <c r="I32" s="27">
        <v>45579</v>
      </c>
      <c r="J32" s="8" t="s">
        <v>117</v>
      </c>
      <c r="K32" s="8" t="s">
        <v>124</v>
      </c>
      <c r="L32" s="8" t="s">
        <v>119</v>
      </c>
      <c r="M32" s="16" t="str">
        <f ca="1">IFERROR(__xludf.DUMMYFUNCTION("JOIN("""",VLOOKUP(D32,'для артикула'!$A$2:$B$7,2,0),VLOOKUP(G32,'для артикула'!$A$13:$B$14,2,0),VLOOKUP(E32,'для артикула'!$A$9:$B$11,2,0),VLOOKUP(F32,'для артикула'!$A$17:$B$19,2,0),VLOOKUP(J32,'для артикула'!$A$22:$B$23,2,0),VLOOKUP(H32,'для артикула'!$"&amp;"A$26:$B$30,2,0))"),"002-2013E50Q15-OK30")</f>
        <v>002-2013E50Q15-OK30</v>
      </c>
      <c r="N32" s="8" t="str">
        <f>IF(ISNUMBER(MATCH(C32, 'Реестр договоров'!$D$2:$D$900, 0)), "Продано", "В наличии")</f>
        <v>Продано</v>
      </c>
    </row>
    <row r="33" spans="1:14">
      <c r="A33" s="26">
        <v>45612.467300914352</v>
      </c>
      <c r="B33" s="26"/>
      <c r="C33" s="8" t="s">
        <v>145</v>
      </c>
      <c r="D33" s="8" t="s">
        <v>114</v>
      </c>
      <c r="E33" s="8">
        <v>50</v>
      </c>
      <c r="F33" s="8" t="s">
        <v>116</v>
      </c>
      <c r="G33" s="8" t="s">
        <v>116</v>
      </c>
      <c r="H33" s="8" t="s">
        <v>115</v>
      </c>
      <c r="I33" s="27">
        <v>45612</v>
      </c>
      <c r="J33" s="8" t="s">
        <v>117</v>
      </c>
      <c r="K33" s="8" t="s">
        <v>121</v>
      </c>
      <c r="L33" s="8" t="s">
        <v>119</v>
      </c>
      <c r="M33" s="16" t="str">
        <f ca="1">IFERROR(__xludf.DUMMYFUNCTION("JOIN("""",VLOOKUP(D33,'для артикула'!$A$2:$B$7,2,0),VLOOKUP(G33,'для артикула'!$A$13:$B$14,2,0),VLOOKUP(E33,'для артикула'!$A$9:$B$11,2,0),VLOOKUP(F33,'для артикула'!$A$17:$B$19,2,0),VLOOKUP(J33,'для артикула'!$A$22:$B$23,2,0),VLOOKUP(H33,'для артикула'!$"&amp;"A$26:$B$30,2,0))"),"002-2013E50Q13-OK")</f>
        <v>002-2013E50Q13-OK</v>
      </c>
      <c r="N33" s="8" t="str">
        <f>IF(ISNUMBER(MATCH(C33, 'Реестр договоров'!$D$2:$D$900, 0)), "Продано", "В наличии")</f>
        <v>Продано</v>
      </c>
    </row>
    <row r="34" spans="1:14">
      <c r="A34" s="26">
        <v>45609.450002962963</v>
      </c>
      <c r="B34" s="26"/>
      <c r="C34" s="8" t="s">
        <v>146</v>
      </c>
      <c r="D34" s="8" t="s">
        <v>114</v>
      </c>
      <c r="E34" s="8">
        <v>50</v>
      </c>
      <c r="F34" s="8" t="s">
        <v>116</v>
      </c>
      <c r="G34" s="8" t="s">
        <v>116</v>
      </c>
      <c r="H34" s="8" t="s">
        <v>115</v>
      </c>
      <c r="I34" s="27">
        <v>45609</v>
      </c>
      <c r="J34" s="8" t="s">
        <v>117</v>
      </c>
      <c r="K34" s="8" t="s">
        <v>121</v>
      </c>
      <c r="L34" s="8" t="s">
        <v>119</v>
      </c>
      <c r="M34" s="16" t="str">
        <f ca="1">IFERROR(__xludf.DUMMYFUNCTION("JOIN("""",VLOOKUP(D34,'для артикула'!$A$2:$B$7,2,0),VLOOKUP(G34,'для артикула'!$A$13:$B$14,2,0),VLOOKUP(E34,'для артикула'!$A$9:$B$11,2,0),VLOOKUP(F34,'для артикула'!$A$17:$B$19,2,0),VLOOKUP(J34,'для артикула'!$A$22:$B$23,2,0),VLOOKUP(H34,'для артикула'!$"&amp;"A$26:$B$30,2,0))"),"002-2013E50Q13-OK")</f>
        <v>002-2013E50Q13-OK</v>
      </c>
      <c r="N34" s="8" t="str">
        <f>IF(ISNUMBER(MATCH(C34, 'Реестр договоров'!$D$2:$D$900, 0)), "Продано", "В наличии")</f>
        <v>Продано</v>
      </c>
    </row>
    <row r="35" spans="1:14">
      <c r="A35" s="26">
        <v>45606.531983773151</v>
      </c>
      <c r="B35" s="26"/>
      <c r="C35" s="8" t="s">
        <v>147</v>
      </c>
      <c r="D35" s="8" t="s">
        <v>114</v>
      </c>
      <c r="E35" s="8">
        <v>30</v>
      </c>
      <c r="F35" s="8" t="s">
        <v>116</v>
      </c>
      <c r="G35" s="8" t="s">
        <v>116</v>
      </c>
      <c r="H35" s="8" t="s">
        <v>115</v>
      </c>
      <c r="I35" s="27">
        <v>45606</v>
      </c>
      <c r="J35" s="8" t="s">
        <v>117</v>
      </c>
      <c r="K35" s="8" t="s">
        <v>121</v>
      </c>
      <c r="L35" s="8" t="s">
        <v>119</v>
      </c>
      <c r="M35" s="16" t="str">
        <f ca="1">IFERROR(__xludf.DUMMYFUNCTION("JOIN("""",VLOOKUP(D35,'для артикула'!$A$2:$B$7,2,0),VLOOKUP(G35,'для артикула'!$A$13:$B$14,2,0),VLOOKUP(E35,'для артикула'!$A$9:$B$11,2,0),VLOOKUP(F35,'для артикула'!$A$17:$B$19,2,0),VLOOKUP(J35,'для артикула'!$A$22:$B$23,2,0),VLOOKUP(H35,'для артикула'!$"&amp;"A$26:$B$30,2,0))"),"002-2013E30Q13-OK")</f>
        <v>002-2013E30Q13-OK</v>
      </c>
      <c r="N35" s="8" t="str">
        <f>IF(ISNUMBER(MATCH(C35, 'Реестр договоров'!$D$2:$D$900, 0)), "Продано", "В наличии")</f>
        <v>Продано</v>
      </c>
    </row>
    <row r="36" spans="1:14">
      <c r="A36" s="26">
        <v>45576.640428090279</v>
      </c>
      <c r="B36" s="26"/>
      <c r="C36" s="8" t="s">
        <v>148</v>
      </c>
      <c r="D36" s="8" t="s">
        <v>114</v>
      </c>
      <c r="E36" s="8">
        <v>50</v>
      </c>
      <c r="F36" s="8" t="s">
        <v>116</v>
      </c>
      <c r="G36" s="8" t="s">
        <v>116</v>
      </c>
      <c r="H36" s="8" t="s">
        <v>115</v>
      </c>
      <c r="I36" s="27">
        <v>45576</v>
      </c>
      <c r="J36" s="8" t="s">
        <v>117</v>
      </c>
      <c r="K36" s="8" t="s">
        <v>121</v>
      </c>
      <c r="L36" s="8" t="s">
        <v>119</v>
      </c>
      <c r="M36" s="16" t="str">
        <f ca="1">IFERROR(__xludf.DUMMYFUNCTION("JOIN("""",VLOOKUP(D36,'для артикула'!$A$2:$B$7,2,0),VLOOKUP(G36,'для артикула'!$A$13:$B$14,2,0),VLOOKUP(E36,'для артикула'!$A$9:$B$11,2,0),VLOOKUP(F36,'для артикула'!$A$17:$B$19,2,0),VLOOKUP(J36,'для артикула'!$A$22:$B$23,2,0),VLOOKUP(H36,'для артикула'!$"&amp;"A$26:$B$30,2,0))"),"002-2013E50Q13-OK")</f>
        <v>002-2013E50Q13-OK</v>
      </c>
      <c r="N36" s="8" t="str">
        <f>IF(ISNUMBER(MATCH(C36, 'Реестр договоров'!$D$2:$D$900, 0)), "Продано", "В наличии")</f>
        <v>Продано</v>
      </c>
    </row>
    <row r="37" spans="1:14">
      <c r="A37" s="26">
        <v>45600.584004363423</v>
      </c>
      <c r="B37" s="26"/>
      <c r="C37" s="8" t="s">
        <v>149</v>
      </c>
      <c r="D37" s="8" t="s">
        <v>114</v>
      </c>
      <c r="E37" s="8">
        <v>50</v>
      </c>
      <c r="F37" s="8" t="s">
        <v>116</v>
      </c>
      <c r="G37" s="8" t="s">
        <v>116</v>
      </c>
      <c r="H37" s="8" t="s">
        <v>115</v>
      </c>
      <c r="I37" s="27">
        <v>45600</v>
      </c>
      <c r="J37" s="8" t="s">
        <v>117</v>
      </c>
      <c r="K37" s="8" t="s">
        <v>121</v>
      </c>
      <c r="L37" s="8" t="s">
        <v>119</v>
      </c>
      <c r="M37" s="16" t="str">
        <f ca="1">IFERROR(__xludf.DUMMYFUNCTION("JOIN("""",VLOOKUP(D37,'для артикула'!$A$2:$B$7,2,0),VLOOKUP(G37,'для артикула'!$A$13:$B$14,2,0),VLOOKUP(E37,'для артикула'!$A$9:$B$11,2,0),VLOOKUP(F37,'для артикула'!$A$17:$B$19,2,0),VLOOKUP(J37,'для артикула'!$A$22:$B$23,2,0),VLOOKUP(H37,'для артикула'!$"&amp;"A$26:$B$30,2,0))"),"002-2013E50Q13-OK")</f>
        <v>002-2013E50Q13-OK</v>
      </c>
      <c r="N37" s="8" t="str">
        <f>IF(ISNUMBER(MATCH(C37, 'Реестр договоров'!$D$2:$D$900, 0)), "Продано", "В наличии")</f>
        <v>Продано</v>
      </c>
    </row>
    <row r="38" spans="1:14">
      <c r="A38" s="26">
        <v>45601.759818055551</v>
      </c>
      <c r="B38" s="26"/>
      <c r="C38" s="8" t="s">
        <v>150</v>
      </c>
      <c r="D38" s="8" t="s">
        <v>114</v>
      </c>
      <c r="E38" s="8">
        <v>50</v>
      </c>
      <c r="F38" s="8" t="s">
        <v>116</v>
      </c>
      <c r="G38" s="8" t="s">
        <v>116</v>
      </c>
      <c r="H38" s="8" t="s">
        <v>115</v>
      </c>
      <c r="I38" s="27">
        <v>45600</v>
      </c>
      <c r="J38" s="8" t="s">
        <v>117</v>
      </c>
      <c r="K38" s="8" t="s">
        <v>121</v>
      </c>
      <c r="L38" s="8" t="s">
        <v>119</v>
      </c>
      <c r="M38" s="16" t="str">
        <f ca="1">IFERROR(__xludf.DUMMYFUNCTION("JOIN("""",VLOOKUP(D38,'для артикула'!$A$2:$B$7,2,0),VLOOKUP(G38,'для артикула'!$A$13:$B$14,2,0),VLOOKUP(E38,'для артикула'!$A$9:$B$11,2,0),VLOOKUP(F38,'для артикула'!$A$17:$B$19,2,0),VLOOKUP(J38,'для артикула'!$A$22:$B$23,2,0),VLOOKUP(H38,'для артикула'!$"&amp;"A$26:$B$30,2,0))"),"002-2013E50Q13-OK")</f>
        <v>002-2013E50Q13-OK</v>
      </c>
      <c r="N38" s="8" t="str">
        <f>IF(ISNUMBER(MATCH(C38, 'Реестр договоров'!$D$2:$D$900, 0)), "Продано", "В наличии")</f>
        <v>Продано</v>
      </c>
    </row>
    <row r="39" spans="1:14">
      <c r="A39" s="26">
        <v>45606.499315810186</v>
      </c>
      <c r="B39" s="26"/>
      <c r="C39" s="8" t="s">
        <v>151</v>
      </c>
      <c r="D39" s="8" t="s">
        <v>114</v>
      </c>
      <c r="E39" s="8">
        <v>30</v>
      </c>
      <c r="F39" s="8" t="s">
        <v>116</v>
      </c>
      <c r="G39" s="8" t="s">
        <v>116</v>
      </c>
      <c r="H39" s="8" t="s">
        <v>115</v>
      </c>
      <c r="I39" s="27">
        <v>45606</v>
      </c>
      <c r="J39" s="8" t="s">
        <v>117</v>
      </c>
      <c r="K39" s="8" t="s">
        <v>121</v>
      </c>
      <c r="L39" s="8" t="s">
        <v>119</v>
      </c>
      <c r="M39" s="16" t="str">
        <f ca="1">IFERROR(__xludf.DUMMYFUNCTION("JOIN("""",VLOOKUP(D39,'для артикула'!$A$2:$B$7,2,0),VLOOKUP(G39,'для артикула'!$A$13:$B$14,2,0),VLOOKUP(E39,'для артикула'!$A$9:$B$11,2,0),VLOOKUP(F39,'для артикула'!$A$17:$B$19,2,0),VLOOKUP(J39,'для артикула'!$A$22:$B$23,2,0),VLOOKUP(H39,'для артикула'!$"&amp;"A$26:$B$30,2,0))"),"002-2013E30Q13-OK")</f>
        <v>002-2013E30Q13-OK</v>
      </c>
      <c r="N39" s="8" t="str">
        <f>IF(ISNUMBER(MATCH(C39, 'Реестр договоров'!$D$2:$D$900, 0)), "Продано", "В наличии")</f>
        <v>Продано</v>
      </c>
    </row>
    <row r="40" spans="1:14">
      <c r="A40" s="26">
        <v>45583.708597592587</v>
      </c>
      <c r="B40" s="26"/>
      <c r="C40" s="8" t="s">
        <v>11</v>
      </c>
      <c r="D40" s="8" t="s">
        <v>114</v>
      </c>
      <c r="E40" s="8">
        <v>50</v>
      </c>
      <c r="F40" s="8" t="s">
        <v>116</v>
      </c>
      <c r="G40" s="8" t="s">
        <v>116</v>
      </c>
      <c r="H40" s="8" t="s">
        <v>115</v>
      </c>
      <c r="I40" s="27">
        <v>45583</v>
      </c>
      <c r="J40" s="8" t="s">
        <v>117</v>
      </c>
      <c r="K40" s="8" t="s">
        <v>121</v>
      </c>
      <c r="L40" s="8" t="s">
        <v>119</v>
      </c>
      <c r="M40" s="16" t="str">
        <f ca="1">IFERROR(__xludf.DUMMYFUNCTION("JOIN("""",VLOOKUP(D40,'для артикула'!$A$2:$B$7,2,0),VLOOKUP(G40,'для артикула'!$A$13:$B$14,2,0),VLOOKUP(E40,'для артикула'!$A$9:$B$11,2,0),VLOOKUP(F40,'для артикула'!$A$17:$B$19,2,0),VLOOKUP(J40,'для артикула'!$A$22:$B$23,2,0),VLOOKUP(H40,'для артикула'!$"&amp;"A$26:$B$30,2,0))"),"002-2013E50Q13-OK")</f>
        <v>002-2013E50Q13-OK</v>
      </c>
      <c r="N40" s="8" t="str">
        <f>IF(ISNUMBER(MATCH(C40, 'Реестр договоров'!$D$2:$D$900, 0)), "Продано", "В наличии")</f>
        <v>Продано</v>
      </c>
    </row>
    <row r="41" spans="1:14">
      <c r="A41" s="26">
        <v>45605.556345104167</v>
      </c>
      <c r="B41" s="26"/>
      <c r="C41" s="8" t="s">
        <v>152</v>
      </c>
      <c r="D41" s="8" t="s">
        <v>114</v>
      </c>
      <c r="E41" s="8">
        <v>50</v>
      </c>
      <c r="F41" s="8" t="s">
        <v>116</v>
      </c>
      <c r="G41" s="8" t="s">
        <v>116</v>
      </c>
      <c r="H41" s="8" t="s">
        <v>115</v>
      </c>
      <c r="I41" s="27">
        <v>45605</v>
      </c>
      <c r="J41" s="8" t="s">
        <v>117</v>
      </c>
      <c r="K41" s="8" t="s">
        <v>121</v>
      </c>
      <c r="L41" s="8" t="s">
        <v>119</v>
      </c>
      <c r="M41" s="16" t="str">
        <f ca="1">IFERROR(__xludf.DUMMYFUNCTION("JOIN("""",VLOOKUP(D41,'для артикула'!$A$2:$B$7,2,0),VLOOKUP(G41,'для артикула'!$A$13:$B$14,2,0),VLOOKUP(E41,'для артикула'!$A$9:$B$11,2,0),VLOOKUP(F41,'для артикула'!$A$17:$B$19,2,0),VLOOKUP(J41,'для артикула'!$A$22:$B$23,2,0),VLOOKUP(H41,'для артикула'!$"&amp;"A$26:$B$30,2,0))"),"002-2013E50Q13-OK")</f>
        <v>002-2013E50Q13-OK</v>
      </c>
      <c r="N41" s="8" t="str">
        <f>IF(ISNUMBER(MATCH(C41, 'Реестр договоров'!$D$2:$D$900, 0)), "Продано", "В наличии")</f>
        <v>Продано</v>
      </c>
    </row>
    <row r="42" spans="1:14">
      <c r="A42" s="26">
        <v>45582.526847430556</v>
      </c>
      <c r="B42" s="26"/>
      <c r="C42" s="8" t="s">
        <v>153</v>
      </c>
      <c r="D42" s="8" t="s">
        <v>114</v>
      </c>
      <c r="E42" s="8">
        <v>50</v>
      </c>
      <c r="F42" s="8" t="s">
        <v>116</v>
      </c>
      <c r="G42" s="8" t="s">
        <v>116</v>
      </c>
      <c r="H42" s="8" t="s">
        <v>115</v>
      </c>
      <c r="I42" s="27">
        <v>45582</v>
      </c>
      <c r="J42" s="8" t="s">
        <v>117</v>
      </c>
      <c r="K42" s="8" t="s">
        <v>118</v>
      </c>
      <c r="L42" s="8" t="s">
        <v>119</v>
      </c>
      <c r="M42" s="16" t="str">
        <f ca="1">IFERROR(__xludf.DUMMYFUNCTION("JOIN("""",VLOOKUP(D42,'для артикула'!$A$2:$B$7,2,0),VLOOKUP(G42,'для артикула'!$A$13:$B$14,2,0),VLOOKUP(E42,'для артикула'!$A$9:$B$11,2,0),VLOOKUP(F42,'для артикула'!$A$17:$B$19,2,0),VLOOKUP(J42,'для артикула'!$A$22:$B$23,2,0),VLOOKUP(H42,'для артикула'!$"&amp;"A$26:$B$30,2,0))"),"002-2013E50Q13-OK")</f>
        <v>002-2013E50Q13-OK</v>
      </c>
      <c r="N42" s="8" t="str">
        <f>IF(ISNUMBER(MATCH(C42, 'Реестр договоров'!$D$2:$D$900, 0)), "Продано", "В наличии")</f>
        <v>Продано</v>
      </c>
    </row>
    <row r="43" spans="1:14">
      <c r="A43" s="26">
        <v>45560.526388229162</v>
      </c>
      <c r="B43" s="26"/>
      <c r="C43" s="8" t="s">
        <v>154</v>
      </c>
      <c r="D43" s="8" t="s">
        <v>114</v>
      </c>
      <c r="E43" s="8">
        <v>50</v>
      </c>
      <c r="F43" s="8" t="s">
        <v>116</v>
      </c>
      <c r="G43" s="8" t="s">
        <v>116</v>
      </c>
      <c r="H43" s="8" t="s">
        <v>115</v>
      </c>
      <c r="I43" s="27">
        <v>45560</v>
      </c>
      <c r="J43" s="8" t="s">
        <v>117</v>
      </c>
      <c r="K43" s="8" t="s">
        <v>118</v>
      </c>
      <c r="L43" s="8" t="s">
        <v>119</v>
      </c>
      <c r="M43" s="16" t="str">
        <f ca="1">IFERROR(__xludf.DUMMYFUNCTION("JOIN("""",VLOOKUP(D43,'для артикула'!$A$2:$B$7,2,0),VLOOKUP(G43,'для артикула'!$A$13:$B$14,2,0),VLOOKUP(E43,'для артикула'!$A$9:$B$11,2,0),VLOOKUP(F43,'для артикула'!$A$17:$B$19,2,0),VLOOKUP(J43,'для артикула'!$A$22:$B$23,2,0),VLOOKUP(H43,'для артикула'!$"&amp;"A$26:$B$30,2,0))"),"002-2013E50Q13-OK")</f>
        <v>002-2013E50Q13-OK</v>
      </c>
      <c r="N43" s="8" t="str">
        <f>IF(ISNUMBER(MATCH(C43, 'Реестр договоров'!$D$2:$D$900, 0)), "Продано", "В наличии")</f>
        <v>Продано</v>
      </c>
    </row>
    <row r="44" spans="1:14">
      <c r="A44" s="26">
        <v>45559.753093055551</v>
      </c>
      <c r="B44" s="26"/>
      <c r="C44" s="8" t="s">
        <v>155</v>
      </c>
      <c r="D44" s="8" t="s">
        <v>114</v>
      </c>
      <c r="E44" s="8">
        <v>50</v>
      </c>
      <c r="F44" s="8" t="s">
        <v>116</v>
      </c>
      <c r="G44" s="8" t="s">
        <v>116</v>
      </c>
      <c r="H44" s="8" t="s">
        <v>115</v>
      </c>
      <c r="I44" s="27">
        <v>45559</v>
      </c>
      <c r="J44" s="8" t="s">
        <v>117</v>
      </c>
      <c r="K44" s="8" t="s">
        <v>124</v>
      </c>
      <c r="L44" s="8" t="s">
        <v>119</v>
      </c>
      <c r="M44" s="16" t="str">
        <f ca="1">IFERROR(__xludf.DUMMYFUNCTION("JOIN("""",VLOOKUP(D44,'для артикула'!$A$2:$B$7,2,0),VLOOKUP(G44,'для артикула'!$A$13:$B$14,2,0),VLOOKUP(E44,'для артикула'!$A$9:$B$11,2,0),VLOOKUP(F44,'для артикула'!$A$17:$B$19,2,0),VLOOKUP(J44,'для артикула'!$A$22:$B$23,2,0),VLOOKUP(H44,'для артикула'!$"&amp;"A$26:$B$30,2,0))"),"002-2013E50Q13-OK")</f>
        <v>002-2013E50Q13-OK</v>
      </c>
      <c r="N44" s="8" t="str">
        <f>IF(ISNUMBER(MATCH(C44, 'Реестр договоров'!$D$2:$D$900, 0)), "Продано", "В наличии")</f>
        <v>Продано</v>
      </c>
    </row>
    <row r="45" spans="1:14">
      <c r="A45" s="26">
        <v>45558.753550439811</v>
      </c>
      <c r="B45" s="26"/>
      <c r="C45" s="8" t="s">
        <v>156</v>
      </c>
      <c r="D45" s="8" t="s">
        <v>114</v>
      </c>
      <c r="E45" s="8">
        <v>50</v>
      </c>
      <c r="F45" s="8" t="s">
        <v>116</v>
      </c>
      <c r="G45" s="8" t="s">
        <v>116</v>
      </c>
      <c r="H45" s="8">
        <v>60</v>
      </c>
      <c r="I45" s="27">
        <v>45558</v>
      </c>
      <c r="J45" s="8" t="s">
        <v>117</v>
      </c>
      <c r="K45" s="8" t="s">
        <v>124</v>
      </c>
      <c r="L45" s="8" t="s">
        <v>119</v>
      </c>
      <c r="M45" s="16" t="str">
        <f ca="1">IFERROR(__xludf.DUMMYFUNCTION("JOIN("""",VLOOKUP(D45,'для артикула'!$A$2:$B$7,2,0),VLOOKUP(G45,'для артикула'!$A$13:$B$14,2,0),VLOOKUP(E45,'для артикула'!$A$9:$B$11,2,0),VLOOKUP(F45,'для артикула'!$A$17:$B$19,2,0),VLOOKUP(J45,'для артикула'!$A$22:$B$23,2,0),VLOOKUP(H45,'для артикула'!$"&amp;"A$26:$B$30,2,0))"),"002-2013E50Q13-OK60")</f>
        <v>002-2013E50Q13-OK60</v>
      </c>
      <c r="N45" s="8" t="str">
        <f>IF(ISNUMBER(MATCH(C45, 'Реестр договоров'!$D$2:$D$900, 0)), "Продано", "В наличии")</f>
        <v>Продано</v>
      </c>
    </row>
    <row r="46" spans="1:14">
      <c r="A46" s="26">
        <v>45558.677539826385</v>
      </c>
      <c r="B46" s="26"/>
      <c r="C46" s="8" t="s">
        <v>157</v>
      </c>
      <c r="D46" s="8" t="s">
        <v>114</v>
      </c>
      <c r="E46" s="8">
        <v>50</v>
      </c>
      <c r="F46" s="8" t="s">
        <v>116</v>
      </c>
      <c r="G46" s="8" t="s">
        <v>116</v>
      </c>
      <c r="H46" s="8">
        <v>60</v>
      </c>
      <c r="I46" s="27">
        <v>45558</v>
      </c>
      <c r="J46" s="8" t="s">
        <v>117</v>
      </c>
      <c r="K46" s="8" t="s">
        <v>124</v>
      </c>
      <c r="L46" s="8" t="s">
        <v>119</v>
      </c>
      <c r="M46" s="16" t="str">
        <f ca="1">IFERROR(__xludf.DUMMYFUNCTION("JOIN("""",VLOOKUP(D46,'для артикула'!$A$2:$B$7,2,0),VLOOKUP(G46,'для артикула'!$A$13:$B$14,2,0),VLOOKUP(E46,'для артикула'!$A$9:$B$11,2,0),VLOOKUP(F46,'для артикула'!$A$17:$B$19,2,0),VLOOKUP(J46,'для артикула'!$A$22:$B$23,2,0),VLOOKUP(H46,'для артикула'!$"&amp;"A$26:$B$30,2,0))"),"002-2013E50Q13-OK60")</f>
        <v>002-2013E50Q13-OK60</v>
      </c>
      <c r="N46" s="8" t="str">
        <f>IF(ISNUMBER(MATCH(C46, 'Реестр договоров'!$D$2:$D$900, 0)), "Продано", "В наличии")</f>
        <v>Продано</v>
      </c>
    </row>
    <row r="47" spans="1:14">
      <c r="A47" s="26">
        <v>45557.705186168983</v>
      </c>
      <c r="B47" s="26"/>
      <c r="C47" s="8" t="s">
        <v>158</v>
      </c>
      <c r="D47" s="8" t="s">
        <v>114</v>
      </c>
      <c r="E47" s="8">
        <v>50</v>
      </c>
      <c r="F47" s="8" t="s">
        <v>116</v>
      </c>
      <c r="G47" s="8" t="s">
        <v>116</v>
      </c>
      <c r="H47" s="8">
        <v>30</v>
      </c>
      <c r="I47" s="27">
        <v>45557</v>
      </c>
      <c r="J47" s="8" t="s">
        <v>117</v>
      </c>
      <c r="K47" s="8" t="s">
        <v>124</v>
      </c>
      <c r="L47" s="8" t="s">
        <v>119</v>
      </c>
      <c r="M47" s="16" t="str">
        <f ca="1">IFERROR(__xludf.DUMMYFUNCTION("JOIN("""",VLOOKUP(D47,'для артикула'!$A$2:$B$7,2,0),VLOOKUP(G47,'для артикула'!$A$13:$B$14,2,0),VLOOKUP(E47,'для артикула'!$A$9:$B$11,2,0),VLOOKUP(F47,'для артикула'!$A$17:$B$19,2,0),VLOOKUP(J47,'для артикула'!$A$22:$B$23,2,0),VLOOKUP(H47,'для артикула'!$"&amp;"A$26:$B$30,2,0))"),"002-2013E50Q13-OK30")</f>
        <v>002-2013E50Q13-OK30</v>
      </c>
      <c r="N47" s="8" t="str">
        <f>IF(ISNUMBER(MATCH(C47, 'Реестр договоров'!$D$2:$D$900, 0)), "Продано", "В наличии")</f>
        <v>Продано</v>
      </c>
    </row>
    <row r="48" spans="1:14">
      <c r="A48" s="26">
        <v>45601.502555937499</v>
      </c>
      <c r="B48" s="26"/>
      <c r="C48" s="8" t="s">
        <v>32</v>
      </c>
      <c r="D48" s="8" t="s">
        <v>114</v>
      </c>
      <c r="E48" s="8">
        <v>30</v>
      </c>
      <c r="F48" s="8" t="s">
        <v>116</v>
      </c>
      <c r="G48" s="8" t="s">
        <v>116</v>
      </c>
      <c r="H48" s="8" t="s">
        <v>115</v>
      </c>
      <c r="I48" s="27">
        <v>45600</v>
      </c>
      <c r="J48" s="8" t="s">
        <v>117</v>
      </c>
      <c r="K48" s="8" t="s">
        <v>124</v>
      </c>
      <c r="L48" s="8" t="s">
        <v>119</v>
      </c>
      <c r="M48" s="16" t="str">
        <f ca="1">IFERROR(__xludf.DUMMYFUNCTION("JOIN("""",VLOOKUP(D48,'для артикула'!$A$2:$B$7,2,0),VLOOKUP(G48,'для артикула'!$A$13:$B$14,2,0),VLOOKUP(E48,'для артикула'!$A$9:$B$11,2,0),VLOOKUP(F48,'для артикула'!$A$17:$B$19,2,0),VLOOKUP(J48,'для артикула'!$A$22:$B$23,2,0),VLOOKUP(H48,'для артикула'!$"&amp;"A$26:$B$30,2,0))"),"002-2013E30Q13-OK")</f>
        <v>002-2013E30Q13-OK</v>
      </c>
      <c r="N48" s="8" t="str">
        <f>IF(ISNUMBER(MATCH(C48, 'Реестр договоров'!$D$2:$D$900, 0)), "Продано", "В наличии")</f>
        <v>Продано</v>
      </c>
    </row>
    <row r="49" spans="1:14">
      <c r="A49" s="26">
        <v>45552.771908888884</v>
      </c>
      <c r="B49" s="26"/>
      <c r="C49" s="8" t="s">
        <v>159</v>
      </c>
      <c r="D49" s="8" t="s">
        <v>114</v>
      </c>
      <c r="E49" s="8">
        <v>30</v>
      </c>
      <c r="F49" s="8" t="s">
        <v>116</v>
      </c>
      <c r="G49" s="8" t="s">
        <v>116</v>
      </c>
      <c r="H49" s="8" t="s">
        <v>115</v>
      </c>
      <c r="I49" s="27">
        <v>45552</v>
      </c>
      <c r="J49" s="8" t="s">
        <v>117</v>
      </c>
      <c r="K49" s="8" t="s">
        <v>118</v>
      </c>
      <c r="L49" s="8" t="s">
        <v>119</v>
      </c>
      <c r="M49" s="16" t="str">
        <f ca="1">IFERROR(__xludf.DUMMYFUNCTION("JOIN("""",VLOOKUP(D49,'для артикула'!$A$2:$B$7,2,0),VLOOKUP(G49,'для артикула'!$A$13:$B$14,2,0),VLOOKUP(E49,'для артикула'!$A$9:$B$11,2,0),VLOOKUP(F49,'для артикула'!$A$17:$B$19,2,0),VLOOKUP(J49,'для артикула'!$A$22:$B$23,2,0),VLOOKUP(H49,'для артикула'!$"&amp;"A$26:$B$30,2,0))"),"002-2013E30Q13-OK")</f>
        <v>002-2013E30Q13-OK</v>
      </c>
      <c r="N49" s="8" t="str">
        <f>IF(ISNUMBER(MATCH(C49, 'Реестр договоров'!$D$2:$D$900, 0)), "Продано", "В наличии")</f>
        <v>Продано</v>
      </c>
    </row>
    <row r="50" spans="1:14">
      <c r="A50" s="26">
        <v>45552.554786909721</v>
      </c>
      <c r="B50" s="26"/>
      <c r="C50" s="8" t="s">
        <v>160</v>
      </c>
      <c r="D50" s="8" t="s">
        <v>114</v>
      </c>
      <c r="E50" s="8">
        <v>30</v>
      </c>
      <c r="F50" s="8" t="s">
        <v>116</v>
      </c>
      <c r="G50" s="8" t="s">
        <v>116</v>
      </c>
      <c r="H50" s="8">
        <v>30</v>
      </c>
      <c r="I50" s="27">
        <v>45552</v>
      </c>
      <c r="J50" s="8" t="s">
        <v>117</v>
      </c>
      <c r="K50" s="8" t="s">
        <v>118</v>
      </c>
      <c r="L50" s="8" t="s">
        <v>119</v>
      </c>
      <c r="M50" s="16" t="str">
        <f ca="1">IFERROR(__xludf.DUMMYFUNCTION("JOIN("""",VLOOKUP(D50,'для артикула'!$A$2:$B$7,2,0),VLOOKUP(G50,'для артикула'!$A$13:$B$14,2,0),VLOOKUP(E50,'для артикула'!$A$9:$B$11,2,0),VLOOKUP(F50,'для артикула'!$A$17:$B$19,2,0),VLOOKUP(J50,'для артикула'!$A$22:$B$23,2,0),VLOOKUP(H50,'для артикула'!$"&amp;"A$26:$B$30,2,0))"),"002-2013E30Q13-OK30")</f>
        <v>002-2013E30Q13-OK30</v>
      </c>
      <c r="N50" s="8" t="str">
        <f>IF(ISNUMBER(MATCH(C50, 'Реестр договоров'!$D$2:$D$900, 0)), "Продано", "В наличии")</f>
        <v>Продано</v>
      </c>
    </row>
    <row r="51" spans="1:14">
      <c r="A51" s="26">
        <v>45552.472241226853</v>
      </c>
      <c r="B51" s="26"/>
      <c r="C51" s="8" t="s">
        <v>161</v>
      </c>
      <c r="D51" s="8" t="s">
        <v>114</v>
      </c>
      <c r="E51" s="8">
        <v>50</v>
      </c>
      <c r="F51" s="8" t="s">
        <v>116</v>
      </c>
      <c r="G51" s="8" t="s">
        <v>116</v>
      </c>
      <c r="H51" s="8" t="s">
        <v>115</v>
      </c>
      <c r="I51" s="27">
        <v>45552</v>
      </c>
      <c r="J51" s="8" t="s">
        <v>117</v>
      </c>
      <c r="K51" s="8" t="s">
        <v>124</v>
      </c>
      <c r="L51" s="8" t="s">
        <v>119</v>
      </c>
      <c r="M51" s="16" t="str">
        <f ca="1">IFERROR(__xludf.DUMMYFUNCTION("JOIN("""",VLOOKUP(D51,'для артикула'!$A$2:$B$7,2,0),VLOOKUP(G51,'для артикула'!$A$13:$B$14,2,0),VLOOKUP(E51,'для артикула'!$A$9:$B$11,2,0),VLOOKUP(F51,'для артикула'!$A$17:$B$19,2,0),VLOOKUP(J51,'для артикула'!$A$22:$B$23,2,0),VLOOKUP(H51,'для артикула'!$"&amp;"A$26:$B$30,2,0))"),"002-2013E50Q13-OK")</f>
        <v>002-2013E50Q13-OK</v>
      </c>
      <c r="N51" s="8" t="str">
        <f>IF(ISNUMBER(MATCH(C51, 'Реестр договоров'!$D$2:$D$900, 0)), "Продано", "В наличии")</f>
        <v>Продано</v>
      </c>
    </row>
    <row r="52" spans="1:14">
      <c r="A52" s="26">
        <v>45544.465728530093</v>
      </c>
      <c r="B52" s="26"/>
      <c r="C52" s="8" t="s">
        <v>162</v>
      </c>
      <c r="D52" s="8" t="s">
        <v>114</v>
      </c>
      <c r="E52" s="8">
        <v>30</v>
      </c>
      <c r="F52" s="8" t="s">
        <v>116</v>
      </c>
      <c r="G52" s="8" t="s">
        <v>116</v>
      </c>
      <c r="H52" s="8" t="s">
        <v>115</v>
      </c>
      <c r="I52" s="27">
        <v>45544</v>
      </c>
      <c r="J52" s="8" t="s">
        <v>117</v>
      </c>
      <c r="K52" s="8" t="s">
        <v>124</v>
      </c>
      <c r="L52" s="8" t="s">
        <v>119</v>
      </c>
      <c r="M52" s="16" t="str">
        <f ca="1">IFERROR(__xludf.DUMMYFUNCTION("JOIN("""",VLOOKUP(D52,'для артикула'!$A$2:$B$7,2,0),VLOOKUP(G52,'для артикула'!$A$13:$B$14,2,0),VLOOKUP(E52,'для артикула'!$A$9:$B$11,2,0),VLOOKUP(F52,'для артикула'!$A$17:$B$19,2,0),VLOOKUP(J52,'для артикула'!$A$22:$B$23,2,0),VLOOKUP(H52,'для артикула'!$"&amp;"A$26:$B$30,2,0))"),"002-2013E30Q13-OK")</f>
        <v>002-2013E30Q13-OK</v>
      </c>
      <c r="N52" s="8" t="str">
        <f>IF(ISNUMBER(MATCH(C52, 'Реестр договоров'!$D$2:$D$900, 0)), "Продано", "В наличии")</f>
        <v>Продано</v>
      </c>
    </row>
    <row r="53" spans="1:14">
      <c r="A53" s="26">
        <v>45544.466872025463</v>
      </c>
      <c r="B53" s="26"/>
      <c r="C53" s="8" t="s">
        <v>163</v>
      </c>
      <c r="D53" s="8" t="s">
        <v>114</v>
      </c>
      <c r="E53" s="8">
        <v>50</v>
      </c>
      <c r="F53" s="8" t="s">
        <v>116</v>
      </c>
      <c r="G53" s="8" t="s">
        <v>116</v>
      </c>
      <c r="H53" s="8">
        <v>30</v>
      </c>
      <c r="I53" s="27">
        <v>45544</v>
      </c>
      <c r="J53" s="8" t="s">
        <v>117</v>
      </c>
      <c r="K53" s="8" t="s">
        <v>124</v>
      </c>
      <c r="L53" s="8" t="s">
        <v>119</v>
      </c>
      <c r="M53" s="16" t="str">
        <f ca="1">IFERROR(__xludf.DUMMYFUNCTION("JOIN("""",VLOOKUP(D53,'для артикула'!$A$2:$B$7,2,0),VLOOKUP(G53,'для артикула'!$A$13:$B$14,2,0),VLOOKUP(E53,'для артикула'!$A$9:$B$11,2,0),VLOOKUP(F53,'для артикула'!$A$17:$B$19,2,0),VLOOKUP(J53,'для артикула'!$A$22:$B$23,2,0),VLOOKUP(H53,'для артикула'!$"&amp;"A$26:$B$30,2,0))"),"002-2013E50Q13-OK30")</f>
        <v>002-2013E50Q13-OK30</v>
      </c>
      <c r="N53" s="8" t="str">
        <f>IF(ISNUMBER(MATCH(C53, 'Реестр договоров'!$D$2:$D$900, 0)), "Продано", "В наличии")</f>
        <v>Продано</v>
      </c>
    </row>
    <row r="54" spans="1:14">
      <c r="A54" s="26">
        <v>45540.44561978009</v>
      </c>
      <c r="B54" s="26"/>
      <c r="C54" s="8" t="s">
        <v>164</v>
      </c>
      <c r="D54" s="8" t="s">
        <v>114</v>
      </c>
      <c r="E54" s="8">
        <v>50</v>
      </c>
      <c r="F54" s="8" t="s">
        <v>116</v>
      </c>
      <c r="G54" s="8" t="s">
        <v>116</v>
      </c>
      <c r="H54" s="8" t="s">
        <v>115</v>
      </c>
      <c r="I54" s="27">
        <v>45540</v>
      </c>
      <c r="J54" s="8" t="s">
        <v>117</v>
      </c>
      <c r="K54" s="8" t="s">
        <v>118</v>
      </c>
      <c r="L54" s="8" t="s">
        <v>119</v>
      </c>
      <c r="M54" s="16" t="str">
        <f ca="1">IFERROR(__xludf.DUMMYFUNCTION("JOIN("""",VLOOKUP(D54,'для артикула'!$A$2:$B$7,2,0),VLOOKUP(G54,'для артикула'!$A$13:$B$14,2,0),VLOOKUP(E54,'для артикула'!$A$9:$B$11,2,0),VLOOKUP(F54,'для артикула'!$A$17:$B$19,2,0),VLOOKUP(J54,'для артикула'!$A$22:$B$23,2,0),VLOOKUP(H54,'для артикула'!$"&amp;"A$26:$B$30,2,0))"),"002-2013E50Q13-OK")</f>
        <v>002-2013E50Q13-OK</v>
      </c>
      <c r="N54" s="8" t="str">
        <f>IF(ISNUMBER(MATCH(C54, 'Реестр договоров'!$D$2:$D$900, 0)), "Продано", "В наличии")</f>
        <v>Продано</v>
      </c>
    </row>
    <row r="55" spans="1:14">
      <c r="A55" s="26">
        <v>45541.493650185184</v>
      </c>
      <c r="B55" s="26"/>
      <c r="C55" s="8" t="s">
        <v>165</v>
      </c>
      <c r="D55" s="8" t="s">
        <v>114</v>
      </c>
      <c r="E55" s="8">
        <v>50</v>
      </c>
      <c r="F55" s="8" t="s">
        <v>116</v>
      </c>
      <c r="G55" s="8" t="s">
        <v>116</v>
      </c>
      <c r="H55" s="8" t="s">
        <v>115</v>
      </c>
      <c r="I55" s="27">
        <v>45541</v>
      </c>
      <c r="J55" s="8" t="s">
        <v>117</v>
      </c>
      <c r="K55" s="8" t="s">
        <v>124</v>
      </c>
      <c r="L55" s="8" t="s">
        <v>119</v>
      </c>
      <c r="M55" s="16" t="str">
        <f ca="1">IFERROR(__xludf.DUMMYFUNCTION("JOIN("""",VLOOKUP(D55,'для артикула'!$A$2:$B$7,2,0),VLOOKUP(G55,'для артикула'!$A$13:$B$14,2,0),VLOOKUP(E55,'для артикула'!$A$9:$B$11,2,0),VLOOKUP(F55,'для артикула'!$A$17:$B$19,2,0),VLOOKUP(J55,'для артикула'!$A$22:$B$23,2,0),VLOOKUP(H55,'для артикула'!$"&amp;"A$26:$B$30,2,0))"),"002-2013E50Q13-OK")</f>
        <v>002-2013E50Q13-OK</v>
      </c>
      <c r="N55" s="8" t="str">
        <f>IF(ISNUMBER(MATCH(C55, 'Реестр договоров'!$D$2:$D$900, 0)), "Продано", "В наличии")</f>
        <v>Продано</v>
      </c>
    </row>
    <row r="56" spans="1:14">
      <c r="A56" s="26">
        <v>45544.461689189819</v>
      </c>
      <c r="B56" s="26"/>
      <c r="C56" s="8" t="s">
        <v>166</v>
      </c>
      <c r="D56" s="8" t="s">
        <v>114</v>
      </c>
      <c r="E56" s="8">
        <v>50</v>
      </c>
      <c r="F56" s="8" t="s">
        <v>116</v>
      </c>
      <c r="G56" s="8" t="s">
        <v>116</v>
      </c>
      <c r="H56" s="8" t="s">
        <v>115</v>
      </c>
      <c r="I56" s="27">
        <v>45544</v>
      </c>
      <c r="J56" s="8" t="s">
        <v>117</v>
      </c>
      <c r="K56" s="8" t="s">
        <v>124</v>
      </c>
      <c r="L56" s="8" t="s">
        <v>119</v>
      </c>
      <c r="M56" s="16" t="str">
        <f ca="1">IFERROR(__xludf.DUMMYFUNCTION("JOIN("""",VLOOKUP(D56,'для артикула'!$A$2:$B$7,2,0),VLOOKUP(G56,'для артикула'!$A$13:$B$14,2,0),VLOOKUP(E56,'для артикула'!$A$9:$B$11,2,0),VLOOKUP(F56,'для артикула'!$A$17:$B$19,2,0),VLOOKUP(J56,'для артикула'!$A$22:$B$23,2,0),VLOOKUP(H56,'для артикула'!$"&amp;"A$26:$B$30,2,0))"),"002-2013E50Q13-OK")</f>
        <v>002-2013E50Q13-OK</v>
      </c>
      <c r="N56" s="8" t="str">
        <f>IF(ISNUMBER(MATCH(C56, 'Реестр договоров'!$D$2:$D$900, 0)), "Продано", "В наличии")</f>
        <v>Продано</v>
      </c>
    </row>
    <row r="57" spans="1:14">
      <c r="A57" s="26">
        <v>45537.451903043984</v>
      </c>
      <c r="B57" s="26"/>
      <c r="C57" s="8" t="s">
        <v>167</v>
      </c>
      <c r="D57" s="8" t="s">
        <v>114</v>
      </c>
      <c r="E57" s="8">
        <v>50</v>
      </c>
      <c r="F57" s="8" t="s">
        <v>116</v>
      </c>
      <c r="G57" s="8" t="s">
        <v>116</v>
      </c>
      <c r="H57" s="8" t="s">
        <v>115</v>
      </c>
      <c r="I57" s="27">
        <v>45537</v>
      </c>
      <c r="J57" s="8" t="s">
        <v>117</v>
      </c>
      <c r="K57" s="8" t="s">
        <v>118</v>
      </c>
      <c r="L57" s="8" t="s">
        <v>119</v>
      </c>
      <c r="M57" s="16" t="str">
        <f ca="1">IFERROR(__xludf.DUMMYFUNCTION("JOIN("""",VLOOKUP(D57,'для артикула'!$A$2:$B$7,2,0),VLOOKUP(G57,'для артикула'!$A$13:$B$14,2,0),VLOOKUP(E57,'для артикула'!$A$9:$B$11,2,0),VLOOKUP(F57,'для артикула'!$A$17:$B$19,2,0),VLOOKUP(J57,'для артикула'!$A$22:$B$23,2,0),VLOOKUP(H57,'для артикула'!$"&amp;"A$26:$B$30,2,0))"),"002-2013E50Q13-OK")</f>
        <v>002-2013E50Q13-OK</v>
      </c>
      <c r="N57" s="8" t="str">
        <f>IF(ISNUMBER(MATCH(C57, 'Реестр договоров'!$D$2:$D$900, 0)), "Продано", "В наличии")</f>
        <v>Продано</v>
      </c>
    </row>
    <row r="58" spans="1:14">
      <c r="A58" s="26">
        <v>45533.491469618057</v>
      </c>
      <c r="B58" s="26"/>
      <c r="C58" s="8" t="s">
        <v>168</v>
      </c>
      <c r="D58" s="8" t="s">
        <v>114</v>
      </c>
      <c r="E58" s="8">
        <v>50</v>
      </c>
      <c r="F58" s="8" t="s">
        <v>116</v>
      </c>
      <c r="G58" s="8" t="s">
        <v>116</v>
      </c>
      <c r="H58" s="8">
        <v>30</v>
      </c>
      <c r="I58" s="27">
        <v>45533</v>
      </c>
      <c r="J58" s="8" t="s">
        <v>117</v>
      </c>
      <c r="K58" s="8" t="s">
        <v>124</v>
      </c>
      <c r="L58" s="8" t="s">
        <v>119</v>
      </c>
      <c r="M58" s="16" t="str">
        <f ca="1">IFERROR(__xludf.DUMMYFUNCTION("JOIN("""",VLOOKUP(D58,'для артикула'!$A$2:$B$7,2,0),VLOOKUP(G58,'для артикула'!$A$13:$B$14,2,0),VLOOKUP(E58,'для артикула'!$A$9:$B$11,2,0),VLOOKUP(F58,'для артикула'!$A$17:$B$19,2,0),VLOOKUP(J58,'для артикула'!$A$22:$B$23,2,0),VLOOKUP(H58,'для артикула'!$"&amp;"A$26:$B$30,2,0))"),"002-2013E50Q13-OK30")</f>
        <v>002-2013E50Q13-OK30</v>
      </c>
      <c r="N58" s="8" t="str">
        <f>IF(ISNUMBER(MATCH(C58, 'Реестр договоров'!$D$2:$D$900, 0)), "Продано", "В наличии")</f>
        <v>Продано</v>
      </c>
    </row>
    <row r="59" spans="1:14">
      <c r="A59" s="26">
        <v>45533.490805590278</v>
      </c>
      <c r="B59" s="26"/>
      <c r="C59" s="8" t="s">
        <v>169</v>
      </c>
      <c r="D59" s="8" t="s">
        <v>114</v>
      </c>
      <c r="E59" s="8">
        <v>50</v>
      </c>
      <c r="F59" s="8" t="s">
        <v>116</v>
      </c>
      <c r="G59" s="8" t="s">
        <v>116</v>
      </c>
      <c r="H59" s="8">
        <v>30</v>
      </c>
      <c r="I59" s="27">
        <v>45533</v>
      </c>
      <c r="J59" s="8" t="s">
        <v>117</v>
      </c>
      <c r="K59" s="8" t="s">
        <v>124</v>
      </c>
      <c r="L59" s="8" t="s">
        <v>119</v>
      </c>
      <c r="M59" s="16" t="str">
        <f ca="1">IFERROR(__xludf.DUMMYFUNCTION("JOIN("""",VLOOKUP(D59,'для артикула'!$A$2:$B$7,2,0),VLOOKUP(G59,'для артикула'!$A$13:$B$14,2,0),VLOOKUP(E59,'для артикула'!$A$9:$B$11,2,0),VLOOKUP(F59,'для артикула'!$A$17:$B$19,2,0),VLOOKUP(J59,'для артикула'!$A$22:$B$23,2,0),VLOOKUP(H59,'для артикула'!$"&amp;"A$26:$B$30,2,0))"),"002-2013E50Q13-OK30")</f>
        <v>002-2013E50Q13-OK30</v>
      </c>
      <c r="N59" s="8" t="str">
        <f>IF(ISNUMBER(MATCH(C59, 'Реестр договоров'!$D$2:$D$900, 0)), "Продано", "В наличии")</f>
        <v>Продано</v>
      </c>
    </row>
    <row r="60" spans="1:14">
      <c r="A60" s="26">
        <v>45530.739110567127</v>
      </c>
      <c r="B60" s="26"/>
      <c r="C60" s="8" t="s">
        <v>170</v>
      </c>
      <c r="D60" s="8" t="s">
        <v>114</v>
      </c>
      <c r="E60" s="8">
        <v>50</v>
      </c>
      <c r="F60" s="8" t="s">
        <v>116</v>
      </c>
      <c r="G60" s="8" t="s">
        <v>116</v>
      </c>
      <c r="H60" s="8">
        <v>30</v>
      </c>
      <c r="I60" s="27">
        <v>45530</v>
      </c>
      <c r="J60" s="8" t="s">
        <v>117</v>
      </c>
      <c r="K60" s="8" t="s">
        <v>124</v>
      </c>
      <c r="L60" s="8" t="s">
        <v>119</v>
      </c>
      <c r="M60" s="16" t="str">
        <f ca="1">IFERROR(__xludf.DUMMYFUNCTION("JOIN("""",VLOOKUP(D60,'для артикула'!$A$2:$B$7,2,0),VLOOKUP(G60,'для артикула'!$A$13:$B$14,2,0),VLOOKUP(E60,'для артикула'!$A$9:$B$11,2,0),VLOOKUP(F60,'для артикула'!$A$17:$B$19,2,0),VLOOKUP(J60,'для артикула'!$A$22:$B$23,2,0),VLOOKUP(H60,'для артикула'!$"&amp;"A$26:$B$30,2,0))"),"002-2013E50Q13-OK30")</f>
        <v>002-2013E50Q13-OK30</v>
      </c>
      <c r="N60" s="8" t="str">
        <f>IF(ISNUMBER(MATCH(C60, 'Реестр договоров'!$D$2:$D$900, 0)), "Продано", "В наличии")</f>
        <v>Продано</v>
      </c>
    </row>
    <row r="61" spans="1:14">
      <c r="A61" s="26">
        <v>45531.457590590275</v>
      </c>
      <c r="B61" s="26"/>
      <c r="C61" s="8" t="s">
        <v>171</v>
      </c>
      <c r="D61" s="8" t="s">
        <v>114</v>
      </c>
      <c r="E61" s="8">
        <v>30</v>
      </c>
      <c r="F61" s="8" t="s">
        <v>116</v>
      </c>
      <c r="G61" s="8" t="s">
        <v>116</v>
      </c>
      <c r="H61" s="8" t="s">
        <v>115</v>
      </c>
      <c r="I61" s="27">
        <v>45531</v>
      </c>
      <c r="J61" s="8" t="s">
        <v>117</v>
      </c>
      <c r="K61" s="8" t="s">
        <v>124</v>
      </c>
      <c r="L61" s="8" t="s">
        <v>119</v>
      </c>
      <c r="M61" s="16" t="str">
        <f ca="1">IFERROR(__xludf.DUMMYFUNCTION("JOIN("""",VLOOKUP(D61,'для артикула'!$A$2:$B$7,2,0),VLOOKUP(G61,'для артикула'!$A$13:$B$14,2,0),VLOOKUP(E61,'для артикула'!$A$9:$B$11,2,0),VLOOKUP(F61,'для артикула'!$A$17:$B$19,2,0),VLOOKUP(J61,'для артикула'!$A$22:$B$23,2,0),VLOOKUP(H61,'для артикула'!$"&amp;"A$26:$B$30,2,0))"),"002-2013E30Q13-OK")</f>
        <v>002-2013E30Q13-OK</v>
      </c>
      <c r="N61" s="8" t="str">
        <f>IF(ISNUMBER(MATCH(C61, 'Реестр договоров'!$D$2:$D$900, 0)), "Продано", "В наличии")</f>
        <v>Продано</v>
      </c>
    </row>
    <row r="62" spans="1:14">
      <c r="A62" s="26">
        <v>45524.684721655096</v>
      </c>
      <c r="B62" s="26"/>
      <c r="C62" s="8" t="s">
        <v>172</v>
      </c>
      <c r="D62" s="8" t="s">
        <v>114</v>
      </c>
      <c r="E62" s="8">
        <v>50</v>
      </c>
      <c r="F62" s="8" t="s">
        <v>116</v>
      </c>
      <c r="G62" s="8" t="s">
        <v>116</v>
      </c>
      <c r="H62" s="8" t="s">
        <v>115</v>
      </c>
      <c r="I62" s="27">
        <v>45524</v>
      </c>
      <c r="J62" s="8" t="s">
        <v>117</v>
      </c>
      <c r="K62" s="8" t="s">
        <v>118</v>
      </c>
      <c r="L62" s="8" t="s">
        <v>119</v>
      </c>
      <c r="M62" s="16" t="str">
        <f ca="1">IFERROR(__xludf.DUMMYFUNCTION("JOIN("""",VLOOKUP(D62,'для артикула'!$A$2:$B$7,2,0),VLOOKUP(G62,'для артикула'!$A$13:$B$14,2,0),VLOOKUP(E62,'для артикула'!$A$9:$B$11,2,0),VLOOKUP(F62,'для артикула'!$A$17:$B$19,2,0),VLOOKUP(J62,'для артикула'!$A$22:$B$23,2,0),VLOOKUP(H62,'для артикула'!$"&amp;"A$26:$B$30,2,0))"),"002-2013E50Q13-OK")</f>
        <v>002-2013E50Q13-OK</v>
      </c>
      <c r="N62" s="8" t="str">
        <f>IF(ISNUMBER(MATCH(C62, 'Реестр договоров'!$D$2:$D$900, 0)), "Продано", "В наличии")</f>
        <v>Продано</v>
      </c>
    </row>
    <row r="63" spans="1:14">
      <c r="A63" s="26">
        <v>45525.506853206018</v>
      </c>
      <c r="B63" s="26"/>
      <c r="C63" s="8" t="s">
        <v>173</v>
      </c>
      <c r="D63" s="8" t="s">
        <v>114</v>
      </c>
      <c r="E63" s="8">
        <v>30</v>
      </c>
      <c r="F63" s="8" t="s">
        <v>116</v>
      </c>
      <c r="G63" s="8" t="s">
        <v>116</v>
      </c>
      <c r="H63" s="8" t="s">
        <v>115</v>
      </c>
      <c r="I63" s="27">
        <v>45525</v>
      </c>
      <c r="J63" s="8" t="s">
        <v>117</v>
      </c>
      <c r="K63" s="8" t="s">
        <v>124</v>
      </c>
      <c r="L63" s="8" t="s">
        <v>119</v>
      </c>
      <c r="M63" s="16" t="str">
        <f ca="1">IFERROR(__xludf.DUMMYFUNCTION("JOIN("""",VLOOKUP(D63,'для артикула'!$A$2:$B$7,2,0),VLOOKUP(G63,'для артикула'!$A$13:$B$14,2,0),VLOOKUP(E63,'для артикула'!$A$9:$B$11,2,0),VLOOKUP(F63,'для артикула'!$A$17:$B$19,2,0),VLOOKUP(J63,'для артикула'!$A$22:$B$23,2,0),VLOOKUP(H63,'для артикула'!$"&amp;"A$26:$B$30,2,0))"),"002-2013E30Q13-OK")</f>
        <v>002-2013E30Q13-OK</v>
      </c>
      <c r="N63" s="8" t="str">
        <f>IF(ISNUMBER(MATCH(C63, 'Реестр договоров'!$D$2:$D$900, 0)), "Продано", "В наличии")</f>
        <v>Продано</v>
      </c>
    </row>
    <row r="64" spans="1:14">
      <c r="A64" s="26">
        <v>45523.531638981483</v>
      </c>
      <c r="B64" s="26"/>
      <c r="C64" s="8" t="s">
        <v>174</v>
      </c>
      <c r="D64" s="8" t="s">
        <v>114</v>
      </c>
      <c r="E64" s="8">
        <v>30</v>
      </c>
      <c r="F64" s="8" t="s">
        <v>116</v>
      </c>
      <c r="G64" s="8" t="s">
        <v>116</v>
      </c>
      <c r="H64" s="8" t="s">
        <v>115</v>
      </c>
      <c r="I64" s="27">
        <v>45523</v>
      </c>
      <c r="J64" s="8" t="s">
        <v>117</v>
      </c>
      <c r="K64" s="8" t="s">
        <v>124</v>
      </c>
      <c r="L64" s="8" t="s">
        <v>119</v>
      </c>
      <c r="M64" s="16" t="str">
        <f ca="1">IFERROR(__xludf.DUMMYFUNCTION("JOIN("""",VLOOKUP(D64,'для артикула'!$A$2:$B$7,2,0),VLOOKUP(G64,'для артикула'!$A$13:$B$14,2,0),VLOOKUP(E64,'для артикула'!$A$9:$B$11,2,0),VLOOKUP(F64,'для артикула'!$A$17:$B$19,2,0),VLOOKUP(J64,'для артикула'!$A$22:$B$23,2,0),VLOOKUP(H64,'для артикула'!$"&amp;"A$26:$B$30,2,0))"),"002-2013E30Q13-OK")</f>
        <v>002-2013E30Q13-OK</v>
      </c>
      <c r="N64" s="8" t="str">
        <f>IF(ISNUMBER(MATCH(C64, 'Реестр договоров'!$D$2:$D$900, 0)), "Продано", "В наличии")</f>
        <v>Продано</v>
      </c>
    </row>
    <row r="65" spans="1:14">
      <c r="A65" s="26">
        <v>45520.499331018524</v>
      </c>
      <c r="B65" s="26"/>
      <c r="C65" s="8" t="s">
        <v>175</v>
      </c>
      <c r="D65" s="8" t="s">
        <v>114</v>
      </c>
      <c r="E65" s="8">
        <v>30</v>
      </c>
      <c r="F65" s="8" t="s">
        <v>116</v>
      </c>
      <c r="G65" s="8" t="s">
        <v>116</v>
      </c>
      <c r="H65" s="8" t="s">
        <v>115</v>
      </c>
      <c r="I65" s="27">
        <v>45520</v>
      </c>
      <c r="J65" s="8" t="s">
        <v>117</v>
      </c>
      <c r="K65" s="8" t="s">
        <v>124</v>
      </c>
      <c r="L65" s="8" t="s">
        <v>119</v>
      </c>
      <c r="M65" s="16" t="str">
        <f ca="1">IFERROR(__xludf.DUMMYFUNCTION("JOIN("""",VLOOKUP(D65,'для артикула'!$A$2:$B$7,2,0),VLOOKUP(G65,'для артикула'!$A$13:$B$14,2,0),VLOOKUP(E65,'для артикула'!$A$9:$B$11,2,0),VLOOKUP(F65,'для артикула'!$A$17:$B$19,2,0),VLOOKUP(J65,'для артикула'!$A$22:$B$23,2,0),VLOOKUP(H65,'для артикула'!$"&amp;"A$26:$B$30,2,0))"),"002-2013E30Q13-OK")</f>
        <v>002-2013E30Q13-OK</v>
      </c>
      <c r="N65" s="8" t="str">
        <f>IF(ISNUMBER(MATCH(C65, 'Реестр договоров'!$D$2:$D$900, 0)), "Продано", "В наличии")</f>
        <v>Продано</v>
      </c>
    </row>
    <row r="66" spans="1:14">
      <c r="A66" s="26">
        <v>45541.605572962959</v>
      </c>
      <c r="B66" s="26"/>
      <c r="C66" s="8" t="s">
        <v>176</v>
      </c>
      <c r="D66" s="8" t="s">
        <v>114</v>
      </c>
      <c r="E66" s="8">
        <v>50</v>
      </c>
      <c r="F66" s="8" t="s">
        <v>116</v>
      </c>
      <c r="G66" s="8" t="s">
        <v>116</v>
      </c>
      <c r="H66" s="8" t="s">
        <v>115</v>
      </c>
      <c r="I66" s="27">
        <v>45541</v>
      </c>
      <c r="J66" s="8" t="s">
        <v>117</v>
      </c>
      <c r="K66" s="8" t="s">
        <v>121</v>
      </c>
      <c r="L66" s="8" t="s">
        <v>119</v>
      </c>
      <c r="M66" s="16" t="str">
        <f ca="1">IFERROR(__xludf.DUMMYFUNCTION("JOIN("""",VLOOKUP(D66,'для артикула'!$A$2:$B$7,2,0),VLOOKUP(G66,'для артикула'!$A$13:$B$14,2,0),VLOOKUP(E66,'для артикула'!$A$9:$B$11,2,0),VLOOKUP(F66,'для артикула'!$A$17:$B$19,2,0),VLOOKUP(J66,'для артикула'!$A$22:$B$23,2,0),VLOOKUP(H66,'для артикула'!$"&amp;"A$26:$B$30,2,0))"),"002-2013E50Q13-OK")</f>
        <v>002-2013E50Q13-OK</v>
      </c>
      <c r="N66" s="8" t="str">
        <f>IF(ISNUMBER(MATCH(C66, 'Реестр договоров'!$D$2:$D$900, 0)), "Продано", "В наличии")</f>
        <v>Продано</v>
      </c>
    </row>
    <row r="67" spans="1:14">
      <c r="A67" s="26">
        <v>45546.49676480324</v>
      </c>
      <c r="B67" s="26"/>
      <c r="C67" s="8" t="s">
        <v>177</v>
      </c>
      <c r="D67" s="8" t="s">
        <v>114</v>
      </c>
      <c r="E67" s="8">
        <v>50</v>
      </c>
      <c r="F67" s="8" t="s">
        <v>116</v>
      </c>
      <c r="G67" s="8" t="s">
        <v>116</v>
      </c>
      <c r="H67" s="8" t="s">
        <v>115</v>
      </c>
      <c r="I67" s="27">
        <v>45546</v>
      </c>
      <c r="J67" s="8" t="s">
        <v>117</v>
      </c>
      <c r="K67" s="8" t="s">
        <v>121</v>
      </c>
      <c r="L67" s="8" t="s">
        <v>119</v>
      </c>
      <c r="M67" s="16" t="str">
        <f ca="1">IFERROR(__xludf.DUMMYFUNCTION("JOIN("""",VLOOKUP(D67,'для артикула'!$A$2:$B$7,2,0),VLOOKUP(G67,'для артикула'!$A$13:$B$14,2,0),VLOOKUP(E67,'для артикула'!$A$9:$B$11,2,0),VLOOKUP(F67,'для артикула'!$A$17:$B$19,2,0),VLOOKUP(J67,'для артикула'!$A$22:$B$23,2,0),VLOOKUP(H67,'для артикула'!$"&amp;"A$26:$B$30,2,0))"),"002-2013E50Q13-OK")</f>
        <v>002-2013E50Q13-OK</v>
      </c>
      <c r="N67" s="8" t="str">
        <f>IF(ISNUMBER(MATCH(C67, 'Реестр договоров'!$D$2:$D$900, 0)), "Продано", "В наличии")</f>
        <v>Продано</v>
      </c>
    </row>
    <row r="68" spans="1:14">
      <c r="A68" s="26">
        <v>45520.494091273147</v>
      </c>
      <c r="B68" s="26"/>
      <c r="C68" s="8" t="s">
        <v>178</v>
      </c>
      <c r="D68" s="8" t="s">
        <v>114</v>
      </c>
      <c r="E68" s="8">
        <v>30</v>
      </c>
      <c r="F68" s="8" t="s">
        <v>116</v>
      </c>
      <c r="G68" s="8" t="s">
        <v>116</v>
      </c>
      <c r="H68" s="8" t="s">
        <v>115</v>
      </c>
      <c r="I68" s="27">
        <v>45516</v>
      </c>
      <c r="J68" s="8" t="s">
        <v>117</v>
      </c>
      <c r="K68" s="8" t="s">
        <v>118</v>
      </c>
      <c r="L68" s="8" t="s">
        <v>119</v>
      </c>
      <c r="M68" s="16" t="str">
        <f ca="1">IFERROR(__xludf.DUMMYFUNCTION("JOIN("""",VLOOKUP(D68,'для артикула'!$A$2:$B$7,2,0),VLOOKUP(G68,'для артикула'!$A$13:$B$14,2,0),VLOOKUP(E68,'для артикула'!$A$9:$B$11,2,0),VLOOKUP(F68,'для артикула'!$A$17:$B$19,2,0),VLOOKUP(J68,'для артикула'!$A$22:$B$23,2,0),VLOOKUP(H68,'для артикула'!$"&amp;"A$26:$B$30,2,0))"),"002-2013E30Q13-OK")</f>
        <v>002-2013E30Q13-OK</v>
      </c>
      <c r="N68" s="8" t="str">
        <f>IF(ISNUMBER(MATCH(C68, 'Реестр договоров'!$D$2:$D$900, 0)), "Продано", "В наличии")</f>
        <v>Продано</v>
      </c>
    </row>
    <row r="69" spans="1:14">
      <c r="A69" s="26">
        <v>45523.555290150463</v>
      </c>
      <c r="B69" s="26"/>
      <c r="C69" s="8" t="s">
        <v>179</v>
      </c>
      <c r="D69" s="8" t="s">
        <v>114</v>
      </c>
      <c r="E69" s="8">
        <v>50</v>
      </c>
      <c r="F69" s="8" t="s">
        <v>116</v>
      </c>
      <c r="G69" s="8" t="s">
        <v>116</v>
      </c>
      <c r="H69" s="8">
        <v>30</v>
      </c>
      <c r="I69" s="27">
        <v>45523</v>
      </c>
      <c r="J69" s="8" t="s">
        <v>117</v>
      </c>
      <c r="K69" s="8" t="s">
        <v>118</v>
      </c>
      <c r="L69" s="8" t="s">
        <v>119</v>
      </c>
      <c r="M69" s="16" t="str">
        <f ca="1">IFERROR(__xludf.DUMMYFUNCTION("JOIN("""",VLOOKUP(D69,'для артикула'!$A$2:$B$7,2,0),VLOOKUP(G69,'для артикула'!$A$13:$B$14,2,0),VLOOKUP(E69,'для артикула'!$A$9:$B$11,2,0),VLOOKUP(F69,'для артикула'!$A$17:$B$19,2,0),VLOOKUP(J69,'для артикула'!$A$22:$B$23,2,0),VLOOKUP(H69,'для артикула'!$"&amp;"A$26:$B$30,2,0))"),"002-2013E50Q13-OK30")</f>
        <v>002-2013E50Q13-OK30</v>
      </c>
      <c r="N69" s="8" t="str">
        <f>IF(ISNUMBER(MATCH(C69, 'Реестр договоров'!$D$2:$D$900, 0)), "Продано", "В наличии")</f>
        <v>Продано</v>
      </c>
    </row>
    <row r="70" spans="1:14">
      <c r="A70" s="26">
        <v>45502.525334907405</v>
      </c>
      <c r="B70" s="26"/>
      <c r="C70" s="8" t="s">
        <v>180</v>
      </c>
      <c r="D70" s="8" t="s">
        <v>114</v>
      </c>
      <c r="E70" s="8">
        <v>30</v>
      </c>
      <c r="F70" s="8" t="s">
        <v>116</v>
      </c>
      <c r="G70" s="8" t="s">
        <v>116</v>
      </c>
      <c r="H70" s="8" t="s">
        <v>115</v>
      </c>
      <c r="I70" s="27">
        <v>45499</v>
      </c>
      <c r="J70" s="8" t="s">
        <v>115</v>
      </c>
      <c r="K70" s="8" t="s">
        <v>121</v>
      </c>
      <c r="L70" s="8" t="s">
        <v>119</v>
      </c>
      <c r="M70" s="16" t="str">
        <f ca="1">IFERROR(__xludf.DUMMYFUNCTION("JOIN("""",VLOOKUP(D70,'для артикула'!$A$2:$B$7,2,0),VLOOKUP(G70,'для артикула'!$A$13:$B$14,2,0),VLOOKUP(E70,'для артикула'!$A$9:$B$11,2,0),VLOOKUP(F70,'для артикула'!$A$17:$B$19,2,0),VLOOKUP(J70,'для артикула'!$A$22:$B$23,2,0),VLOOKUP(H70,'для артикула'!$"&amp;"A$26:$B$30,2,0))"),"002-2013E30Q13")</f>
        <v>002-2013E30Q13</v>
      </c>
      <c r="N70" s="8" t="str">
        <f>IF(ISNUMBER(MATCH(C70, 'Реестр договоров'!$D$2:$D$900, 0)), "Продано", "В наличии")</f>
        <v>Продано</v>
      </c>
    </row>
    <row r="71" spans="1:14">
      <c r="A71" s="26">
        <v>45502.525006840282</v>
      </c>
      <c r="B71" s="26"/>
      <c r="C71" s="8" t="s">
        <v>181</v>
      </c>
      <c r="D71" s="8" t="s">
        <v>114</v>
      </c>
      <c r="E71" s="8">
        <v>50</v>
      </c>
      <c r="F71" s="8" t="s">
        <v>116</v>
      </c>
      <c r="G71" s="8" t="s">
        <v>116</v>
      </c>
      <c r="H71" s="8" t="s">
        <v>115</v>
      </c>
      <c r="I71" s="27">
        <v>45499</v>
      </c>
      <c r="J71" s="8" t="s">
        <v>117</v>
      </c>
      <c r="K71" s="8" t="s">
        <v>121</v>
      </c>
      <c r="L71" s="8" t="s">
        <v>119</v>
      </c>
      <c r="M71" s="16" t="str">
        <f ca="1">IFERROR(__xludf.DUMMYFUNCTION("JOIN("""",VLOOKUP(D71,'для артикула'!$A$2:$B$7,2,0),VLOOKUP(G71,'для артикула'!$A$13:$B$14,2,0),VLOOKUP(E71,'для артикула'!$A$9:$B$11,2,0),VLOOKUP(F71,'для артикула'!$A$17:$B$19,2,0),VLOOKUP(J71,'для артикула'!$A$22:$B$23,2,0),VLOOKUP(H71,'для артикула'!$"&amp;"A$26:$B$30,2,0))"),"002-2013E50Q13-OK")</f>
        <v>002-2013E50Q13-OK</v>
      </c>
      <c r="N71" s="8" t="str">
        <f>IF(ISNUMBER(MATCH(C71, 'Реестр договоров'!$D$2:$D$900, 0)), "Продано", "В наличии")</f>
        <v>Продано</v>
      </c>
    </row>
    <row r="72" spans="1:14">
      <c r="A72" s="26">
        <v>45502.524621550925</v>
      </c>
      <c r="B72" s="26"/>
      <c r="C72" s="8" t="s">
        <v>182</v>
      </c>
      <c r="D72" s="8" t="s">
        <v>114</v>
      </c>
      <c r="E72" s="8">
        <v>50</v>
      </c>
      <c r="F72" s="8" t="s">
        <v>116</v>
      </c>
      <c r="G72" s="8" t="s">
        <v>116</v>
      </c>
      <c r="H72" s="8" t="s">
        <v>115</v>
      </c>
      <c r="I72" s="27">
        <v>45499</v>
      </c>
      <c r="J72" s="8" t="s">
        <v>117</v>
      </c>
      <c r="K72" s="8" t="s">
        <v>121</v>
      </c>
      <c r="L72" s="8" t="s">
        <v>119</v>
      </c>
      <c r="M72" s="16" t="str">
        <f ca="1">IFERROR(__xludf.DUMMYFUNCTION("JOIN("""",VLOOKUP(D72,'для артикула'!$A$2:$B$7,2,0),VLOOKUP(G72,'для артикула'!$A$13:$B$14,2,0),VLOOKUP(E72,'для артикула'!$A$9:$B$11,2,0),VLOOKUP(F72,'для артикула'!$A$17:$B$19,2,0),VLOOKUP(J72,'для артикула'!$A$22:$B$23,2,0),VLOOKUP(H72,'для артикула'!$"&amp;"A$26:$B$30,2,0))"),"002-2013E50Q13-OK")</f>
        <v>002-2013E50Q13-OK</v>
      </c>
      <c r="N72" s="8" t="str">
        <f>IF(ISNUMBER(MATCH(C72, 'Реестр договоров'!$D$2:$D$900, 0)), "Продано", "В наличии")</f>
        <v>Продано</v>
      </c>
    </row>
    <row r="73" spans="1:14">
      <c r="A73" s="26">
        <v>45502.524200810185</v>
      </c>
      <c r="B73" s="26"/>
      <c r="C73" s="8" t="s">
        <v>183</v>
      </c>
      <c r="D73" s="8" t="s">
        <v>114</v>
      </c>
      <c r="E73" s="8">
        <v>50</v>
      </c>
      <c r="F73" s="8" t="s">
        <v>116</v>
      </c>
      <c r="G73" s="8" t="s">
        <v>116</v>
      </c>
      <c r="H73" s="8" t="s">
        <v>115</v>
      </c>
      <c r="I73" s="27">
        <v>45499</v>
      </c>
      <c r="J73" s="8" t="s">
        <v>117</v>
      </c>
      <c r="K73" s="8" t="s">
        <v>121</v>
      </c>
      <c r="L73" s="8" t="s">
        <v>119</v>
      </c>
      <c r="M73" s="16" t="str">
        <f ca="1">IFERROR(__xludf.DUMMYFUNCTION("JOIN("""",VLOOKUP(D73,'для артикула'!$A$2:$B$7,2,0),VLOOKUP(G73,'для артикула'!$A$13:$B$14,2,0),VLOOKUP(E73,'для артикула'!$A$9:$B$11,2,0),VLOOKUP(F73,'для артикула'!$A$17:$B$19,2,0),VLOOKUP(J73,'для артикула'!$A$22:$B$23,2,0),VLOOKUP(H73,'для артикула'!$"&amp;"A$26:$B$30,2,0))"),"002-2013E50Q13-OK")</f>
        <v>002-2013E50Q13-OK</v>
      </c>
      <c r="N73" s="8" t="str">
        <f>IF(ISNUMBER(MATCH(C73, 'Реестр договоров'!$D$2:$D$900, 0)), "Продано", "В наличии")</f>
        <v>Продано</v>
      </c>
    </row>
    <row r="74" spans="1:14">
      <c r="A74" s="26">
        <v>45502.523701493061</v>
      </c>
      <c r="B74" s="26"/>
      <c r="C74" s="8" t="s">
        <v>184</v>
      </c>
      <c r="D74" s="8" t="s">
        <v>114</v>
      </c>
      <c r="E74" s="8">
        <v>50</v>
      </c>
      <c r="F74" s="8" t="s">
        <v>116</v>
      </c>
      <c r="G74" s="8" t="s">
        <v>116</v>
      </c>
      <c r="H74" s="8" t="s">
        <v>115</v>
      </c>
      <c r="I74" s="27">
        <v>45499</v>
      </c>
      <c r="J74" s="8" t="s">
        <v>117</v>
      </c>
      <c r="K74" s="8" t="s">
        <v>121</v>
      </c>
      <c r="L74" s="8" t="s">
        <v>119</v>
      </c>
      <c r="M74" s="16" t="str">
        <f ca="1">IFERROR(__xludf.DUMMYFUNCTION("JOIN("""",VLOOKUP(D74,'для артикула'!$A$2:$B$7,2,0),VLOOKUP(G74,'для артикула'!$A$13:$B$14,2,0),VLOOKUP(E74,'для артикула'!$A$9:$B$11,2,0),VLOOKUP(F74,'для артикула'!$A$17:$B$19,2,0),VLOOKUP(J74,'для артикула'!$A$22:$B$23,2,0),VLOOKUP(H74,'для артикула'!$"&amp;"A$26:$B$30,2,0))"),"002-2013E50Q13-OK")</f>
        <v>002-2013E50Q13-OK</v>
      </c>
      <c r="N74" s="8" t="str">
        <f>IF(ISNUMBER(MATCH(C74, 'Реестр договоров'!$D$2:$D$900, 0)), "Продано", "В наличии")</f>
        <v>Продано</v>
      </c>
    </row>
    <row r="75" spans="1:14">
      <c r="A75" s="26">
        <v>45502.523315092592</v>
      </c>
      <c r="B75" s="26"/>
      <c r="C75" s="8" t="s">
        <v>185</v>
      </c>
      <c r="D75" s="8" t="s">
        <v>114</v>
      </c>
      <c r="E75" s="8">
        <v>30</v>
      </c>
      <c r="F75" s="8" t="s">
        <v>116</v>
      </c>
      <c r="G75" s="8" t="s">
        <v>116</v>
      </c>
      <c r="H75" s="8" t="s">
        <v>115</v>
      </c>
      <c r="I75" s="27">
        <v>45499</v>
      </c>
      <c r="J75" s="8" t="s">
        <v>117</v>
      </c>
      <c r="K75" s="8" t="s">
        <v>121</v>
      </c>
      <c r="L75" s="8" t="s">
        <v>119</v>
      </c>
      <c r="M75" s="16" t="str">
        <f ca="1">IFERROR(__xludf.DUMMYFUNCTION("JOIN("""",VLOOKUP(D75,'для артикула'!$A$2:$B$7,2,0),VLOOKUP(G75,'для артикула'!$A$13:$B$14,2,0),VLOOKUP(E75,'для артикула'!$A$9:$B$11,2,0),VLOOKUP(F75,'для артикула'!$A$17:$B$19,2,0),VLOOKUP(J75,'для артикула'!$A$22:$B$23,2,0),VLOOKUP(H75,'для артикула'!$"&amp;"A$26:$B$30,2,0))"),"002-2013E30Q13-OK")</f>
        <v>002-2013E30Q13-OK</v>
      </c>
      <c r="N75" s="8" t="str">
        <f>IF(ISNUMBER(MATCH(C75, 'Реестр договоров'!$D$2:$D$900, 0)), "Продано", "В наличии")</f>
        <v>Продано</v>
      </c>
    </row>
    <row r="76" spans="1:14">
      <c r="A76" s="26">
        <v>45502.522942210649</v>
      </c>
      <c r="B76" s="26"/>
      <c r="C76" s="8" t="s">
        <v>186</v>
      </c>
      <c r="D76" s="8" t="s">
        <v>114</v>
      </c>
      <c r="E76" s="8">
        <v>30</v>
      </c>
      <c r="F76" s="8" t="s">
        <v>116</v>
      </c>
      <c r="G76" s="8" t="s">
        <v>116</v>
      </c>
      <c r="H76" s="8" t="s">
        <v>115</v>
      </c>
      <c r="I76" s="27">
        <v>45499</v>
      </c>
      <c r="J76" s="8" t="s">
        <v>117</v>
      </c>
      <c r="K76" s="8" t="s">
        <v>121</v>
      </c>
      <c r="L76" s="8" t="s">
        <v>119</v>
      </c>
      <c r="M76" s="16" t="str">
        <f ca="1">IFERROR(__xludf.DUMMYFUNCTION("JOIN("""",VLOOKUP(D76,'для артикула'!$A$2:$B$7,2,0),VLOOKUP(G76,'для артикула'!$A$13:$B$14,2,0),VLOOKUP(E76,'для артикула'!$A$9:$B$11,2,0),VLOOKUP(F76,'для артикула'!$A$17:$B$19,2,0),VLOOKUP(J76,'для артикула'!$A$22:$B$23,2,0),VLOOKUP(H76,'для артикула'!$"&amp;"A$26:$B$30,2,0))"),"002-2013E30Q13-OK")</f>
        <v>002-2013E30Q13-OK</v>
      </c>
      <c r="N76" s="8" t="str">
        <f>IF(ISNUMBER(MATCH(C76, 'Реестр договоров'!$D$2:$D$900, 0)), "Продано", "В наличии")</f>
        <v>Продано</v>
      </c>
    </row>
    <row r="77" spans="1:14">
      <c r="A77" s="26">
        <v>45502.52226513889</v>
      </c>
      <c r="B77" s="26"/>
      <c r="C77" s="8" t="s">
        <v>187</v>
      </c>
      <c r="D77" s="8" t="s">
        <v>114</v>
      </c>
      <c r="E77" s="8">
        <v>50</v>
      </c>
      <c r="F77" s="8" t="s">
        <v>116</v>
      </c>
      <c r="G77" s="8" t="s">
        <v>116</v>
      </c>
      <c r="H77" s="8" t="s">
        <v>115</v>
      </c>
      <c r="I77" s="27">
        <v>45499</v>
      </c>
      <c r="J77" s="8" t="s">
        <v>117</v>
      </c>
      <c r="K77" s="8" t="s">
        <v>121</v>
      </c>
      <c r="L77" s="8" t="s">
        <v>119</v>
      </c>
      <c r="M77" s="16" t="str">
        <f ca="1">IFERROR(__xludf.DUMMYFUNCTION("JOIN("""",VLOOKUP(D77,'для артикула'!$A$2:$B$7,2,0),VLOOKUP(G77,'для артикула'!$A$13:$B$14,2,0),VLOOKUP(E77,'для артикула'!$A$9:$B$11,2,0),VLOOKUP(F77,'для артикула'!$A$17:$B$19,2,0),VLOOKUP(J77,'для артикула'!$A$22:$B$23,2,0),VLOOKUP(H77,'для артикула'!$"&amp;"A$26:$B$30,2,0))"),"002-2013E50Q13-OK")</f>
        <v>002-2013E50Q13-OK</v>
      </c>
      <c r="N77" s="8" t="str">
        <f>IF(ISNUMBER(MATCH(C77, 'Реестр договоров'!$D$2:$D$900, 0)), "Продано", "В наличии")</f>
        <v>Продано</v>
      </c>
    </row>
    <row r="78" spans="1:14">
      <c r="A78" s="26">
        <v>45502.52081155093</v>
      </c>
      <c r="B78" s="26"/>
      <c r="C78" s="8" t="s">
        <v>188</v>
      </c>
      <c r="D78" s="8" t="s">
        <v>114</v>
      </c>
      <c r="E78" s="8">
        <v>50</v>
      </c>
      <c r="F78" s="8" t="s">
        <v>116</v>
      </c>
      <c r="G78" s="8" t="s">
        <v>116</v>
      </c>
      <c r="H78" s="8" t="s">
        <v>115</v>
      </c>
      <c r="I78" s="27">
        <v>45499</v>
      </c>
      <c r="J78" s="8" t="s">
        <v>117</v>
      </c>
      <c r="K78" s="8" t="s">
        <v>121</v>
      </c>
      <c r="L78" s="8" t="s">
        <v>119</v>
      </c>
      <c r="M78" s="16" t="str">
        <f ca="1">IFERROR(__xludf.DUMMYFUNCTION("JOIN("""",VLOOKUP(D78,'для артикула'!$A$2:$B$7,2,0),VLOOKUP(G78,'для артикула'!$A$13:$B$14,2,0),VLOOKUP(E78,'для артикула'!$A$9:$B$11,2,0),VLOOKUP(F78,'для артикула'!$A$17:$B$19,2,0),VLOOKUP(J78,'для артикула'!$A$22:$B$23,2,0),VLOOKUP(H78,'для артикула'!$"&amp;"A$26:$B$30,2,0))"),"002-2013E50Q13-OK")</f>
        <v>002-2013E50Q13-OK</v>
      </c>
      <c r="N78" s="8" t="str">
        <f>IF(ISNUMBER(MATCH(C78, 'Реестр договоров'!$D$2:$D$900, 0)), "Продано", "В наличии")</f>
        <v>Продано</v>
      </c>
    </row>
    <row r="79" spans="1:14">
      <c r="A79" s="26">
        <v>45502.520411898149</v>
      </c>
      <c r="B79" s="26"/>
      <c r="C79" s="8" t="s">
        <v>189</v>
      </c>
      <c r="D79" s="8" t="s">
        <v>114</v>
      </c>
      <c r="E79" s="8">
        <v>50</v>
      </c>
      <c r="F79" s="8" t="s">
        <v>116</v>
      </c>
      <c r="G79" s="8" t="s">
        <v>116</v>
      </c>
      <c r="H79" s="8">
        <v>30</v>
      </c>
      <c r="I79" s="27">
        <v>45499</v>
      </c>
      <c r="J79" s="8" t="s">
        <v>117</v>
      </c>
      <c r="K79" s="8" t="s">
        <v>121</v>
      </c>
      <c r="L79" s="8" t="s">
        <v>119</v>
      </c>
      <c r="M79" s="16" t="str">
        <f ca="1">IFERROR(__xludf.DUMMYFUNCTION("JOIN("""",VLOOKUP(D79,'для артикула'!$A$2:$B$7,2,0),VLOOKUP(G79,'для артикула'!$A$13:$B$14,2,0),VLOOKUP(E79,'для артикула'!$A$9:$B$11,2,0),VLOOKUP(F79,'для артикула'!$A$17:$B$19,2,0),VLOOKUP(J79,'для артикула'!$A$22:$B$23,2,0),VLOOKUP(H79,'для артикула'!$"&amp;"A$26:$B$30,2,0))"),"002-2013E50Q13-OK30")</f>
        <v>002-2013E50Q13-OK30</v>
      </c>
      <c r="N79" s="8" t="str">
        <f>IF(ISNUMBER(MATCH(C79, 'Реестр договоров'!$D$2:$D$900, 0)), "Продано", "В наличии")</f>
        <v>Продано</v>
      </c>
    </row>
    <row r="80" spans="1:14">
      <c r="A80" s="26">
        <v>45502.519282615744</v>
      </c>
      <c r="B80" s="26"/>
      <c r="C80" s="8" t="s">
        <v>190</v>
      </c>
      <c r="D80" s="8" t="s">
        <v>114</v>
      </c>
      <c r="E80" s="8">
        <v>30</v>
      </c>
      <c r="F80" s="8" t="s">
        <v>116</v>
      </c>
      <c r="G80" s="8" t="s">
        <v>116</v>
      </c>
      <c r="H80" s="8" t="s">
        <v>115</v>
      </c>
      <c r="I80" s="27">
        <v>45499</v>
      </c>
      <c r="J80" s="8" t="s">
        <v>117</v>
      </c>
      <c r="K80" s="8" t="s">
        <v>121</v>
      </c>
      <c r="L80" s="8" t="s">
        <v>119</v>
      </c>
      <c r="M80" s="16" t="str">
        <f ca="1">IFERROR(__xludf.DUMMYFUNCTION("JOIN("""",VLOOKUP(D80,'для артикула'!$A$2:$B$7,2,0),VLOOKUP(G80,'для артикула'!$A$13:$B$14,2,0),VLOOKUP(E80,'для артикула'!$A$9:$B$11,2,0),VLOOKUP(F80,'для артикула'!$A$17:$B$19,2,0),VLOOKUP(J80,'для артикула'!$A$22:$B$23,2,0),VLOOKUP(H80,'для артикула'!$"&amp;"A$26:$B$30,2,0))"),"002-2013E30Q13-OK")</f>
        <v>002-2013E30Q13-OK</v>
      </c>
      <c r="N80" s="8" t="str">
        <f>IF(ISNUMBER(MATCH(C80, 'Реестр договоров'!$D$2:$D$900, 0)), "Продано", "В наличии")</f>
        <v>Продано</v>
      </c>
    </row>
    <row r="81" spans="1:14">
      <c r="A81" s="26">
        <v>45502.518302118056</v>
      </c>
      <c r="B81" s="26"/>
      <c r="C81" s="8" t="s">
        <v>191</v>
      </c>
      <c r="D81" s="8" t="s">
        <v>114</v>
      </c>
      <c r="E81" s="8">
        <v>30</v>
      </c>
      <c r="F81" s="8" t="s">
        <v>116</v>
      </c>
      <c r="G81" s="8" t="s">
        <v>116</v>
      </c>
      <c r="H81" s="8" t="s">
        <v>115</v>
      </c>
      <c r="I81" s="27">
        <v>45499</v>
      </c>
      <c r="J81" s="8" t="s">
        <v>117</v>
      </c>
      <c r="K81" s="8" t="s">
        <v>121</v>
      </c>
      <c r="L81" s="8" t="s">
        <v>119</v>
      </c>
      <c r="M81" s="16" t="str">
        <f ca="1">IFERROR(__xludf.DUMMYFUNCTION("JOIN("""",VLOOKUP(D81,'для артикула'!$A$2:$B$7,2,0),VLOOKUP(G81,'для артикула'!$A$13:$B$14,2,0),VLOOKUP(E81,'для артикула'!$A$9:$B$11,2,0),VLOOKUP(F81,'для артикула'!$A$17:$B$19,2,0),VLOOKUP(J81,'для артикула'!$A$22:$B$23,2,0),VLOOKUP(H81,'для артикула'!$"&amp;"A$26:$B$30,2,0))"),"002-2013E30Q13-OK")</f>
        <v>002-2013E30Q13-OK</v>
      </c>
      <c r="N81" s="8" t="str">
        <f>IF(ISNUMBER(MATCH(C81, 'Реестр договоров'!$D$2:$D$900, 0)), "Продано", "В наличии")</f>
        <v>Продано</v>
      </c>
    </row>
    <row r="82" spans="1:14">
      <c r="A82" s="26">
        <v>45502.517557407409</v>
      </c>
      <c r="B82" s="26"/>
      <c r="C82" s="8" t="s">
        <v>192</v>
      </c>
      <c r="D82" s="8" t="s">
        <v>114</v>
      </c>
      <c r="E82" s="8">
        <v>30</v>
      </c>
      <c r="F82" s="8" t="s">
        <v>116</v>
      </c>
      <c r="G82" s="8" t="s">
        <v>116</v>
      </c>
      <c r="H82" s="8" t="s">
        <v>115</v>
      </c>
      <c r="I82" s="27">
        <v>45499</v>
      </c>
      <c r="J82" s="8" t="s">
        <v>117</v>
      </c>
      <c r="K82" s="8" t="s">
        <v>121</v>
      </c>
      <c r="L82" s="8" t="s">
        <v>119</v>
      </c>
      <c r="M82" s="16" t="str">
        <f ca="1">IFERROR(__xludf.DUMMYFUNCTION("JOIN("""",VLOOKUP(D82,'для артикула'!$A$2:$B$7,2,0),VLOOKUP(G82,'для артикула'!$A$13:$B$14,2,0),VLOOKUP(E82,'для артикула'!$A$9:$B$11,2,0),VLOOKUP(F82,'для артикула'!$A$17:$B$19,2,0),VLOOKUP(J82,'для артикула'!$A$22:$B$23,2,0),VLOOKUP(H82,'для артикула'!$"&amp;"A$26:$B$30,2,0))"),"002-2013E30Q13-OK")</f>
        <v>002-2013E30Q13-OK</v>
      </c>
      <c r="N82" s="8" t="str">
        <f>IF(ISNUMBER(MATCH(C82, 'Реестр договоров'!$D$2:$D$900, 0)), "Продано", "В наличии")</f>
        <v>Продано</v>
      </c>
    </row>
    <row r="83" spans="1:14">
      <c r="A83" s="26">
        <v>45502.517077569442</v>
      </c>
      <c r="B83" s="26"/>
      <c r="C83" s="8" t="s">
        <v>193</v>
      </c>
      <c r="D83" s="8" t="s">
        <v>114</v>
      </c>
      <c r="E83" s="8">
        <v>50</v>
      </c>
      <c r="F83" s="8" t="s">
        <v>116</v>
      </c>
      <c r="G83" s="8" t="s">
        <v>116</v>
      </c>
      <c r="H83" s="8">
        <v>30</v>
      </c>
      <c r="I83" s="27">
        <v>45499</v>
      </c>
      <c r="J83" s="8" t="s">
        <v>117</v>
      </c>
      <c r="K83" s="8" t="s">
        <v>121</v>
      </c>
      <c r="L83" s="8" t="s">
        <v>119</v>
      </c>
      <c r="M83" s="16" t="str">
        <f ca="1">IFERROR(__xludf.DUMMYFUNCTION("JOIN("""",VLOOKUP(D83,'для артикула'!$A$2:$B$7,2,0),VLOOKUP(G83,'для артикула'!$A$13:$B$14,2,0),VLOOKUP(E83,'для артикула'!$A$9:$B$11,2,0),VLOOKUP(F83,'для артикула'!$A$17:$B$19,2,0),VLOOKUP(J83,'для артикула'!$A$22:$B$23,2,0),VLOOKUP(H83,'для артикула'!$"&amp;"A$26:$B$30,2,0))"),"002-2013E50Q13-OK30")</f>
        <v>002-2013E50Q13-OK30</v>
      </c>
      <c r="N83" s="8" t="str">
        <f>IF(ISNUMBER(MATCH(C83, 'Реестр договоров'!$D$2:$D$900, 0)), "Продано", "В наличии")</f>
        <v>Продано</v>
      </c>
    </row>
    <row r="84" spans="1:14">
      <c r="A84" s="26">
        <v>45502.515927534725</v>
      </c>
      <c r="B84" s="26"/>
      <c r="C84" s="8" t="s">
        <v>194</v>
      </c>
      <c r="D84" s="8" t="s">
        <v>114</v>
      </c>
      <c r="E84" s="8">
        <v>50</v>
      </c>
      <c r="F84" s="8" t="s">
        <v>116</v>
      </c>
      <c r="G84" s="8" t="s">
        <v>116</v>
      </c>
      <c r="H84" s="8" t="s">
        <v>115</v>
      </c>
      <c r="I84" s="27">
        <v>45499</v>
      </c>
      <c r="J84" s="8" t="s">
        <v>117</v>
      </c>
      <c r="K84" s="8" t="s">
        <v>121</v>
      </c>
      <c r="L84" s="8" t="s">
        <v>119</v>
      </c>
      <c r="M84" s="16" t="str">
        <f ca="1">IFERROR(__xludf.DUMMYFUNCTION("JOIN("""",VLOOKUP(D84,'для артикула'!$A$2:$B$7,2,0),VLOOKUP(G84,'для артикула'!$A$13:$B$14,2,0),VLOOKUP(E84,'для артикула'!$A$9:$B$11,2,0),VLOOKUP(F84,'для артикула'!$A$17:$B$19,2,0),VLOOKUP(J84,'для артикула'!$A$22:$B$23,2,0),VLOOKUP(H84,'для артикула'!$"&amp;"A$26:$B$30,2,0))"),"002-2013E50Q13-OK")</f>
        <v>002-2013E50Q13-OK</v>
      </c>
      <c r="N84" s="8" t="str">
        <f>IF(ISNUMBER(MATCH(C84, 'Реестр договоров'!$D$2:$D$900, 0)), "Продано", "В наличии")</f>
        <v>Продано</v>
      </c>
    </row>
    <row r="85" spans="1:14">
      <c r="A85" s="26">
        <v>45502.515447534723</v>
      </c>
      <c r="B85" s="26"/>
      <c r="C85" s="8" t="s">
        <v>195</v>
      </c>
      <c r="D85" s="8" t="s">
        <v>114</v>
      </c>
      <c r="E85" s="8">
        <v>50</v>
      </c>
      <c r="F85" s="8" t="s">
        <v>116</v>
      </c>
      <c r="G85" s="8" t="s">
        <v>116</v>
      </c>
      <c r="H85" s="8" t="s">
        <v>115</v>
      </c>
      <c r="I85" s="27">
        <v>45499</v>
      </c>
      <c r="J85" s="8" t="s">
        <v>117</v>
      </c>
      <c r="K85" s="8" t="s">
        <v>121</v>
      </c>
      <c r="L85" s="8" t="s">
        <v>119</v>
      </c>
      <c r="M85" s="16" t="str">
        <f ca="1">IFERROR(__xludf.DUMMYFUNCTION("JOIN("""",VLOOKUP(D85,'для артикула'!$A$2:$B$7,2,0),VLOOKUP(G85,'для артикула'!$A$13:$B$14,2,0),VLOOKUP(E85,'для артикула'!$A$9:$B$11,2,0),VLOOKUP(F85,'для артикула'!$A$17:$B$19,2,0),VLOOKUP(J85,'для артикула'!$A$22:$B$23,2,0),VLOOKUP(H85,'для артикула'!$"&amp;"A$26:$B$30,2,0))"),"002-2013E50Q13-OK")</f>
        <v>002-2013E50Q13-OK</v>
      </c>
      <c r="N85" s="8" t="str">
        <f>IF(ISNUMBER(MATCH(C85, 'Реестр договоров'!$D$2:$D$900, 0)), "Продано", "В наличии")</f>
        <v>Продано</v>
      </c>
    </row>
    <row r="86" spans="1:14">
      <c r="A86" s="26">
        <v>45502.51470201389</v>
      </c>
      <c r="B86" s="26"/>
      <c r="C86" s="8" t="s">
        <v>196</v>
      </c>
      <c r="D86" s="8" t="s">
        <v>114</v>
      </c>
      <c r="E86" s="8">
        <v>50</v>
      </c>
      <c r="F86" s="8" t="s">
        <v>116</v>
      </c>
      <c r="G86" s="8" t="s">
        <v>116</v>
      </c>
      <c r="H86" s="8" t="s">
        <v>115</v>
      </c>
      <c r="I86" s="27">
        <v>45499</v>
      </c>
      <c r="J86" s="8" t="s">
        <v>117</v>
      </c>
      <c r="K86" s="8" t="s">
        <v>121</v>
      </c>
      <c r="L86" s="8" t="s">
        <v>119</v>
      </c>
      <c r="M86" s="16" t="str">
        <f ca="1">IFERROR(__xludf.DUMMYFUNCTION("JOIN("""",VLOOKUP(D86,'для артикула'!$A$2:$B$7,2,0),VLOOKUP(G86,'для артикула'!$A$13:$B$14,2,0),VLOOKUP(E86,'для артикула'!$A$9:$B$11,2,0),VLOOKUP(F86,'для артикула'!$A$17:$B$19,2,0),VLOOKUP(J86,'для артикула'!$A$22:$B$23,2,0),VLOOKUP(H86,'для артикула'!$"&amp;"A$26:$B$30,2,0))"),"002-2013E50Q13-OK")</f>
        <v>002-2013E50Q13-OK</v>
      </c>
      <c r="N86" s="8" t="str">
        <f>IF(ISNUMBER(MATCH(C86, 'Реестр договоров'!$D$2:$D$900, 0)), "Продано", "В наличии")</f>
        <v>Продано</v>
      </c>
    </row>
    <row r="87" spans="1:14">
      <c r="A87" s="26">
        <v>45498.54115902778</v>
      </c>
      <c r="B87" s="26"/>
      <c r="C87" s="8" t="s">
        <v>5</v>
      </c>
      <c r="D87" s="8" t="s">
        <v>114</v>
      </c>
      <c r="E87" s="8">
        <v>30</v>
      </c>
      <c r="F87" s="8" t="s">
        <v>144</v>
      </c>
      <c r="G87" s="8" t="s">
        <v>144</v>
      </c>
      <c r="H87" s="8" t="s">
        <v>115</v>
      </c>
      <c r="I87" s="27">
        <v>45498</v>
      </c>
      <c r="J87" s="8" t="s">
        <v>117</v>
      </c>
      <c r="K87" s="8" t="s">
        <v>118</v>
      </c>
      <c r="L87" s="8" t="s">
        <v>119</v>
      </c>
      <c r="M87" s="16" t="str">
        <f ca="1">IFERROR(__xludf.DUMMYFUNCTION("JOIN("""",VLOOKUP(D87,'для артикула'!$A$2:$B$7,2,0),VLOOKUP(G87,'для артикула'!$A$13:$B$14,2,0),VLOOKUP(E87,'для артикула'!$A$9:$B$11,2,0),VLOOKUP(F87,'для артикула'!$A$17:$B$19,2,0),VLOOKUP(J87,'для артикула'!$A$22:$B$23,2,0),VLOOKUP(H87,'для артикула'!$"&amp;"A$26:$B$30,2,0))"),"002-2013E30Q15-OK")</f>
        <v>002-2013E30Q15-OK</v>
      </c>
      <c r="N87" s="8" t="str">
        <f>IF(ISNUMBER(MATCH(C87, 'Реестр договоров'!$D$2:$D$900, 0)), "Продано", "В наличии")</f>
        <v>Продано</v>
      </c>
    </row>
    <row r="88" spans="1:14">
      <c r="A88" s="26">
        <v>45537.728783310187</v>
      </c>
      <c r="B88" s="26"/>
      <c r="C88" s="8" t="s">
        <v>197</v>
      </c>
      <c r="D88" s="8" t="s">
        <v>114</v>
      </c>
      <c r="E88" s="8">
        <v>50</v>
      </c>
      <c r="F88" s="8" t="s">
        <v>116</v>
      </c>
      <c r="G88" s="8" t="s">
        <v>116</v>
      </c>
      <c r="H88" s="8">
        <v>60</v>
      </c>
      <c r="I88" s="27">
        <v>45537</v>
      </c>
      <c r="J88" s="8" t="s">
        <v>117</v>
      </c>
      <c r="K88" s="8" t="s">
        <v>121</v>
      </c>
      <c r="L88" s="8" t="s">
        <v>119</v>
      </c>
      <c r="M88" s="16" t="str">
        <f ca="1">IFERROR(__xludf.DUMMYFUNCTION("JOIN("""",VLOOKUP(D88,'для артикула'!$A$2:$B$7,2,0),VLOOKUP(G88,'для артикула'!$A$13:$B$14,2,0),VLOOKUP(E88,'для артикула'!$A$9:$B$11,2,0),VLOOKUP(F88,'для артикула'!$A$17:$B$19,2,0),VLOOKUP(J88,'для артикула'!$A$22:$B$23,2,0),VLOOKUP(H88,'для артикула'!$"&amp;"A$26:$B$30,2,0))"),"002-2013E50Q13-OK60")</f>
        <v>002-2013E50Q13-OK60</v>
      </c>
      <c r="N88" s="8" t="str">
        <f>IF(ISNUMBER(MATCH(C88, 'Реестр договоров'!$D$2:$D$900, 0)), "Продано", "В наличии")</f>
        <v>Продано</v>
      </c>
    </row>
    <row r="89" spans="1:14">
      <c r="A89" s="26">
        <v>45469.720335335645</v>
      </c>
      <c r="B89" s="26"/>
      <c r="C89" s="8" t="s">
        <v>198</v>
      </c>
      <c r="D89" s="8" t="s">
        <v>114</v>
      </c>
      <c r="E89" s="8">
        <v>50</v>
      </c>
      <c r="F89" s="8" t="s">
        <v>116</v>
      </c>
      <c r="G89" s="8" t="s">
        <v>116</v>
      </c>
      <c r="H89" s="8" t="s">
        <v>115</v>
      </c>
      <c r="I89" s="27">
        <v>45469</v>
      </c>
      <c r="J89" s="8" t="s">
        <v>117</v>
      </c>
      <c r="K89" s="8" t="s">
        <v>118</v>
      </c>
      <c r="L89" s="8" t="s">
        <v>119</v>
      </c>
      <c r="M89" s="16" t="str">
        <f ca="1">IFERROR(__xludf.DUMMYFUNCTION("JOIN("""",VLOOKUP(D89,'для артикула'!$A$2:$B$7,2,0),VLOOKUP(G89,'для артикула'!$A$13:$B$14,2,0),VLOOKUP(E89,'для артикула'!$A$9:$B$11,2,0),VLOOKUP(F89,'для артикула'!$A$17:$B$19,2,0),VLOOKUP(J89,'для артикула'!$A$22:$B$23,2,0),VLOOKUP(H89,'для артикула'!$"&amp;"A$26:$B$30,2,0))"),"002-2013E50Q13-OK")</f>
        <v>002-2013E50Q13-OK</v>
      </c>
      <c r="N89" s="8" t="str">
        <f>IF(ISNUMBER(MATCH(C89, 'Реестр договоров'!$D$2:$D$900, 0)), "Продано", "В наличии")</f>
        <v>Продано</v>
      </c>
    </row>
    <row r="90" spans="1:14">
      <c r="A90" s="26">
        <v>45467.691792696758</v>
      </c>
      <c r="B90" s="26"/>
      <c r="C90" s="8" t="s">
        <v>199</v>
      </c>
      <c r="D90" s="8" t="s">
        <v>114</v>
      </c>
      <c r="E90" s="8">
        <v>50</v>
      </c>
      <c r="F90" s="8" t="s">
        <v>116</v>
      </c>
      <c r="G90" s="8" t="s">
        <v>116</v>
      </c>
      <c r="H90" s="8" t="s">
        <v>115</v>
      </c>
      <c r="I90" s="27">
        <v>45467</v>
      </c>
      <c r="J90" s="8" t="s">
        <v>117</v>
      </c>
      <c r="K90" s="8" t="s">
        <v>118</v>
      </c>
      <c r="L90" s="8" t="s">
        <v>119</v>
      </c>
      <c r="M90" s="16" t="str">
        <f ca="1">IFERROR(__xludf.DUMMYFUNCTION("JOIN("""",VLOOKUP(D90,'для артикула'!$A$2:$B$7,2,0),VLOOKUP(G90,'для артикула'!$A$13:$B$14,2,0),VLOOKUP(E90,'для артикула'!$A$9:$B$11,2,0),VLOOKUP(F90,'для артикула'!$A$17:$B$19,2,0),VLOOKUP(J90,'для артикула'!$A$22:$B$23,2,0),VLOOKUP(H90,'для артикула'!$"&amp;"A$26:$B$30,2,0))"),"002-2013E50Q13-OK")</f>
        <v>002-2013E50Q13-OK</v>
      </c>
      <c r="N90" s="8" t="str">
        <f>IF(ISNUMBER(MATCH(C90, 'Реестр договоров'!$D$2:$D$900, 0)), "Продано", "В наличии")</f>
        <v>Продано</v>
      </c>
    </row>
    <row r="91" spans="1:14">
      <c r="A91" s="26">
        <v>45510.638721134259</v>
      </c>
      <c r="B91" s="26"/>
      <c r="C91" s="8" t="s">
        <v>200</v>
      </c>
      <c r="D91" s="8" t="s">
        <v>114</v>
      </c>
      <c r="E91" s="8">
        <v>50</v>
      </c>
      <c r="F91" s="8" t="s">
        <v>116</v>
      </c>
      <c r="G91" s="8" t="s">
        <v>116</v>
      </c>
      <c r="H91" s="8">
        <v>60</v>
      </c>
      <c r="I91" s="27">
        <v>45510</v>
      </c>
      <c r="J91" s="8" t="s">
        <v>117</v>
      </c>
      <c r="K91" s="8" t="s">
        <v>118</v>
      </c>
      <c r="L91" s="8" t="s">
        <v>119</v>
      </c>
      <c r="M91" s="8" t="s">
        <v>201</v>
      </c>
      <c r="N91" s="8" t="str">
        <f>IF(ISNUMBER(MATCH(C91, 'Реестр договоров'!$D$2:$D$900, 0)), "Продано", "В наличии")</f>
        <v>Продано</v>
      </c>
    </row>
    <row r="92" spans="1:14">
      <c r="A92" s="26">
        <v>45497.511896886572</v>
      </c>
      <c r="B92" s="26"/>
      <c r="C92" s="8" t="s">
        <v>202</v>
      </c>
      <c r="D92" s="8" t="s">
        <v>114</v>
      </c>
      <c r="E92" s="8">
        <v>50</v>
      </c>
      <c r="F92" s="8" t="s">
        <v>116</v>
      </c>
      <c r="G92" s="8" t="s">
        <v>116</v>
      </c>
      <c r="H92" s="8" t="s">
        <v>115</v>
      </c>
      <c r="I92" s="27">
        <v>45497</v>
      </c>
      <c r="J92" s="8" t="s">
        <v>117</v>
      </c>
      <c r="K92" s="8" t="s">
        <v>124</v>
      </c>
      <c r="L92" s="8" t="s">
        <v>119</v>
      </c>
      <c r="M92" s="16" t="str">
        <f ca="1">IFERROR(__xludf.DUMMYFUNCTION("JOIN("""",VLOOKUP(D92,'для артикула'!$A$2:$B$7,2,0),VLOOKUP(G92,'для артикула'!$A$13:$B$14,2,0),VLOOKUP(E92,'для артикула'!$A$9:$B$11,2,0),VLOOKUP(F92,'для артикула'!$A$17:$B$19,2,0),VLOOKUP(J92,'для артикула'!$A$22:$B$23,2,0),VLOOKUP(H92,'для артикула'!$"&amp;"A$26:$B$30,2,0))"),"002-2013E50Q13-OK")</f>
        <v>002-2013E50Q13-OK</v>
      </c>
      <c r="N92" s="8" t="str">
        <f>IF(ISNUMBER(MATCH(C92, 'Реестр договоров'!$D$2:$D$900, 0)), "Продано", "В наличии")</f>
        <v>Продано</v>
      </c>
    </row>
    <row r="93" spans="1:14">
      <c r="A93" s="26">
        <v>45483.737171307876</v>
      </c>
      <c r="B93" s="26"/>
      <c r="C93" s="8" t="s">
        <v>203</v>
      </c>
      <c r="D93" s="8" t="s">
        <v>114</v>
      </c>
      <c r="E93" s="8">
        <v>30</v>
      </c>
      <c r="F93" s="8" t="s">
        <v>116</v>
      </c>
      <c r="G93" s="8" t="s">
        <v>116</v>
      </c>
      <c r="H93" s="8" t="s">
        <v>115</v>
      </c>
      <c r="I93" s="27">
        <v>45483</v>
      </c>
      <c r="J93" s="8" t="s">
        <v>117</v>
      </c>
      <c r="K93" s="8" t="s">
        <v>124</v>
      </c>
      <c r="L93" s="8" t="s">
        <v>119</v>
      </c>
      <c r="M93" s="16" t="str">
        <f ca="1">IFERROR(__xludf.DUMMYFUNCTION("JOIN("""",VLOOKUP(D93,'для артикула'!$A$2:$B$7,2,0),VLOOKUP(G93,'для артикула'!$A$13:$B$14,2,0),VLOOKUP(E93,'для артикула'!$A$9:$B$11,2,0),VLOOKUP(F93,'для артикула'!$A$17:$B$19,2,0),VLOOKUP(J93,'для артикула'!$A$22:$B$23,2,0),VLOOKUP(H93,'для артикула'!$"&amp;"A$26:$B$30,2,0))"),"002-2013E30Q13-OK")</f>
        <v>002-2013E30Q13-OK</v>
      </c>
      <c r="N93" s="8" t="str">
        <f>IF(ISNUMBER(MATCH(C93, 'Реестр договоров'!$D$2:$D$900, 0)), "Продано", "В наличии")</f>
        <v>Продано</v>
      </c>
    </row>
    <row r="94" spans="1:14">
      <c r="A94" s="26">
        <v>45504.626575648144</v>
      </c>
      <c r="B94" s="26"/>
      <c r="C94" s="8" t="s">
        <v>204</v>
      </c>
      <c r="D94" s="8" t="s">
        <v>114</v>
      </c>
      <c r="E94" s="8">
        <v>50</v>
      </c>
      <c r="F94" s="8" t="s">
        <v>116</v>
      </c>
      <c r="G94" s="8" t="s">
        <v>116</v>
      </c>
      <c r="H94" s="8" t="s">
        <v>115</v>
      </c>
      <c r="I94" s="27">
        <v>45504</v>
      </c>
      <c r="J94" s="8" t="s">
        <v>117</v>
      </c>
      <c r="K94" s="8" t="s">
        <v>118</v>
      </c>
      <c r="L94" s="8" t="s">
        <v>119</v>
      </c>
      <c r="M94" s="16" t="str">
        <f ca="1">IFERROR(__xludf.DUMMYFUNCTION("JOIN("""",VLOOKUP(D94,'для артикула'!$A$2:$B$7,2,0),VLOOKUP(G94,'для артикула'!$A$13:$B$14,2,0),VLOOKUP(E94,'для артикула'!$A$9:$B$11,2,0),VLOOKUP(F94,'для артикула'!$A$17:$B$19,2,0),VLOOKUP(J94,'для артикула'!$A$22:$B$23,2,0),VLOOKUP(H94,'для артикула'!$"&amp;"A$26:$B$30,2,0))"),"002-2013E50Q13-OK")</f>
        <v>002-2013E50Q13-OK</v>
      </c>
      <c r="N94" s="8" t="str">
        <f>IF(ISNUMBER(MATCH(C94, 'Реестр договоров'!$D$2:$D$900, 0)), "Продано", "В наличии")</f>
        <v>Продано</v>
      </c>
    </row>
    <row r="95" spans="1:14">
      <c r="A95" s="26">
        <v>45502.526153969906</v>
      </c>
      <c r="B95" s="26"/>
      <c r="C95" s="8" t="s">
        <v>205</v>
      </c>
      <c r="D95" s="8" t="s">
        <v>114</v>
      </c>
      <c r="E95" s="8">
        <v>50</v>
      </c>
      <c r="F95" s="8" t="s">
        <v>116</v>
      </c>
      <c r="G95" s="8" t="s">
        <v>116</v>
      </c>
      <c r="H95" s="8" t="s">
        <v>115</v>
      </c>
      <c r="I95" s="27">
        <v>45499</v>
      </c>
      <c r="J95" s="8" t="s">
        <v>117</v>
      </c>
      <c r="K95" s="8" t="s">
        <v>121</v>
      </c>
      <c r="L95" s="8" t="s">
        <v>119</v>
      </c>
      <c r="M95" s="16" t="str">
        <f ca="1">IFERROR(__xludf.DUMMYFUNCTION("JOIN("""",VLOOKUP(D95,'для артикула'!$A$2:$B$7,2,0),VLOOKUP(G95,'для артикула'!$A$13:$B$14,2,0),VLOOKUP(E95,'для артикула'!$A$9:$B$11,2,0),VLOOKUP(F95,'для артикула'!$A$17:$B$19,2,0),VLOOKUP(J95,'для артикула'!$A$22:$B$23,2,0),VLOOKUP(H95,'для артикула'!$"&amp;"A$26:$B$30,2,0))"),"002-2013E50Q13-OK")</f>
        <v>002-2013E50Q13-OK</v>
      </c>
      <c r="N95" s="8" t="str">
        <f>IF(ISNUMBER(MATCH(C95, 'Реестр договоров'!$D$2:$D$900, 0)), "Продано", "В наличии")</f>
        <v>Продано</v>
      </c>
    </row>
    <row r="96" spans="1:14">
      <c r="A96" s="26">
        <v>45484.654450023147</v>
      </c>
      <c r="B96" s="26"/>
      <c r="C96" s="8" t="s">
        <v>206</v>
      </c>
      <c r="D96" s="8" t="s">
        <v>114</v>
      </c>
      <c r="E96" s="8">
        <v>30</v>
      </c>
      <c r="F96" s="8" t="s">
        <v>116</v>
      </c>
      <c r="G96" s="8" t="s">
        <v>116</v>
      </c>
      <c r="H96" s="8" t="s">
        <v>115</v>
      </c>
      <c r="I96" s="27">
        <v>45484</v>
      </c>
      <c r="J96" s="8" t="s">
        <v>117</v>
      </c>
      <c r="K96" s="8" t="s">
        <v>118</v>
      </c>
      <c r="L96" s="8" t="s">
        <v>119</v>
      </c>
      <c r="M96" s="16" t="str">
        <f ca="1">IFERROR(__xludf.DUMMYFUNCTION("JOIN("""",VLOOKUP(D96,'для артикула'!$A$2:$B$7,2,0),VLOOKUP(G96,'для артикула'!$A$13:$B$14,2,0),VLOOKUP(E96,'для артикула'!$A$9:$B$11,2,0),VLOOKUP(F96,'для артикула'!$A$17:$B$19,2,0),VLOOKUP(J96,'для артикула'!$A$22:$B$23,2,0),VLOOKUP(H96,'для артикула'!$"&amp;"A$26:$B$30,2,0))"),"002-2013E30Q13-OK")</f>
        <v>002-2013E30Q13-OK</v>
      </c>
      <c r="N96" s="8" t="str">
        <f>IF(ISNUMBER(MATCH(C96, 'Реестр договоров'!$D$2:$D$900, 0)), "Продано", "В наличии")</f>
        <v>Продано</v>
      </c>
    </row>
    <row r="97" spans="1:14">
      <c r="A97" s="26">
        <v>45467.640961076388</v>
      </c>
      <c r="B97" s="26"/>
      <c r="C97" s="8" t="s">
        <v>207</v>
      </c>
      <c r="D97" s="8" t="s">
        <v>114</v>
      </c>
      <c r="E97" s="8">
        <v>50</v>
      </c>
      <c r="F97" s="8" t="s">
        <v>116</v>
      </c>
      <c r="G97" s="8" t="s">
        <v>116</v>
      </c>
      <c r="H97" s="8" t="s">
        <v>115</v>
      </c>
      <c r="I97" s="27">
        <v>45467</v>
      </c>
      <c r="J97" s="8" t="s">
        <v>117</v>
      </c>
      <c r="K97" s="8" t="s">
        <v>124</v>
      </c>
      <c r="L97" s="8" t="s">
        <v>119</v>
      </c>
      <c r="M97" s="16" t="str">
        <f ca="1">IFERROR(__xludf.DUMMYFUNCTION("JOIN("""",VLOOKUP(D97,'для артикула'!$A$2:$B$7,2,0),VLOOKUP(G97,'для артикула'!$A$13:$B$14,2,0),VLOOKUP(E97,'для артикула'!$A$9:$B$11,2,0),VLOOKUP(F97,'для артикула'!$A$17:$B$19,2,0),VLOOKUP(J97,'для артикула'!$A$22:$B$23,2,0),VLOOKUP(H97,'для артикула'!$"&amp;"A$26:$B$30,2,0))"),"002-2013E50Q13-OK")</f>
        <v>002-2013E50Q13-OK</v>
      </c>
      <c r="N97" s="8" t="str">
        <f>IF(ISNUMBER(MATCH(C97, 'Реестр договоров'!$D$2:$D$900, 0)), "Продано", "В наличии")</f>
        <v>Продано</v>
      </c>
    </row>
    <row r="98" spans="1:14">
      <c r="A98" s="26">
        <v>45491.427055567125</v>
      </c>
      <c r="B98" s="26"/>
      <c r="C98" s="8" t="s">
        <v>208</v>
      </c>
      <c r="D98" s="8" t="s">
        <v>114</v>
      </c>
      <c r="E98" s="8">
        <v>50</v>
      </c>
      <c r="F98" s="8" t="s">
        <v>116</v>
      </c>
      <c r="G98" s="8" t="s">
        <v>116</v>
      </c>
      <c r="H98" s="8" t="s">
        <v>115</v>
      </c>
      <c r="I98" s="27">
        <v>45491</v>
      </c>
      <c r="J98" s="8" t="s">
        <v>117</v>
      </c>
      <c r="K98" s="8" t="s">
        <v>124</v>
      </c>
      <c r="L98" s="8" t="s">
        <v>119</v>
      </c>
      <c r="M98" s="16" t="str">
        <f ca="1">IFERROR(__xludf.DUMMYFUNCTION("JOIN("""",VLOOKUP(D98,'для артикула'!$A$2:$B$7,2,0),VLOOKUP(G98,'для артикула'!$A$13:$B$14,2,0),VLOOKUP(E98,'для артикула'!$A$9:$B$11,2,0),VLOOKUP(F98,'для артикула'!$A$17:$B$19,2,0),VLOOKUP(J98,'для артикула'!$A$22:$B$23,2,0),VLOOKUP(H98,'для артикула'!$"&amp;"A$26:$B$30,2,0))"),"002-2013E50Q13-OK")</f>
        <v>002-2013E50Q13-OK</v>
      </c>
      <c r="N98" s="8" t="str">
        <f>IF(ISNUMBER(MATCH(C98, 'Реестр договоров'!$D$2:$D$900, 0)), "Продано", "В наличии")</f>
        <v>Продано</v>
      </c>
    </row>
    <row r="99" spans="1:14">
      <c r="A99" s="26">
        <v>45491.409082013888</v>
      </c>
      <c r="B99" s="26"/>
      <c r="C99" s="8" t="s">
        <v>209</v>
      </c>
      <c r="D99" s="8" t="s">
        <v>114</v>
      </c>
      <c r="E99" s="8">
        <v>50</v>
      </c>
      <c r="F99" s="8" t="s">
        <v>116</v>
      </c>
      <c r="G99" s="8" t="s">
        <v>116</v>
      </c>
      <c r="H99" s="8" t="s">
        <v>115</v>
      </c>
      <c r="I99" s="27">
        <v>45491</v>
      </c>
      <c r="J99" s="8" t="s">
        <v>117</v>
      </c>
      <c r="K99" s="8" t="s">
        <v>124</v>
      </c>
      <c r="L99" s="8" t="s">
        <v>119</v>
      </c>
      <c r="M99" s="16" t="str">
        <f ca="1">IFERROR(__xludf.DUMMYFUNCTION("JOIN("""",VLOOKUP(D99,'для артикула'!$A$2:$B$7,2,0),VLOOKUP(G99,'для артикула'!$A$13:$B$14,2,0),VLOOKUP(E99,'для артикула'!$A$9:$B$11,2,0),VLOOKUP(F99,'для артикула'!$A$17:$B$19,2,0),VLOOKUP(J99,'для артикула'!$A$22:$B$23,2,0),VLOOKUP(H99,'для артикула'!$"&amp;"A$26:$B$30,2,0))"),"002-2013E50Q13-OK")</f>
        <v>002-2013E50Q13-OK</v>
      </c>
      <c r="N99" s="8" t="str">
        <f>IF(ISNUMBER(MATCH(C99, 'Реестр договоров'!$D$2:$D$900, 0)), "Продано", "В наличии")</f>
        <v>Продано</v>
      </c>
    </row>
    <row r="100" spans="1:14">
      <c r="A100" s="26">
        <v>45464.5225459375</v>
      </c>
      <c r="B100" s="26"/>
      <c r="C100" s="8" t="s">
        <v>210</v>
      </c>
      <c r="D100" s="8" t="s">
        <v>114</v>
      </c>
      <c r="E100" s="8">
        <v>50</v>
      </c>
      <c r="F100" s="8" t="s">
        <v>116</v>
      </c>
      <c r="G100" s="8" t="s">
        <v>116</v>
      </c>
      <c r="H100" s="8" t="s">
        <v>115</v>
      </c>
      <c r="I100" s="27">
        <v>45464</v>
      </c>
      <c r="J100" s="8" t="s">
        <v>117</v>
      </c>
      <c r="K100" s="8" t="s">
        <v>124</v>
      </c>
      <c r="L100" s="8" t="s">
        <v>119</v>
      </c>
      <c r="M100" s="16" t="str">
        <f ca="1">IFERROR(__xludf.DUMMYFUNCTION("JOIN("""",VLOOKUP(D100,'для артикула'!$A$2:$B$7,2,0),VLOOKUP(G100,'для артикула'!$A$13:$B$14,2,0),VLOOKUP(E100,'для артикула'!$A$9:$B$11,2,0),VLOOKUP(F100,'для артикула'!$A$17:$B$19,2,0),VLOOKUP(J100,'для артикула'!$A$22:$B$23,2,0),VLOOKUP(H100,'для артик"&amp;"ула'!$A$26:$B$30,2,0))"),"002-2013E50Q13-OK")</f>
        <v>002-2013E50Q13-OK</v>
      </c>
      <c r="N100" s="8" t="str">
        <f>IF(ISNUMBER(MATCH(C100, 'Реестр договоров'!$D$2:$D$900, 0)), "Продано", "В наличии")</f>
        <v>Продано</v>
      </c>
    </row>
    <row r="101" spans="1:14">
      <c r="A101" s="26">
        <v>45449.666510173614</v>
      </c>
      <c r="B101" s="26"/>
      <c r="C101" s="8" t="s">
        <v>211</v>
      </c>
      <c r="D101" s="8" t="s">
        <v>114</v>
      </c>
      <c r="E101" s="8">
        <v>30</v>
      </c>
      <c r="F101" s="8" t="s">
        <v>116</v>
      </c>
      <c r="G101" s="8" t="s">
        <v>116</v>
      </c>
      <c r="H101" s="8" t="s">
        <v>115</v>
      </c>
      <c r="I101" s="27">
        <v>45384</v>
      </c>
      <c r="J101" s="8" t="s">
        <v>117</v>
      </c>
      <c r="K101" s="8" t="s">
        <v>124</v>
      </c>
      <c r="L101" s="8" t="s">
        <v>119</v>
      </c>
      <c r="M101" s="16" t="str">
        <f ca="1">IFERROR(__xludf.DUMMYFUNCTION("JOIN("""",VLOOKUP(D101,'для артикула'!$A$2:$B$7,2,0),VLOOKUP(G101,'для артикула'!$A$13:$B$14,2,0),VLOOKUP(E101,'для артикула'!$A$9:$B$11,2,0),VLOOKUP(F101,'для артикула'!$A$17:$B$19,2,0),VLOOKUP(J101,'для артикула'!$A$22:$B$23,2,0),VLOOKUP(H101,'для артик"&amp;"ула'!$A$26:$B$30,2,0))"),"002-2013E30Q13-OK")</f>
        <v>002-2013E30Q13-OK</v>
      </c>
      <c r="N101" s="8" t="str">
        <f>IF(ISNUMBER(MATCH(C101, 'Реестр договоров'!$D$2:$D$900, 0)), "Продано", "В наличии")</f>
        <v>Продано</v>
      </c>
    </row>
    <row r="102" spans="1:14">
      <c r="A102" s="26">
        <v>45467.69244864583</v>
      </c>
      <c r="B102" s="26"/>
      <c r="C102" s="8" t="s">
        <v>212</v>
      </c>
      <c r="D102" s="8" t="s">
        <v>114</v>
      </c>
      <c r="E102" s="8">
        <v>50</v>
      </c>
      <c r="F102" s="8" t="s">
        <v>116</v>
      </c>
      <c r="G102" s="8" t="s">
        <v>116</v>
      </c>
      <c r="H102" s="8" t="s">
        <v>115</v>
      </c>
      <c r="I102" s="27">
        <v>45467</v>
      </c>
      <c r="J102" s="8" t="s">
        <v>117</v>
      </c>
      <c r="K102" s="8" t="s">
        <v>124</v>
      </c>
      <c r="L102" s="8" t="s">
        <v>119</v>
      </c>
      <c r="M102" s="16" t="str">
        <f ca="1">IFERROR(__xludf.DUMMYFUNCTION("JOIN("""",VLOOKUP(D102,'для артикула'!$A$2:$B$7,2,0),VLOOKUP(G102,'для артикула'!$A$13:$B$14,2,0),VLOOKUP(E102,'для артикула'!$A$9:$B$11,2,0),VLOOKUP(F102,'для артикула'!$A$17:$B$19,2,0),VLOOKUP(J102,'для артикула'!$A$22:$B$23,2,0),VLOOKUP(H102,'для артик"&amp;"ула'!$A$26:$B$30,2,0))"),"002-2013E50Q13-OK")</f>
        <v>002-2013E50Q13-OK</v>
      </c>
      <c r="N102" s="8" t="str">
        <f>IF(ISNUMBER(MATCH(C102, 'Реестр договоров'!$D$2:$D$900, 0)), "Продано", "В наличии")</f>
        <v>Продано</v>
      </c>
    </row>
    <row r="103" spans="1:14">
      <c r="A103" s="26">
        <v>45476.673886990742</v>
      </c>
      <c r="B103" s="26"/>
      <c r="C103" s="8" t="s">
        <v>213</v>
      </c>
      <c r="D103" s="8" t="s">
        <v>114</v>
      </c>
      <c r="E103" s="8">
        <v>50</v>
      </c>
      <c r="F103" s="8" t="s">
        <v>116</v>
      </c>
      <c r="G103" s="8" t="s">
        <v>116</v>
      </c>
      <c r="H103" s="8" t="s">
        <v>115</v>
      </c>
      <c r="I103" s="27">
        <v>45476</v>
      </c>
      <c r="J103" s="8" t="s">
        <v>117</v>
      </c>
      <c r="K103" s="8" t="s">
        <v>118</v>
      </c>
      <c r="L103" s="8" t="s">
        <v>119</v>
      </c>
      <c r="M103" s="16" t="str">
        <f ca="1">IFERROR(__xludf.DUMMYFUNCTION("JOIN("""",VLOOKUP(D103,'для артикула'!$A$2:$B$7,2,0),VLOOKUP(G103,'для артикула'!$A$13:$B$14,2,0),VLOOKUP(E103,'для артикула'!$A$9:$B$11,2,0),VLOOKUP(F103,'для артикула'!$A$17:$B$19,2,0),VLOOKUP(J103,'для артикула'!$A$22:$B$23,2,0),VLOOKUP(H103,'для артик"&amp;"ула'!$A$26:$B$30,2,0))"),"002-2013E50Q13-OK")</f>
        <v>002-2013E50Q13-OK</v>
      </c>
      <c r="N103" s="8" t="str">
        <f>IF(ISNUMBER(MATCH(C103, 'Реестр договоров'!$D$2:$D$900, 0)), "Продано", "В наличии")</f>
        <v>Продано</v>
      </c>
    </row>
    <row r="104" spans="1:14">
      <c r="A104" s="26">
        <v>45485.574281979163</v>
      </c>
      <c r="B104" s="26"/>
      <c r="C104" s="8" t="s">
        <v>214</v>
      </c>
      <c r="D104" s="8" t="s">
        <v>114</v>
      </c>
      <c r="E104" s="8">
        <v>50</v>
      </c>
      <c r="F104" s="8" t="s">
        <v>116</v>
      </c>
      <c r="G104" s="8" t="s">
        <v>116</v>
      </c>
      <c r="H104" s="8" t="s">
        <v>115</v>
      </c>
      <c r="I104" s="27">
        <v>45485</v>
      </c>
      <c r="J104" s="8" t="s">
        <v>117</v>
      </c>
      <c r="K104" s="8" t="s">
        <v>124</v>
      </c>
      <c r="L104" s="8" t="s">
        <v>119</v>
      </c>
      <c r="M104" s="16" t="str">
        <f ca="1">IFERROR(__xludf.DUMMYFUNCTION("JOIN("""",VLOOKUP(D104,'для артикула'!$A$2:$B$7,2,0),VLOOKUP(G104,'для артикула'!$A$13:$B$14,2,0),VLOOKUP(E104,'для артикула'!$A$9:$B$11,2,0),VLOOKUP(F104,'для артикула'!$A$17:$B$19,2,0),VLOOKUP(J104,'для артикула'!$A$22:$B$23,2,0),VLOOKUP(H104,'для артик"&amp;"ула'!$A$26:$B$30,2,0))"),"002-2013E50Q13-OK")</f>
        <v>002-2013E50Q13-OK</v>
      </c>
      <c r="N104" s="8" t="str">
        <f>IF(ISNUMBER(MATCH(C104, 'Реестр договоров'!$D$2:$D$900, 0)), "Продано", "В наличии")</f>
        <v>Продано</v>
      </c>
    </row>
    <row r="105" spans="1:14">
      <c r="A105" s="26">
        <v>45485.573657465276</v>
      </c>
      <c r="B105" s="26"/>
      <c r="C105" s="8" t="s">
        <v>215</v>
      </c>
      <c r="D105" s="8" t="s">
        <v>114</v>
      </c>
      <c r="E105" s="8">
        <v>30</v>
      </c>
      <c r="F105" s="8" t="s">
        <v>116</v>
      </c>
      <c r="G105" s="8" t="s">
        <v>116</v>
      </c>
      <c r="H105" s="8" t="s">
        <v>115</v>
      </c>
      <c r="I105" s="27">
        <v>45485</v>
      </c>
      <c r="J105" s="8" t="s">
        <v>117</v>
      </c>
      <c r="K105" s="8" t="s">
        <v>124</v>
      </c>
      <c r="L105" s="8" t="s">
        <v>119</v>
      </c>
      <c r="M105" s="16" t="str">
        <f ca="1">IFERROR(__xludf.DUMMYFUNCTION("JOIN("""",VLOOKUP(D105,'для артикула'!$A$2:$B$7,2,0),VLOOKUP(G105,'для артикула'!$A$13:$B$14,2,0),VLOOKUP(E105,'для артикула'!$A$9:$B$11,2,0),VLOOKUP(F105,'для артикула'!$A$17:$B$19,2,0),VLOOKUP(J105,'для артикула'!$A$22:$B$23,2,0),VLOOKUP(H105,'для артик"&amp;"ула'!$A$26:$B$30,2,0))"),"002-2013E30Q13-OK")</f>
        <v>002-2013E30Q13-OK</v>
      </c>
      <c r="N105" s="8" t="str">
        <f>IF(ISNUMBER(MATCH(C105, 'Реестр договоров'!$D$2:$D$900, 0)), "Продано", "В наличии")</f>
        <v>Продано</v>
      </c>
    </row>
    <row r="106" spans="1:14">
      <c r="A106" s="26">
        <v>45483.736549247682</v>
      </c>
      <c r="B106" s="26"/>
      <c r="C106" s="8" t="s">
        <v>216</v>
      </c>
      <c r="D106" s="8" t="s">
        <v>114</v>
      </c>
      <c r="E106" s="8">
        <v>50</v>
      </c>
      <c r="F106" s="8" t="s">
        <v>116</v>
      </c>
      <c r="G106" s="8" t="s">
        <v>116</v>
      </c>
      <c r="H106" s="8" t="s">
        <v>115</v>
      </c>
      <c r="I106" s="27">
        <v>45483</v>
      </c>
      <c r="J106" s="8" t="s">
        <v>117</v>
      </c>
      <c r="K106" s="8" t="s">
        <v>124</v>
      </c>
      <c r="L106" s="8" t="s">
        <v>119</v>
      </c>
      <c r="M106" s="16" t="str">
        <f ca="1">IFERROR(__xludf.DUMMYFUNCTION("JOIN("""",VLOOKUP(D106,'для артикула'!$A$2:$B$7,2,0),VLOOKUP(G106,'для артикула'!$A$13:$B$14,2,0),VLOOKUP(E106,'для артикула'!$A$9:$B$11,2,0),VLOOKUP(F106,'для артикула'!$A$17:$B$19,2,0),VLOOKUP(J106,'для артикула'!$A$22:$B$23,2,0),VLOOKUP(H106,'для артик"&amp;"ула'!$A$26:$B$30,2,0))"),"002-2013E50Q13-OK")</f>
        <v>002-2013E50Q13-OK</v>
      </c>
      <c r="N106" s="8" t="str">
        <f>IF(ISNUMBER(MATCH(C106, 'Реестр договоров'!$D$2:$D$900, 0)), "Продано", "В наличии")</f>
        <v>Продано</v>
      </c>
    </row>
    <row r="107" spans="1:14">
      <c r="A107" s="26">
        <v>45476.451567939817</v>
      </c>
      <c r="B107" s="26"/>
      <c r="C107" s="8" t="s">
        <v>217</v>
      </c>
      <c r="D107" s="8" t="s">
        <v>114</v>
      </c>
      <c r="E107" s="8">
        <v>30</v>
      </c>
      <c r="F107" s="8" t="s">
        <v>116</v>
      </c>
      <c r="G107" s="8" t="s">
        <v>116</v>
      </c>
      <c r="H107" s="8" t="s">
        <v>115</v>
      </c>
      <c r="I107" s="27">
        <v>45475</v>
      </c>
      <c r="J107" s="8" t="s">
        <v>117</v>
      </c>
      <c r="K107" s="8" t="s">
        <v>118</v>
      </c>
      <c r="L107" s="8" t="s">
        <v>119</v>
      </c>
      <c r="M107" s="16" t="str">
        <f ca="1">IFERROR(__xludf.DUMMYFUNCTION("JOIN("""",VLOOKUP(D107,'для артикула'!$A$2:$B$7,2,0),VLOOKUP(G107,'для артикула'!$A$13:$B$14,2,0),VLOOKUP(E107,'для артикула'!$A$9:$B$11,2,0),VLOOKUP(F107,'для артикула'!$A$17:$B$19,2,0),VLOOKUP(J107,'для артикула'!$A$22:$B$23,2,0),VLOOKUP(H107,'для артик"&amp;"ула'!$A$26:$B$30,2,0))"),"002-2013E30Q13-OK")</f>
        <v>002-2013E30Q13-OK</v>
      </c>
      <c r="N107" s="8" t="str">
        <f>IF(ISNUMBER(MATCH(C107, 'Реестр договоров'!$D$2:$D$900, 0)), "Продано", "В наличии")</f>
        <v>Продано</v>
      </c>
    </row>
    <row r="108" spans="1:14">
      <c r="A108" s="26">
        <v>45484.671256608795</v>
      </c>
      <c r="B108" s="26"/>
      <c r="C108" s="8" t="s">
        <v>218</v>
      </c>
      <c r="D108" s="8" t="s">
        <v>114</v>
      </c>
      <c r="E108" s="8">
        <v>50</v>
      </c>
      <c r="F108" s="8" t="s">
        <v>116</v>
      </c>
      <c r="G108" s="8" t="s">
        <v>116</v>
      </c>
      <c r="H108" s="8">
        <v>30</v>
      </c>
      <c r="I108" s="27">
        <v>45484</v>
      </c>
      <c r="J108" s="8" t="s">
        <v>117</v>
      </c>
      <c r="K108" s="8" t="s">
        <v>118</v>
      </c>
      <c r="L108" s="8" t="s">
        <v>119</v>
      </c>
      <c r="M108" s="16" t="str">
        <f ca="1">IFERROR(__xludf.DUMMYFUNCTION("JOIN("""",VLOOKUP(D108,'для артикула'!$A$2:$B$7,2,0),VLOOKUP(G108,'для артикула'!$A$13:$B$14,2,0),VLOOKUP(E108,'для артикула'!$A$9:$B$11,2,0),VLOOKUP(F108,'для артикула'!$A$17:$B$19,2,0),VLOOKUP(J108,'для артикула'!$A$22:$B$23,2,0),VLOOKUP(H108,'для артик"&amp;"ула'!$A$26:$B$30,2,0))"),"002-2013E50Q13-OK30")</f>
        <v>002-2013E50Q13-OK30</v>
      </c>
      <c r="N108" s="8" t="str">
        <f>IF(ISNUMBER(MATCH(C108, 'Реестр договоров'!$D$2:$D$900, 0)), "Продано", "В наличии")</f>
        <v>Продано</v>
      </c>
    </row>
    <row r="109" spans="1:14">
      <c r="A109" s="26">
        <v>45502.525757916665</v>
      </c>
      <c r="B109" s="26"/>
      <c r="C109" s="8" t="s">
        <v>219</v>
      </c>
      <c r="D109" s="8" t="s">
        <v>114</v>
      </c>
      <c r="E109" s="8">
        <v>30</v>
      </c>
      <c r="F109" s="8" t="s">
        <v>116</v>
      </c>
      <c r="G109" s="8" t="s">
        <v>116</v>
      </c>
      <c r="H109" s="8">
        <v>30</v>
      </c>
      <c r="I109" s="27">
        <v>45499</v>
      </c>
      <c r="J109" s="8" t="s">
        <v>117</v>
      </c>
      <c r="K109" s="8" t="s">
        <v>121</v>
      </c>
      <c r="L109" s="8" t="s">
        <v>119</v>
      </c>
      <c r="M109" s="16" t="str">
        <f ca="1">IFERROR(__xludf.DUMMYFUNCTION("JOIN("""",VLOOKUP(D109,'для артикула'!$A$2:$B$7,2,0),VLOOKUP(G109,'для артикула'!$A$13:$B$14,2,0),VLOOKUP(E109,'для артикула'!$A$9:$B$11,2,0),VLOOKUP(F109,'для артикула'!$A$17:$B$19,2,0),VLOOKUP(J109,'для артикула'!$A$22:$B$23,2,0),VLOOKUP(H109,'для артик"&amp;"ула'!$A$26:$B$30,2,0))"),"002-2013E30Q13-OK30")</f>
        <v>002-2013E30Q13-OK30</v>
      </c>
      <c r="N109" s="8" t="str">
        <f>IF(ISNUMBER(MATCH(C109, 'Реестр договоров'!$D$2:$D$900, 0)), "Продано", "В наличии")</f>
        <v>Продано</v>
      </c>
    </row>
    <row r="110" spans="1:14">
      <c r="A110" s="26">
        <v>45492.433804976856</v>
      </c>
      <c r="B110" s="26"/>
      <c r="C110" s="8" t="s">
        <v>220</v>
      </c>
      <c r="D110" s="8" t="s">
        <v>114</v>
      </c>
      <c r="E110" s="8">
        <v>50</v>
      </c>
      <c r="F110" s="8" t="s">
        <v>116</v>
      </c>
      <c r="G110" s="8" t="s">
        <v>116</v>
      </c>
      <c r="H110" s="8" t="s">
        <v>115</v>
      </c>
      <c r="I110" s="27">
        <v>45492</v>
      </c>
      <c r="J110" s="8" t="s">
        <v>117</v>
      </c>
      <c r="K110" s="8" t="s">
        <v>118</v>
      </c>
      <c r="L110" s="8" t="s">
        <v>119</v>
      </c>
      <c r="M110" s="16" t="str">
        <f ca="1">IFERROR(__xludf.DUMMYFUNCTION("JOIN("""",VLOOKUP(D110,'для артикула'!$A$2:$B$7,2,0),VLOOKUP(G110,'для артикула'!$A$13:$B$14,2,0),VLOOKUP(E110,'для артикула'!$A$9:$B$11,2,0),VLOOKUP(F110,'для артикула'!$A$17:$B$19,2,0),VLOOKUP(J110,'для артикула'!$A$22:$B$23,2,0),VLOOKUP(H110,'для артик"&amp;"ула'!$A$26:$B$30,2,0))"),"002-2013E50Q13-OK")</f>
        <v>002-2013E50Q13-OK</v>
      </c>
      <c r="N110" s="8" t="str">
        <f>IF(ISNUMBER(MATCH(C110, 'Реестр договоров'!$D$2:$D$900, 0)), "Продано", "В наличии")</f>
        <v>Продано</v>
      </c>
    </row>
    <row r="111" spans="1:14">
      <c r="A111" s="26">
        <v>45463.711007407408</v>
      </c>
      <c r="B111" s="26"/>
      <c r="C111" s="8" t="s">
        <v>221</v>
      </c>
      <c r="D111" s="8" t="s">
        <v>114</v>
      </c>
      <c r="E111" s="8">
        <v>30</v>
      </c>
      <c r="F111" s="8" t="s">
        <v>116</v>
      </c>
      <c r="G111" s="8" t="s">
        <v>116</v>
      </c>
      <c r="H111" s="8" t="s">
        <v>115</v>
      </c>
      <c r="I111" s="27">
        <v>45463</v>
      </c>
      <c r="J111" s="8" t="s">
        <v>117</v>
      </c>
      <c r="K111" s="8" t="s">
        <v>124</v>
      </c>
      <c r="L111" s="8" t="s">
        <v>119</v>
      </c>
      <c r="M111" s="16" t="str">
        <f ca="1">IFERROR(__xludf.DUMMYFUNCTION("JOIN("""",VLOOKUP(D111,'для артикула'!$A$2:$B$7,2,0),VLOOKUP(G111,'для артикула'!$A$13:$B$14,2,0),VLOOKUP(E111,'для артикула'!$A$9:$B$11,2,0),VLOOKUP(F111,'для артикула'!$A$17:$B$19,2,0),VLOOKUP(J111,'для артикула'!$A$22:$B$23,2,0),VLOOKUP(H111,'для артик"&amp;"ула'!$A$26:$B$30,2,0))"),"002-2013E30Q13-OK")</f>
        <v>002-2013E30Q13-OK</v>
      </c>
      <c r="N111" s="8" t="str">
        <f>IF(ISNUMBER(MATCH(C111, 'Реестр договоров'!$D$2:$D$900, 0)), "Продано", "В наличии")</f>
        <v>Продано</v>
      </c>
    </row>
    <row r="112" spans="1:14">
      <c r="A112" s="26">
        <v>45520.498342361112</v>
      </c>
      <c r="B112" s="26"/>
      <c r="C112" s="8" t="s">
        <v>222</v>
      </c>
      <c r="D112" s="8" t="s">
        <v>114</v>
      </c>
      <c r="E112" s="8">
        <v>50</v>
      </c>
      <c r="F112" s="8" t="s">
        <v>116</v>
      </c>
      <c r="G112" s="8" t="s">
        <v>116</v>
      </c>
      <c r="H112" s="8" t="s">
        <v>115</v>
      </c>
      <c r="I112" s="27">
        <v>45520</v>
      </c>
      <c r="J112" s="8" t="s">
        <v>117</v>
      </c>
      <c r="K112" s="8" t="s">
        <v>124</v>
      </c>
      <c r="L112" s="8" t="s">
        <v>119</v>
      </c>
      <c r="M112" s="16" t="str">
        <f ca="1">IFERROR(__xludf.DUMMYFUNCTION("JOIN("""",VLOOKUP(D112,'для артикула'!$A$2:$B$7,2,0),VLOOKUP(G112,'для артикула'!$A$13:$B$14,2,0),VLOOKUP(E112,'для артикула'!$A$9:$B$11,2,0),VLOOKUP(F112,'для артикула'!$A$17:$B$19,2,0),VLOOKUP(J112,'для артикула'!$A$22:$B$23,2,0),VLOOKUP(H112,'для артик"&amp;"ула'!$A$26:$B$30,2,0))"),"002-2013E50Q13-OK")</f>
        <v>002-2013E50Q13-OK</v>
      </c>
      <c r="N112" s="8" t="str">
        <f>IF(ISNUMBER(MATCH(C112, 'Реестр договоров'!$D$2:$D$900, 0)), "Продано", "В наличии")</f>
        <v>Продано</v>
      </c>
    </row>
    <row r="113" spans="1:15">
      <c r="A113" s="26">
        <v>45467.69322291667</v>
      </c>
      <c r="B113" s="26"/>
      <c r="C113" s="8" t="s">
        <v>223</v>
      </c>
      <c r="D113" s="8" t="s">
        <v>114</v>
      </c>
      <c r="E113" s="8">
        <v>50</v>
      </c>
      <c r="F113" s="8" t="s">
        <v>116</v>
      </c>
      <c r="G113" s="8" t="s">
        <v>116</v>
      </c>
      <c r="H113" s="8" t="s">
        <v>115</v>
      </c>
      <c r="I113" s="27">
        <v>45467</v>
      </c>
      <c r="J113" s="8" t="s">
        <v>117</v>
      </c>
      <c r="K113" s="8" t="s">
        <v>118</v>
      </c>
      <c r="L113" s="8" t="s">
        <v>119</v>
      </c>
      <c r="M113" s="16" t="str">
        <f ca="1">IFERROR(__xludf.DUMMYFUNCTION("JOIN("""",VLOOKUP(D113,'для артикула'!$A$2:$B$7,2,0),VLOOKUP(G113,'для артикула'!$A$13:$B$14,2,0),VLOOKUP(E113,'для артикула'!$A$9:$B$11,2,0),VLOOKUP(F113,'для артикула'!$A$17:$B$19,2,0),VLOOKUP(J113,'для артикула'!$A$22:$B$23,2,0),VLOOKUP(H113,'для артик"&amp;"ула'!$A$26:$B$30,2,0))"),"002-2013E50Q13-OK")</f>
        <v>002-2013E50Q13-OK</v>
      </c>
      <c r="N113" s="8" t="str">
        <f>IF(ISNUMBER(MATCH(C113, 'Реестр договоров'!$D$2:$D$900, 0)), "Продано", "В наличии")</f>
        <v>Продано</v>
      </c>
    </row>
    <row r="114" spans="1:15">
      <c r="A114" s="26">
        <v>45475.670934305555</v>
      </c>
      <c r="B114" s="26"/>
      <c r="C114" s="8" t="s">
        <v>224</v>
      </c>
      <c r="D114" s="8" t="s">
        <v>114</v>
      </c>
      <c r="E114" s="8">
        <v>50</v>
      </c>
      <c r="F114" s="8" t="s">
        <v>116</v>
      </c>
      <c r="G114" s="8" t="s">
        <v>116</v>
      </c>
      <c r="H114" s="8" t="s">
        <v>115</v>
      </c>
      <c r="I114" s="27">
        <v>45475</v>
      </c>
      <c r="J114" s="8" t="s">
        <v>117</v>
      </c>
      <c r="K114" s="8" t="s">
        <v>118</v>
      </c>
      <c r="L114" s="8" t="s">
        <v>119</v>
      </c>
      <c r="M114" s="16" t="str">
        <f ca="1">IFERROR(__xludf.DUMMYFUNCTION("JOIN("""",VLOOKUP(D114,'для артикула'!$A$2:$B$7,2,0),VLOOKUP(G114,'для артикула'!$A$13:$B$14,2,0),VLOOKUP(E114,'для артикула'!$A$9:$B$11,2,0),VLOOKUP(F114,'для артикула'!$A$17:$B$19,2,0),VLOOKUP(J114,'для артикула'!$A$22:$B$23,2,0),VLOOKUP(H114,'для артик"&amp;"ула'!$A$26:$B$30,2,0))"),"002-2013E50Q13-OK")</f>
        <v>002-2013E50Q13-OK</v>
      </c>
      <c r="N114" s="8" t="str">
        <f>IF(ISNUMBER(MATCH(C114, 'Реестр договоров'!$D$2:$D$900, 0)), "Продано", "В наличии")</f>
        <v>Продано</v>
      </c>
      <c r="O114" s="8"/>
    </row>
    <row r="115" spans="1:15">
      <c r="A115" s="26">
        <v>45499.520911967593</v>
      </c>
      <c r="B115" s="26"/>
      <c r="C115" s="8" t="s">
        <v>225</v>
      </c>
      <c r="D115" s="8" t="s">
        <v>114</v>
      </c>
      <c r="E115" s="8">
        <v>50</v>
      </c>
      <c r="F115" s="8" t="s">
        <v>116</v>
      </c>
      <c r="G115" s="8" t="s">
        <v>116</v>
      </c>
      <c r="H115" s="8" t="s">
        <v>115</v>
      </c>
      <c r="I115" s="27">
        <v>45498</v>
      </c>
      <c r="J115" s="8" t="s">
        <v>117</v>
      </c>
      <c r="K115" s="8" t="s">
        <v>118</v>
      </c>
      <c r="L115" s="8" t="s">
        <v>119</v>
      </c>
      <c r="M115" s="16" t="str">
        <f ca="1">IFERROR(__xludf.DUMMYFUNCTION("JOIN("""",VLOOKUP(D115,'для артикула'!$A$2:$B$7,2,0),VLOOKUP(G115,'для артикула'!$A$13:$B$14,2,0),VLOOKUP(E115,'для артикула'!$A$9:$B$11,2,0),VLOOKUP(F115,'для артикула'!$A$17:$B$19,2,0),VLOOKUP(J115,'для артикула'!$A$22:$B$23,2,0),VLOOKUP(H115,'для артик"&amp;"ула'!$A$26:$B$30,2,0))"),"002-2013E50Q13-OK")</f>
        <v>002-2013E50Q13-OK</v>
      </c>
      <c r="N115" s="8" t="str">
        <f>IF(ISNUMBER(MATCH(C115, 'Реестр договоров'!$D$2:$D$900, 0)), "Продано", "В наличии")</f>
        <v>Продано</v>
      </c>
    </row>
    <row r="116" spans="1:15">
      <c r="A116" s="26">
        <v>45491.46718511574</v>
      </c>
      <c r="B116" s="26"/>
      <c r="C116" s="8" t="s">
        <v>226</v>
      </c>
      <c r="D116" s="8" t="s">
        <v>114</v>
      </c>
      <c r="E116" s="8">
        <v>50</v>
      </c>
      <c r="F116" s="8" t="s">
        <v>116</v>
      </c>
      <c r="G116" s="8" t="s">
        <v>116</v>
      </c>
      <c r="H116" s="8">
        <v>30</v>
      </c>
      <c r="I116" s="27">
        <v>45490</v>
      </c>
      <c r="J116" s="8" t="s">
        <v>117</v>
      </c>
      <c r="K116" s="8" t="s">
        <v>118</v>
      </c>
      <c r="L116" s="8" t="s">
        <v>119</v>
      </c>
      <c r="M116" s="16" t="str">
        <f ca="1">IFERROR(__xludf.DUMMYFUNCTION("JOIN("""",VLOOKUP(D116,'для артикула'!$A$2:$B$7,2,0),VLOOKUP(G116,'для артикула'!$A$13:$B$14,2,0),VLOOKUP(E116,'для артикула'!$A$9:$B$11,2,0),VLOOKUP(F116,'для артикула'!$A$17:$B$19,2,0),VLOOKUP(J116,'для артикула'!$A$22:$B$23,2,0),VLOOKUP(H116,'для артик"&amp;"ула'!$A$26:$B$30,2,0))"),"002-2013E50Q13-OK30")</f>
        <v>002-2013E50Q13-OK30</v>
      </c>
      <c r="N116" s="8" t="str">
        <f>IF(ISNUMBER(MATCH(C116, 'Реестр договоров'!$D$2:$D$900, 0)), "Продано", "В наличии")</f>
        <v>Продано</v>
      </c>
    </row>
    <row r="117" spans="1:15">
      <c r="A117" s="26">
        <v>45464.520244201391</v>
      </c>
      <c r="B117" s="26"/>
      <c r="C117" s="8" t="s">
        <v>227</v>
      </c>
      <c r="D117" s="8" t="s">
        <v>114</v>
      </c>
      <c r="E117" s="8">
        <v>30</v>
      </c>
      <c r="F117" s="8" t="s">
        <v>116</v>
      </c>
      <c r="G117" s="8" t="s">
        <v>116</v>
      </c>
      <c r="H117" s="8" t="s">
        <v>115</v>
      </c>
      <c r="I117" s="27">
        <v>45464</v>
      </c>
      <c r="J117" s="8" t="s">
        <v>117</v>
      </c>
      <c r="K117" s="8" t="s">
        <v>124</v>
      </c>
      <c r="L117" s="8" t="s">
        <v>119</v>
      </c>
      <c r="M117" s="16" t="str">
        <f ca="1">IFERROR(__xludf.DUMMYFUNCTION("JOIN("""",VLOOKUP(D117,'для артикула'!$A$2:$B$7,2,0),VLOOKUP(G117,'для артикула'!$A$13:$B$14,2,0),VLOOKUP(E117,'для артикула'!$A$9:$B$11,2,0),VLOOKUP(F117,'для артикула'!$A$17:$B$19,2,0),VLOOKUP(J117,'для артикула'!$A$22:$B$23,2,0),VLOOKUP(H117,'для артик"&amp;"ула'!$A$26:$B$30,2,0))"),"002-2013E30Q13-OK")</f>
        <v>002-2013E30Q13-OK</v>
      </c>
      <c r="N117" s="8" t="str">
        <f>IF(ISNUMBER(MATCH(C117, 'Реестр договоров'!$D$2:$D$900, 0)), "Продано", "В наличии")</f>
        <v>Продано</v>
      </c>
      <c r="O117" s="8"/>
    </row>
    <row r="118" spans="1:15">
      <c r="A118" s="26">
        <v>45449.674285300927</v>
      </c>
      <c r="B118" s="26"/>
      <c r="C118" s="8" t="s">
        <v>228</v>
      </c>
      <c r="D118" s="8" t="s">
        <v>114</v>
      </c>
      <c r="E118" s="8">
        <v>50</v>
      </c>
      <c r="F118" s="8" t="s">
        <v>116</v>
      </c>
      <c r="G118" s="8" t="s">
        <v>116</v>
      </c>
      <c r="H118" s="8" t="s">
        <v>115</v>
      </c>
      <c r="I118" s="27">
        <v>45418</v>
      </c>
      <c r="J118" s="8" t="s">
        <v>117</v>
      </c>
      <c r="K118" s="8" t="s">
        <v>124</v>
      </c>
      <c r="L118" s="8" t="s">
        <v>119</v>
      </c>
      <c r="M118" s="16" t="str">
        <f ca="1">IFERROR(__xludf.DUMMYFUNCTION("JOIN("""",VLOOKUP(D118,'для артикула'!$A$2:$B$7,2,0),VLOOKUP(G118,'для артикула'!$A$13:$B$14,2,0),VLOOKUP(E118,'для артикула'!$A$9:$B$11,2,0),VLOOKUP(F118,'для артикула'!$A$17:$B$19,2,0),VLOOKUP(J118,'для артикула'!$A$22:$B$23,2,0),VLOOKUP(H118,'для артик"&amp;"ула'!$A$26:$B$30,2,0))"),"002-2013E50Q13-OK")</f>
        <v>002-2013E50Q13-OK</v>
      </c>
      <c r="N118" s="8" t="str">
        <f>IF(ISNUMBER(MATCH(C118, 'Реестр договоров'!$D$2:$D$900, 0)), "Продано", "В наличии")</f>
        <v>Продано</v>
      </c>
      <c r="O118" s="8"/>
    </row>
    <row r="119" spans="1:15">
      <c r="A119" s="26">
        <v>45502.526585891203</v>
      </c>
      <c r="B119" s="26"/>
      <c r="C119" s="8" t="s">
        <v>229</v>
      </c>
      <c r="D119" s="8" t="s">
        <v>114</v>
      </c>
      <c r="E119" s="8">
        <v>30</v>
      </c>
      <c r="F119" s="8" t="s">
        <v>116</v>
      </c>
      <c r="G119" s="8" t="s">
        <v>116</v>
      </c>
      <c r="H119" s="8" t="s">
        <v>115</v>
      </c>
      <c r="I119" s="27">
        <v>45499</v>
      </c>
      <c r="J119" s="8" t="s">
        <v>117</v>
      </c>
      <c r="K119" s="8" t="s">
        <v>121</v>
      </c>
      <c r="L119" s="8" t="s">
        <v>119</v>
      </c>
      <c r="M119" s="16" t="str">
        <f ca="1">IFERROR(__xludf.DUMMYFUNCTION("JOIN("""",VLOOKUP(D119,'для артикула'!$A$2:$B$7,2,0),VLOOKUP(G119,'для артикула'!$A$13:$B$14,2,0),VLOOKUP(E119,'для артикула'!$A$9:$B$11,2,0),VLOOKUP(F119,'для артикула'!$A$17:$B$19,2,0),VLOOKUP(J119,'для артикула'!$A$22:$B$23,2,0),VLOOKUP(H119,'для артик"&amp;"ула'!$A$26:$B$30,2,0))"),"002-2013E30Q13-OK")</f>
        <v>002-2013E30Q13-OK</v>
      </c>
      <c r="N119" s="8" t="str">
        <f>IF(ISNUMBER(MATCH(C119, 'Реестр договоров'!$D$2:$D$900, 0)), "Продано", "В наличии")</f>
        <v>Продано</v>
      </c>
    </row>
    <row r="120" spans="1:15">
      <c r="A120" s="26">
        <v>45464.523956574078</v>
      </c>
      <c r="B120" s="26"/>
      <c r="C120" s="8" t="s">
        <v>230</v>
      </c>
      <c r="D120" s="8" t="s">
        <v>114</v>
      </c>
      <c r="E120" s="8">
        <v>30</v>
      </c>
      <c r="F120" s="8" t="s">
        <v>116</v>
      </c>
      <c r="G120" s="8" t="s">
        <v>116</v>
      </c>
      <c r="H120" s="8" t="s">
        <v>115</v>
      </c>
      <c r="I120" s="27">
        <v>45464</v>
      </c>
      <c r="J120" s="8" t="s">
        <v>117</v>
      </c>
      <c r="K120" s="8" t="s">
        <v>124</v>
      </c>
      <c r="L120" s="8" t="s">
        <v>119</v>
      </c>
      <c r="M120" s="16" t="str">
        <f ca="1">IFERROR(__xludf.DUMMYFUNCTION("JOIN("""",VLOOKUP(D120,'для артикула'!$A$2:$B$7,2,0),VLOOKUP(G120,'для артикула'!$A$13:$B$14,2,0),VLOOKUP(E120,'для артикула'!$A$9:$B$11,2,0),VLOOKUP(F120,'для артикула'!$A$17:$B$19,2,0),VLOOKUP(J120,'для артикула'!$A$22:$B$23,2,0),VLOOKUP(H120,'для артик"&amp;"ула'!$A$26:$B$30,2,0))"),"002-2013E30Q13-OK")</f>
        <v>002-2013E30Q13-OK</v>
      </c>
      <c r="N120" s="8" t="str">
        <f>IF(ISNUMBER(MATCH(C120, 'Реестр договоров'!$D$2:$D$900, 0)), "Продано", "В наличии")</f>
        <v>Продано</v>
      </c>
      <c r="O120" s="8"/>
    </row>
    <row r="121" spans="1:15">
      <c r="A121" s="26">
        <v>45467.692171284725</v>
      </c>
      <c r="B121" s="26"/>
      <c r="C121" s="8" t="s">
        <v>231</v>
      </c>
      <c r="D121" s="8" t="s">
        <v>114</v>
      </c>
      <c r="E121" s="8">
        <v>50</v>
      </c>
      <c r="F121" s="8" t="s">
        <v>116</v>
      </c>
      <c r="G121" s="8" t="s">
        <v>116</v>
      </c>
      <c r="H121" s="8" t="s">
        <v>115</v>
      </c>
      <c r="I121" s="27">
        <v>45467</v>
      </c>
      <c r="J121" s="8" t="s">
        <v>117</v>
      </c>
      <c r="K121" s="8" t="s">
        <v>124</v>
      </c>
      <c r="L121" s="8" t="s">
        <v>119</v>
      </c>
      <c r="M121" s="16" t="str">
        <f ca="1">IFERROR(__xludf.DUMMYFUNCTION("JOIN("""",VLOOKUP(D121,'для артикула'!$A$2:$B$7,2,0),VLOOKUP(G121,'для артикула'!$A$13:$B$14,2,0),VLOOKUP(E121,'для артикула'!$A$9:$B$11,2,0),VLOOKUP(F121,'для артикула'!$A$17:$B$19,2,0),VLOOKUP(J121,'для артикула'!$A$22:$B$23,2,0),VLOOKUP(H121,'для артик"&amp;"ула'!$A$26:$B$30,2,0))"),"002-2013E50Q13-OK")</f>
        <v>002-2013E50Q13-OK</v>
      </c>
      <c r="N121" s="8" t="str">
        <f>IF(ISNUMBER(MATCH(C121, 'Реестр договоров'!$D$2:$D$900, 0)), "Продано", "В наличии")</f>
        <v>Продано</v>
      </c>
      <c r="O121" s="8"/>
    </row>
    <row r="122" spans="1:15">
      <c r="A122" s="26">
        <v>45538.471581446764</v>
      </c>
      <c r="B122" s="26"/>
      <c r="C122" s="8" t="s">
        <v>232</v>
      </c>
      <c r="D122" s="8" t="s">
        <v>114</v>
      </c>
      <c r="E122" s="8">
        <v>30</v>
      </c>
      <c r="F122" s="8" t="s">
        <v>116</v>
      </c>
      <c r="G122" s="8" t="s">
        <v>116</v>
      </c>
      <c r="H122" s="8">
        <v>30</v>
      </c>
      <c r="I122" s="27">
        <v>45538</v>
      </c>
      <c r="J122" s="8" t="s">
        <v>117</v>
      </c>
      <c r="K122" s="8" t="s">
        <v>118</v>
      </c>
      <c r="L122" s="8" t="s">
        <v>119</v>
      </c>
      <c r="M122" s="16" t="str">
        <f ca="1">IFERROR(__xludf.DUMMYFUNCTION("JOIN("""",VLOOKUP(D122,'для артикула'!$A$2:$B$7,2,0),VLOOKUP(G122,'для артикула'!$A$13:$B$14,2,0),VLOOKUP(E122,'для артикула'!$A$9:$B$11,2,0),VLOOKUP(F122,'для артикула'!$A$17:$B$19,2,0),VLOOKUP(J122,'для артикула'!$A$22:$B$23,2,0),VLOOKUP(H122,'для артик"&amp;"ула'!$A$26:$B$30,2,0))"),"002-2013E30Q13-OK30")</f>
        <v>002-2013E30Q13-OK30</v>
      </c>
      <c r="N122" s="8" t="str">
        <f>IF(ISNUMBER(MATCH(C122, 'Реестр договоров'!$D$2:$D$900, 0)), "Продано", "В наличии")</f>
        <v>Продано</v>
      </c>
    </row>
    <row r="123" spans="1:15">
      <c r="A123" s="26">
        <v>45463.685404606484</v>
      </c>
      <c r="B123" s="26"/>
      <c r="C123" s="8" t="s">
        <v>233</v>
      </c>
      <c r="D123" s="8" t="s">
        <v>114</v>
      </c>
      <c r="E123" s="8">
        <v>50</v>
      </c>
      <c r="F123" s="8" t="s">
        <v>116</v>
      </c>
      <c r="G123" s="8" t="s">
        <v>116</v>
      </c>
      <c r="H123" s="8" t="s">
        <v>115</v>
      </c>
      <c r="I123" s="27">
        <v>45463</v>
      </c>
      <c r="J123" s="8" t="s">
        <v>117</v>
      </c>
      <c r="K123" s="8" t="s">
        <v>124</v>
      </c>
      <c r="L123" s="8" t="s">
        <v>119</v>
      </c>
      <c r="M123" s="16" t="str">
        <f ca="1">IFERROR(__xludf.DUMMYFUNCTION("JOIN("""",VLOOKUP(D123,'для артикула'!$A$2:$B$7,2,0),VLOOKUP(G123,'для артикула'!$A$13:$B$14,2,0),VLOOKUP(E123,'для артикула'!$A$9:$B$11,2,0),VLOOKUP(F123,'для артикула'!$A$17:$B$19,2,0),VLOOKUP(J123,'для артикула'!$A$22:$B$23,2,0),VLOOKUP(H123,'для артик"&amp;"ула'!$A$26:$B$30,2,0))"),"002-2013E50Q13-OK")</f>
        <v>002-2013E50Q13-OK</v>
      </c>
      <c r="N123" s="8" t="str">
        <f>IF(ISNUMBER(MATCH(C123, 'Реестр договоров'!$D$2:$D$900, 0)), "Продано", "В наличии")</f>
        <v>Продано</v>
      </c>
      <c r="O123" s="8"/>
    </row>
    <row r="124" spans="1:15">
      <c r="A124" s="26">
        <v>45449.665714282411</v>
      </c>
      <c r="B124" s="26"/>
      <c r="C124" s="8" t="s">
        <v>234</v>
      </c>
      <c r="D124" s="8" t="s">
        <v>114</v>
      </c>
      <c r="E124" s="8">
        <v>30</v>
      </c>
      <c r="F124" s="8" t="s">
        <v>116</v>
      </c>
      <c r="G124" s="8" t="s">
        <v>116</v>
      </c>
      <c r="H124" s="8" t="s">
        <v>115</v>
      </c>
      <c r="I124" s="27">
        <v>45416</v>
      </c>
      <c r="J124" s="8" t="s">
        <v>117</v>
      </c>
      <c r="K124" s="8" t="s">
        <v>124</v>
      </c>
      <c r="L124" s="8" t="s">
        <v>119</v>
      </c>
      <c r="M124" s="16" t="str">
        <f ca="1">IFERROR(__xludf.DUMMYFUNCTION("JOIN("""",VLOOKUP(D124,'для артикула'!$A$2:$B$7,2,0),VLOOKUP(G124,'для артикула'!$A$13:$B$14,2,0),VLOOKUP(E124,'для артикула'!$A$9:$B$11,2,0),VLOOKUP(F124,'для артикула'!$A$17:$B$19,2,0),VLOOKUP(J124,'для артикула'!$A$22:$B$23,2,0),VLOOKUP(H124,'для артик"&amp;"ула'!$A$26:$B$30,2,0))"),"002-2013E30Q13-OK")</f>
        <v>002-2013E30Q13-OK</v>
      </c>
      <c r="N124" s="8" t="str">
        <f>IF(ISNUMBER(MATCH(C124, 'Реестр договоров'!$D$2:$D$900, 0)), "Продано", "В наличии")</f>
        <v>Продано</v>
      </c>
      <c r="O124" s="8"/>
    </row>
    <row r="125" spans="1:15">
      <c r="A125" s="26">
        <v>45467.640518703702</v>
      </c>
      <c r="B125" s="26"/>
      <c r="C125" s="8" t="s">
        <v>235</v>
      </c>
      <c r="D125" s="8" t="s">
        <v>114</v>
      </c>
      <c r="E125" s="8">
        <v>50</v>
      </c>
      <c r="F125" s="8" t="s">
        <v>116</v>
      </c>
      <c r="G125" s="8" t="s">
        <v>116</v>
      </c>
      <c r="H125" s="8" t="s">
        <v>115</v>
      </c>
      <c r="I125" s="27">
        <v>45467</v>
      </c>
      <c r="J125" s="8" t="s">
        <v>117</v>
      </c>
      <c r="K125" s="8" t="s">
        <v>124</v>
      </c>
      <c r="L125" s="8" t="s">
        <v>119</v>
      </c>
      <c r="M125" s="16" t="str">
        <f ca="1">IFERROR(__xludf.DUMMYFUNCTION("JOIN("""",VLOOKUP(D125,'для артикула'!$A$2:$B$7,2,0),VLOOKUP(G125,'для артикула'!$A$13:$B$14,2,0),VLOOKUP(E125,'для артикула'!$A$9:$B$11,2,0),VLOOKUP(F125,'для артикула'!$A$17:$B$19,2,0),VLOOKUP(J125,'для артикула'!$A$22:$B$23,2,0),VLOOKUP(H125,'для артик"&amp;"ула'!$A$26:$B$30,2,0))"),"002-2013E50Q13-OK")</f>
        <v>002-2013E50Q13-OK</v>
      </c>
      <c r="N125" s="8" t="str">
        <f>IF(ISNUMBER(MATCH(C125, 'Реестр договоров'!$D$2:$D$900, 0)), "Продано", "В наличии")</f>
        <v>Продано</v>
      </c>
      <c r="O125" s="8"/>
    </row>
    <row r="126" spans="1:15">
      <c r="A126" s="26">
        <v>45526.463688703705</v>
      </c>
      <c r="B126" s="26"/>
      <c r="C126" s="8" t="s">
        <v>236</v>
      </c>
      <c r="D126" s="8" t="s">
        <v>114</v>
      </c>
      <c r="E126" s="8">
        <v>50</v>
      </c>
      <c r="F126" s="8" t="s">
        <v>116</v>
      </c>
      <c r="G126" s="8" t="s">
        <v>116</v>
      </c>
      <c r="H126" s="8" t="s">
        <v>115</v>
      </c>
      <c r="I126" s="27">
        <v>45526</v>
      </c>
      <c r="J126" s="8" t="s">
        <v>117</v>
      </c>
      <c r="K126" s="8" t="s">
        <v>121</v>
      </c>
      <c r="L126" s="8" t="s">
        <v>119</v>
      </c>
      <c r="M126" s="16" t="str">
        <f ca="1">IFERROR(__xludf.DUMMYFUNCTION("JOIN("""",VLOOKUP(D126,'для артикула'!$A$2:$B$7,2,0),VLOOKUP(G126,'для артикула'!$A$13:$B$14,2,0),VLOOKUP(E126,'для артикула'!$A$9:$B$11,2,0),VLOOKUP(F126,'для артикула'!$A$17:$B$19,2,0),VLOOKUP(J126,'для артикула'!$A$22:$B$23,2,0),VLOOKUP(H126,'для артик"&amp;"ула'!$A$26:$B$30,2,0))"),"002-2013E50Q13-OK")</f>
        <v>002-2013E50Q13-OK</v>
      </c>
      <c r="N126" s="8" t="str">
        <f>IF(ISNUMBER(MATCH(C126, 'Реестр договоров'!$D$2:$D$900, 0)), "Продано", "В наличии")</f>
        <v>Продано</v>
      </c>
    </row>
    <row r="127" spans="1:15">
      <c r="A127" s="26">
        <v>45523.644189768514</v>
      </c>
      <c r="B127" s="26"/>
      <c r="C127" s="8" t="s">
        <v>237</v>
      </c>
      <c r="D127" s="8" t="s">
        <v>114</v>
      </c>
      <c r="E127" s="8">
        <v>50</v>
      </c>
      <c r="F127" s="8" t="s">
        <v>116</v>
      </c>
      <c r="G127" s="8" t="s">
        <v>116</v>
      </c>
      <c r="H127" s="8" t="s">
        <v>115</v>
      </c>
      <c r="I127" s="27">
        <v>45523</v>
      </c>
      <c r="J127" s="8" t="s">
        <v>117</v>
      </c>
      <c r="K127" s="8" t="s">
        <v>121</v>
      </c>
      <c r="L127" s="8" t="s">
        <v>119</v>
      </c>
      <c r="M127" s="16" t="str">
        <f ca="1">IFERROR(__xludf.DUMMYFUNCTION("JOIN("""",VLOOKUP(D127,'для артикула'!$A$2:$B$7,2,0),VLOOKUP(G127,'для артикула'!$A$13:$B$14,2,0),VLOOKUP(E127,'для артикула'!$A$9:$B$11,2,0),VLOOKUP(F127,'для артикула'!$A$17:$B$19,2,0),VLOOKUP(J127,'для артикула'!$A$22:$B$23,2,0),VLOOKUP(H127,'для артик"&amp;"ула'!$A$26:$B$30,2,0))"),"002-2013E50Q13-OK")</f>
        <v>002-2013E50Q13-OK</v>
      </c>
      <c r="N127" s="8" t="str">
        <f>IF(ISNUMBER(MATCH(C127, 'Реестр договоров'!$D$2:$D$900, 0)), "Продано", "В наличии")</f>
        <v>Продано</v>
      </c>
    </row>
    <row r="128" spans="1:15">
      <c r="A128" s="26">
        <v>45541.418919027783</v>
      </c>
      <c r="B128" s="26"/>
      <c r="C128" s="8" t="s">
        <v>238</v>
      </c>
      <c r="D128" s="8" t="s">
        <v>114</v>
      </c>
      <c r="E128" s="8">
        <v>30</v>
      </c>
      <c r="F128" s="8" t="s">
        <v>116</v>
      </c>
      <c r="G128" s="8" t="s">
        <v>116</v>
      </c>
      <c r="H128" s="8" t="s">
        <v>115</v>
      </c>
      <c r="I128" s="27">
        <v>45541</v>
      </c>
      <c r="J128" s="8" t="s">
        <v>117</v>
      </c>
      <c r="K128" s="8" t="s">
        <v>121</v>
      </c>
      <c r="L128" s="8" t="s">
        <v>119</v>
      </c>
      <c r="M128" s="16" t="str">
        <f ca="1">IFERROR(__xludf.DUMMYFUNCTION("JOIN("""",VLOOKUP(D128,'для артикула'!$A$2:$B$7,2,0),VLOOKUP(G128,'для артикула'!$A$13:$B$14,2,0),VLOOKUP(E128,'для артикула'!$A$9:$B$11,2,0),VLOOKUP(F128,'для артикула'!$A$17:$B$19,2,0),VLOOKUP(J128,'для артикула'!$A$22:$B$23,2,0),VLOOKUP(H128,'для артик"&amp;"ула'!$A$26:$B$30,2,0))"),"002-2013E30Q13-OK")</f>
        <v>002-2013E30Q13-OK</v>
      </c>
      <c r="N128" s="8" t="str">
        <f>IF(ISNUMBER(MATCH(C128, 'Реестр договоров'!$D$2:$D$900, 0)), "Продано", "В наличии")</f>
        <v>Продано</v>
      </c>
    </row>
    <row r="129" spans="1:15">
      <c r="A129" s="26">
        <v>45504.738564293977</v>
      </c>
      <c r="B129" s="26"/>
      <c r="C129" s="8" t="s">
        <v>239</v>
      </c>
      <c r="D129" s="8" t="s">
        <v>114</v>
      </c>
      <c r="E129" s="8">
        <v>50</v>
      </c>
      <c r="F129" s="8" t="s">
        <v>116</v>
      </c>
      <c r="G129" s="8" t="s">
        <v>116</v>
      </c>
      <c r="H129" s="8">
        <v>30</v>
      </c>
      <c r="I129" s="27">
        <v>45504</v>
      </c>
      <c r="J129" s="8" t="s">
        <v>117</v>
      </c>
      <c r="K129" s="8" t="s">
        <v>121</v>
      </c>
      <c r="L129" s="8" t="s">
        <v>119</v>
      </c>
      <c r="M129" s="16" t="str">
        <f ca="1">IFERROR(__xludf.DUMMYFUNCTION("JOIN("""",VLOOKUP(D129,'для артикула'!$A$2:$B$7,2,0),VLOOKUP(G129,'для артикула'!$A$13:$B$14,2,0),VLOOKUP(E129,'для артикула'!$A$9:$B$11,2,0),VLOOKUP(F129,'для артикула'!$A$17:$B$19,2,0),VLOOKUP(J129,'для артикула'!$A$22:$B$23,2,0),VLOOKUP(H129,'для артик"&amp;"ула'!$A$26:$B$30,2,0))"),"002-2013E50Q13-OK30")</f>
        <v>002-2013E50Q13-OK30</v>
      </c>
      <c r="N129" s="8" t="str">
        <f>IF(ISNUMBER(MATCH(C129, 'Реестр договоров'!$D$2:$D$900, 0)), "Продано", "В наличии")</f>
        <v>Продано</v>
      </c>
    </row>
    <row r="130" spans="1:15">
      <c r="A130" s="26">
        <v>45518.590187118054</v>
      </c>
      <c r="B130" s="26"/>
      <c r="C130" s="8" t="s">
        <v>240</v>
      </c>
      <c r="D130" s="8" t="s">
        <v>114</v>
      </c>
      <c r="E130" s="8">
        <v>30</v>
      </c>
      <c r="F130" s="8" t="s">
        <v>116</v>
      </c>
      <c r="G130" s="8" t="s">
        <v>116</v>
      </c>
      <c r="H130" s="8">
        <v>60</v>
      </c>
      <c r="I130" s="27">
        <v>45518</v>
      </c>
      <c r="J130" s="8" t="s">
        <v>117</v>
      </c>
      <c r="K130" s="8" t="s">
        <v>121</v>
      </c>
      <c r="L130" s="8" t="s">
        <v>119</v>
      </c>
      <c r="M130" s="16" t="str">
        <f ca="1">IFERROR(__xludf.DUMMYFUNCTION("JOIN("""",VLOOKUP(D130,'для артикула'!$A$2:$B$7,2,0),VLOOKUP(G130,'для артикула'!$A$13:$B$14,2,0),VLOOKUP(E130,'для артикула'!$A$9:$B$11,2,0),VLOOKUP(F130,'для артикула'!$A$17:$B$19,2,0),VLOOKUP(J130,'для артикула'!$A$22:$B$23,2,0),VLOOKUP(H130,'для артик"&amp;"ула'!$A$26:$B$30,2,0))"),"002-2013E30Q13-OK60")</f>
        <v>002-2013E30Q13-OK60</v>
      </c>
      <c r="N130" s="8" t="str">
        <f>IF(ISNUMBER(MATCH(C130, 'Реестр договоров'!$D$2:$D$900, 0)), "Продано", "В наличии")</f>
        <v>Продано</v>
      </c>
    </row>
    <row r="131" spans="1:15">
      <c r="A131" s="26">
        <v>45530.424689490741</v>
      </c>
      <c r="B131" s="26"/>
      <c r="C131" s="8" t="s">
        <v>241</v>
      </c>
      <c r="D131" s="8" t="s">
        <v>114</v>
      </c>
      <c r="E131" s="8">
        <v>30</v>
      </c>
      <c r="F131" s="8" t="s">
        <v>116</v>
      </c>
      <c r="G131" s="8" t="s">
        <v>116</v>
      </c>
      <c r="H131" s="8" t="s">
        <v>115</v>
      </c>
      <c r="I131" s="27">
        <v>45530</v>
      </c>
      <c r="J131" s="8" t="s">
        <v>117</v>
      </c>
      <c r="K131" s="8" t="s">
        <v>121</v>
      </c>
      <c r="L131" s="8" t="s">
        <v>119</v>
      </c>
      <c r="M131" s="16" t="str">
        <f ca="1">IFERROR(__xludf.DUMMYFUNCTION("JOIN("""",VLOOKUP(D131,'для артикула'!$A$2:$B$7,2,0),VLOOKUP(G131,'для артикула'!$A$13:$B$14,2,0),VLOOKUP(E131,'для артикула'!$A$9:$B$11,2,0),VLOOKUP(F131,'для артикула'!$A$17:$B$19,2,0),VLOOKUP(J131,'для артикула'!$A$22:$B$23,2,0),VLOOKUP(H131,'для артик"&amp;"ула'!$A$26:$B$30,2,0))"),"002-2013E30Q13-OK")</f>
        <v>002-2013E30Q13-OK</v>
      </c>
      <c r="N131" s="8" t="str">
        <f>IF(ISNUMBER(MATCH(C131, 'Реестр договоров'!$D$2:$D$900, 0)), "Продано", "В наличии")</f>
        <v>Продано</v>
      </c>
    </row>
    <row r="132" spans="1:15">
      <c r="A132" s="26">
        <v>45528.461481736114</v>
      </c>
      <c r="B132" s="26"/>
      <c r="C132" s="8" t="s">
        <v>242</v>
      </c>
      <c r="D132" s="8" t="s">
        <v>114</v>
      </c>
      <c r="E132" s="8">
        <v>30</v>
      </c>
      <c r="F132" s="8" t="s">
        <v>116</v>
      </c>
      <c r="G132" s="8" t="s">
        <v>116</v>
      </c>
      <c r="H132" s="8" t="s">
        <v>115</v>
      </c>
      <c r="I132" s="27">
        <v>45528</v>
      </c>
      <c r="J132" s="8" t="s">
        <v>117</v>
      </c>
      <c r="K132" s="8" t="s">
        <v>121</v>
      </c>
      <c r="L132" s="8" t="s">
        <v>119</v>
      </c>
      <c r="M132" s="16" t="str">
        <f ca="1">IFERROR(__xludf.DUMMYFUNCTION("JOIN("""",VLOOKUP(D132,'для артикула'!$A$2:$B$7,2,0),VLOOKUP(G132,'для артикула'!$A$13:$B$14,2,0),VLOOKUP(E132,'для артикула'!$A$9:$B$11,2,0),VLOOKUP(F132,'для артикула'!$A$17:$B$19,2,0),VLOOKUP(J132,'для артикула'!$A$22:$B$23,2,0),VLOOKUP(H132,'для артик"&amp;"ула'!$A$26:$B$30,2,0))"),"002-2013E30Q13-OK")</f>
        <v>002-2013E30Q13-OK</v>
      </c>
      <c r="N132" s="8" t="str">
        <f>IF(ISNUMBER(MATCH(C132, 'Реестр договоров'!$D$2:$D$900, 0)), "Продано", "В наличии")</f>
        <v>Продано</v>
      </c>
    </row>
    <row r="133" spans="1:15">
      <c r="A133" s="26">
        <v>45477.728503854167</v>
      </c>
      <c r="B133" s="26"/>
      <c r="C133" s="8" t="s">
        <v>243</v>
      </c>
      <c r="D133" s="8" t="s">
        <v>114</v>
      </c>
      <c r="E133" s="8">
        <v>30</v>
      </c>
      <c r="F133" s="8" t="s">
        <v>116</v>
      </c>
      <c r="G133" s="8" t="s">
        <v>116</v>
      </c>
      <c r="H133" s="8" t="s">
        <v>115</v>
      </c>
      <c r="I133" s="27">
        <v>45477</v>
      </c>
      <c r="J133" s="8" t="s">
        <v>117</v>
      </c>
      <c r="K133" s="8" t="s">
        <v>121</v>
      </c>
      <c r="L133" s="8" t="s">
        <v>119</v>
      </c>
      <c r="M133" s="16" t="str">
        <f ca="1">IFERROR(__xludf.DUMMYFUNCTION("JOIN("""",VLOOKUP(D133,'для артикула'!$A$2:$B$7,2,0),VLOOKUP(G133,'для артикула'!$A$13:$B$14,2,0),VLOOKUP(E133,'для артикула'!$A$9:$B$11,2,0),VLOOKUP(F133,'для артикула'!$A$17:$B$19,2,0),VLOOKUP(J133,'для артикула'!$A$22:$B$23,2,0),VLOOKUP(H133,'для артик"&amp;"ула'!$A$26:$B$30,2,0))"),"002-2013E30Q13-OK")</f>
        <v>002-2013E30Q13-OK</v>
      </c>
      <c r="N133" s="8" t="str">
        <f>IF(ISNUMBER(MATCH(C133, 'Реестр договоров'!$D$2:$D$900, 0)), "Продано", "В наличии")</f>
        <v>Продано</v>
      </c>
      <c r="O133" s="8"/>
    </row>
    <row r="134" spans="1:15">
      <c r="A134" s="26">
        <v>45540.778689016202</v>
      </c>
      <c r="B134" s="26"/>
      <c r="C134" s="8" t="s">
        <v>244</v>
      </c>
      <c r="D134" s="8" t="s">
        <v>114</v>
      </c>
      <c r="E134" s="8">
        <v>30</v>
      </c>
      <c r="F134" s="8" t="s">
        <v>116</v>
      </c>
      <c r="G134" s="8" t="s">
        <v>116</v>
      </c>
      <c r="H134" s="8" t="s">
        <v>115</v>
      </c>
      <c r="I134" s="27">
        <v>45540</v>
      </c>
      <c r="J134" s="8" t="s">
        <v>117</v>
      </c>
      <c r="K134" s="8" t="s">
        <v>121</v>
      </c>
      <c r="L134" s="8" t="s">
        <v>119</v>
      </c>
      <c r="M134" s="16" t="str">
        <f ca="1">IFERROR(__xludf.DUMMYFUNCTION("JOIN("""",VLOOKUP(D134,'для артикула'!$A$2:$B$7,2,0),VLOOKUP(G134,'для артикула'!$A$13:$B$14,2,0),VLOOKUP(E134,'для артикула'!$A$9:$B$11,2,0),VLOOKUP(F134,'для артикула'!$A$17:$B$19,2,0),VLOOKUP(J134,'для артикула'!$A$22:$B$23,2,0),VLOOKUP(H134,'для артик"&amp;"ула'!$A$26:$B$30,2,0))"),"002-2013E30Q13-OK")</f>
        <v>002-2013E30Q13-OK</v>
      </c>
      <c r="N134" s="8" t="str">
        <f>IF(ISNUMBER(MATCH(C134, 'Реестр договоров'!$D$2:$D$900, 0)), "Продано", "В наличии")</f>
        <v>В наличии</v>
      </c>
    </row>
    <row r="135" spans="1:15">
      <c r="A135" s="26">
        <v>45460.716408090273</v>
      </c>
      <c r="B135" s="26"/>
      <c r="C135" s="8" t="s">
        <v>245</v>
      </c>
      <c r="D135" s="8" t="s">
        <v>114</v>
      </c>
      <c r="E135" s="8">
        <v>50</v>
      </c>
      <c r="F135" s="8" t="s">
        <v>116</v>
      </c>
      <c r="G135" s="8" t="s">
        <v>116</v>
      </c>
      <c r="H135" s="8" t="s">
        <v>115</v>
      </c>
      <c r="I135" s="27">
        <v>45460</v>
      </c>
      <c r="J135" s="8" t="s">
        <v>117</v>
      </c>
      <c r="K135" s="8" t="s">
        <v>121</v>
      </c>
      <c r="L135" s="8" t="s">
        <v>119</v>
      </c>
      <c r="M135" s="16" t="str">
        <f ca="1">IFERROR(__xludf.DUMMYFUNCTION("JOIN("""",VLOOKUP(D135,'для артикула'!$A$2:$B$7,2,0),VLOOKUP(G135,'для артикула'!$A$13:$B$14,2,0),VLOOKUP(E135,'для артикула'!$A$9:$B$11,2,0),VLOOKUP(F135,'для артикула'!$A$17:$B$19,2,0),VLOOKUP(J135,'для артикула'!$A$22:$B$23,2,0),VLOOKUP(H135,'для артик"&amp;"ула'!$A$26:$B$30,2,0))"),"002-2013E50Q13-OK")</f>
        <v>002-2013E50Q13-OK</v>
      </c>
      <c r="N135" s="8" t="str">
        <f>IF(ISNUMBER(MATCH(C135, 'Реестр договоров'!$D$2:$D$900, 0)), "Продано", "В наличии")</f>
        <v>Продано</v>
      </c>
      <c r="O135" s="8"/>
    </row>
    <row r="136" spans="1:15">
      <c r="A136" s="26">
        <v>45451.475948738429</v>
      </c>
      <c r="B136" s="26"/>
      <c r="C136" s="8" t="s">
        <v>246</v>
      </c>
      <c r="D136" s="8" t="s">
        <v>114</v>
      </c>
      <c r="E136" s="8">
        <v>30</v>
      </c>
      <c r="F136" s="8" t="s">
        <v>116</v>
      </c>
      <c r="G136" s="8" t="s">
        <v>116</v>
      </c>
      <c r="H136" s="8" t="s">
        <v>115</v>
      </c>
      <c r="I136" s="27">
        <v>45450</v>
      </c>
      <c r="J136" s="8" t="s">
        <v>117</v>
      </c>
      <c r="K136" s="8" t="s">
        <v>121</v>
      </c>
      <c r="L136" s="8" t="s">
        <v>119</v>
      </c>
      <c r="M136" s="16" t="str">
        <f ca="1">IFERROR(__xludf.DUMMYFUNCTION("JOIN("""",VLOOKUP(D136,'для артикула'!$A$2:$B$7,2,0),VLOOKUP(G136,'для артикула'!$A$13:$B$14,2,0),VLOOKUP(E136,'для артикула'!$A$9:$B$11,2,0),VLOOKUP(F136,'для артикула'!$A$17:$B$19,2,0),VLOOKUP(J136,'для артикула'!$A$22:$B$23,2,0),VLOOKUP(H136,'для артик"&amp;"ула'!$A$26:$B$30,2,0))"),"002-2013E30Q13-OK")</f>
        <v>002-2013E30Q13-OK</v>
      </c>
      <c r="N136" s="8" t="str">
        <f>IF(ISNUMBER(MATCH(C136, 'Реестр договоров'!$D$2:$D$900, 0)), "Продано", "В наличии")</f>
        <v>Продано</v>
      </c>
      <c r="O136" s="8"/>
    </row>
    <row r="137" spans="1:15">
      <c r="A137" s="26">
        <v>45460.716765543984</v>
      </c>
      <c r="B137" s="26"/>
      <c r="C137" s="8" t="s">
        <v>247</v>
      </c>
      <c r="D137" s="8" t="s">
        <v>114</v>
      </c>
      <c r="E137" s="8">
        <v>50</v>
      </c>
      <c r="F137" s="8" t="s">
        <v>116</v>
      </c>
      <c r="G137" s="8" t="s">
        <v>116</v>
      </c>
      <c r="H137" s="8" t="s">
        <v>115</v>
      </c>
      <c r="I137" s="27">
        <v>45460</v>
      </c>
      <c r="J137" s="8" t="s">
        <v>117</v>
      </c>
      <c r="K137" s="8" t="s">
        <v>121</v>
      </c>
      <c r="L137" s="8" t="s">
        <v>119</v>
      </c>
      <c r="M137" s="16" t="str">
        <f ca="1">IFERROR(__xludf.DUMMYFUNCTION("JOIN("""",VLOOKUP(D137,'для артикула'!$A$2:$B$7,2,0),VLOOKUP(G137,'для артикула'!$A$13:$B$14,2,0),VLOOKUP(E137,'для артикула'!$A$9:$B$11,2,0),VLOOKUP(F137,'для артикула'!$A$17:$B$19,2,0),VLOOKUP(J137,'для артикула'!$A$22:$B$23,2,0),VLOOKUP(H137,'для артик"&amp;"ула'!$A$26:$B$30,2,0))"),"002-2013E50Q13-OK")</f>
        <v>002-2013E50Q13-OK</v>
      </c>
      <c r="N137" s="8" t="str">
        <f>IF(ISNUMBER(MATCH(C137, 'Реестр договоров'!$D$2:$D$900, 0)), "Продано", "В наличии")</f>
        <v>Продано</v>
      </c>
      <c r="O137" s="8"/>
    </row>
    <row r="138" spans="1:15">
      <c r="A138" s="26">
        <v>45460.718767650462</v>
      </c>
      <c r="B138" s="26"/>
      <c r="C138" s="8" t="s">
        <v>248</v>
      </c>
      <c r="D138" s="8" t="s">
        <v>114</v>
      </c>
      <c r="E138" s="8">
        <v>50</v>
      </c>
      <c r="F138" s="8" t="s">
        <v>116</v>
      </c>
      <c r="G138" s="8" t="s">
        <v>116</v>
      </c>
      <c r="H138" s="8" t="s">
        <v>115</v>
      </c>
      <c r="I138" s="27">
        <v>45460</v>
      </c>
      <c r="J138" s="8" t="s">
        <v>117</v>
      </c>
      <c r="K138" s="8" t="s">
        <v>121</v>
      </c>
      <c r="L138" s="8" t="s">
        <v>119</v>
      </c>
      <c r="M138" s="16" t="str">
        <f ca="1">IFERROR(__xludf.DUMMYFUNCTION("JOIN("""",VLOOKUP(D138,'для артикула'!$A$2:$B$7,2,0),VLOOKUP(G138,'для артикула'!$A$13:$B$14,2,0),VLOOKUP(E138,'для артикула'!$A$9:$B$11,2,0),VLOOKUP(F138,'для артикула'!$A$17:$B$19,2,0),VLOOKUP(J138,'для артикула'!$A$22:$B$23,2,0),VLOOKUP(H138,'для артик"&amp;"ула'!$A$26:$B$30,2,0))"),"002-2013E50Q13-OK")</f>
        <v>002-2013E50Q13-OK</v>
      </c>
      <c r="N138" s="8" t="str">
        <f>IF(ISNUMBER(MATCH(C138, 'Реестр договоров'!$D$2:$D$900, 0)), "Продано", "В наличии")</f>
        <v>Продано</v>
      </c>
      <c r="O138" s="8"/>
    </row>
    <row r="139" spans="1:15">
      <c r="A139" s="26">
        <v>45460.71597513889</v>
      </c>
      <c r="B139" s="26"/>
      <c r="C139" s="8" t="s">
        <v>249</v>
      </c>
      <c r="D139" s="8" t="s">
        <v>114</v>
      </c>
      <c r="E139" s="8">
        <v>50</v>
      </c>
      <c r="F139" s="8" t="s">
        <v>116</v>
      </c>
      <c r="G139" s="8" t="s">
        <v>116</v>
      </c>
      <c r="H139" s="8" t="s">
        <v>115</v>
      </c>
      <c r="I139" s="27">
        <v>45460</v>
      </c>
      <c r="J139" s="8" t="s">
        <v>117</v>
      </c>
      <c r="K139" s="8" t="s">
        <v>121</v>
      </c>
      <c r="L139" s="8" t="s">
        <v>119</v>
      </c>
      <c r="M139" s="16" t="str">
        <f ca="1">IFERROR(__xludf.DUMMYFUNCTION("JOIN("""",VLOOKUP(D139,'для артикула'!$A$2:$B$7,2,0),VLOOKUP(G139,'для артикула'!$A$13:$B$14,2,0),VLOOKUP(E139,'для артикула'!$A$9:$B$11,2,0),VLOOKUP(F139,'для артикула'!$A$17:$B$19,2,0),VLOOKUP(J139,'для артикула'!$A$22:$B$23,2,0),VLOOKUP(H139,'для артик"&amp;"ула'!$A$26:$B$30,2,0))"),"002-2013E50Q13-OK")</f>
        <v>002-2013E50Q13-OK</v>
      </c>
      <c r="N139" s="8" t="str">
        <f>IF(ISNUMBER(MATCH(C139, 'Реестр договоров'!$D$2:$D$900, 0)), "Продано", "В наличии")</f>
        <v>Продано</v>
      </c>
      <c r="O139" s="8"/>
    </row>
    <row r="140" spans="1:15">
      <c r="A140" s="26">
        <v>45475.559980833335</v>
      </c>
      <c r="B140" s="26"/>
      <c r="C140" s="8" t="s">
        <v>250</v>
      </c>
      <c r="D140" s="8" t="s">
        <v>114</v>
      </c>
      <c r="E140" s="8">
        <v>30</v>
      </c>
      <c r="F140" s="8" t="s">
        <v>116</v>
      </c>
      <c r="G140" s="8" t="s">
        <v>116</v>
      </c>
      <c r="H140" s="8" t="s">
        <v>115</v>
      </c>
      <c r="I140" s="27">
        <v>45475</v>
      </c>
      <c r="J140" s="8" t="s">
        <v>117</v>
      </c>
      <c r="K140" s="8" t="s">
        <v>121</v>
      </c>
      <c r="L140" s="8" t="s">
        <v>119</v>
      </c>
      <c r="M140" s="16" t="str">
        <f ca="1">IFERROR(__xludf.DUMMYFUNCTION("JOIN("""",VLOOKUP(D140,'для артикула'!$A$2:$B$7,2,0),VLOOKUP(G140,'для артикула'!$A$13:$B$14,2,0),VLOOKUP(E140,'для артикула'!$A$9:$B$11,2,0),VLOOKUP(F140,'для артикула'!$A$17:$B$19,2,0),VLOOKUP(J140,'для артикула'!$A$22:$B$23,2,0),VLOOKUP(H140,'для артик"&amp;"ула'!$A$26:$B$30,2,0))"),"002-2013E30Q13-OK")</f>
        <v>002-2013E30Q13-OK</v>
      </c>
      <c r="N140" s="8" t="str">
        <f>IF(ISNUMBER(MATCH(C140, 'Реестр договоров'!$D$2:$D$900, 0)), "Продано", "В наличии")</f>
        <v>Продано</v>
      </c>
      <c r="O140" s="8"/>
    </row>
    <row r="141" spans="1:15">
      <c r="A141" s="26">
        <v>45511.686599062501</v>
      </c>
      <c r="B141" s="26"/>
      <c r="C141" s="8" t="s">
        <v>251</v>
      </c>
      <c r="D141" s="8" t="s">
        <v>114</v>
      </c>
      <c r="E141" s="8">
        <v>30</v>
      </c>
      <c r="F141" s="8" t="s">
        <v>116</v>
      </c>
      <c r="G141" s="8" t="s">
        <v>116</v>
      </c>
      <c r="H141" s="8" t="s">
        <v>115</v>
      </c>
      <c r="I141" s="27">
        <v>45511</v>
      </c>
      <c r="J141" s="8" t="s">
        <v>117</v>
      </c>
      <c r="K141" s="8" t="s">
        <v>121</v>
      </c>
      <c r="L141" s="8" t="s">
        <v>119</v>
      </c>
      <c r="M141" s="16" t="str">
        <f ca="1">IFERROR(__xludf.DUMMYFUNCTION("JOIN("""",VLOOKUP(D141,'для артикула'!$A$2:$B$7,2,0),VLOOKUP(G141,'для артикула'!$A$13:$B$14,2,0),VLOOKUP(E141,'для артикула'!$A$9:$B$11,2,0),VLOOKUP(F141,'для артикула'!$A$17:$B$19,2,0),VLOOKUP(J141,'для артикула'!$A$22:$B$23,2,0),VLOOKUP(H141,'для артик"&amp;"ула'!$A$26:$B$30,2,0))"),"002-2013E30Q13-OK")</f>
        <v>002-2013E30Q13-OK</v>
      </c>
      <c r="N141" s="8" t="str">
        <f>IF(ISNUMBER(MATCH(C141, 'Реестр договоров'!$D$2:$D$900, 0)), "Продано", "В наличии")</f>
        <v>Продано</v>
      </c>
    </row>
    <row r="142" spans="1:15">
      <c r="A142" s="26">
        <v>45461.647693946754</v>
      </c>
      <c r="B142" s="26"/>
      <c r="C142" s="8" t="s">
        <v>252</v>
      </c>
      <c r="D142" s="8" t="s">
        <v>114</v>
      </c>
      <c r="E142" s="8">
        <v>30</v>
      </c>
      <c r="F142" s="8" t="s">
        <v>116</v>
      </c>
      <c r="G142" s="8" t="s">
        <v>116</v>
      </c>
      <c r="H142" s="8" t="s">
        <v>115</v>
      </c>
      <c r="I142" s="27">
        <v>45461</v>
      </c>
      <c r="J142" s="8" t="s">
        <v>117</v>
      </c>
      <c r="K142" s="8" t="s">
        <v>121</v>
      </c>
      <c r="L142" s="8" t="s">
        <v>119</v>
      </c>
      <c r="M142" s="16" t="str">
        <f ca="1">IFERROR(__xludf.DUMMYFUNCTION("JOIN("""",VLOOKUP(D142,'для артикула'!$A$2:$B$7,2,0),VLOOKUP(G142,'для артикула'!$A$13:$B$14,2,0),VLOOKUP(E142,'для артикула'!$A$9:$B$11,2,0),VLOOKUP(F142,'для артикула'!$A$17:$B$19,2,0),VLOOKUP(J142,'для артикула'!$A$22:$B$23,2,0),VLOOKUP(H142,'для артик"&amp;"ула'!$A$26:$B$30,2,0))"),"002-2013E30Q13-OK")</f>
        <v>002-2013E30Q13-OK</v>
      </c>
      <c r="N142" s="8" t="str">
        <f>IF(ISNUMBER(MATCH(C142, 'Реестр договоров'!$D$2:$D$900, 0)), "Продано", "В наличии")</f>
        <v>Продано</v>
      </c>
      <c r="O142" s="8"/>
    </row>
    <row r="143" spans="1:15">
      <c r="A143" s="26">
        <v>45484.669291157406</v>
      </c>
      <c r="B143" s="26"/>
      <c r="C143" s="8" t="s">
        <v>253</v>
      </c>
      <c r="D143" s="8" t="s">
        <v>114</v>
      </c>
      <c r="E143" s="8">
        <v>30</v>
      </c>
      <c r="F143" s="8" t="s">
        <v>116</v>
      </c>
      <c r="G143" s="8" t="s">
        <v>116</v>
      </c>
      <c r="H143" s="8" t="s">
        <v>115</v>
      </c>
      <c r="I143" s="27">
        <v>45484</v>
      </c>
      <c r="J143" s="8" t="s">
        <v>117</v>
      </c>
      <c r="K143" s="8" t="s">
        <v>121</v>
      </c>
      <c r="L143" s="8" t="s">
        <v>119</v>
      </c>
      <c r="M143" s="16" t="str">
        <f ca="1">IFERROR(__xludf.DUMMYFUNCTION("JOIN("""",VLOOKUP(D143,'для артикула'!$A$2:$B$7,2,0),VLOOKUP(G143,'для артикула'!$A$13:$B$14,2,0),VLOOKUP(E143,'для артикула'!$A$9:$B$11,2,0),VLOOKUP(F143,'для артикула'!$A$17:$B$19,2,0),VLOOKUP(J143,'для артикула'!$A$22:$B$23,2,0),VLOOKUP(H143,'для артик"&amp;"ула'!$A$26:$B$30,2,0))"),"002-2013E30Q13-OK")</f>
        <v>002-2013E30Q13-OK</v>
      </c>
      <c r="N143" s="8" t="str">
        <f>IF(ISNUMBER(MATCH(C143, 'Реестр договоров'!$D$2:$D$900, 0)), "Продано", "В наличии")</f>
        <v>Продано</v>
      </c>
      <c r="O143" s="8"/>
    </row>
    <row r="144" spans="1:15">
      <c r="A144" s="26">
        <v>45460.715505138884</v>
      </c>
      <c r="B144" s="26"/>
      <c r="C144" s="8" t="s">
        <v>254</v>
      </c>
      <c r="D144" s="8" t="s">
        <v>114</v>
      </c>
      <c r="E144" s="8">
        <v>30</v>
      </c>
      <c r="F144" s="8" t="s">
        <v>116</v>
      </c>
      <c r="G144" s="8" t="s">
        <v>116</v>
      </c>
      <c r="H144" s="8" t="s">
        <v>115</v>
      </c>
      <c r="I144" s="27">
        <v>45460</v>
      </c>
      <c r="J144" s="8" t="s">
        <v>117</v>
      </c>
      <c r="K144" s="8" t="s">
        <v>121</v>
      </c>
      <c r="L144" s="8" t="s">
        <v>119</v>
      </c>
      <c r="M144" s="16" t="str">
        <f ca="1">IFERROR(__xludf.DUMMYFUNCTION("JOIN("""",VLOOKUP(D144,'для артикула'!$A$2:$B$7,2,0),VLOOKUP(G144,'для артикула'!$A$13:$B$14,2,0),VLOOKUP(E144,'для артикула'!$A$9:$B$11,2,0),VLOOKUP(F144,'для артикула'!$A$17:$B$19,2,0),VLOOKUP(J144,'для артикула'!$A$22:$B$23,2,0),VLOOKUP(H144,'для артик"&amp;"ула'!$A$26:$B$30,2,0))"),"002-2013E30Q13-OK")</f>
        <v>002-2013E30Q13-OK</v>
      </c>
      <c r="N144" s="8" t="str">
        <f>IF(ISNUMBER(MATCH(C144, 'Реестр договоров'!$D$2:$D$900, 0)), "Продано", "В наличии")</f>
        <v>Продано</v>
      </c>
      <c r="O144" s="8"/>
    </row>
    <row r="145" spans="1:15">
      <c r="A145" s="26">
        <v>45464.523342685185</v>
      </c>
      <c r="B145" s="26"/>
      <c r="C145" s="8" t="s">
        <v>255</v>
      </c>
      <c r="D145" s="8" t="s">
        <v>114</v>
      </c>
      <c r="E145" s="8">
        <v>50</v>
      </c>
      <c r="F145" s="8" t="s">
        <v>116</v>
      </c>
      <c r="G145" s="8" t="s">
        <v>116</v>
      </c>
      <c r="H145" s="8" t="s">
        <v>115</v>
      </c>
      <c r="I145" s="27">
        <v>45464</v>
      </c>
      <c r="J145" s="8" t="s">
        <v>117</v>
      </c>
      <c r="K145" s="8" t="s">
        <v>124</v>
      </c>
      <c r="L145" s="8" t="s">
        <v>119</v>
      </c>
      <c r="M145" s="16" t="str">
        <f ca="1">IFERROR(__xludf.DUMMYFUNCTION("JOIN("""",VLOOKUP(D145,'для артикула'!$A$2:$B$7,2,0),VLOOKUP(G145,'для артикула'!$A$13:$B$14,2,0),VLOOKUP(E145,'для артикула'!$A$9:$B$11,2,0),VLOOKUP(F145,'для артикула'!$A$17:$B$19,2,0),VLOOKUP(J145,'для артикула'!$A$22:$B$23,2,0),VLOOKUP(H145,'для артик"&amp;"ула'!$A$26:$B$30,2,0))"),"002-2013E50Q13-OK")</f>
        <v>002-2013E50Q13-OK</v>
      </c>
      <c r="N145" s="8" t="str">
        <f>IF(ISNUMBER(MATCH(C145, 'Реестр договоров'!$D$2:$D$900, 0)), "Продано", "В наличии")</f>
        <v>Продано</v>
      </c>
      <c r="O145" s="8"/>
    </row>
    <row r="146" spans="1:15">
      <c r="A146" s="26">
        <v>45497.537319525465</v>
      </c>
      <c r="B146" s="26"/>
      <c r="C146" s="8" t="s">
        <v>256</v>
      </c>
      <c r="D146" s="8" t="s">
        <v>114</v>
      </c>
      <c r="E146" s="8">
        <v>30</v>
      </c>
      <c r="F146" s="8" t="s">
        <v>116</v>
      </c>
      <c r="G146" s="8" t="s">
        <v>116</v>
      </c>
      <c r="H146" s="8" t="s">
        <v>115</v>
      </c>
      <c r="I146" s="27">
        <v>45497</v>
      </c>
      <c r="J146" s="8" t="s">
        <v>117</v>
      </c>
      <c r="K146" s="8" t="s">
        <v>121</v>
      </c>
      <c r="L146" s="8" t="s">
        <v>119</v>
      </c>
      <c r="M146" s="16" t="str">
        <f ca="1">IFERROR(__xludf.DUMMYFUNCTION("JOIN("""",VLOOKUP(D146,'для артикула'!$A$2:$B$7,2,0),VLOOKUP(G146,'для артикула'!$A$13:$B$14,2,0),VLOOKUP(E146,'для артикула'!$A$9:$B$11,2,0),VLOOKUP(F146,'для артикула'!$A$17:$B$19,2,0),VLOOKUP(J146,'для артикула'!$A$22:$B$23,2,0),VLOOKUP(H146,'для артик"&amp;"ула'!$A$26:$B$30,2,0))"),"002-2013E30Q13-OK")</f>
        <v>002-2013E30Q13-OK</v>
      </c>
      <c r="N146" s="8" t="str">
        <f>IF(ISNUMBER(MATCH(C146, 'Реестр договоров'!$D$2:$D$900, 0)), "Продано", "В наличии")</f>
        <v>Продано</v>
      </c>
    </row>
    <row r="147" spans="1:15">
      <c r="A147" s="26">
        <v>45484.696222604165</v>
      </c>
      <c r="B147" s="26"/>
      <c r="C147" s="8" t="s">
        <v>257</v>
      </c>
      <c r="D147" s="8" t="s">
        <v>114</v>
      </c>
      <c r="E147" s="8">
        <v>30</v>
      </c>
      <c r="F147" s="8" t="s">
        <v>116</v>
      </c>
      <c r="G147" s="8" t="s">
        <v>116</v>
      </c>
      <c r="H147" s="8" t="s">
        <v>115</v>
      </c>
      <c r="I147" s="27">
        <v>45484</v>
      </c>
      <c r="J147" s="8" t="s">
        <v>117</v>
      </c>
      <c r="K147" s="8" t="s">
        <v>121</v>
      </c>
      <c r="L147" s="8" t="s">
        <v>119</v>
      </c>
      <c r="M147" s="16" t="str">
        <f ca="1">IFERROR(__xludf.DUMMYFUNCTION("JOIN("""",VLOOKUP(D147,'для артикула'!$A$2:$B$7,2,0),VLOOKUP(G147,'для артикула'!$A$13:$B$14,2,0),VLOOKUP(E147,'для артикула'!$A$9:$B$11,2,0),VLOOKUP(F147,'для артикула'!$A$17:$B$19,2,0),VLOOKUP(J147,'для артикула'!$A$22:$B$23,2,0),VLOOKUP(H147,'для артик"&amp;"ула'!$A$26:$B$30,2,0))"),"002-2013E30Q13-OK")</f>
        <v>002-2013E30Q13-OK</v>
      </c>
      <c r="N147" s="8" t="str">
        <f>IF(ISNUMBER(MATCH(C147, 'Реестр договоров'!$D$2:$D$900, 0)), "Продано", "В наличии")</f>
        <v>Продано</v>
      </c>
    </row>
    <row r="148" spans="1:15">
      <c r="A148" s="26">
        <v>45449.673267118051</v>
      </c>
      <c r="B148" s="26"/>
      <c r="C148" s="8" t="s">
        <v>258</v>
      </c>
      <c r="D148" s="8" t="s">
        <v>114</v>
      </c>
      <c r="E148" s="8">
        <v>30</v>
      </c>
      <c r="F148" s="8" t="s">
        <v>116</v>
      </c>
      <c r="G148" s="8" t="s">
        <v>116</v>
      </c>
      <c r="H148" s="8" t="s">
        <v>115</v>
      </c>
      <c r="I148" s="27">
        <v>45418</v>
      </c>
      <c r="J148" s="8" t="s">
        <v>117</v>
      </c>
      <c r="K148" s="8" t="s">
        <v>124</v>
      </c>
      <c r="L148" s="8" t="s">
        <v>119</v>
      </c>
      <c r="M148" s="16" t="str">
        <f ca="1">IFERROR(__xludf.DUMMYFUNCTION("JOIN("""",VLOOKUP(D148,'для артикула'!$A$2:$B$7,2,0),VLOOKUP(G148,'для артикула'!$A$13:$B$14,2,0),VLOOKUP(E148,'для артикула'!$A$9:$B$11,2,0),VLOOKUP(F148,'для артикула'!$A$17:$B$19,2,0),VLOOKUP(J148,'для артикула'!$A$22:$B$23,2,0),VLOOKUP(H148,'для артик"&amp;"ула'!$A$26:$B$30,2,0))"),"002-2013E30Q13-OK")</f>
        <v>002-2013E30Q13-OK</v>
      </c>
      <c r="N148" s="8" t="str">
        <f>IF(ISNUMBER(MATCH(C148, 'Реестр договоров'!$D$2:$D$900, 0)), "Продано", "В наличии")</f>
        <v>Продано</v>
      </c>
      <c r="O148" s="8"/>
    </row>
    <row r="149" spans="1:15">
      <c r="A149" s="26">
        <v>45479.529108090283</v>
      </c>
      <c r="B149" s="26"/>
      <c r="C149" s="8" t="s">
        <v>3</v>
      </c>
      <c r="D149" s="8" t="s">
        <v>114</v>
      </c>
      <c r="E149" s="8">
        <v>30</v>
      </c>
      <c r="F149" s="8" t="s">
        <v>116</v>
      </c>
      <c r="G149" s="8" t="s">
        <v>116</v>
      </c>
      <c r="H149" s="8" t="s">
        <v>115</v>
      </c>
      <c r="I149" s="27">
        <v>45478</v>
      </c>
      <c r="J149" s="8" t="s">
        <v>117</v>
      </c>
      <c r="K149" s="8" t="s">
        <v>121</v>
      </c>
      <c r="L149" s="8" t="s">
        <v>119</v>
      </c>
      <c r="M149" s="16" t="str">
        <f ca="1">IFERROR(__xludf.DUMMYFUNCTION("JOIN("""",VLOOKUP(D149,'для артикула'!$A$2:$B$7,2,0),VLOOKUP(G149,'для артикула'!$A$13:$B$14,2,0),VLOOKUP(E149,'для артикула'!$A$9:$B$11,2,0),VLOOKUP(F149,'для артикула'!$A$17:$B$19,2,0),VLOOKUP(J149,'для артикула'!$A$22:$B$23,2,0),VLOOKUP(H149,'для артик"&amp;"ула'!$A$26:$B$30,2,0))"),"002-2013E30Q13-OK")</f>
        <v>002-2013E30Q13-OK</v>
      </c>
      <c r="N149" s="8" t="str">
        <f>IF(ISNUMBER(MATCH(C149, 'Реестр договоров'!$D$2:$D$900, 0)), "Продано", "В наличии")</f>
        <v>Продано</v>
      </c>
      <c r="O149" s="8"/>
    </row>
    <row r="150" spans="1:15">
      <c r="A150" s="26">
        <v>45481.780583495369</v>
      </c>
      <c r="B150" s="26"/>
      <c r="C150" s="8" t="s">
        <v>259</v>
      </c>
      <c r="D150" s="8" t="s">
        <v>114</v>
      </c>
      <c r="E150" s="8">
        <v>50</v>
      </c>
      <c r="F150" s="8" t="s">
        <v>116</v>
      </c>
      <c r="G150" s="8" t="s">
        <v>116</v>
      </c>
      <c r="H150" s="8" t="s">
        <v>115</v>
      </c>
      <c r="I150" s="27">
        <v>45481</v>
      </c>
      <c r="J150" s="8" t="s">
        <v>117</v>
      </c>
      <c r="K150" s="8" t="s">
        <v>121</v>
      </c>
      <c r="L150" s="8" t="s">
        <v>119</v>
      </c>
      <c r="M150" s="16" t="str">
        <f ca="1">IFERROR(__xludf.DUMMYFUNCTION("JOIN("""",VLOOKUP(D150,'для артикула'!$A$2:$B$7,2,0),VLOOKUP(G150,'для артикула'!$A$13:$B$14,2,0),VLOOKUP(E150,'для артикула'!$A$9:$B$11,2,0),VLOOKUP(F150,'для артикула'!$A$17:$B$19,2,0),VLOOKUP(J150,'для артикула'!$A$22:$B$23,2,0),VLOOKUP(H150,'для артик"&amp;"ула'!$A$26:$B$30,2,0))"),"002-2013E50Q13-OK")</f>
        <v>002-2013E50Q13-OK</v>
      </c>
      <c r="N150" s="8" t="str">
        <f>IF(ISNUMBER(MATCH(C150, 'Реестр договоров'!$D$2:$D$900, 0)), "Продано", "В наличии")</f>
        <v>Продано</v>
      </c>
      <c r="O150" s="8"/>
    </row>
    <row r="151" spans="1:15">
      <c r="A151" s="26">
        <v>45469.602290312498</v>
      </c>
      <c r="B151" s="26"/>
      <c r="C151" s="8" t="s">
        <v>260</v>
      </c>
      <c r="D151" s="8" t="s">
        <v>114</v>
      </c>
      <c r="E151" s="8">
        <v>50</v>
      </c>
      <c r="F151" s="8" t="s">
        <v>116</v>
      </c>
      <c r="G151" s="8" t="s">
        <v>116</v>
      </c>
      <c r="H151" s="8" t="s">
        <v>115</v>
      </c>
      <c r="I151" s="27">
        <v>45469</v>
      </c>
      <c r="J151" s="8" t="s">
        <v>117</v>
      </c>
      <c r="K151" s="8" t="s">
        <v>121</v>
      </c>
      <c r="L151" s="8" t="s">
        <v>119</v>
      </c>
      <c r="M151" s="16" t="str">
        <f ca="1">IFERROR(__xludf.DUMMYFUNCTION("JOIN("""",VLOOKUP(D151,'для артикула'!$A$2:$B$7,2,0),VLOOKUP(G151,'для артикула'!$A$13:$B$14,2,0),VLOOKUP(E151,'для артикула'!$A$9:$B$11,2,0),VLOOKUP(F151,'для артикула'!$A$17:$B$19,2,0),VLOOKUP(J151,'для артикула'!$A$22:$B$23,2,0),VLOOKUP(H151,'для артик"&amp;"ула'!$A$26:$B$30,2,0))"),"002-2013E50Q13-OK")</f>
        <v>002-2013E50Q13-OK</v>
      </c>
      <c r="N151" s="8" t="str">
        <f>IF(ISNUMBER(MATCH(C151, 'Реестр договоров'!$D$2:$D$900, 0)), "Продано", "В наличии")</f>
        <v>Продано</v>
      </c>
      <c r="O151" s="8"/>
    </row>
    <row r="152" spans="1:15">
      <c r="A152" s="26">
        <v>45460.717602118057</v>
      </c>
      <c r="B152" s="26"/>
      <c r="C152" s="8" t="s">
        <v>261</v>
      </c>
      <c r="D152" s="8" t="s">
        <v>114</v>
      </c>
      <c r="E152" s="8">
        <v>30</v>
      </c>
      <c r="F152" s="8" t="s">
        <v>116</v>
      </c>
      <c r="G152" s="8" t="s">
        <v>116</v>
      </c>
      <c r="H152" s="8" t="s">
        <v>115</v>
      </c>
      <c r="I152" s="27">
        <v>45460</v>
      </c>
      <c r="J152" s="8" t="s">
        <v>117</v>
      </c>
      <c r="K152" s="8" t="s">
        <v>121</v>
      </c>
      <c r="L152" s="8" t="s">
        <v>119</v>
      </c>
      <c r="M152" s="16" t="str">
        <f ca="1">IFERROR(__xludf.DUMMYFUNCTION("JOIN("""",VLOOKUP(D152,'для артикула'!$A$2:$B$7,2,0),VLOOKUP(G152,'для артикула'!$A$13:$B$14,2,0),VLOOKUP(E152,'для артикула'!$A$9:$B$11,2,0),VLOOKUP(F152,'для артикула'!$A$17:$B$19,2,0),VLOOKUP(J152,'для артикула'!$A$22:$B$23,2,0),VLOOKUP(H152,'для артик"&amp;"ула'!$A$26:$B$30,2,0))"),"002-2013E30Q13-OK")</f>
        <v>002-2013E30Q13-OK</v>
      </c>
      <c r="N152" s="8" t="str">
        <f>IF(ISNUMBER(MATCH(C152, 'Реестр договоров'!$D$2:$D$900, 0)), "Продано", "В наличии")</f>
        <v>Продано</v>
      </c>
      <c r="O152" s="8"/>
    </row>
    <row r="153" spans="1:15">
      <c r="A153" s="26">
        <v>45460.714718483796</v>
      </c>
      <c r="B153" s="26"/>
      <c r="C153" s="8" t="s">
        <v>262</v>
      </c>
      <c r="D153" s="8" t="s">
        <v>114</v>
      </c>
      <c r="E153" s="8">
        <v>50</v>
      </c>
      <c r="F153" s="8" t="s">
        <v>116</v>
      </c>
      <c r="G153" s="8" t="s">
        <v>116</v>
      </c>
      <c r="H153" s="8" t="s">
        <v>115</v>
      </c>
      <c r="I153" s="27">
        <v>45460</v>
      </c>
      <c r="J153" s="8" t="s">
        <v>117</v>
      </c>
      <c r="K153" s="8" t="s">
        <v>121</v>
      </c>
      <c r="L153" s="8" t="s">
        <v>119</v>
      </c>
      <c r="M153" s="16" t="str">
        <f ca="1">IFERROR(__xludf.DUMMYFUNCTION("JOIN("""",VLOOKUP(D153,'для артикула'!$A$2:$B$7,2,0),VLOOKUP(G153,'для артикула'!$A$13:$B$14,2,0),VLOOKUP(E153,'для артикула'!$A$9:$B$11,2,0),VLOOKUP(F153,'для артикула'!$A$17:$B$19,2,0),VLOOKUP(J153,'для артикула'!$A$22:$B$23,2,0),VLOOKUP(H153,'для артик"&amp;"ула'!$A$26:$B$30,2,0))"),"002-2013E50Q13-OK")</f>
        <v>002-2013E50Q13-OK</v>
      </c>
      <c r="N153" s="8" t="str">
        <f>IF(ISNUMBER(MATCH(C153, 'Реестр договоров'!$D$2:$D$900, 0)), "Продано", "В наличии")</f>
        <v>Продано</v>
      </c>
      <c r="O153" s="8"/>
    </row>
    <row r="154" spans="1:15">
      <c r="A154" s="26">
        <v>45484.669771724541</v>
      </c>
      <c r="B154" s="26"/>
      <c r="C154" s="8" t="s">
        <v>263</v>
      </c>
      <c r="D154" s="8" t="s">
        <v>114</v>
      </c>
      <c r="E154" s="8">
        <v>30</v>
      </c>
      <c r="F154" s="8" t="s">
        <v>116</v>
      </c>
      <c r="G154" s="8" t="s">
        <v>116</v>
      </c>
      <c r="H154" s="8" t="s">
        <v>115</v>
      </c>
      <c r="I154" s="27">
        <v>45484</v>
      </c>
      <c r="J154" s="8" t="s">
        <v>117</v>
      </c>
      <c r="K154" s="8" t="s">
        <v>121</v>
      </c>
      <c r="L154" s="8" t="s">
        <v>119</v>
      </c>
      <c r="M154" s="16" t="str">
        <f ca="1">IFERROR(__xludf.DUMMYFUNCTION("JOIN("""",VLOOKUP(D154,'для артикула'!$A$2:$B$7,2,0),VLOOKUP(G154,'для артикула'!$A$13:$B$14,2,0),VLOOKUP(E154,'для артикула'!$A$9:$B$11,2,0),VLOOKUP(F154,'для артикула'!$A$17:$B$19,2,0),VLOOKUP(J154,'для артикула'!$A$22:$B$23,2,0),VLOOKUP(H154,'для артик"&amp;"ула'!$A$26:$B$30,2,0))"),"002-2013E30Q13-OK")</f>
        <v>002-2013E30Q13-OK</v>
      </c>
      <c r="N154" s="8" t="str">
        <f>IF(ISNUMBER(MATCH(C154, 'Реестр договоров'!$D$2:$D$900, 0)), "Продано", "В наличии")</f>
        <v>Продано</v>
      </c>
      <c r="O154" s="8"/>
    </row>
    <row r="155" spans="1:15">
      <c r="A155" s="26">
        <v>45484.696222604165</v>
      </c>
      <c r="B155" s="26"/>
      <c r="C155" s="8" t="s">
        <v>264</v>
      </c>
      <c r="D155" s="8" t="s">
        <v>114</v>
      </c>
      <c r="E155" s="8">
        <v>30</v>
      </c>
      <c r="F155" s="8" t="s">
        <v>116</v>
      </c>
      <c r="G155" s="8" t="s">
        <v>116</v>
      </c>
      <c r="H155" s="8" t="s">
        <v>115</v>
      </c>
      <c r="I155" s="27">
        <v>45484</v>
      </c>
      <c r="J155" s="8" t="s">
        <v>117</v>
      </c>
      <c r="K155" s="8" t="s">
        <v>121</v>
      </c>
      <c r="L155" s="8" t="s">
        <v>119</v>
      </c>
      <c r="M155" s="16" t="str">
        <f ca="1">IFERROR(__xludf.DUMMYFUNCTION("JOIN("""",VLOOKUP(D155,'для артикула'!$A$2:$B$7,2,0),VLOOKUP(G155,'для артикула'!$A$13:$B$14,2,0),VLOOKUP(E155,'для артикула'!$A$9:$B$11,2,0),VLOOKUP(F155,'для артикула'!$A$17:$B$19,2,0),VLOOKUP(J155,'для артикула'!$A$22:$B$23,2,0),VLOOKUP(H155,'для артик"&amp;"ула'!$A$26:$B$30,2,0))"),"002-2013E30Q13-OK")</f>
        <v>002-2013E30Q13-OK</v>
      </c>
      <c r="N155" s="8" t="str">
        <f>IF(ISNUMBER(MATCH(C155, 'Реестр договоров'!$D$2:$D$900, 0)), "Продано", "В наличии")</f>
        <v>Продано</v>
      </c>
    </row>
    <row r="156" spans="1:15">
      <c r="A156" s="26">
        <v>45551.644206168981</v>
      </c>
      <c r="B156" s="26"/>
      <c r="C156" s="8" t="s">
        <v>265</v>
      </c>
      <c r="D156" s="8" t="s">
        <v>114</v>
      </c>
      <c r="E156" s="8">
        <v>30</v>
      </c>
      <c r="F156" s="8" t="s">
        <v>116</v>
      </c>
      <c r="G156" s="8" t="s">
        <v>116</v>
      </c>
      <c r="H156" s="8" t="s">
        <v>115</v>
      </c>
      <c r="I156" s="27">
        <v>45551</v>
      </c>
      <c r="J156" s="8" t="s">
        <v>117</v>
      </c>
      <c r="K156" s="8" t="s">
        <v>121</v>
      </c>
      <c r="L156" s="8" t="s">
        <v>119</v>
      </c>
      <c r="M156" s="16" t="str">
        <f ca="1">IFERROR(__xludf.DUMMYFUNCTION("JOIN("""",VLOOKUP(D156,'для артикула'!$A$2:$B$7,2,0),VLOOKUP(G156,'для артикула'!$A$13:$B$14,2,0),VLOOKUP(E156,'для артикула'!$A$9:$B$11,2,0),VLOOKUP(F156,'для артикула'!$A$17:$B$19,2,0),VLOOKUP(J156,'для артикула'!$A$22:$B$23,2,0),VLOOKUP(H156,'для артик"&amp;"ула'!$A$26:$B$30,2,0))"),"002-2013E30Q13-OK")</f>
        <v>002-2013E30Q13-OK</v>
      </c>
      <c r="N156" s="8" t="str">
        <f>IF(ISNUMBER(MATCH(C156, 'Реестр договоров'!$D$2:$D$900, 0)), "Продано", "В наличии")</f>
        <v>Продано</v>
      </c>
    </row>
    <row r="157" spans="1:15">
      <c r="A157" s="26">
        <v>45482.48709451389</v>
      </c>
      <c r="B157" s="26"/>
      <c r="C157" s="8" t="s">
        <v>266</v>
      </c>
      <c r="D157" s="8" t="s">
        <v>114</v>
      </c>
      <c r="E157" s="8">
        <v>50</v>
      </c>
      <c r="F157" s="8" t="s">
        <v>116</v>
      </c>
      <c r="G157" s="8" t="s">
        <v>116</v>
      </c>
      <c r="H157" s="8" t="s">
        <v>115</v>
      </c>
      <c r="I157" s="27">
        <v>45482</v>
      </c>
      <c r="J157" s="8" t="s">
        <v>117</v>
      </c>
      <c r="K157" s="8" t="s">
        <v>121</v>
      </c>
      <c r="L157" s="8" t="s">
        <v>119</v>
      </c>
      <c r="M157" s="16" t="str">
        <f ca="1">IFERROR(__xludf.DUMMYFUNCTION("JOIN("""",VLOOKUP(D157,'для артикула'!$A$2:$B$7,2,0),VLOOKUP(G157,'для артикула'!$A$13:$B$14,2,0),VLOOKUP(E157,'для артикула'!$A$9:$B$11,2,0),VLOOKUP(F157,'для артикула'!$A$17:$B$19,2,0),VLOOKUP(J157,'для артикула'!$A$22:$B$23,2,0),VLOOKUP(H157,'для артик"&amp;"ула'!$A$26:$B$30,2,0))"),"002-2013E50Q13-OK")</f>
        <v>002-2013E50Q13-OK</v>
      </c>
      <c r="N157" s="8" t="str">
        <f>IF(ISNUMBER(MATCH(C157, 'Реестр договоров'!$D$2:$D$900, 0)), "Продано", "В наличии")</f>
        <v>Продано</v>
      </c>
      <c r="O157" s="8"/>
    </row>
    <row r="158" spans="1:15">
      <c r="A158" s="26">
        <v>45484.670230046293</v>
      </c>
      <c r="B158" s="26"/>
      <c r="C158" s="8" t="s">
        <v>267</v>
      </c>
      <c r="D158" s="8" t="s">
        <v>114</v>
      </c>
      <c r="E158" s="8">
        <v>50</v>
      </c>
      <c r="F158" s="8" t="s">
        <v>116</v>
      </c>
      <c r="G158" s="8" t="s">
        <v>116</v>
      </c>
      <c r="H158" s="8" t="s">
        <v>115</v>
      </c>
      <c r="I158" s="27">
        <v>45484</v>
      </c>
      <c r="J158" s="8" t="s">
        <v>117</v>
      </c>
      <c r="K158" s="8" t="s">
        <v>121</v>
      </c>
      <c r="L158" s="8" t="s">
        <v>119</v>
      </c>
      <c r="M158" s="16" t="str">
        <f ca="1">IFERROR(__xludf.DUMMYFUNCTION("JOIN("""",VLOOKUP(D158,'для артикула'!$A$2:$B$7,2,0),VLOOKUP(G158,'для артикула'!$A$13:$B$14,2,0),VLOOKUP(E158,'для артикула'!$A$9:$B$11,2,0),VLOOKUP(F158,'для артикула'!$A$17:$B$19,2,0),VLOOKUP(J158,'для артикула'!$A$22:$B$23,2,0),VLOOKUP(H158,'для артик"&amp;"ула'!$A$26:$B$30,2,0))"),"002-2013E50Q13-OK")</f>
        <v>002-2013E50Q13-OK</v>
      </c>
      <c r="N158" s="8" t="str">
        <f>IF(ISNUMBER(MATCH(C158, 'Реестр договоров'!$D$2:$D$900, 0)), "Продано", "В наличии")</f>
        <v>Продано</v>
      </c>
      <c r="O158" s="8"/>
    </row>
    <row r="159" spans="1:15">
      <c r="A159" s="26">
        <v>45559.430044398148</v>
      </c>
      <c r="B159" s="26"/>
      <c r="C159" s="8" t="s">
        <v>268</v>
      </c>
      <c r="D159" s="8" t="s">
        <v>114</v>
      </c>
      <c r="E159" s="8">
        <v>30</v>
      </c>
      <c r="F159" s="8" t="s">
        <v>116</v>
      </c>
      <c r="G159" s="8" t="s">
        <v>116</v>
      </c>
      <c r="H159" s="8" t="s">
        <v>115</v>
      </c>
      <c r="I159" s="27">
        <v>45559</v>
      </c>
      <c r="J159" s="8" t="s">
        <v>117</v>
      </c>
      <c r="K159" s="8" t="s">
        <v>121</v>
      </c>
      <c r="L159" s="8" t="s">
        <v>119</v>
      </c>
      <c r="M159" s="16" t="str">
        <f ca="1">IFERROR(__xludf.DUMMYFUNCTION("JOIN("""",VLOOKUP(D159,'для артикула'!$A$2:$B$7,2,0),VLOOKUP(G159,'для артикула'!$A$13:$B$14,2,0),VLOOKUP(E159,'для артикула'!$A$9:$B$11,2,0),VLOOKUP(F159,'для артикула'!$A$17:$B$19,2,0),VLOOKUP(J159,'для артикула'!$A$22:$B$23,2,0),VLOOKUP(H159,'для артик"&amp;"ула'!$A$26:$B$30,2,0))"),"002-2013E30Q13-OK")</f>
        <v>002-2013E30Q13-OK</v>
      </c>
      <c r="N159" s="8" t="str">
        <f>IF(ISNUMBER(MATCH(C159, 'Реестр договоров'!$D$2:$D$900, 0)), "Продано", "В наличии")</f>
        <v>Продано</v>
      </c>
    </row>
    <row r="160" spans="1:15">
      <c r="A160" s="26">
        <v>45484.678089027773</v>
      </c>
      <c r="B160" s="26"/>
      <c r="C160" s="8" t="s">
        <v>269</v>
      </c>
      <c r="D160" s="8" t="s">
        <v>114</v>
      </c>
      <c r="E160" s="8">
        <v>50</v>
      </c>
      <c r="F160" s="8" t="s">
        <v>116</v>
      </c>
      <c r="G160" s="8" t="s">
        <v>116</v>
      </c>
      <c r="H160" s="8" t="s">
        <v>115</v>
      </c>
      <c r="I160" s="27">
        <v>45484</v>
      </c>
      <c r="J160" s="8" t="s">
        <v>117</v>
      </c>
      <c r="K160" s="8" t="s">
        <v>121</v>
      </c>
      <c r="L160" s="8" t="s">
        <v>119</v>
      </c>
      <c r="M160" s="16" t="str">
        <f ca="1">IFERROR(__xludf.DUMMYFUNCTION("JOIN("""",VLOOKUP(D160,'для артикула'!$A$2:$B$7,2,0),VLOOKUP(G160,'для артикула'!$A$13:$B$14,2,0),VLOOKUP(E160,'для артикула'!$A$9:$B$11,2,0),VLOOKUP(F160,'для артикула'!$A$17:$B$19,2,0),VLOOKUP(J160,'для артикула'!$A$22:$B$23,2,0),VLOOKUP(H160,'для артик"&amp;"ула'!$A$26:$B$30,2,0))"),"002-2013E50Q13-OK")</f>
        <v>002-2013E50Q13-OK</v>
      </c>
      <c r="N160" s="8" t="str">
        <f>IF(ISNUMBER(MATCH(C160, 'Реестр договоров'!$D$2:$D$900, 0)), "Продано", "В наличии")</f>
        <v>Продано</v>
      </c>
      <c r="O160" s="8"/>
    </row>
    <row r="161" spans="1:15">
      <c r="A161" s="26">
        <v>45484.696222604165</v>
      </c>
      <c r="B161" s="26"/>
      <c r="C161" s="8" t="s">
        <v>270</v>
      </c>
      <c r="D161" s="8" t="s">
        <v>114</v>
      </c>
      <c r="E161" s="8">
        <v>50</v>
      </c>
      <c r="F161" s="8" t="s">
        <v>116</v>
      </c>
      <c r="G161" s="8" t="s">
        <v>116</v>
      </c>
      <c r="H161" s="8" t="s">
        <v>115</v>
      </c>
      <c r="I161" s="27">
        <v>45484</v>
      </c>
      <c r="J161" s="8" t="s">
        <v>117</v>
      </c>
      <c r="K161" s="8" t="s">
        <v>121</v>
      </c>
      <c r="L161" s="8" t="s">
        <v>119</v>
      </c>
      <c r="M161" s="16" t="str">
        <f ca="1">IFERROR(__xludf.DUMMYFUNCTION("JOIN("""",VLOOKUP(D161,'для артикула'!$A$2:$B$7,2,0),VLOOKUP(G161,'для артикула'!$A$13:$B$14,2,0),VLOOKUP(E161,'для артикула'!$A$9:$B$11,2,0),VLOOKUP(F161,'для артикула'!$A$17:$B$19,2,0),VLOOKUP(J161,'для артикула'!$A$22:$B$23,2,0),VLOOKUP(H161,'для артик"&amp;"ула'!$A$26:$B$30,2,0))"),"002-2013E50Q13-OK")</f>
        <v>002-2013E50Q13-OK</v>
      </c>
      <c r="N161" s="8" t="str">
        <f>IF(ISNUMBER(MATCH(C161, 'Реестр договоров'!$D$2:$D$900, 0)), "Продано", "В наличии")</f>
        <v>Продано</v>
      </c>
      <c r="O161" s="8"/>
    </row>
    <row r="162" spans="1:15">
      <c r="A162" s="26">
        <v>45460.711844699079</v>
      </c>
      <c r="B162" s="26"/>
      <c r="C162" s="8" t="s">
        <v>271</v>
      </c>
      <c r="D162" s="8" t="s">
        <v>114</v>
      </c>
      <c r="E162" s="8">
        <v>50</v>
      </c>
      <c r="F162" s="8" t="s">
        <v>116</v>
      </c>
      <c r="G162" s="8" t="s">
        <v>116</v>
      </c>
      <c r="H162" s="8" t="s">
        <v>115</v>
      </c>
      <c r="I162" s="27">
        <v>45460</v>
      </c>
      <c r="J162" s="8" t="s">
        <v>117</v>
      </c>
      <c r="K162" s="8" t="s">
        <v>121</v>
      </c>
      <c r="L162" s="8" t="s">
        <v>119</v>
      </c>
      <c r="M162" s="16" t="str">
        <f ca="1">IFERROR(__xludf.DUMMYFUNCTION("JOIN("""",VLOOKUP(D162,'для артикула'!$A$2:$B$7,2,0),VLOOKUP(G162,'для артикула'!$A$13:$B$14,2,0),VLOOKUP(E162,'для артикула'!$A$9:$B$11,2,0),VLOOKUP(F162,'для артикула'!$A$17:$B$19,2,0),VLOOKUP(J162,'для артикула'!$A$22:$B$23,2,0),VLOOKUP(H162,'для артик"&amp;"ула'!$A$26:$B$30,2,0))"),"002-2013E50Q13-OK")</f>
        <v>002-2013E50Q13-OK</v>
      </c>
      <c r="N162" s="8" t="str">
        <f>IF(ISNUMBER(MATCH(C162, 'Реестр договоров'!$D$2:$D$900, 0)), "Продано", "В наличии")</f>
        <v>Продано</v>
      </c>
      <c r="O162" s="8"/>
    </row>
    <row r="163" spans="1:15">
      <c r="A163" s="26">
        <v>45484.696222604165</v>
      </c>
      <c r="B163" s="26"/>
      <c r="C163" s="8" t="s">
        <v>272</v>
      </c>
      <c r="D163" s="8" t="s">
        <v>114</v>
      </c>
      <c r="E163" s="8">
        <v>30</v>
      </c>
      <c r="F163" s="8" t="s">
        <v>116</v>
      </c>
      <c r="G163" s="8" t="s">
        <v>116</v>
      </c>
      <c r="H163" s="8">
        <v>30</v>
      </c>
      <c r="I163" s="27">
        <v>45484</v>
      </c>
      <c r="J163" s="8" t="s">
        <v>117</v>
      </c>
      <c r="K163" s="8" t="s">
        <v>121</v>
      </c>
      <c r="L163" s="8" t="s">
        <v>119</v>
      </c>
      <c r="M163" s="16" t="str">
        <f ca="1">IFERROR(__xludf.DUMMYFUNCTION("JOIN("""",VLOOKUP(D163,'для артикула'!$A$2:$B$7,2,0),VLOOKUP(G163,'для артикула'!$A$13:$B$14,2,0),VLOOKUP(E163,'для артикула'!$A$9:$B$11,2,0),VLOOKUP(F163,'для артикула'!$A$17:$B$19,2,0),VLOOKUP(J163,'для артикула'!$A$22:$B$23,2,0),VLOOKUP(H163,'для артик"&amp;"ула'!$A$26:$B$30,2,0))"),"002-2013E30Q13-OK30")</f>
        <v>002-2013E30Q13-OK30</v>
      </c>
      <c r="N163" s="8" t="str">
        <f>IF(ISNUMBER(MATCH(C163, 'Реестр договоров'!$D$2:$D$900, 0)), "Продано", "В наличии")</f>
        <v>Продано</v>
      </c>
    </row>
    <row r="164" spans="1:15">
      <c r="A164" s="26">
        <v>45484.696222604165</v>
      </c>
      <c r="B164" s="26"/>
      <c r="C164" s="8" t="s">
        <v>273</v>
      </c>
      <c r="D164" s="8" t="s">
        <v>114</v>
      </c>
      <c r="E164" s="8">
        <v>30</v>
      </c>
      <c r="F164" s="8" t="s">
        <v>116</v>
      </c>
      <c r="G164" s="8" t="s">
        <v>116</v>
      </c>
      <c r="H164" s="8" t="s">
        <v>115</v>
      </c>
      <c r="I164" s="27">
        <v>45484</v>
      </c>
      <c r="J164" s="8" t="s">
        <v>117</v>
      </c>
      <c r="K164" s="8" t="s">
        <v>121</v>
      </c>
      <c r="L164" s="8" t="s">
        <v>119</v>
      </c>
      <c r="M164" s="16" t="str">
        <f ca="1">IFERROR(__xludf.DUMMYFUNCTION("JOIN("""",VLOOKUP(D164,'для артикула'!$A$2:$B$7,2,0),VLOOKUP(G164,'для артикула'!$A$13:$B$14,2,0),VLOOKUP(E164,'для артикула'!$A$9:$B$11,2,0),VLOOKUP(F164,'для артикула'!$A$17:$B$19,2,0),VLOOKUP(J164,'для артикула'!$A$22:$B$23,2,0),VLOOKUP(H164,'для артик"&amp;"ула'!$A$26:$B$30,2,0))"),"002-2013E30Q13-OK")</f>
        <v>002-2013E30Q13-OK</v>
      </c>
      <c r="N164" s="8" t="str">
        <f>IF(ISNUMBER(MATCH(C164, 'Реестр договоров'!$D$2:$D$900, 0)), "Продано", "В наличии")</f>
        <v>Продано</v>
      </c>
    </row>
    <row r="165" spans="1:15">
      <c r="A165" s="26">
        <v>45460.711430543983</v>
      </c>
      <c r="B165" s="26"/>
      <c r="C165" s="8" t="s">
        <v>274</v>
      </c>
      <c r="D165" s="8" t="s">
        <v>114</v>
      </c>
      <c r="E165" s="8">
        <v>30</v>
      </c>
      <c r="F165" s="8" t="s">
        <v>116</v>
      </c>
      <c r="G165" s="8" t="s">
        <v>116</v>
      </c>
      <c r="H165" s="8" t="s">
        <v>115</v>
      </c>
      <c r="I165" s="27">
        <v>45460</v>
      </c>
      <c r="J165" s="8" t="s">
        <v>117</v>
      </c>
      <c r="K165" s="8" t="s">
        <v>121</v>
      </c>
      <c r="L165" s="8" t="s">
        <v>119</v>
      </c>
      <c r="M165" s="16" t="str">
        <f ca="1">IFERROR(__xludf.DUMMYFUNCTION("JOIN("""",VLOOKUP(D165,'для артикула'!$A$2:$B$7,2,0),VLOOKUP(G165,'для артикула'!$A$13:$B$14,2,0),VLOOKUP(E165,'для артикула'!$A$9:$B$11,2,0),VLOOKUP(F165,'для артикула'!$A$17:$B$19,2,0),VLOOKUP(J165,'для артикула'!$A$22:$B$23,2,0),VLOOKUP(H165,'для артик"&amp;"ула'!$A$26:$B$30,2,0))"),"002-2013E30Q13-OK")</f>
        <v>002-2013E30Q13-OK</v>
      </c>
      <c r="N165" s="8" t="str">
        <f>IF(ISNUMBER(MATCH(C165, 'Реестр договоров'!$D$2:$D$900, 0)), "Продано", "В наличии")</f>
        <v>Продано</v>
      </c>
      <c r="O165" s="8"/>
    </row>
    <row r="166" spans="1:15">
      <c r="A166" s="26">
        <v>45460.712730636573</v>
      </c>
      <c r="B166" s="26"/>
      <c r="C166" s="8" t="s">
        <v>275</v>
      </c>
      <c r="D166" s="8" t="s">
        <v>114</v>
      </c>
      <c r="E166" s="8">
        <v>50</v>
      </c>
      <c r="F166" s="8" t="s">
        <v>116</v>
      </c>
      <c r="G166" s="8" t="s">
        <v>116</v>
      </c>
      <c r="H166" s="8" t="s">
        <v>115</v>
      </c>
      <c r="I166" s="27">
        <v>45460</v>
      </c>
      <c r="J166" s="8" t="s">
        <v>117</v>
      </c>
      <c r="K166" s="8" t="s">
        <v>121</v>
      </c>
      <c r="L166" s="8" t="s">
        <v>119</v>
      </c>
      <c r="M166" s="16" t="str">
        <f ca="1">IFERROR(__xludf.DUMMYFUNCTION("JOIN("""",VLOOKUP(D166,'для артикула'!$A$2:$B$7,2,0),VLOOKUP(G166,'для артикула'!$A$13:$B$14,2,0),VLOOKUP(E166,'для артикула'!$A$9:$B$11,2,0),VLOOKUP(F166,'для артикула'!$A$17:$B$19,2,0),VLOOKUP(J166,'для артикула'!$A$22:$B$23,2,0),VLOOKUP(H166,'для артик"&amp;"ула'!$A$26:$B$30,2,0))"),"002-2013E50Q13-OK")</f>
        <v>002-2013E50Q13-OK</v>
      </c>
      <c r="N166" s="8" t="str">
        <f>IF(ISNUMBER(MATCH(C166, 'Реестр договоров'!$D$2:$D$900, 0)), "Продано", "В наличии")</f>
        <v>Продано</v>
      </c>
      <c r="O166" s="8"/>
    </row>
    <row r="167" spans="1:15">
      <c r="A167" s="26">
        <v>45460.714342847219</v>
      </c>
      <c r="B167" s="26"/>
      <c r="C167" s="8" t="s">
        <v>276</v>
      </c>
      <c r="D167" s="8" t="s">
        <v>114</v>
      </c>
      <c r="E167" s="8">
        <v>50</v>
      </c>
      <c r="F167" s="8" t="s">
        <v>116</v>
      </c>
      <c r="G167" s="8" t="s">
        <v>116</v>
      </c>
      <c r="H167" s="8" t="s">
        <v>115</v>
      </c>
      <c r="I167" s="27">
        <v>45460</v>
      </c>
      <c r="J167" s="8" t="s">
        <v>117</v>
      </c>
      <c r="K167" s="8" t="s">
        <v>121</v>
      </c>
      <c r="L167" s="8" t="s">
        <v>119</v>
      </c>
      <c r="M167" s="16" t="str">
        <f ca="1">IFERROR(__xludf.DUMMYFUNCTION("JOIN("""",VLOOKUP(D167,'для артикула'!$A$2:$B$7,2,0),VLOOKUP(G167,'для артикула'!$A$13:$B$14,2,0),VLOOKUP(E167,'для артикула'!$A$9:$B$11,2,0),VLOOKUP(F167,'для артикула'!$A$17:$B$19,2,0),VLOOKUP(J167,'для артикула'!$A$22:$B$23,2,0),VLOOKUP(H167,'для артик"&amp;"ула'!$A$26:$B$30,2,0))"),"002-2013E50Q13-OK")</f>
        <v>002-2013E50Q13-OK</v>
      </c>
      <c r="N167" s="8" t="str">
        <f>IF(ISNUMBER(MATCH(C167, 'Реестр договоров'!$D$2:$D$900, 0)), "Продано", "В наличии")</f>
        <v>Продано</v>
      </c>
      <c r="O167" s="8"/>
    </row>
    <row r="168" spans="1:15">
      <c r="A168" s="26">
        <v>45520.475858645834</v>
      </c>
      <c r="B168" s="26"/>
      <c r="C168" s="8" t="s">
        <v>277</v>
      </c>
      <c r="D168" s="8" t="s">
        <v>114</v>
      </c>
      <c r="E168" s="8">
        <v>30</v>
      </c>
      <c r="F168" s="8" t="s">
        <v>116</v>
      </c>
      <c r="G168" s="8" t="s">
        <v>116</v>
      </c>
      <c r="H168" s="8" t="s">
        <v>115</v>
      </c>
      <c r="I168" s="27">
        <v>45520</v>
      </c>
      <c r="J168" s="8" t="s">
        <v>117</v>
      </c>
      <c r="K168" s="8" t="s">
        <v>121</v>
      </c>
      <c r="L168" s="8" t="s">
        <v>119</v>
      </c>
      <c r="M168" s="16" t="str">
        <f ca="1">IFERROR(__xludf.DUMMYFUNCTION("JOIN("""",VLOOKUP(D168,'для артикула'!$A$2:$B$7,2,0),VLOOKUP(G168,'для артикула'!$A$13:$B$14,2,0),VLOOKUP(E168,'для артикула'!$A$9:$B$11,2,0),VLOOKUP(F168,'для артикула'!$A$17:$B$19,2,0),VLOOKUP(J168,'для артикула'!$A$22:$B$23,2,0),VLOOKUP(H168,'для артик"&amp;"ула'!$A$26:$B$30,2,0))"),"002-2013E30Q13-OK")</f>
        <v>002-2013E30Q13-OK</v>
      </c>
      <c r="N168" s="8" t="str">
        <f>IF(ISNUMBER(MATCH(C168, 'Реестр договоров'!$D$2:$D$900, 0)), "Продано", "В наличии")</f>
        <v>Продано</v>
      </c>
    </row>
    <row r="169" spans="1:15">
      <c r="A169" s="26">
        <v>45478.712447962964</v>
      </c>
      <c r="B169" s="26"/>
      <c r="C169" s="8" t="s">
        <v>278</v>
      </c>
      <c r="D169" s="8" t="s">
        <v>114</v>
      </c>
      <c r="E169" s="8">
        <v>50</v>
      </c>
      <c r="F169" s="8" t="s">
        <v>116</v>
      </c>
      <c r="G169" s="8" t="s">
        <v>116</v>
      </c>
      <c r="H169" s="8" t="s">
        <v>115</v>
      </c>
      <c r="I169" s="27">
        <v>45478</v>
      </c>
      <c r="J169" s="8" t="s">
        <v>117</v>
      </c>
      <c r="K169" s="8" t="s">
        <v>121</v>
      </c>
      <c r="L169" s="8" t="s">
        <v>119</v>
      </c>
      <c r="M169" s="16" t="str">
        <f ca="1">IFERROR(__xludf.DUMMYFUNCTION("JOIN("""",VLOOKUP(D169,'для артикула'!$A$2:$B$7,2,0),VLOOKUP(G169,'для артикула'!$A$13:$B$14,2,0),VLOOKUP(E169,'для артикула'!$A$9:$B$11,2,0),VLOOKUP(F169,'для артикула'!$A$17:$B$19,2,0),VLOOKUP(J169,'для артикула'!$A$22:$B$23,2,0),VLOOKUP(H169,'для артик"&amp;"ула'!$A$26:$B$30,2,0))"),"002-2013E50Q13-OK")</f>
        <v>002-2013E50Q13-OK</v>
      </c>
      <c r="N169" s="8" t="str">
        <f>IF(ISNUMBER(MATCH(C169, 'Реестр договоров'!$D$2:$D$900, 0)), "Продано", "В наличии")</f>
        <v>Продано</v>
      </c>
      <c r="O169" s="8"/>
    </row>
    <row r="170" spans="1:15">
      <c r="A170" s="26">
        <v>45460.71348648148</v>
      </c>
      <c r="B170" s="26"/>
      <c r="C170" s="8" t="s">
        <v>279</v>
      </c>
      <c r="D170" s="8" t="s">
        <v>114</v>
      </c>
      <c r="E170" s="8">
        <v>50</v>
      </c>
      <c r="F170" s="8" t="s">
        <v>116</v>
      </c>
      <c r="G170" s="8" t="s">
        <v>116</v>
      </c>
      <c r="H170" s="8" t="s">
        <v>115</v>
      </c>
      <c r="I170" s="27">
        <v>45460</v>
      </c>
      <c r="J170" s="8" t="s">
        <v>117</v>
      </c>
      <c r="K170" s="8" t="s">
        <v>124</v>
      </c>
      <c r="L170" s="8" t="s">
        <v>119</v>
      </c>
      <c r="M170" s="16" t="str">
        <f ca="1">IFERROR(__xludf.DUMMYFUNCTION("JOIN("""",VLOOKUP(D170,'для артикула'!$A$2:$B$7,2,0),VLOOKUP(G170,'для артикула'!$A$13:$B$14,2,0),VLOOKUP(E170,'для артикула'!$A$9:$B$11,2,0),VLOOKUP(F170,'для артикула'!$A$17:$B$19,2,0),VLOOKUP(J170,'для артикула'!$A$22:$B$23,2,0),VLOOKUP(H170,'для артик"&amp;"ула'!$A$26:$B$30,2,0))"),"002-2013E50Q13-OK")</f>
        <v>002-2013E50Q13-OK</v>
      </c>
      <c r="N170" s="8" t="str">
        <f>IF(ISNUMBER(MATCH(C170, 'Реестр договоров'!$D$2:$D$900, 0)), "Продано", "В наличии")</f>
        <v>Продано</v>
      </c>
      <c r="O170" s="8"/>
    </row>
    <row r="171" spans="1:15">
      <c r="A171" s="26">
        <v>45479.489519270835</v>
      </c>
      <c r="B171" s="26"/>
      <c r="C171" s="8" t="s">
        <v>280</v>
      </c>
      <c r="D171" s="8" t="s">
        <v>114</v>
      </c>
      <c r="E171" s="8">
        <v>30</v>
      </c>
      <c r="F171" s="8" t="s">
        <v>116</v>
      </c>
      <c r="G171" s="8" t="s">
        <v>116</v>
      </c>
      <c r="H171" s="8" t="s">
        <v>115</v>
      </c>
      <c r="I171" s="27">
        <v>45479</v>
      </c>
      <c r="J171" s="8" t="s">
        <v>117</v>
      </c>
      <c r="K171" s="8" t="s">
        <v>121</v>
      </c>
      <c r="L171" s="8" t="s">
        <v>119</v>
      </c>
      <c r="M171" s="16" t="str">
        <f ca="1">IFERROR(__xludf.DUMMYFUNCTION("JOIN("""",VLOOKUP(D171,'для артикула'!$A$2:$B$7,2,0),VLOOKUP(G171,'для артикула'!$A$13:$B$14,2,0),VLOOKUP(E171,'для артикула'!$A$9:$B$11,2,0),VLOOKUP(F171,'для артикула'!$A$17:$B$19,2,0),VLOOKUP(J171,'для артикула'!$A$22:$B$23,2,0),VLOOKUP(H171,'для артик"&amp;"ула'!$A$26:$B$30,2,0))"),"002-2013E30Q13-OK")</f>
        <v>002-2013E30Q13-OK</v>
      </c>
      <c r="N171" s="8" t="str">
        <f>IF(ISNUMBER(MATCH(C171, 'Реестр договоров'!$D$2:$D$900, 0)), "Продано", "В наличии")</f>
        <v>Продано</v>
      </c>
      <c r="O171" s="8"/>
    </row>
    <row r="172" spans="1:15">
      <c r="A172" s="26">
        <v>45451.641594687499</v>
      </c>
      <c r="B172" s="26"/>
      <c r="C172" s="8" t="s">
        <v>281</v>
      </c>
      <c r="D172" s="8" t="s">
        <v>114</v>
      </c>
      <c r="E172" s="8">
        <v>50</v>
      </c>
      <c r="F172" s="8" t="s">
        <v>116</v>
      </c>
      <c r="G172" s="8" t="s">
        <v>116</v>
      </c>
      <c r="H172" s="8" t="s">
        <v>115</v>
      </c>
      <c r="I172" s="27">
        <v>45451</v>
      </c>
      <c r="J172" s="8" t="s">
        <v>117</v>
      </c>
      <c r="K172" s="8" t="s">
        <v>121</v>
      </c>
      <c r="L172" s="8" t="s">
        <v>119</v>
      </c>
      <c r="M172" s="16" t="str">
        <f ca="1">IFERROR(__xludf.DUMMYFUNCTION("JOIN("""",VLOOKUP(D172,'для артикула'!$A$2:$B$7,2,0),VLOOKUP(G172,'для артикула'!$A$13:$B$14,2,0),VLOOKUP(E172,'для артикула'!$A$9:$B$11,2,0),VLOOKUP(F172,'для артикула'!$A$17:$B$19,2,0),VLOOKUP(J172,'для артикула'!$A$22:$B$23,2,0),VLOOKUP(H172,'для артик"&amp;"ула'!$A$26:$B$30,2,0))"),"002-2013E50Q13-OK")</f>
        <v>002-2013E50Q13-OK</v>
      </c>
      <c r="N172" s="8" t="str">
        <f>IF(ISNUMBER(MATCH(C172, 'Реестр договоров'!$D$2:$D$900, 0)), "Продано", "В наличии")</f>
        <v>Продано</v>
      </c>
      <c r="O172" s="8"/>
    </row>
    <row r="173" spans="1:15">
      <c r="A173" s="26">
        <v>45514.560587337968</v>
      </c>
      <c r="B173" s="26"/>
      <c r="C173" s="8" t="s">
        <v>282</v>
      </c>
      <c r="D173" s="8" t="s">
        <v>114</v>
      </c>
      <c r="E173" s="8">
        <v>50</v>
      </c>
      <c r="F173" s="8" t="s">
        <v>116</v>
      </c>
      <c r="G173" s="8" t="s">
        <v>116</v>
      </c>
      <c r="H173" s="8" t="s">
        <v>115</v>
      </c>
      <c r="I173" s="27">
        <v>45514</v>
      </c>
      <c r="J173" s="8" t="s">
        <v>117</v>
      </c>
      <c r="K173" s="8" t="s">
        <v>124</v>
      </c>
      <c r="L173" s="8" t="s">
        <v>119</v>
      </c>
      <c r="M173" s="16" t="str">
        <f ca="1">IFERROR(__xludf.DUMMYFUNCTION("JOIN("""",VLOOKUP(D173,'для артикула'!$A$2:$B$7,2,0),VLOOKUP(G173,'для артикула'!$A$13:$B$14,2,0),VLOOKUP(E173,'для артикула'!$A$9:$B$11,2,0),VLOOKUP(F173,'для артикула'!$A$17:$B$19,2,0),VLOOKUP(J173,'для артикула'!$A$22:$B$23,2,0),VLOOKUP(H173,'для артик"&amp;"ула'!$A$26:$B$30,2,0))"),"002-2013E50Q13-OK")</f>
        <v>002-2013E50Q13-OK</v>
      </c>
      <c r="N173" s="8" t="str">
        <f>IF(ISNUMBER(MATCH(C173, 'Реестр договоров'!$D$2:$D$900, 0)), "Продано", "В наличии")</f>
        <v>Продано</v>
      </c>
    </row>
    <row r="174" spans="1:15">
      <c r="A174" s="26">
        <v>45608.440334432875</v>
      </c>
      <c r="B174" s="26"/>
      <c r="C174" s="8" t="s">
        <v>283</v>
      </c>
      <c r="D174" s="8" t="s">
        <v>114</v>
      </c>
      <c r="E174" s="8">
        <v>30</v>
      </c>
      <c r="F174" s="8" t="s">
        <v>116</v>
      </c>
      <c r="G174" s="8" t="s">
        <v>116</v>
      </c>
      <c r="H174" s="8" t="s">
        <v>115</v>
      </c>
      <c r="I174" s="27">
        <v>45608</v>
      </c>
      <c r="J174" s="8" t="s">
        <v>117</v>
      </c>
      <c r="K174" s="8" t="s">
        <v>121</v>
      </c>
      <c r="L174" s="8" t="s">
        <v>119</v>
      </c>
      <c r="M174" s="16" t="str">
        <f ca="1">IFERROR(__xludf.DUMMYFUNCTION("JOIN("""",VLOOKUP(D174,'для артикула'!$A$2:$B$7,2,0),VLOOKUP(G174,'для артикула'!$A$13:$B$14,2,0),VLOOKUP(E174,'для артикула'!$A$9:$B$11,2,0),VLOOKUP(F174,'для артикула'!$A$17:$B$19,2,0),VLOOKUP(J174,'для артикула'!$A$22:$B$23,2,0),VLOOKUP(H174,'для артик"&amp;"ула'!$A$26:$B$30,2,0))"),"002-2013E30Q13-OK")</f>
        <v>002-2013E30Q13-OK</v>
      </c>
      <c r="N174" s="8" t="str">
        <f>IF(ISNUMBER(MATCH(C174, 'Реестр договоров'!$D$2:$D$900, 0)), "Продано", "В наличии")</f>
        <v>Продано</v>
      </c>
    </row>
    <row r="175" spans="1:15">
      <c r="A175" s="26">
        <v>45552.464614201388</v>
      </c>
      <c r="B175" s="26"/>
      <c r="C175" s="8" t="s">
        <v>284</v>
      </c>
      <c r="D175" s="8" t="s">
        <v>114</v>
      </c>
      <c r="E175" s="8">
        <v>50</v>
      </c>
      <c r="F175" s="8" t="s">
        <v>116</v>
      </c>
      <c r="G175" s="8" t="s">
        <v>116</v>
      </c>
      <c r="H175" s="8" t="s">
        <v>115</v>
      </c>
      <c r="I175" s="27">
        <v>45552</v>
      </c>
      <c r="J175" s="8" t="s">
        <v>117</v>
      </c>
      <c r="K175" s="8" t="s">
        <v>124</v>
      </c>
      <c r="L175" s="8" t="s">
        <v>119</v>
      </c>
      <c r="M175" s="16" t="str">
        <f ca="1">IFERROR(__xludf.DUMMYFUNCTION("JOIN("""",VLOOKUP(D175,'для артикула'!$A$2:$B$7,2,0),VLOOKUP(G175,'для артикула'!$A$13:$B$14,2,0),VLOOKUP(E175,'для артикула'!$A$9:$B$11,2,0),VLOOKUP(F175,'для артикула'!$A$17:$B$19,2,0),VLOOKUP(J175,'для артикула'!$A$22:$B$23,2,0),VLOOKUP(H175,'для артик"&amp;"ула'!$A$26:$B$30,2,0))"),"002-2013E50Q13-OK")</f>
        <v>002-2013E50Q13-OK</v>
      </c>
      <c r="N175" s="8" t="str">
        <f>IF(ISNUMBER(MATCH(C175, 'Реестр договоров'!$D$2:$D$900, 0)), "Продано", "В наличии")</f>
        <v>Продано</v>
      </c>
    </row>
    <row r="176" spans="1:15">
      <c r="A176" s="26">
        <v>45538.457620266199</v>
      </c>
      <c r="B176" s="26"/>
      <c r="C176" s="8" t="s">
        <v>285</v>
      </c>
      <c r="D176" s="8" t="s">
        <v>114</v>
      </c>
      <c r="E176" s="8">
        <v>30</v>
      </c>
      <c r="F176" s="8" t="s">
        <v>116</v>
      </c>
      <c r="G176" s="8" t="s">
        <v>116</v>
      </c>
      <c r="H176" s="8">
        <v>60</v>
      </c>
      <c r="I176" s="27">
        <v>44926</v>
      </c>
      <c r="J176" s="8" t="s">
        <v>117</v>
      </c>
      <c r="K176" s="8" t="s">
        <v>118</v>
      </c>
      <c r="L176" s="8" t="s">
        <v>119</v>
      </c>
      <c r="M176" s="16" t="str">
        <f ca="1">IFERROR(__xludf.DUMMYFUNCTION("JOIN("""",VLOOKUP(D176,'для артикула'!$A$2:$B$7,2,0),VLOOKUP(G176,'для артикула'!$A$13:$B$14,2,0),VLOOKUP(E176,'для артикула'!$A$9:$B$11,2,0),VLOOKUP(F176,'для артикула'!$A$17:$B$19,2,0),VLOOKUP(J176,'для артикула'!$A$22:$B$23,2,0),VLOOKUP(H176,'для артик"&amp;"ула'!$A$26:$B$30,2,0))"),"002-2013E30Q13-OK60")</f>
        <v>002-2013E30Q13-OK60</v>
      </c>
      <c r="N176" s="8" t="str">
        <f>IF(ISNUMBER(MATCH(C176, 'Реестр договоров'!$D$2:$D$900, 0)), "Продано", "В наличии")</f>
        <v>Продано</v>
      </c>
    </row>
    <row r="177" spans="1:15">
      <c r="A177" s="26">
        <v>45475.699650671297</v>
      </c>
      <c r="B177" s="26"/>
      <c r="C177" s="8" t="s">
        <v>286</v>
      </c>
      <c r="D177" s="8" t="s">
        <v>287</v>
      </c>
      <c r="E177" s="8">
        <v>30</v>
      </c>
      <c r="F177" s="8" t="s">
        <v>116</v>
      </c>
      <c r="G177" s="8" t="s">
        <v>116</v>
      </c>
      <c r="H177" s="8" t="s">
        <v>115</v>
      </c>
      <c r="I177" s="27">
        <v>45475</v>
      </c>
      <c r="J177" s="8" t="s">
        <v>117</v>
      </c>
      <c r="K177" s="8" t="s">
        <v>124</v>
      </c>
      <c r="L177" s="8" t="s">
        <v>288</v>
      </c>
      <c r="M177" s="8" t="s">
        <v>289</v>
      </c>
      <c r="N177" s="8" t="str">
        <f>IF(ISNUMBER(MATCH(C177, 'Реестр договоров'!$D$2:$D$900, 0)), "Продано", "В наличии")</f>
        <v>Продано</v>
      </c>
      <c r="O177" s="8"/>
    </row>
    <row r="178" spans="1:15">
      <c r="A178" s="26">
        <v>45625.614297060187</v>
      </c>
      <c r="B178" s="26"/>
      <c r="C178" s="8" t="s">
        <v>290</v>
      </c>
      <c r="D178" s="8" t="s">
        <v>287</v>
      </c>
      <c r="E178" s="8">
        <v>50</v>
      </c>
      <c r="F178" s="8" t="s">
        <v>116</v>
      </c>
      <c r="G178" s="8" t="s">
        <v>116</v>
      </c>
      <c r="H178" s="8" t="s">
        <v>115</v>
      </c>
      <c r="I178" s="27">
        <v>45625</v>
      </c>
      <c r="J178" s="8" t="s">
        <v>117</v>
      </c>
      <c r="K178" s="8" t="s">
        <v>124</v>
      </c>
      <c r="L178" s="8" t="s">
        <v>119</v>
      </c>
      <c r="M178" s="16" t="str">
        <f ca="1">IFERROR(__xludf.DUMMYFUNCTION("JOIN("""",VLOOKUP(D178,'для артикула'!$A$2:$B$7,2,0),VLOOKUP(G178,'для артикула'!$A$13:$B$14,2,0),VLOOKUP(E178,'для артикула'!$A$9:$B$11,2,0),VLOOKUP(F178,'для артикула'!$A$17:$B$19,2,0),VLOOKUP(J178,'для артикула'!$A$22:$B$23,2,0),VLOOKUP(H178,'для артик"&amp;"ула'!$A$26:$B$30,2,0))"),"002-2513E50Q13-OK")</f>
        <v>002-2513E50Q13-OK</v>
      </c>
      <c r="N178" s="8" t="str">
        <f>IF(ISNUMBER(MATCH(C178, 'Реестр договоров'!$D$2:$D$900, 0)), "Продано", "В наличии")</f>
        <v>Продано</v>
      </c>
    </row>
    <row r="179" spans="1:15">
      <c r="A179" s="26">
        <v>45616.444862766206</v>
      </c>
      <c r="B179" s="26"/>
      <c r="C179" s="8" t="s">
        <v>19</v>
      </c>
      <c r="D179" s="8" t="s">
        <v>287</v>
      </c>
      <c r="E179" s="8">
        <v>50</v>
      </c>
      <c r="F179" s="8" t="s">
        <v>144</v>
      </c>
      <c r="G179" s="8" t="s">
        <v>144</v>
      </c>
      <c r="H179" s="8">
        <v>90</v>
      </c>
      <c r="I179" s="27">
        <v>45616</v>
      </c>
      <c r="J179" s="8" t="s">
        <v>117</v>
      </c>
      <c r="K179" s="8" t="s">
        <v>118</v>
      </c>
      <c r="L179" s="8" t="s">
        <v>119</v>
      </c>
      <c r="M179" s="16" t="str">
        <f ca="1">IFERROR(__xludf.DUMMYFUNCTION("JOIN("""",VLOOKUP(D179,'для артикула'!$A$2:$B$7,2,0),VLOOKUP(G179,'для артикула'!$A$13:$B$14,2,0),VLOOKUP(E179,'для артикула'!$A$9:$B$11,2,0),VLOOKUP(F179,'для артикула'!$A$17:$B$19,2,0),VLOOKUP(J179,'для артикула'!$A$22:$B$23,2,0),VLOOKUP(H179,'для артик"&amp;"ула'!$A$26:$B$30,2,0))"),"002-2513E50Q15-OK90")</f>
        <v>002-2513E50Q15-OK90</v>
      </c>
      <c r="N179" s="8" t="str">
        <f>IF(ISNUMBER(MATCH(C179, 'Реестр договоров'!$D$2:$D$900, 0)), "Продано", "В наличии")</f>
        <v>Продано</v>
      </c>
    </row>
    <row r="180" spans="1:15">
      <c r="A180" s="26">
        <v>45600.487748622691</v>
      </c>
      <c r="B180" s="26"/>
      <c r="C180" s="8" t="s">
        <v>291</v>
      </c>
      <c r="D180" s="8" t="s">
        <v>287</v>
      </c>
      <c r="E180" s="8">
        <v>50</v>
      </c>
      <c r="F180" s="8" t="s">
        <v>116</v>
      </c>
      <c r="G180" s="8" t="s">
        <v>116</v>
      </c>
      <c r="H180" s="8" t="s">
        <v>115</v>
      </c>
      <c r="I180" s="27">
        <v>45600</v>
      </c>
      <c r="J180" s="8" t="s">
        <v>117</v>
      </c>
      <c r="K180" s="8" t="s">
        <v>118</v>
      </c>
      <c r="L180" s="8" t="s">
        <v>119</v>
      </c>
      <c r="M180" s="16" t="str">
        <f ca="1">IFERROR(__xludf.DUMMYFUNCTION("JOIN("""",VLOOKUP(D180,'для артикула'!$A$2:$B$7,2,0),VLOOKUP(G180,'для артикула'!$A$13:$B$14,2,0),VLOOKUP(E180,'для артикула'!$A$9:$B$11,2,0),VLOOKUP(F180,'для артикула'!$A$17:$B$19,2,0),VLOOKUP(J180,'для артикула'!$A$22:$B$23,2,0),VLOOKUP(H180,'для артик"&amp;"ула'!$A$26:$B$30,2,0))"),"002-2513E50Q13-OK")</f>
        <v>002-2513E50Q13-OK</v>
      </c>
      <c r="N180" s="8" t="str">
        <f>IF(ISNUMBER(MATCH(C180, 'Реестр договоров'!$D$2:$D$900, 0)), "Продано", "В наличии")</f>
        <v>Продано</v>
      </c>
    </row>
    <row r="181" spans="1:15">
      <c r="A181" s="26">
        <v>45568.699328506947</v>
      </c>
      <c r="B181" s="26"/>
      <c r="C181" s="8" t="s">
        <v>292</v>
      </c>
      <c r="D181" s="8" t="s">
        <v>287</v>
      </c>
      <c r="E181" s="8">
        <v>30</v>
      </c>
      <c r="F181" s="8" t="s">
        <v>116</v>
      </c>
      <c r="G181" s="8" t="s">
        <v>116</v>
      </c>
      <c r="H181" s="8" t="s">
        <v>115</v>
      </c>
      <c r="I181" s="27">
        <v>45568</v>
      </c>
      <c r="J181" s="8" t="s">
        <v>117</v>
      </c>
      <c r="K181" s="8" t="s">
        <v>118</v>
      </c>
      <c r="L181" s="8" t="s">
        <v>119</v>
      </c>
      <c r="M181" s="16" t="str">
        <f ca="1">IFERROR(__xludf.DUMMYFUNCTION("JOIN("""",VLOOKUP(D181,'для артикула'!$A$2:$B$7,2,0),VLOOKUP(G181,'для артикула'!$A$13:$B$14,2,0),VLOOKUP(E181,'для артикула'!$A$9:$B$11,2,0),VLOOKUP(F181,'для артикула'!$A$17:$B$19,2,0),VLOOKUP(J181,'для артикула'!$A$22:$B$23,2,0),VLOOKUP(H181,'для артик"&amp;"ула'!$A$26:$B$30,2,0))"),"002-2513E30Q13-OK")</f>
        <v>002-2513E30Q13-OK</v>
      </c>
      <c r="N181" s="8" t="str">
        <f>IF(ISNUMBER(MATCH(C181, 'Реестр договоров'!$D$2:$D$900, 0)), "Продано", "В наличии")</f>
        <v>Продано</v>
      </c>
    </row>
    <row r="182" spans="1:15">
      <c r="A182" s="26">
        <v>45541.486275960648</v>
      </c>
      <c r="B182" s="26"/>
      <c r="C182" s="8" t="s">
        <v>293</v>
      </c>
      <c r="D182" s="8" t="s">
        <v>287</v>
      </c>
      <c r="E182" s="8">
        <v>30</v>
      </c>
      <c r="F182" s="8" t="s">
        <v>116</v>
      </c>
      <c r="G182" s="8" t="s">
        <v>116</v>
      </c>
      <c r="H182" s="8">
        <v>120</v>
      </c>
      <c r="I182" s="27">
        <v>45541</v>
      </c>
      <c r="J182" s="8" t="s">
        <v>117</v>
      </c>
      <c r="K182" s="8" t="s">
        <v>124</v>
      </c>
      <c r="L182" s="8" t="s">
        <v>119</v>
      </c>
      <c r="M182" s="16" t="str">
        <f ca="1">IFERROR(__xludf.DUMMYFUNCTION("JOIN("""",VLOOKUP(D182,'для артикула'!$A$2:$B$7,2,0),VLOOKUP(G182,'для артикула'!$A$13:$B$14,2,0),VLOOKUP(E182,'для артикула'!$A$9:$B$11,2,0),VLOOKUP(F182,'для артикула'!$A$17:$B$19,2,0),VLOOKUP(J182,'для артикула'!$A$22:$B$23,2,0),VLOOKUP(H182,'для артик"&amp;"ула'!$A$26:$B$30,2,0))"),"002-2513E30Q13-OK120")</f>
        <v>002-2513E30Q13-OK120</v>
      </c>
      <c r="N182" s="8" t="str">
        <f>IF(ISNUMBER(MATCH(C182, 'Реестр договоров'!$D$2:$D$900, 0)), "Продано", "В наличии")</f>
        <v>Продано</v>
      </c>
    </row>
    <row r="183" spans="1:15">
      <c r="A183" s="26">
        <v>45484.532377557873</v>
      </c>
      <c r="B183" s="26"/>
      <c r="C183" s="8" t="s">
        <v>294</v>
      </c>
      <c r="D183" s="8" t="s">
        <v>287</v>
      </c>
      <c r="E183" s="8">
        <v>50</v>
      </c>
      <c r="F183" s="8" t="s">
        <v>116</v>
      </c>
      <c r="G183" s="8" t="s">
        <v>116</v>
      </c>
      <c r="H183" s="8">
        <v>90</v>
      </c>
      <c r="I183" s="27">
        <v>45482</v>
      </c>
      <c r="J183" s="8" t="s">
        <v>117</v>
      </c>
      <c r="K183" s="8" t="s">
        <v>118</v>
      </c>
      <c r="L183" s="8" t="s">
        <v>119</v>
      </c>
      <c r="M183" s="16" t="str">
        <f ca="1">IFERROR(__xludf.DUMMYFUNCTION("JOIN("""",VLOOKUP(D183,'для артикула'!$A$2:$B$7,2,0),VLOOKUP(G183,'для артикула'!$A$13:$B$14,2,0),VLOOKUP(E183,'для артикула'!$A$9:$B$11,2,0),VLOOKUP(F183,'для артикула'!$A$17:$B$19,2,0),VLOOKUP(J183,'для артикула'!$A$22:$B$23,2,0),VLOOKUP(H183,'для артик"&amp;"ула'!$A$26:$B$30,2,0))"),"002-2513E50Q13-OK90")</f>
        <v>002-2513E50Q13-OK90</v>
      </c>
      <c r="N183" s="8" t="str">
        <f>IF(ISNUMBER(MATCH(C183, 'Реестр договоров'!$D$2:$D$900, 0)), "Продано", "В наличии")</f>
        <v>Продано</v>
      </c>
    </row>
    <row r="184" spans="1:15">
      <c r="A184" s="26">
        <v>45453.771827037039</v>
      </c>
      <c r="B184" s="26"/>
      <c r="C184" s="8" t="s">
        <v>295</v>
      </c>
      <c r="D184" s="8" t="s">
        <v>287</v>
      </c>
      <c r="E184" s="8">
        <v>50</v>
      </c>
      <c r="F184" s="8" t="s">
        <v>116</v>
      </c>
      <c r="G184" s="8" t="s">
        <v>116</v>
      </c>
      <c r="H184" s="8" t="s">
        <v>115</v>
      </c>
      <c r="I184" s="27">
        <v>45453</v>
      </c>
      <c r="J184" s="8" t="s">
        <v>117</v>
      </c>
      <c r="K184" s="8" t="s">
        <v>118</v>
      </c>
      <c r="L184" s="8" t="s">
        <v>119</v>
      </c>
      <c r="M184" s="16" t="str">
        <f ca="1">IFERROR(__xludf.DUMMYFUNCTION("JOIN("""",VLOOKUP(D184,'для артикула'!$A$2:$B$7,2,0),VLOOKUP(G184,'для артикула'!$A$13:$B$14,2,0),VLOOKUP(E184,'для артикула'!$A$9:$B$11,2,0),VLOOKUP(F184,'для артикула'!$A$17:$B$19,2,0),VLOOKUP(J184,'для артикула'!$A$22:$B$23,2,0),VLOOKUP(H184,'для артик"&amp;"ула'!$A$26:$B$30,2,0))"),"002-2513E50Q13-OK")</f>
        <v>002-2513E50Q13-OK</v>
      </c>
      <c r="N184" s="8" t="str">
        <f>IF(ISNUMBER(MATCH(C184, 'Реестр договоров'!$D$2:$D$900, 0)), "Продано", "В наличии")</f>
        <v>Продано</v>
      </c>
    </row>
    <row r="185" spans="1:15">
      <c r="A185" s="26">
        <v>45484.688586006945</v>
      </c>
      <c r="B185" s="26"/>
      <c r="C185" s="8" t="s">
        <v>296</v>
      </c>
      <c r="D185" s="8" t="s">
        <v>287</v>
      </c>
      <c r="E185" s="8">
        <v>30</v>
      </c>
      <c r="F185" s="8" t="s">
        <v>116</v>
      </c>
      <c r="G185" s="8" t="s">
        <v>116</v>
      </c>
      <c r="H185" s="8" t="s">
        <v>115</v>
      </c>
      <c r="I185" s="27">
        <v>45484</v>
      </c>
      <c r="J185" s="8" t="s">
        <v>117</v>
      </c>
      <c r="K185" s="8" t="s">
        <v>121</v>
      </c>
      <c r="L185" s="8" t="s">
        <v>119</v>
      </c>
      <c r="M185" s="16" t="str">
        <f ca="1">IFERROR(__xludf.DUMMYFUNCTION("JOIN("""",VLOOKUP(D185,'для артикула'!$A$2:$B$7,2,0),VLOOKUP(G185,'для артикула'!$A$13:$B$14,2,0),VLOOKUP(E185,'для артикула'!$A$9:$B$11,2,0),VLOOKUP(F185,'для артикула'!$A$17:$B$19,2,0),VLOOKUP(J185,'для артикула'!$A$22:$B$23,2,0),VLOOKUP(H185,'для артик"&amp;"ула'!$A$26:$B$30,2,0))"),"002-2513E30Q13-OK")</f>
        <v>002-2513E30Q13-OK</v>
      </c>
      <c r="N185" s="8" t="str">
        <f>IF(ISNUMBER(MATCH(C185, 'Реестр договоров'!$D$2:$D$900, 0)), "Продано", "В наличии")</f>
        <v>Продано</v>
      </c>
    </row>
    <row r="186" spans="1:15">
      <c r="A186" s="26">
        <v>45484.688586006945</v>
      </c>
      <c r="B186" s="26"/>
      <c r="C186" s="8" t="s">
        <v>297</v>
      </c>
      <c r="D186" s="8" t="s">
        <v>287</v>
      </c>
      <c r="E186" s="8">
        <v>30</v>
      </c>
      <c r="F186" s="8" t="s">
        <v>116</v>
      </c>
      <c r="G186" s="8" t="s">
        <v>116</v>
      </c>
      <c r="H186" s="8" t="s">
        <v>115</v>
      </c>
      <c r="I186" s="27">
        <v>45484</v>
      </c>
      <c r="J186" s="8" t="s">
        <v>117</v>
      </c>
      <c r="K186" s="8" t="s">
        <v>121</v>
      </c>
      <c r="L186" s="8" t="s">
        <v>119</v>
      </c>
      <c r="M186" s="16" t="str">
        <f ca="1">IFERROR(__xludf.DUMMYFUNCTION("JOIN("""",VLOOKUP(D186,'для артикула'!$A$2:$B$7,2,0),VLOOKUP(G186,'для артикула'!$A$13:$B$14,2,0),VLOOKUP(E186,'для артикула'!$A$9:$B$11,2,0),VLOOKUP(F186,'для артикула'!$A$17:$B$19,2,0),VLOOKUP(J186,'для артикула'!$A$22:$B$23,2,0),VLOOKUP(H186,'для артик"&amp;"ула'!$A$26:$B$30,2,0))"),"002-2513E30Q13-OK")</f>
        <v>002-2513E30Q13-OK</v>
      </c>
      <c r="N186" s="8" t="str">
        <f>IF(ISNUMBER(MATCH(C186, 'Реестр договоров'!$D$2:$D$900, 0)), "Продано", "В наличии")</f>
        <v>Продано</v>
      </c>
    </row>
    <row r="187" spans="1:15">
      <c r="A187" s="26">
        <v>45484.688586006945</v>
      </c>
      <c r="B187" s="26"/>
      <c r="C187" s="8" t="s">
        <v>298</v>
      </c>
      <c r="D187" s="8" t="s">
        <v>287</v>
      </c>
      <c r="E187" s="8">
        <v>50</v>
      </c>
      <c r="F187" s="8" t="s">
        <v>116</v>
      </c>
      <c r="G187" s="8" t="s">
        <v>116</v>
      </c>
      <c r="H187" s="8" t="s">
        <v>115</v>
      </c>
      <c r="I187" s="27">
        <v>45484</v>
      </c>
      <c r="J187" s="8" t="s">
        <v>117</v>
      </c>
      <c r="K187" s="8" t="s">
        <v>121</v>
      </c>
      <c r="L187" s="8" t="s">
        <v>119</v>
      </c>
      <c r="M187" s="16" t="str">
        <f ca="1">IFERROR(__xludf.DUMMYFUNCTION("JOIN("""",VLOOKUP(D187,'для артикула'!$A$2:$B$7,2,0),VLOOKUP(G187,'для артикула'!$A$13:$B$14,2,0),VLOOKUP(E187,'для артикула'!$A$9:$B$11,2,0),VLOOKUP(F187,'для артикула'!$A$17:$B$19,2,0),VLOOKUP(J187,'для артикула'!$A$22:$B$23,2,0),VLOOKUP(H187,'для артик"&amp;"ула'!$A$26:$B$30,2,0))"),"002-2513E50Q13-OK")</f>
        <v>002-2513E50Q13-OK</v>
      </c>
      <c r="N187" s="8" t="str">
        <f>IF(ISNUMBER(MATCH(C187, 'Реестр договоров'!$D$2:$D$900, 0)), "Продано", "В наличии")</f>
        <v>Продано</v>
      </c>
    </row>
    <row r="188" spans="1:15">
      <c r="A188" s="26">
        <v>45484.688586006945</v>
      </c>
      <c r="B188" s="26"/>
      <c r="C188" s="8" t="s">
        <v>299</v>
      </c>
      <c r="D188" s="8" t="s">
        <v>287</v>
      </c>
      <c r="E188" s="8">
        <v>30</v>
      </c>
      <c r="F188" s="8" t="s">
        <v>116</v>
      </c>
      <c r="G188" s="8" t="s">
        <v>116</v>
      </c>
      <c r="H188" s="8" t="s">
        <v>115</v>
      </c>
      <c r="I188" s="27">
        <v>45484</v>
      </c>
      <c r="J188" s="8" t="s">
        <v>117</v>
      </c>
      <c r="K188" s="8" t="s">
        <v>121</v>
      </c>
      <c r="L188" s="8" t="s">
        <v>119</v>
      </c>
      <c r="M188" s="16" t="str">
        <f ca="1">IFERROR(__xludf.DUMMYFUNCTION("JOIN("""",VLOOKUP(D188,'для артикула'!$A$2:$B$7,2,0),VLOOKUP(G188,'для артикула'!$A$13:$B$14,2,0),VLOOKUP(E188,'для артикула'!$A$9:$B$11,2,0),VLOOKUP(F188,'для артикула'!$A$17:$B$19,2,0),VLOOKUP(J188,'для артикула'!$A$22:$B$23,2,0),VLOOKUP(H188,'для артик"&amp;"ула'!$A$26:$B$30,2,0))"),"002-2513E30Q13-OK")</f>
        <v>002-2513E30Q13-OK</v>
      </c>
      <c r="N188" s="8" t="str">
        <f>IF(ISNUMBER(MATCH(C188, 'Реестр договоров'!$D$2:$D$900, 0)), "Продано", "В наличии")</f>
        <v>Продано</v>
      </c>
    </row>
    <row r="189" spans="1:15">
      <c r="A189" s="26">
        <v>45484.688586006945</v>
      </c>
      <c r="B189" s="26"/>
      <c r="C189" s="8" t="s">
        <v>300</v>
      </c>
      <c r="D189" s="8" t="s">
        <v>287</v>
      </c>
      <c r="E189" s="8">
        <v>50</v>
      </c>
      <c r="F189" s="8" t="s">
        <v>116</v>
      </c>
      <c r="G189" s="8" t="s">
        <v>116</v>
      </c>
      <c r="H189" s="8" t="s">
        <v>115</v>
      </c>
      <c r="I189" s="27">
        <v>45484</v>
      </c>
      <c r="J189" s="8" t="s">
        <v>117</v>
      </c>
      <c r="K189" s="8" t="s">
        <v>121</v>
      </c>
      <c r="L189" s="8" t="s">
        <v>119</v>
      </c>
      <c r="M189" s="16" t="str">
        <f ca="1">IFERROR(__xludf.DUMMYFUNCTION("JOIN("""",VLOOKUP(D189,'для артикула'!$A$2:$B$7,2,0),VLOOKUP(G189,'для артикула'!$A$13:$B$14,2,0),VLOOKUP(E189,'для артикула'!$A$9:$B$11,2,0),VLOOKUP(F189,'для артикула'!$A$17:$B$19,2,0),VLOOKUP(J189,'для артикула'!$A$22:$B$23,2,0),VLOOKUP(H189,'для артик"&amp;"ула'!$A$26:$B$30,2,0))"),"002-2513E50Q13-OK")</f>
        <v>002-2513E50Q13-OK</v>
      </c>
      <c r="N189" s="8" t="str">
        <f>IF(ISNUMBER(MATCH(C189, 'Реестр договоров'!$D$2:$D$900, 0)), "Продано", "В наличии")</f>
        <v>Продано</v>
      </c>
    </row>
    <row r="190" spans="1:15">
      <c r="A190" s="26">
        <v>45453.772311296299</v>
      </c>
      <c r="B190" s="26"/>
      <c r="C190" s="8" t="s">
        <v>301</v>
      </c>
      <c r="D190" s="8" t="s">
        <v>287</v>
      </c>
      <c r="E190" s="8">
        <v>30</v>
      </c>
      <c r="F190" s="8" t="s">
        <v>116</v>
      </c>
      <c r="G190" s="8" t="s">
        <v>116</v>
      </c>
      <c r="H190" s="8" t="s">
        <v>115</v>
      </c>
      <c r="I190" s="27">
        <v>45453</v>
      </c>
      <c r="J190" s="8" t="s">
        <v>117</v>
      </c>
      <c r="K190" s="8" t="s">
        <v>118</v>
      </c>
      <c r="L190" s="8" t="s">
        <v>119</v>
      </c>
      <c r="M190" s="16" t="str">
        <f ca="1">IFERROR(__xludf.DUMMYFUNCTION("JOIN("""",VLOOKUP(D190,'для артикула'!$A$2:$B$7,2,0),VLOOKUP(G190,'для артикула'!$A$13:$B$14,2,0),VLOOKUP(E190,'для артикула'!$A$9:$B$11,2,0),VLOOKUP(F190,'для артикула'!$A$17:$B$19,2,0),VLOOKUP(J190,'для артикула'!$A$22:$B$23,2,0),VLOOKUP(H190,'для артик"&amp;"ула'!$A$26:$B$30,2,0))"),"002-2513E30Q13-OK")</f>
        <v>002-2513E30Q13-OK</v>
      </c>
      <c r="N190" s="8" t="str">
        <f>IF(ISNUMBER(MATCH(C190, 'Реестр договоров'!$D$2:$D$900, 0)), "Продано", "В наличии")</f>
        <v>Продано</v>
      </c>
    </row>
    <row r="191" spans="1:15">
      <c r="A191" s="26">
        <v>45464.560969826387</v>
      </c>
      <c r="B191" s="26"/>
      <c r="C191" s="8" t="s">
        <v>302</v>
      </c>
      <c r="D191" s="8" t="s">
        <v>287</v>
      </c>
      <c r="E191" s="8">
        <v>50</v>
      </c>
      <c r="F191" s="8" t="s">
        <v>116</v>
      </c>
      <c r="G191" s="8" t="s">
        <v>116</v>
      </c>
      <c r="H191" s="8" t="s">
        <v>115</v>
      </c>
      <c r="I191" s="27">
        <v>45464</v>
      </c>
      <c r="J191" s="8" t="s">
        <v>117</v>
      </c>
      <c r="K191" s="8" t="s">
        <v>124</v>
      </c>
      <c r="L191" s="8" t="s">
        <v>119</v>
      </c>
      <c r="M191" s="16" t="str">
        <f ca="1">IFERROR(__xludf.DUMMYFUNCTION("JOIN("""",VLOOKUP(D191,'для артикула'!$A$2:$B$7,2,0),VLOOKUP(G191,'для артикула'!$A$13:$B$14,2,0),VLOOKUP(E191,'для артикула'!$A$9:$B$11,2,0),VLOOKUP(F191,'для артикула'!$A$17:$B$19,2,0),VLOOKUP(J191,'для артикула'!$A$22:$B$23,2,0),VLOOKUP(H191,'для артик"&amp;"ула'!$A$26:$B$30,2,0))"),"002-2513E50Q13-OK")</f>
        <v>002-2513E50Q13-OK</v>
      </c>
      <c r="N191" s="8" t="str">
        <f>IF(ISNUMBER(MATCH(C191, 'Реестр договоров'!$D$2:$D$900, 0)), "Продано", "В наличии")</f>
        <v>Продано</v>
      </c>
      <c r="O191" s="8"/>
    </row>
    <row r="192" spans="1:15">
      <c r="A192" s="26">
        <v>45453.773686041663</v>
      </c>
      <c r="B192" s="26"/>
      <c r="C192" s="8" t="s">
        <v>303</v>
      </c>
      <c r="D192" s="8" t="s">
        <v>287</v>
      </c>
      <c r="E192" s="8">
        <v>30</v>
      </c>
      <c r="F192" s="8" t="s">
        <v>116</v>
      </c>
      <c r="G192" s="8" t="s">
        <v>116</v>
      </c>
      <c r="H192" s="8" t="s">
        <v>115</v>
      </c>
      <c r="I192" s="27">
        <v>45453</v>
      </c>
      <c r="J192" s="8" t="s">
        <v>117</v>
      </c>
      <c r="K192" s="8" t="s">
        <v>124</v>
      </c>
      <c r="L192" s="8" t="s">
        <v>119</v>
      </c>
      <c r="M192" s="16" t="str">
        <f ca="1">IFERROR(__xludf.DUMMYFUNCTION("JOIN("""",VLOOKUP(D192,'для артикула'!$A$2:$B$7,2,0),VLOOKUP(G192,'для артикула'!$A$13:$B$14,2,0),VLOOKUP(E192,'для артикула'!$A$9:$B$11,2,0),VLOOKUP(F192,'для артикула'!$A$17:$B$19,2,0),VLOOKUP(J192,'для артикула'!$A$22:$B$23,2,0),VLOOKUP(H192,'для артик"&amp;"ула'!$A$26:$B$30,2,0))"),"002-2513E30Q13-OK")</f>
        <v>002-2513E30Q13-OK</v>
      </c>
      <c r="N192" s="8" t="str">
        <f>IF(ISNUMBER(MATCH(C192, 'Реестр договоров'!$D$2:$D$900, 0)), "Продано", "В наличии")</f>
        <v>Продано</v>
      </c>
      <c r="O192" s="8"/>
    </row>
    <row r="193" spans="1:15">
      <c r="A193" s="26">
        <v>45453.774190671291</v>
      </c>
      <c r="B193" s="26"/>
      <c r="C193" s="8" t="s">
        <v>304</v>
      </c>
      <c r="D193" s="8" t="s">
        <v>287</v>
      </c>
      <c r="E193" s="8">
        <v>50</v>
      </c>
      <c r="F193" s="8" t="s">
        <v>116</v>
      </c>
      <c r="G193" s="8" t="s">
        <v>116</v>
      </c>
      <c r="H193" s="8" t="s">
        <v>115</v>
      </c>
      <c r="I193" s="27">
        <v>45453</v>
      </c>
      <c r="J193" s="8" t="s">
        <v>117</v>
      </c>
      <c r="K193" s="8" t="s">
        <v>118</v>
      </c>
      <c r="L193" s="8" t="s">
        <v>119</v>
      </c>
      <c r="M193" s="16" t="str">
        <f ca="1">IFERROR(__xludf.DUMMYFUNCTION("JOIN("""",VLOOKUP(D193,'для артикула'!$A$2:$B$7,2,0),VLOOKUP(G193,'для артикула'!$A$13:$B$14,2,0),VLOOKUP(E193,'для артикула'!$A$9:$B$11,2,0),VLOOKUP(F193,'для артикула'!$A$17:$B$19,2,0),VLOOKUP(J193,'для артикула'!$A$22:$B$23,2,0),VLOOKUP(H193,'для артик"&amp;"ула'!$A$26:$B$30,2,0))"),"002-2513E50Q13-OK")</f>
        <v>002-2513E50Q13-OK</v>
      </c>
      <c r="N193" s="8" t="str">
        <f>IF(ISNUMBER(MATCH(C193, 'Реестр договоров'!$D$2:$D$900, 0)), "Продано", "В наличии")</f>
        <v>Продано</v>
      </c>
      <c r="O193" s="8"/>
    </row>
    <row r="194" spans="1:15">
      <c r="A194" s="26">
        <v>45449.667534907407</v>
      </c>
      <c r="B194" s="26"/>
      <c r="C194" s="8" t="s">
        <v>305</v>
      </c>
      <c r="D194" s="8" t="s">
        <v>287</v>
      </c>
      <c r="E194" s="8">
        <v>50</v>
      </c>
      <c r="F194" s="8" t="s">
        <v>116</v>
      </c>
      <c r="G194" s="8" t="s">
        <v>116</v>
      </c>
      <c r="H194" s="8">
        <v>60</v>
      </c>
      <c r="I194" s="27">
        <v>45384</v>
      </c>
      <c r="J194" s="8" t="s">
        <v>117</v>
      </c>
      <c r="K194" s="8" t="s">
        <v>124</v>
      </c>
      <c r="L194" s="8" t="s">
        <v>119</v>
      </c>
      <c r="M194" s="16" t="str">
        <f ca="1">IFERROR(__xludf.DUMMYFUNCTION("JOIN("""",VLOOKUP(D194,'для артикула'!$A$2:$B$7,2,0),VLOOKUP(G194,'для артикула'!$A$13:$B$14,2,0),VLOOKUP(E194,'для артикула'!$A$9:$B$11,2,0),VLOOKUP(F194,'для артикула'!$A$17:$B$19,2,0),VLOOKUP(J194,'для артикула'!$A$22:$B$23,2,0),VLOOKUP(H194,'для артик"&amp;"ула'!$A$26:$B$30,2,0))"),"002-2513E50Q13-OK60")</f>
        <v>002-2513E50Q13-OK60</v>
      </c>
      <c r="N194" s="8" t="str">
        <f>IF(ISNUMBER(MATCH(C194, 'Реестр договоров'!$D$2:$D$900, 0)), "Продано", "В наличии")</f>
        <v>Продано</v>
      </c>
      <c r="O194" s="8"/>
    </row>
    <row r="195" spans="1:15">
      <c r="A195" s="26">
        <v>45489.509928240739</v>
      </c>
      <c r="B195" s="26"/>
      <c r="C195" s="8" t="s">
        <v>306</v>
      </c>
      <c r="D195" s="8" t="s">
        <v>287</v>
      </c>
      <c r="E195" s="8">
        <v>30</v>
      </c>
      <c r="F195" s="8" t="s">
        <v>116</v>
      </c>
      <c r="G195" s="8" t="s">
        <v>116</v>
      </c>
      <c r="H195" s="8" t="s">
        <v>115</v>
      </c>
      <c r="I195" s="27">
        <v>45489</v>
      </c>
      <c r="J195" s="8" t="s">
        <v>117</v>
      </c>
      <c r="K195" s="8" t="s">
        <v>124</v>
      </c>
      <c r="L195" s="8" t="s">
        <v>119</v>
      </c>
      <c r="M195" s="16" t="str">
        <f ca="1">IFERROR(__xludf.DUMMYFUNCTION("JOIN("""",VLOOKUP(D195,'для артикула'!$A$2:$B$7,2,0),VLOOKUP(G195,'для артикула'!$A$13:$B$14,2,0),VLOOKUP(E195,'для артикула'!$A$9:$B$11,2,0),VLOOKUP(F195,'для артикула'!$A$17:$B$19,2,0),VLOOKUP(J195,'для артикула'!$A$22:$B$23,2,0),VLOOKUP(H195,'для артик"&amp;"ула'!$A$26:$B$30,2,0))"),"002-2513E30Q13-OK")</f>
        <v>002-2513E30Q13-OK</v>
      </c>
      <c r="N195" s="8" t="str">
        <f>IF(ISNUMBER(MATCH(C195, 'Реестр договоров'!$D$2:$D$900, 0)), "Продано", "В наличии")</f>
        <v>Продано</v>
      </c>
    </row>
    <row r="196" spans="1:15">
      <c r="A196" s="26">
        <v>45469.743649282405</v>
      </c>
      <c r="B196" s="26"/>
      <c r="C196" s="8" t="s">
        <v>307</v>
      </c>
      <c r="D196" s="8" t="s">
        <v>287</v>
      </c>
      <c r="E196" s="8">
        <v>50</v>
      </c>
      <c r="F196" s="8" t="s">
        <v>116</v>
      </c>
      <c r="G196" s="8" t="s">
        <v>116</v>
      </c>
      <c r="H196" s="8" t="s">
        <v>115</v>
      </c>
      <c r="I196" s="27">
        <v>45469</v>
      </c>
      <c r="J196" s="8" t="s">
        <v>117</v>
      </c>
      <c r="K196" s="8" t="s">
        <v>121</v>
      </c>
      <c r="L196" s="8" t="s">
        <v>119</v>
      </c>
      <c r="M196" s="16" t="str">
        <f ca="1">IFERROR(__xludf.DUMMYFUNCTION("JOIN("""",VLOOKUP(D196,'для артикула'!$A$2:$B$7,2,0),VLOOKUP(G196,'для артикула'!$A$13:$B$14,2,0),VLOOKUP(E196,'для артикула'!$A$9:$B$11,2,0),VLOOKUP(F196,'для артикула'!$A$17:$B$19,2,0),VLOOKUP(J196,'для артикула'!$A$22:$B$23,2,0),VLOOKUP(H196,'для артик"&amp;"ула'!$A$26:$B$30,2,0))"),"002-2513E50Q13-OK")</f>
        <v>002-2513E50Q13-OK</v>
      </c>
      <c r="N196" s="8" t="str">
        <f>IF(ISNUMBER(MATCH(C196, 'Реестр договоров'!$D$2:$D$900, 0)), "Продано", "В наличии")</f>
        <v>Продано</v>
      </c>
      <c r="O196" s="8"/>
    </row>
    <row r="197" spans="1:15">
      <c r="A197" s="26">
        <v>45596.715089004632</v>
      </c>
      <c r="B197" s="26"/>
      <c r="C197" s="8" t="s">
        <v>308</v>
      </c>
      <c r="D197" s="8" t="s">
        <v>287</v>
      </c>
      <c r="E197" s="8">
        <v>50</v>
      </c>
      <c r="F197" s="8" t="s">
        <v>116</v>
      </c>
      <c r="G197" s="8" t="s">
        <v>116</v>
      </c>
      <c r="H197" s="8" t="s">
        <v>115</v>
      </c>
      <c r="I197" s="27">
        <v>45596</v>
      </c>
      <c r="J197" s="8" t="s">
        <v>117</v>
      </c>
      <c r="K197" s="8" t="s">
        <v>121</v>
      </c>
      <c r="L197" s="8" t="s">
        <v>119</v>
      </c>
      <c r="M197" s="16" t="str">
        <f ca="1">IFERROR(__xludf.DUMMYFUNCTION("JOIN("""",VLOOKUP(D197,'для артикула'!$A$2:$B$7,2,0),VLOOKUP(G197,'для артикула'!$A$13:$B$14,2,0),VLOOKUP(E197,'для артикула'!$A$9:$B$11,2,0),VLOOKUP(F197,'для артикула'!$A$17:$B$19,2,0),VLOOKUP(J197,'для артикула'!$A$22:$B$23,2,0),VLOOKUP(H197,'для артик"&amp;"ула'!$A$26:$B$30,2,0))"),"002-2513E50Q13-OK")</f>
        <v>002-2513E50Q13-OK</v>
      </c>
      <c r="N197" s="8" t="str">
        <f>IF(ISNUMBER(MATCH(C197, 'Реестр договоров'!$D$2:$D$900, 0)), "Продано", "В наличии")</f>
        <v>Продано</v>
      </c>
    </row>
    <row r="198" spans="1:15">
      <c r="A198" s="26">
        <v>45484.668290243055</v>
      </c>
      <c r="B198" s="26"/>
      <c r="C198" s="8" t="s">
        <v>4</v>
      </c>
      <c r="D198" s="8" t="s">
        <v>287</v>
      </c>
      <c r="E198" s="8">
        <v>50</v>
      </c>
      <c r="F198" s="8" t="s">
        <v>116</v>
      </c>
      <c r="G198" s="8" t="s">
        <v>116</v>
      </c>
      <c r="H198" s="8" t="s">
        <v>115</v>
      </c>
      <c r="I198" s="27">
        <v>45484</v>
      </c>
      <c r="J198" s="8" t="s">
        <v>117</v>
      </c>
      <c r="K198" s="8" t="s">
        <v>121</v>
      </c>
      <c r="L198" s="8" t="s">
        <v>119</v>
      </c>
      <c r="M198" s="16" t="str">
        <f ca="1">IFERROR(__xludf.DUMMYFUNCTION("JOIN("""",VLOOKUP(D198,'для артикула'!$A$2:$B$7,2,0),VLOOKUP(G198,'для артикула'!$A$13:$B$14,2,0),VLOOKUP(E198,'для артикула'!$A$9:$B$11,2,0),VLOOKUP(F198,'для артикула'!$A$17:$B$19,2,0),VLOOKUP(J198,'для артикула'!$A$22:$B$23,2,0),VLOOKUP(H198,'для артик"&amp;"ула'!$A$26:$B$30,2,0))"),"002-2513E50Q13-OK")</f>
        <v>002-2513E50Q13-OK</v>
      </c>
      <c r="N198" s="8" t="str">
        <f>IF(ISNUMBER(MATCH(C198, 'Реестр договоров'!$D$2:$D$900, 0)), "Продано", "В наличии")</f>
        <v>Продано</v>
      </c>
      <c r="O198" s="8"/>
    </row>
    <row r="199" spans="1:15">
      <c r="A199" s="26">
        <v>45468.605137164355</v>
      </c>
      <c r="B199" s="26"/>
      <c r="C199" s="8" t="s">
        <v>309</v>
      </c>
      <c r="D199" s="8" t="s">
        <v>287</v>
      </c>
      <c r="E199" s="8">
        <v>50</v>
      </c>
      <c r="F199" s="8" t="s">
        <v>116</v>
      </c>
      <c r="G199" s="8" t="s">
        <v>116</v>
      </c>
      <c r="H199" s="8" t="s">
        <v>115</v>
      </c>
      <c r="I199" s="27">
        <v>45468</v>
      </c>
      <c r="J199" s="8" t="s">
        <v>117</v>
      </c>
      <c r="K199" s="8" t="s">
        <v>121</v>
      </c>
      <c r="L199" s="8" t="s">
        <v>119</v>
      </c>
      <c r="M199" s="16" t="str">
        <f ca="1">IFERROR(__xludf.DUMMYFUNCTION("JOIN("""",VLOOKUP(D199,'для артикула'!$A$2:$B$7,2,0),VLOOKUP(G199,'для артикула'!$A$13:$B$14,2,0),VLOOKUP(E199,'для артикула'!$A$9:$B$11,2,0),VLOOKUP(F199,'для артикула'!$A$17:$B$19,2,0),VLOOKUP(J199,'для артикула'!$A$22:$B$23,2,0),VLOOKUP(H199,'для артик"&amp;"ула'!$A$26:$B$30,2,0))"),"002-2513E50Q13-OK")</f>
        <v>002-2513E50Q13-OK</v>
      </c>
      <c r="N199" s="8" t="str">
        <f>IF(ISNUMBER(MATCH(C199, 'Реестр договоров'!$D$2:$D$900, 0)), "Продано", "В наличии")</f>
        <v>Продано</v>
      </c>
      <c r="O199" s="8"/>
    </row>
    <row r="200" spans="1:15">
      <c r="A200" s="26">
        <v>45474.510742743056</v>
      </c>
      <c r="B200" s="26"/>
      <c r="C200" s="8" t="s">
        <v>310</v>
      </c>
      <c r="D200" s="8" t="s">
        <v>287</v>
      </c>
      <c r="E200" s="8">
        <v>50</v>
      </c>
      <c r="F200" s="8" t="s">
        <v>116</v>
      </c>
      <c r="G200" s="8" t="s">
        <v>116</v>
      </c>
      <c r="H200" s="8" t="s">
        <v>115</v>
      </c>
      <c r="I200" s="27">
        <v>45474</v>
      </c>
      <c r="J200" s="8" t="s">
        <v>117</v>
      </c>
      <c r="K200" s="8" t="s">
        <v>118</v>
      </c>
      <c r="L200" s="8" t="s">
        <v>119</v>
      </c>
      <c r="M200" s="16" t="str">
        <f ca="1">IFERROR(__xludf.DUMMYFUNCTION("JOIN("""",VLOOKUP(D200,'для артикула'!$A$2:$B$7,2,0),VLOOKUP(G200,'для артикула'!$A$13:$B$14,2,0),VLOOKUP(E200,'для артикула'!$A$9:$B$11,2,0),VLOOKUP(F200,'для артикула'!$A$17:$B$19,2,0),VLOOKUP(J200,'для артикула'!$A$22:$B$23,2,0),VLOOKUP(H200,'для артик"&amp;"ула'!$A$26:$B$30,2,0))"),"002-2513E50Q13-OK")</f>
        <v>002-2513E50Q13-OK</v>
      </c>
      <c r="N200" s="8" t="str">
        <f>IF(ISNUMBER(MATCH(C200, 'Реестр договоров'!$D$2:$D$900, 0)), "Продано", "В наличии")</f>
        <v>Продано</v>
      </c>
      <c r="O200" s="8"/>
    </row>
    <row r="201" spans="1:15">
      <c r="A201" s="26">
        <v>45484.668791736112</v>
      </c>
      <c r="B201" s="26"/>
      <c r="C201" s="8" t="s">
        <v>311</v>
      </c>
      <c r="D201" s="8" t="s">
        <v>287</v>
      </c>
      <c r="E201" s="8">
        <v>50</v>
      </c>
      <c r="F201" s="8" t="s">
        <v>116</v>
      </c>
      <c r="G201" s="8" t="s">
        <v>116</v>
      </c>
      <c r="H201" s="8" t="s">
        <v>115</v>
      </c>
      <c r="I201" s="27">
        <v>45484</v>
      </c>
      <c r="J201" s="8" t="s">
        <v>117</v>
      </c>
      <c r="K201" s="8" t="s">
        <v>121</v>
      </c>
      <c r="L201" s="8" t="s">
        <v>119</v>
      </c>
      <c r="M201" s="16" t="str">
        <f ca="1">IFERROR(__xludf.DUMMYFUNCTION("JOIN("""",VLOOKUP(D201,'для артикула'!$A$2:$B$7,2,0),VLOOKUP(G201,'для артикула'!$A$13:$B$14,2,0),VLOOKUP(E201,'для артикула'!$A$9:$B$11,2,0),VLOOKUP(F201,'для артикула'!$A$17:$B$19,2,0),VLOOKUP(J201,'для артикула'!$A$22:$B$23,2,0),VLOOKUP(H201,'для артик"&amp;"ула'!$A$26:$B$30,2,0))"),"002-2513E50Q13-OK")</f>
        <v>002-2513E50Q13-OK</v>
      </c>
      <c r="N201" s="8" t="str">
        <f>IF(ISNUMBER(MATCH(C201, 'Реестр договоров'!$D$2:$D$900, 0)), "Продано", "В наличии")</f>
        <v>Продано</v>
      </c>
      <c r="O201" s="8"/>
    </row>
    <row r="202" spans="1:15">
      <c r="A202" s="26">
        <v>45460.718403194449</v>
      </c>
      <c r="B202" s="26"/>
      <c r="C202" s="8" t="s">
        <v>312</v>
      </c>
      <c r="D202" s="8" t="s">
        <v>287</v>
      </c>
      <c r="E202" s="8">
        <v>30</v>
      </c>
      <c r="F202" s="8" t="s">
        <v>116</v>
      </c>
      <c r="G202" s="8" t="s">
        <v>116</v>
      </c>
      <c r="H202" s="8" t="s">
        <v>115</v>
      </c>
      <c r="I202" s="27">
        <v>45460</v>
      </c>
      <c r="J202" s="8" t="s">
        <v>117</v>
      </c>
      <c r="K202" s="8" t="s">
        <v>121</v>
      </c>
      <c r="L202" s="8" t="s">
        <v>119</v>
      </c>
      <c r="M202" s="16" t="str">
        <f ca="1">IFERROR(__xludf.DUMMYFUNCTION("JOIN("""",VLOOKUP(D202,'для артикула'!$A$2:$B$7,2,0),VLOOKUP(G202,'для артикула'!$A$13:$B$14,2,0),VLOOKUP(E202,'для артикула'!$A$9:$B$11,2,0),VLOOKUP(F202,'для артикула'!$A$17:$B$19,2,0),VLOOKUP(J202,'для артикула'!$A$22:$B$23,2,0),VLOOKUP(H202,'для артик"&amp;"ула'!$A$26:$B$30,2,0))"),"002-2513E30Q13-OK")</f>
        <v>002-2513E30Q13-OK</v>
      </c>
      <c r="N202" s="8" t="str">
        <f>IF(ISNUMBER(MATCH(C202, 'Реестр договоров'!$D$2:$D$900, 0)), "Продано", "В наличии")</f>
        <v>Продано</v>
      </c>
      <c r="O202" s="8"/>
    </row>
    <row r="203" spans="1:15">
      <c r="A203" s="26">
        <v>45475.560540891209</v>
      </c>
      <c r="B203" s="26"/>
      <c r="C203" s="8" t="s">
        <v>313</v>
      </c>
      <c r="D203" s="8" t="s">
        <v>287</v>
      </c>
      <c r="E203" s="8">
        <v>30</v>
      </c>
      <c r="F203" s="8" t="s">
        <v>116</v>
      </c>
      <c r="G203" s="8" t="s">
        <v>116</v>
      </c>
      <c r="H203" s="8" t="s">
        <v>115</v>
      </c>
      <c r="I203" s="27">
        <v>45475</v>
      </c>
      <c r="J203" s="8" t="s">
        <v>117</v>
      </c>
      <c r="K203" s="8" t="s">
        <v>121</v>
      </c>
      <c r="L203" s="8" t="s">
        <v>119</v>
      </c>
      <c r="M203" s="16" t="str">
        <f ca="1">IFERROR(__xludf.DUMMYFUNCTION("JOIN("""",VLOOKUP(D203,'для артикула'!$A$2:$B$7,2,0),VLOOKUP(G203,'для артикула'!$A$13:$B$14,2,0),VLOOKUP(E203,'для артикула'!$A$9:$B$11,2,0),VLOOKUP(F203,'для артикула'!$A$17:$B$19,2,0),VLOOKUP(J203,'для артикула'!$A$22:$B$23,2,0),VLOOKUP(H203,'для артик"&amp;"ула'!$A$26:$B$30,2,0))"),"002-2513E30Q13-OK")</f>
        <v>002-2513E30Q13-OK</v>
      </c>
      <c r="N203" s="8" t="str">
        <f>IF(ISNUMBER(MATCH(C203, 'Реестр договоров'!$D$2:$D$900, 0)), "Продано", "В наличии")</f>
        <v>Продано</v>
      </c>
      <c r="O203" s="8"/>
    </row>
    <row r="204" spans="1:15">
      <c r="A204" s="26">
        <v>45484.688586006945</v>
      </c>
      <c r="B204" s="26"/>
      <c r="C204" s="8" t="s">
        <v>314</v>
      </c>
      <c r="D204" s="8" t="s">
        <v>287</v>
      </c>
      <c r="E204" s="8">
        <v>30</v>
      </c>
      <c r="F204" s="8" t="s">
        <v>116</v>
      </c>
      <c r="G204" s="8" t="s">
        <v>116</v>
      </c>
      <c r="H204" s="8" t="s">
        <v>115</v>
      </c>
      <c r="I204" s="27">
        <v>45484</v>
      </c>
      <c r="J204" s="8" t="s">
        <v>117</v>
      </c>
      <c r="K204" s="8" t="s">
        <v>121</v>
      </c>
      <c r="L204" s="8" t="s">
        <v>119</v>
      </c>
      <c r="M204" s="16" t="str">
        <f ca="1">IFERROR(__xludf.DUMMYFUNCTION("JOIN("""",VLOOKUP(D204,'для артикула'!$A$2:$B$7,2,0),VLOOKUP(G204,'для артикула'!$A$13:$B$14,2,0),VLOOKUP(E204,'для артикула'!$A$9:$B$11,2,0),VLOOKUP(F204,'для артикула'!$A$17:$B$19,2,0),VLOOKUP(J204,'для артикула'!$A$22:$B$23,2,0),VLOOKUP(H204,'для артик"&amp;"ула'!$A$26:$B$30,2,0))"),"002-2513E30Q13-OK")</f>
        <v>002-2513E30Q13-OK</v>
      </c>
      <c r="N204" s="8" t="str">
        <f>IF(ISNUMBER(MATCH(C204, 'Реестр договоров'!$D$2:$D$900, 0)), "Продано", "В наличии")</f>
        <v>Продано</v>
      </c>
    </row>
    <row r="205" spans="1:15">
      <c r="A205" s="26">
        <v>45484.688586006945</v>
      </c>
      <c r="B205" s="26"/>
      <c r="C205" s="8" t="s">
        <v>315</v>
      </c>
      <c r="D205" s="8" t="s">
        <v>287</v>
      </c>
      <c r="E205" s="8">
        <v>30</v>
      </c>
      <c r="F205" s="8" t="s">
        <v>116</v>
      </c>
      <c r="G205" s="8" t="s">
        <v>116</v>
      </c>
      <c r="H205" s="8" t="s">
        <v>115</v>
      </c>
      <c r="I205" s="27">
        <v>45484</v>
      </c>
      <c r="J205" s="8" t="s">
        <v>117</v>
      </c>
      <c r="K205" s="8" t="s">
        <v>121</v>
      </c>
      <c r="L205" s="8" t="s">
        <v>119</v>
      </c>
      <c r="M205" s="16" t="str">
        <f ca="1">IFERROR(__xludf.DUMMYFUNCTION("JOIN("""",VLOOKUP(D205,'для артикула'!$A$2:$B$7,2,0),VLOOKUP(G205,'для артикула'!$A$13:$B$14,2,0),VLOOKUP(E205,'для артикула'!$A$9:$B$11,2,0),VLOOKUP(F205,'для артикула'!$A$17:$B$19,2,0),VLOOKUP(J205,'для артикула'!$A$22:$B$23,2,0),VLOOKUP(H205,'для артик"&amp;"ула'!$A$26:$B$30,2,0))"),"002-2513E30Q13-OK")</f>
        <v>002-2513E30Q13-OK</v>
      </c>
      <c r="N205" s="8" t="str">
        <f>IF(ISNUMBER(MATCH(C205, 'Реестр договоров'!$D$2:$D$900, 0)), "Продано", "В наличии")</f>
        <v>Продано</v>
      </c>
    </row>
    <row r="206" spans="1:15">
      <c r="A206" s="26">
        <v>45484.688586006945</v>
      </c>
      <c r="B206" s="26"/>
      <c r="C206" s="8" t="s">
        <v>316</v>
      </c>
      <c r="D206" s="8" t="s">
        <v>287</v>
      </c>
      <c r="E206" s="8">
        <v>50</v>
      </c>
      <c r="F206" s="8" t="s">
        <v>116</v>
      </c>
      <c r="G206" s="8" t="s">
        <v>116</v>
      </c>
      <c r="H206" s="8" t="s">
        <v>115</v>
      </c>
      <c r="I206" s="27">
        <v>45484</v>
      </c>
      <c r="J206" s="8" t="s">
        <v>117</v>
      </c>
      <c r="K206" s="8" t="s">
        <v>121</v>
      </c>
      <c r="L206" s="8" t="s">
        <v>119</v>
      </c>
      <c r="M206" s="16" t="str">
        <f ca="1">IFERROR(__xludf.DUMMYFUNCTION("JOIN("""",VLOOKUP(D206,'для артикула'!$A$2:$B$7,2,0),VLOOKUP(G206,'для артикула'!$A$13:$B$14,2,0),VLOOKUP(E206,'для артикула'!$A$9:$B$11,2,0),VLOOKUP(F206,'для артикула'!$A$17:$B$19,2,0),VLOOKUP(J206,'для артикула'!$A$22:$B$23,2,0),VLOOKUP(H206,'для артик"&amp;"ула'!$A$26:$B$30,2,0))"),"002-2513E50Q13-OK")</f>
        <v>002-2513E50Q13-OK</v>
      </c>
      <c r="N206" s="8" t="str">
        <f>IF(ISNUMBER(MATCH(C206, 'Реестр договоров'!$D$2:$D$900, 0)), "Продано", "В наличии")</f>
        <v>Продано</v>
      </c>
    </row>
    <row r="207" spans="1:15">
      <c r="A207" s="26">
        <v>45484.688586006945</v>
      </c>
      <c r="B207" s="26"/>
      <c r="C207" s="8" t="s">
        <v>317</v>
      </c>
      <c r="D207" s="8" t="s">
        <v>287</v>
      </c>
      <c r="E207" s="8">
        <v>50</v>
      </c>
      <c r="F207" s="8" t="s">
        <v>116</v>
      </c>
      <c r="G207" s="8" t="s">
        <v>116</v>
      </c>
      <c r="H207" s="8" t="s">
        <v>115</v>
      </c>
      <c r="I207" s="27">
        <v>45484</v>
      </c>
      <c r="J207" s="8" t="s">
        <v>117</v>
      </c>
      <c r="K207" s="8" t="s">
        <v>121</v>
      </c>
      <c r="L207" s="8" t="s">
        <v>119</v>
      </c>
      <c r="M207" s="16" t="str">
        <f ca="1">IFERROR(__xludf.DUMMYFUNCTION("JOIN("""",VLOOKUP(D207,'для артикула'!$A$2:$B$7,2,0),VLOOKUP(G207,'для артикула'!$A$13:$B$14,2,0),VLOOKUP(E207,'для артикула'!$A$9:$B$11,2,0),VLOOKUP(F207,'для артикула'!$A$17:$B$19,2,0),VLOOKUP(J207,'для артикула'!$A$22:$B$23,2,0),VLOOKUP(H207,'для артик"&amp;"ула'!$A$26:$B$30,2,0))"),"002-2513E50Q13-OK")</f>
        <v>002-2513E50Q13-OK</v>
      </c>
      <c r="N207" s="8" t="str">
        <f>IF(ISNUMBER(MATCH(C207, 'Реестр договоров'!$D$2:$D$900, 0)), "Продано", "В наличии")</f>
        <v>Продано</v>
      </c>
    </row>
    <row r="208" spans="1:15">
      <c r="A208" s="26">
        <v>45484.688586006945</v>
      </c>
      <c r="B208" s="26"/>
      <c r="C208" s="8" t="s">
        <v>7</v>
      </c>
      <c r="D208" s="8" t="s">
        <v>287</v>
      </c>
      <c r="E208" s="8">
        <v>30</v>
      </c>
      <c r="F208" s="8" t="s">
        <v>116</v>
      </c>
      <c r="G208" s="8" t="s">
        <v>116</v>
      </c>
      <c r="H208" s="8">
        <v>60</v>
      </c>
      <c r="I208" s="27">
        <v>45484</v>
      </c>
      <c r="J208" s="8" t="s">
        <v>117</v>
      </c>
      <c r="K208" s="8" t="s">
        <v>121</v>
      </c>
      <c r="L208" s="8" t="s">
        <v>119</v>
      </c>
      <c r="M208" s="16" t="str">
        <f ca="1">IFERROR(__xludf.DUMMYFUNCTION("JOIN("""",VLOOKUP(D208,'для артикула'!$A$2:$B$7,2,0),VLOOKUP(G208,'для артикула'!$A$13:$B$14,2,0),VLOOKUP(E208,'для артикула'!$A$9:$B$11,2,0),VLOOKUP(F208,'для артикула'!$A$17:$B$19,2,0),VLOOKUP(J208,'для артикула'!$A$22:$B$23,2,0),VLOOKUP(H208,'для артик"&amp;"ула'!$A$26:$B$30,2,0))"),"002-2513E30Q13-OK60")</f>
        <v>002-2513E30Q13-OK60</v>
      </c>
      <c r="N208" s="8" t="str">
        <f>IF(ISNUMBER(MATCH(C208, 'Реестр договоров'!$D$2:$D$900, 0)), "Продано", "В наличии")</f>
        <v>Продано</v>
      </c>
    </row>
    <row r="209" spans="1:15">
      <c r="A209" s="26">
        <v>45593.5048828125</v>
      </c>
      <c r="B209" s="26"/>
      <c r="C209" s="8" t="s">
        <v>318</v>
      </c>
      <c r="D209" s="8" t="s">
        <v>287</v>
      </c>
      <c r="E209" s="8">
        <v>50</v>
      </c>
      <c r="F209" s="8" t="s">
        <v>116</v>
      </c>
      <c r="G209" s="8" t="s">
        <v>116</v>
      </c>
      <c r="H209" s="8" t="s">
        <v>115</v>
      </c>
      <c r="I209" s="27">
        <v>45593</v>
      </c>
      <c r="J209" s="8" t="s">
        <v>117</v>
      </c>
      <c r="K209" s="8" t="s">
        <v>121</v>
      </c>
      <c r="L209" s="8" t="s">
        <v>119</v>
      </c>
      <c r="M209" s="16" t="str">
        <f ca="1">IFERROR(__xludf.DUMMYFUNCTION("JOIN("""",VLOOKUP(D209,'для артикула'!$A$2:$B$7,2,0),VLOOKUP(G209,'для артикула'!$A$13:$B$14,2,0),VLOOKUP(E209,'для артикула'!$A$9:$B$11,2,0),VLOOKUP(F209,'для артикула'!$A$17:$B$19,2,0),VLOOKUP(J209,'для артикула'!$A$22:$B$23,2,0),VLOOKUP(H209,'для артик"&amp;"ула'!$A$26:$B$30,2,0))"),"002-2513E50Q13-OK")</f>
        <v>002-2513E50Q13-OK</v>
      </c>
      <c r="N209" s="8" t="str">
        <f>IF(ISNUMBER(MATCH(C209, 'Реестр договоров'!$D$2:$D$900, 0)), "Продано", "В наличии")</f>
        <v>Продано</v>
      </c>
    </row>
    <row r="210" spans="1:15">
      <c r="A210" s="26">
        <v>45626.527454224539</v>
      </c>
      <c r="B210" s="26"/>
      <c r="C210" s="8" t="s">
        <v>319</v>
      </c>
      <c r="D210" s="8" t="s">
        <v>287</v>
      </c>
      <c r="E210" s="8">
        <v>50</v>
      </c>
      <c r="F210" s="8" t="s">
        <v>116</v>
      </c>
      <c r="G210" s="8" t="s">
        <v>116</v>
      </c>
      <c r="H210" s="8" t="s">
        <v>115</v>
      </c>
      <c r="I210" s="27">
        <v>45626</v>
      </c>
      <c r="J210" s="8" t="s">
        <v>117</v>
      </c>
      <c r="K210" s="8" t="s">
        <v>121</v>
      </c>
      <c r="L210" s="8" t="s">
        <v>119</v>
      </c>
      <c r="M210" s="16" t="str">
        <f ca="1">IFERROR(__xludf.DUMMYFUNCTION("JOIN("""",VLOOKUP(D210,'для артикула'!$A$2:$B$7,2,0),VLOOKUP(G210,'для артикула'!$A$13:$B$14,2,0),VLOOKUP(E210,'для артикула'!$A$9:$B$11,2,0),VLOOKUP(F210,'для артикула'!$A$17:$B$19,2,0),VLOOKUP(J210,'для артикула'!$A$22:$B$23,2,0),VLOOKUP(H210,'для артик"&amp;"ула'!$A$26:$B$30,2,0))"),"002-2513E50Q13-OK")</f>
        <v>002-2513E50Q13-OK</v>
      </c>
      <c r="N210" s="8" t="str">
        <f>IF(ISNUMBER(MATCH(C210, 'Реестр договоров'!$D$2:$D$900, 0)), "Продано", "В наличии")</f>
        <v>Продано</v>
      </c>
    </row>
    <row r="211" spans="1:15">
      <c r="A211" s="26">
        <v>45638.508450671296</v>
      </c>
      <c r="B211" s="26"/>
      <c r="C211" s="8" t="s">
        <v>320</v>
      </c>
      <c r="D211" s="8" t="s">
        <v>287</v>
      </c>
      <c r="E211" s="8">
        <v>30</v>
      </c>
      <c r="F211" s="8" t="s">
        <v>116</v>
      </c>
      <c r="G211" s="8" t="s">
        <v>116</v>
      </c>
      <c r="H211" s="8" t="s">
        <v>115</v>
      </c>
      <c r="I211" s="27">
        <v>45638</v>
      </c>
      <c r="J211" s="8" t="s">
        <v>115</v>
      </c>
      <c r="K211" s="8" t="s">
        <v>121</v>
      </c>
      <c r="L211" s="8" t="s">
        <v>119</v>
      </c>
      <c r="M211" s="16" t="str">
        <f ca="1">IFERROR(__xludf.DUMMYFUNCTION("JOIN("""",VLOOKUP(D211,'для артикула'!$A$2:$B$7,2,0),VLOOKUP(G211,'для артикула'!$A$13:$B$14,2,0),VLOOKUP(E211,'для артикула'!$A$9:$B$11,2,0),VLOOKUP(F211,'для артикула'!$A$17:$B$19,2,0),VLOOKUP(J211,'для артикула'!$A$22:$B$23,2,0),VLOOKUP(H211,'для артик"&amp;"ула'!$A$26:$B$30,2,0))"),"002-2513E30Q13")</f>
        <v>002-2513E30Q13</v>
      </c>
      <c r="N211" s="8" t="str">
        <f>IF(ISNUMBER(MATCH(C211, 'Реестр договоров'!$D$2:$D$900, 0)), "Продано", "В наличии")</f>
        <v>Продано</v>
      </c>
    </row>
    <row r="212" spans="1:15">
      <c r="A212" s="26">
        <v>45489.509278877318</v>
      </c>
      <c r="B212" s="26"/>
      <c r="C212" s="8" t="s">
        <v>321</v>
      </c>
      <c r="D212" s="8" t="s">
        <v>287</v>
      </c>
      <c r="E212" s="8">
        <v>50</v>
      </c>
      <c r="F212" s="8" t="s">
        <v>116</v>
      </c>
      <c r="G212" s="8" t="s">
        <v>116</v>
      </c>
      <c r="H212" s="8" t="s">
        <v>115</v>
      </c>
      <c r="I212" s="27">
        <v>45489</v>
      </c>
      <c r="J212" s="8" t="s">
        <v>117</v>
      </c>
      <c r="K212" s="8" t="s">
        <v>124</v>
      </c>
      <c r="L212" s="8" t="s">
        <v>119</v>
      </c>
      <c r="M212" s="16" t="str">
        <f ca="1">IFERROR(__xludf.DUMMYFUNCTION("JOIN("""",VLOOKUP(D212,'для артикула'!$A$2:$B$7,2,0),VLOOKUP(G212,'для артикула'!$A$13:$B$14,2,0),VLOOKUP(E212,'для артикула'!$A$9:$B$11,2,0),VLOOKUP(F212,'для артикула'!$A$17:$B$19,2,0),VLOOKUP(J212,'для артикула'!$A$22:$B$23,2,0),VLOOKUP(H212,'для артик"&amp;"ула'!$A$26:$B$30,2,0))"),"002-2513E50Q13-OK")</f>
        <v>002-2513E50Q13-OK</v>
      </c>
      <c r="N212" s="8" t="str">
        <f>IF(ISNUMBER(MATCH(C212, 'Реестр договоров'!$D$2:$D$900, 0)), "Продано", "В наличии")</f>
        <v>Продано</v>
      </c>
    </row>
    <row r="213" spans="1:15">
      <c r="A213" s="26">
        <v>45594.713354699074</v>
      </c>
      <c r="B213" s="26"/>
      <c r="C213" s="8" t="s">
        <v>322</v>
      </c>
      <c r="D213" s="8" t="s">
        <v>287</v>
      </c>
      <c r="E213" s="8">
        <v>30</v>
      </c>
      <c r="F213" s="8" t="s">
        <v>116</v>
      </c>
      <c r="G213" s="8" t="s">
        <v>116</v>
      </c>
      <c r="H213" s="8" t="s">
        <v>115</v>
      </c>
      <c r="I213" s="27">
        <v>45593</v>
      </c>
      <c r="J213" s="8" t="s">
        <v>115</v>
      </c>
      <c r="K213" s="8" t="s">
        <v>118</v>
      </c>
      <c r="L213" s="8" t="s">
        <v>119</v>
      </c>
      <c r="M213" s="16" t="str">
        <f ca="1">IFERROR(__xludf.DUMMYFUNCTION("JOIN("""",VLOOKUP(D213,'для артикула'!$A$2:$B$7,2,0),VLOOKUP(G213,'для артикула'!$A$13:$B$14,2,0),VLOOKUP(E213,'для артикула'!$A$9:$B$11,2,0),VLOOKUP(F213,'для артикула'!$A$17:$B$19,2,0),VLOOKUP(J213,'для артикула'!$A$22:$B$23,2,0),VLOOKUP(H213,'для артик"&amp;"ула'!$A$26:$B$30,2,0))"),"002-2513E30Q13")</f>
        <v>002-2513E30Q13</v>
      </c>
      <c r="N213" s="8" t="str">
        <f>IF(ISNUMBER(MATCH(C213, 'Реестр договоров'!$D$2:$D$900, 0)), "Продано", "В наличии")</f>
        <v>Продано</v>
      </c>
    </row>
    <row r="214" spans="1:15">
      <c r="A214" s="26">
        <v>45598.606147118058</v>
      </c>
      <c r="B214" s="26"/>
      <c r="C214" s="8" t="s">
        <v>323</v>
      </c>
      <c r="D214" s="8" t="s">
        <v>287</v>
      </c>
      <c r="E214" s="8">
        <v>50</v>
      </c>
      <c r="F214" s="8" t="s">
        <v>116</v>
      </c>
      <c r="G214" s="8" t="s">
        <v>116</v>
      </c>
      <c r="H214" s="8" t="s">
        <v>115</v>
      </c>
      <c r="I214" s="27">
        <v>45598</v>
      </c>
      <c r="J214" s="8" t="s">
        <v>117</v>
      </c>
      <c r="K214" s="8" t="s">
        <v>121</v>
      </c>
      <c r="L214" s="8" t="s">
        <v>119</v>
      </c>
      <c r="M214" s="16" t="str">
        <f ca="1">IFERROR(__xludf.DUMMYFUNCTION("JOIN("""",VLOOKUP(D214,'для артикула'!$A$2:$B$7,2,0),VLOOKUP(G214,'для артикула'!$A$13:$B$14,2,0),VLOOKUP(E214,'для артикула'!$A$9:$B$11,2,0),VLOOKUP(F214,'для артикула'!$A$17:$B$19,2,0),VLOOKUP(J214,'для артикула'!$A$22:$B$23,2,0),VLOOKUP(H214,'для артик"&amp;"ула'!$A$26:$B$30,2,0))"),"002-2513E50Q13-OK")</f>
        <v>002-2513E50Q13-OK</v>
      </c>
      <c r="N214" s="8" t="str">
        <f>IF(ISNUMBER(MATCH(C214, 'Реестр договоров'!$D$2:$D$900, 0)), "Продано", "В наличии")</f>
        <v>Продано</v>
      </c>
    </row>
    <row r="215" spans="1:15">
      <c r="A215" s="26">
        <v>45553.470041030094</v>
      </c>
      <c r="B215" s="26"/>
      <c r="C215" s="8" t="s">
        <v>324</v>
      </c>
      <c r="D215" s="8" t="s">
        <v>287</v>
      </c>
      <c r="E215" s="8">
        <v>50</v>
      </c>
      <c r="F215" s="8" t="s">
        <v>116</v>
      </c>
      <c r="G215" s="8" t="s">
        <v>116</v>
      </c>
      <c r="H215" s="8" t="s">
        <v>115</v>
      </c>
      <c r="I215" s="27">
        <v>45552</v>
      </c>
      <c r="J215" s="8" t="s">
        <v>117</v>
      </c>
      <c r="K215" s="8" t="s">
        <v>124</v>
      </c>
      <c r="L215" s="8" t="s">
        <v>119</v>
      </c>
      <c r="M215" s="16" t="str">
        <f ca="1">IFERROR(__xludf.DUMMYFUNCTION("JOIN("""",VLOOKUP(D215,'для артикула'!$A$2:$B$7,2,0),VLOOKUP(G215,'для артикула'!$A$13:$B$14,2,0),VLOOKUP(E215,'для артикула'!$A$9:$B$11,2,0),VLOOKUP(F215,'для артикула'!$A$17:$B$19,2,0),VLOOKUP(J215,'для артикула'!$A$22:$B$23,2,0),VLOOKUP(H215,'для артик"&amp;"ула'!$A$26:$B$30,2,0))"),"002-2513E50Q13-OK")</f>
        <v>002-2513E50Q13-OK</v>
      </c>
      <c r="N215" s="8" t="str">
        <f>IF(ISNUMBER(MATCH(C215, 'Реестр договоров'!$D$2:$D$900, 0)), "Продано", "В наличии")</f>
        <v>Продано</v>
      </c>
    </row>
    <row r="216" spans="1:15">
      <c r="A216" s="26">
        <v>45484.667752858797</v>
      </c>
      <c r="B216" s="26"/>
      <c r="C216" s="8" t="s">
        <v>325</v>
      </c>
      <c r="D216" s="8" t="s">
        <v>287</v>
      </c>
      <c r="E216" s="8">
        <v>50</v>
      </c>
      <c r="F216" s="8" t="s">
        <v>116</v>
      </c>
      <c r="G216" s="8" t="s">
        <v>116</v>
      </c>
      <c r="H216" s="8" t="s">
        <v>115</v>
      </c>
      <c r="I216" s="27">
        <v>45484</v>
      </c>
      <c r="J216" s="8" t="s">
        <v>117</v>
      </c>
      <c r="K216" s="8" t="s">
        <v>121</v>
      </c>
      <c r="L216" s="8" t="s">
        <v>119</v>
      </c>
      <c r="M216" s="16" t="str">
        <f ca="1">IFERROR(__xludf.DUMMYFUNCTION("JOIN("""",VLOOKUP(D216,'для артикула'!$A$2:$B$7,2,0),VLOOKUP(G216,'для артикула'!$A$13:$B$14,2,0),VLOOKUP(E216,'для артикула'!$A$9:$B$11,2,0),VLOOKUP(F216,'для артикула'!$A$17:$B$19,2,0),VLOOKUP(J216,'для артикула'!$A$22:$B$23,2,0),VLOOKUP(H216,'для артик"&amp;"ула'!$A$26:$B$30,2,0))"),"002-2513E50Q13-OK")</f>
        <v>002-2513E50Q13-OK</v>
      </c>
      <c r="N216" s="8" t="str">
        <f>IF(ISNUMBER(MATCH(C216, 'Реестр договоров'!$D$2:$D$900, 0)), "Продано", "В наличии")</f>
        <v>Продано</v>
      </c>
      <c r="O216" s="8"/>
    </row>
    <row r="217" spans="1:15">
      <c r="A217" s="26">
        <v>45556.654063634254</v>
      </c>
      <c r="B217" s="26"/>
      <c r="C217" s="8" t="s">
        <v>326</v>
      </c>
      <c r="D217" s="8" t="s">
        <v>287</v>
      </c>
      <c r="E217" s="8">
        <v>50</v>
      </c>
      <c r="F217" s="8" t="s">
        <v>144</v>
      </c>
      <c r="G217" s="8" t="s">
        <v>144</v>
      </c>
      <c r="H217" s="8" t="s">
        <v>115</v>
      </c>
      <c r="I217" s="27">
        <v>45552</v>
      </c>
      <c r="J217" s="8" t="s">
        <v>117</v>
      </c>
      <c r="K217" s="8" t="s">
        <v>121</v>
      </c>
      <c r="L217" s="8" t="s">
        <v>119</v>
      </c>
      <c r="M217" s="16" t="str">
        <f ca="1">IFERROR(__xludf.DUMMYFUNCTION("JOIN("""",VLOOKUP(D217,'для артикула'!$A$2:$B$7,2,0),VLOOKUP(G217,'для артикула'!$A$13:$B$14,2,0),VLOOKUP(E217,'для артикула'!$A$9:$B$11,2,0),VLOOKUP(F217,'для артикула'!$A$17:$B$19,2,0),VLOOKUP(J217,'для артикула'!$A$22:$B$23,2,0),VLOOKUP(H217,'для артик"&amp;"ула'!$A$26:$B$30,2,0))"),"002-2513E50Q15-OK")</f>
        <v>002-2513E50Q15-OK</v>
      </c>
      <c r="N217" s="8" t="str">
        <f>IF(ISNUMBER(MATCH(C217, 'Реестр договоров'!$D$2:$D$900, 0)), "Продано", "В наличии")</f>
        <v>Продано</v>
      </c>
    </row>
    <row r="218" spans="1:15">
      <c r="A218" s="26">
        <v>45464.561292442129</v>
      </c>
      <c r="B218" s="26"/>
      <c r="C218" s="8" t="s">
        <v>327</v>
      </c>
      <c r="D218" s="8" t="s">
        <v>287</v>
      </c>
      <c r="E218" s="8">
        <v>50</v>
      </c>
      <c r="F218" s="8" t="s">
        <v>116</v>
      </c>
      <c r="G218" s="8" t="s">
        <v>116</v>
      </c>
      <c r="H218" s="8" t="s">
        <v>115</v>
      </c>
      <c r="I218" s="27">
        <v>45464</v>
      </c>
      <c r="J218" s="8" t="s">
        <v>117</v>
      </c>
      <c r="K218" s="8" t="s">
        <v>124</v>
      </c>
      <c r="L218" s="8" t="s">
        <v>119</v>
      </c>
      <c r="M218" s="16" t="str">
        <f ca="1">IFERROR(__xludf.DUMMYFUNCTION("JOIN("""",VLOOKUP(D218,'для артикула'!$A$2:$B$7,2,0),VLOOKUP(G218,'для артикула'!$A$13:$B$14,2,0),VLOOKUP(E218,'для артикула'!$A$9:$B$11,2,0),VLOOKUP(F218,'для артикула'!$A$17:$B$19,2,0),VLOOKUP(J218,'для артикула'!$A$22:$B$23,2,0),VLOOKUP(H218,'для артик"&amp;"ула'!$A$26:$B$30,2,0))"),"002-2513E50Q13-OK")</f>
        <v>002-2513E50Q13-OK</v>
      </c>
      <c r="N218" s="8" t="str">
        <f>IF(ISNUMBER(MATCH(C218, 'Реестр договоров'!$D$2:$D$900, 0)), "Продано", "В наличии")</f>
        <v>Продано</v>
      </c>
      <c r="O218" s="8"/>
    </row>
    <row r="219" spans="1:15">
      <c r="A219" s="26">
        <v>45447.823809270834</v>
      </c>
      <c r="B219" s="26"/>
      <c r="C219" s="8" t="s">
        <v>328</v>
      </c>
      <c r="D219" s="8" t="s">
        <v>287</v>
      </c>
      <c r="E219" s="8">
        <v>30</v>
      </c>
      <c r="F219" s="8" t="s">
        <v>116</v>
      </c>
      <c r="G219" s="8" t="s">
        <v>116</v>
      </c>
      <c r="H219" s="8" t="s">
        <v>115</v>
      </c>
      <c r="I219" s="27">
        <v>45446</v>
      </c>
      <c r="J219" s="8" t="s">
        <v>117</v>
      </c>
      <c r="K219" s="8" t="s">
        <v>121</v>
      </c>
      <c r="L219" s="8" t="s">
        <v>119</v>
      </c>
      <c r="M219" s="16" t="str">
        <f ca="1">IFERROR(__xludf.DUMMYFUNCTION("JOIN("""",VLOOKUP(D219,'для артикула'!$A$2:$B$7,2,0),VLOOKUP(G219,'для артикула'!$A$13:$B$14,2,0),VLOOKUP(E219,'для артикула'!$A$9:$B$11,2,0),VLOOKUP(F219,'для артикула'!$A$17:$B$19,2,0),VLOOKUP(J219,'для артикула'!$A$22:$B$23,2,0),VLOOKUP(H219,'для артик"&amp;"ула'!$A$26:$B$30,2,0))"),"002-2513E30Q13-OK")</f>
        <v>002-2513E30Q13-OK</v>
      </c>
      <c r="N219" s="8" t="str">
        <f>IF(ISNUMBER(MATCH(C219, 'Реестр договоров'!$D$2:$D$900, 0)), "Продано", "В наличии")</f>
        <v>Продано</v>
      </c>
      <c r="O219" s="8"/>
    </row>
    <row r="220" spans="1:15">
      <c r="A220" s="26">
        <v>45460.712319282407</v>
      </c>
      <c r="B220" s="26"/>
      <c r="C220" s="8" t="s">
        <v>329</v>
      </c>
      <c r="D220" s="8" t="s">
        <v>287</v>
      </c>
      <c r="E220" s="8">
        <v>30</v>
      </c>
      <c r="F220" s="8" t="s">
        <v>116</v>
      </c>
      <c r="G220" s="8" t="s">
        <v>116</v>
      </c>
      <c r="H220" s="8" t="s">
        <v>115</v>
      </c>
      <c r="I220" s="27">
        <v>45460</v>
      </c>
      <c r="J220" s="8" t="s">
        <v>117</v>
      </c>
      <c r="K220" s="8" t="s">
        <v>121</v>
      </c>
      <c r="L220" s="8" t="s">
        <v>119</v>
      </c>
      <c r="M220" s="16" t="str">
        <f ca="1">IFERROR(__xludf.DUMMYFUNCTION("JOIN("""",VLOOKUP(D220,'для артикула'!$A$2:$B$7,2,0),VLOOKUP(G220,'для артикула'!$A$13:$B$14,2,0),VLOOKUP(E220,'для артикула'!$A$9:$B$11,2,0),VLOOKUP(F220,'для артикула'!$A$17:$B$19,2,0),VLOOKUP(J220,'для артикула'!$A$22:$B$23,2,0),VLOOKUP(H220,'для артик"&amp;"ула'!$A$26:$B$30,2,0))"),"002-2513E30Q13-OK")</f>
        <v>002-2513E30Q13-OK</v>
      </c>
      <c r="N220" s="8" t="str">
        <f>IF(ISNUMBER(MATCH(C220, 'Реестр договоров'!$D$2:$D$900, 0)), "Продано", "В наличии")</f>
        <v>Продано</v>
      </c>
      <c r="O220" s="8"/>
    </row>
    <row r="221" spans="1:15">
      <c r="A221" s="26">
        <v>45460.713120821762</v>
      </c>
      <c r="B221" s="26"/>
      <c r="C221" s="8" t="s">
        <v>330</v>
      </c>
      <c r="D221" s="8" t="s">
        <v>287</v>
      </c>
      <c r="E221" s="8">
        <v>50</v>
      </c>
      <c r="F221" s="8" t="s">
        <v>116</v>
      </c>
      <c r="G221" s="8" t="s">
        <v>116</v>
      </c>
      <c r="H221" s="8" t="s">
        <v>115</v>
      </c>
      <c r="I221" s="27">
        <v>45460</v>
      </c>
      <c r="J221" s="8" t="s">
        <v>117</v>
      </c>
      <c r="K221" s="8" t="s">
        <v>121</v>
      </c>
      <c r="L221" s="8" t="s">
        <v>119</v>
      </c>
      <c r="M221" s="16" t="str">
        <f ca="1">IFERROR(__xludf.DUMMYFUNCTION("JOIN("""",VLOOKUP(D221,'для артикула'!$A$2:$B$7,2,0),VLOOKUP(G221,'для артикула'!$A$13:$B$14,2,0),VLOOKUP(E221,'для артикула'!$A$9:$B$11,2,0),VLOOKUP(F221,'для артикула'!$A$17:$B$19,2,0),VLOOKUP(J221,'для артикула'!$A$22:$B$23,2,0),VLOOKUP(H221,'для артик"&amp;"ула'!$A$26:$B$30,2,0))"),"002-2513E50Q13-OK")</f>
        <v>002-2513E50Q13-OK</v>
      </c>
      <c r="N221" s="8" t="str">
        <f>IF(ISNUMBER(MATCH(C221, 'Реестр договоров'!$D$2:$D$900, 0)), "Продано", "В наличии")</f>
        <v>Продано</v>
      </c>
      <c r="O221" s="8"/>
    </row>
    <row r="222" spans="1:15">
      <c r="A222" s="26">
        <v>45451.476427546295</v>
      </c>
      <c r="B222" s="26"/>
      <c r="C222" s="8" t="s">
        <v>331</v>
      </c>
      <c r="D222" s="8" t="s">
        <v>287</v>
      </c>
      <c r="E222" s="8">
        <v>50</v>
      </c>
      <c r="F222" s="8" t="s">
        <v>116</v>
      </c>
      <c r="G222" s="8" t="s">
        <v>116</v>
      </c>
      <c r="H222" s="8" t="s">
        <v>115</v>
      </c>
      <c r="I222" s="27">
        <v>45450</v>
      </c>
      <c r="J222" s="8" t="s">
        <v>115</v>
      </c>
      <c r="K222" s="8" t="s">
        <v>121</v>
      </c>
      <c r="L222" s="8" t="s">
        <v>119</v>
      </c>
      <c r="M222" s="16" t="str">
        <f ca="1">IFERROR(__xludf.DUMMYFUNCTION("JOIN("""",VLOOKUP(D222,'для артикула'!$A$2:$B$7,2,0),VLOOKUP(G222,'для артикула'!$A$13:$B$14,2,0),VLOOKUP(E222,'для артикула'!$A$9:$B$11,2,0),VLOOKUP(F222,'для артикула'!$A$17:$B$19,2,0),VLOOKUP(J222,'для артикула'!$A$22:$B$23,2,0),VLOOKUP(H222,'для артик"&amp;"ула'!$A$26:$B$30,2,0))"),"002-2513E50Q13")</f>
        <v>002-2513E50Q13</v>
      </c>
      <c r="N222" s="8" t="str">
        <f>IF(ISNUMBER(MATCH(C222, 'Реестр договоров'!$D$2:$D$900, 0)), "Продано", "В наличии")</f>
        <v>Продано</v>
      </c>
      <c r="O222" s="8"/>
    </row>
    <row r="223" spans="1:15">
      <c r="A223" s="26">
        <v>45460.71509813657</v>
      </c>
      <c r="B223" s="26"/>
      <c r="C223" s="8" t="s">
        <v>332</v>
      </c>
      <c r="D223" s="8" t="s">
        <v>287</v>
      </c>
      <c r="E223" s="8">
        <v>50</v>
      </c>
      <c r="F223" s="8" t="s">
        <v>116</v>
      </c>
      <c r="G223" s="8" t="s">
        <v>116</v>
      </c>
      <c r="H223" s="8" t="s">
        <v>115</v>
      </c>
      <c r="I223" s="27">
        <v>45460</v>
      </c>
      <c r="J223" s="8" t="s">
        <v>117</v>
      </c>
      <c r="K223" s="8" t="s">
        <v>121</v>
      </c>
      <c r="L223" s="8" t="s">
        <v>119</v>
      </c>
      <c r="M223" s="16" t="str">
        <f ca="1">IFERROR(__xludf.DUMMYFUNCTION("JOIN("""",VLOOKUP(D223,'для артикула'!$A$2:$B$7,2,0),VLOOKUP(G223,'для артикула'!$A$13:$B$14,2,0),VLOOKUP(E223,'для артикула'!$A$9:$B$11,2,0),VLOOKUP(F223,'для артикула'!$A$17:$B$19,2,0),VLOOKUP(J223,'для артикула'!$A$22:$B$23,2,0),VLOOKUP(H223,'для артик"&amp;"ула'!$A$26:$B$30,2,0))"),"002-2513E50Q13-OK")</f>
        <v>002-2513E50Q13-OK</v>
      </c>
      <c r="N223" s="8" t="str">
        <f>IF(ISNUMBER(MATCH(C223, 'Реестр договоров'!$D$2:$D$900, 0)), "Продано", "В наличии")</f>
        <v>Продано</v>
      </c>
      <c r="O223" s="8"/>
    </row>
    <row r="224" spans="1:15">
      <c r="A224" s="26">
        <v>45460.713869270832</v>
      </c>
      <c r="B224" s="26"/>
      <c r="C224" s="8" t="s">
        <v>333</v>
      </c>
      <c r="D224" s="8" t="s">
        <v>287</v>
      </c>
      <c r="E224" s="8">
        <v>50</v>
      </c>
      <c r="F224" s="8" t="s">
        <v>116</v>
      </c>
      <c r="G224" s="8" t="s">
        <v>116</v>
      </c>
      <c r="H224" s="8" t="s">
        <v>115</v>
      </c>
      <c r="I224" s="27">
        <v>45460</v>
      </c>
      <c r="J224" s="8" t="s">
        <v>117</v>
      </c>
      <c r="K224" s="8" t="s">
        <v>121</v>
      </c>
      <c r="L224" s="8" t="s">
        <v>119</v>
      </c>
      <c r="M224" s="16" t="str">
        <f ca="1">IFERROR(__xludf.DUMMYFUNCTION("JOIN("""",VLOOKUP(D224,'для артикула'!$A$2:$B$7,2,0),VLOOKUP(G224,'для артикула'!$A$13:$B$14,2,0),VLOOKUP(E224,'для артикула'!$A$9:$B$11,2,0),VLOOKUP(F224,'для артикула'!$A$17:$B$19,2,0),VLOOKUP(J224,'для артикула'!$A$22:$B$23,2,0),VLOOKUP(H224,'для артик"&amp;"ула'!$A$26:$B$30,2,0))"),"002-2513E50Q13-OK")</f>
        <v>002-2513E50Q13-OK</v>
      </c>
      <c r="N224" s="8" t="str">
        <f>IF(ISNUMBER(MATCH(C224, 'Реестр договоров'!$D$2:$D$900, 0)), "Продано", "В наличии")</f>
        <v>Продано</v>
      </c>
      <c r="O224" s="8"/>
    </row>
    <row r="225" spans="1:15">
      <c r="A225" s="26">
        <v>45450.688947129631</v>
      </c>
      <c r="B225" s="26"/>
      <c r="C225" s="8" t="s">
        <v>334</v>
      </c>
      <c r="D225" s="8" t="s">
        <v>287</v>
      </c>
      <c r="E225" s="8">
        <v>30</v>
      </c>
      <c r="F225" s="8" t="s">
        <v>116</v>
      </c>
      <c r="G225" s="8" t="s">
        <v>116</v>
      </c>
      <c r="H225" s="8" t="s">
        <v>115</v>
      </c>
      <c r="I225" s="27">
        <v>45449</v>
      </c>
      <c r="J225" s="8" t="s">
        <v>117</v>
      </c>
      <c r="K225" s="8" t="s">
        <v>121</v>
      </c>
      <c r="L225" s="8" t="s">
        <v>119</v>
      </c>
      <c r="M225" s="16" t="str">
        <f ca="1">IFERROR(__xludf.DUMMYFUNCTION("JOIN("""",VLOOKUP(D225,'для артикула'!$A$2:$B$7,2,0),VLOOKUP(G225,'для артикула'!$A$13:$B$14,2,0),VLOOKUP(E225,'для артикула'!$A$9:$B$11,2,0),VLOOKUP(F225,'для артикула'!$A$17:$B$19,2,0),VLOOKUP(J225,'для артикула'!$A$22:$B$23,2,0),VLOOKUP(H225,'для артик"&amp;"ула'!$A$26:$B$30,2,0))"),"002-2513E30Q13-OK")</f>
        <v>002-2513E30Q13-OK</v>
      </c>
      <c r="N225" s="8" t="str">
        <f>IF(ISNUMBER(MATCH(C225, 'Реестр договоров'!$D$2:$D$900, 0)), "Продано", "В наличии")</f>
        <v>Продано</v>
      </c>
      <c r="O225" s="8"/>
    </row>
    <row r="226" spans="1:15">
      <c r="A226" s="26">
        <v>45475.561127094908</v>
      </c>
      <c r="B226" s="26"/>
      <c r="C226" s="8" t="s">
        <v>335</v>
      </c>
      <c r="D226" s="8" t="s">
        <v>287</v>
      </c>
      <c r="E226" s="8">
        <v>30</v>
      </c>
      <c r="F226" s="8" t="s">
        <v>116</v>
      </c>
      <c r="G226" s="8" t="s">
        <v>116</v>
      </c>
      <c r="H226" s="8" t="s">
        <v>115</v>
      </c>
      <c r="I226" s="27">
        <v>45475</v>
      </c>
      <c r="J226" s="8" t="s">
        <v>117</v>
      </c>
      <c r="K226" s="8" t="s">
        <v>121</v>
      </c>
      <c r="L226" s="8" t="s">
        <v>119</v>
      </c>
      <c r="M226" s="16" t="str">
        <f ca="1">IFERROR(__xludf.DUMMYFUNCTION("JOIN("""",VLOOKUP(D226,'для артикула'!$A$2:$B$7,2,0),VLOOKUP(G226,'для артикула'!$A$13:$B$14,2,0),VLOOKUP(E226,'для артикула'!$A$9:$B$11,2,0),VLOOKUP(F226,'для артикула'!$A$17:$B$19,2,0),VLOOKUP(J226,'для артикула'!$A$22:$B$23,2,0),VLOOKUP(H226,'для артик"&amp;"ула'!$A$26:$B$30,2,0))"),"002-2513E30Q13-OK")</f>
        <v>002-2513E30Q13-OK</v>
      </c>
      <c r="N226" s="8" t="str">
        <f>IF(ISNUMBER(MATCH(C226, 'Реестр договоров'!$D$2:$D$900, 0)), "Продано", "В наличии")</f>
        <v>Продано</v>
      </c>
      <c r="O226" s="8"/>
    </row>
    <row r="227" spans="1:15">
      <c r="A227" s="26">
        <v>45460.511826666669</v>
      </c>
      <c r="B227" s="26"/>
      <c r="C227" s="8" t="s">
        <v>336</v>
      </c>
      <c r="D227" s="8" t="s">
        <v>287</v>
      </c>
      <c r="E227" s="8">
        <v>30</v>
      </c>
      <c r="F227" s="8" t="s">
        <v>116</v>
      </c>
      <c r="G227" s="8" t="s">
        <v>116</v>
      </c>
      <c r="H227" s="8" t="s">
        <v>115</v>
      </c>
      <c r="I227" s="27">
        <v>45460</v>
      </c>
      <c r="J227" s="8" t="s">
        <v>117</v>
      </c>
      <c r="K227" s="8" t="s">
        <v>121</v>
      </c>
      <c r="L227" s="8" t="s">
        <v>119</v>
      </c>
      <c r="M227" s="16" t="str">
        <f ca="1">IFERROR(__xludf.DUMMYFUNCTION("JOIN("""",VLOOKUP(D227,'для артикула'!$A$2:$B$7,2,0),VLOOKUP(G227,'для артикула'!$A$13:$B$14,2,0),VLOOKUP(E227,'для артикула'!$A$9:$B$11,2,0),VLOOKUP(F227,'для артикула'!$A$17:$B$19,2,0),VLOOKUP(J227,'для артикула'!$A$22:$B$23,2,0),VLOOKUP(H227,'для артик"&amp;"ула'!$A$26:$B$30,2,0))"),"002-2513E30Q13-OK")</f>
        <v>002-2513E30Q13-OK</v>
      </c>
      <c r="N227" s="8" t="str">
        <f>IF(ISNUMBER(MATCH(C227, 'Реестр договоров'!$D$2:$D$900, 0)), "Продано", "В наличии")</f>
        <v>Продано</v>
      </c>
      <c r="O227" s="8"/>
    </row>
    <row r="228" spans="1:15">
      <c r="A228" s="26">
        <v>45460.719445671297</v>
      </c>
      <c r="B228" s="26"/>
      <c r="C228" s="8" t="s">
        <v>337</v>
      </c>
      <c r="D228" s="8" t="s">
        <v>287</v>
      </c>
      <c r="E228" s="8">
        <v>30</v>
      </c>
      <c r="F228" s="8" t="s">
        <v>116</v>
      </c>
      <c r="G228" s="8" t="s">
        <v>116</v>
      </c>
      <c r="H228" s="8" t="s">
        <v>115</v>
      </c>
      <c r="I228" s="27">
        <v>45460</v>
      </c>
      <c r="J228" s="8" t="s">
        <v>117</v>
      </c>
      <c r="K228" s="8" t="s">
        <v>121</v>
      </c>
      <c r="L228" s="8" t="s">
        <v>119</v>
      </c>
      <c r="M228" s="16" t="str">
        <f ca="1">IFERROR(__xludf.DUMMYFUNCTION("JOIN("""",VLOOKUP(D228,'для артикула'!$A$2:$B$7,2,0),VLOOKUP(G228,'для артикула'!$A$13:$B$14,2,0),VLOOKUP(E228,'для артикула'!$A$9:$B$11,2,0),VLOOKUP(F228,'для артикула'!$A$17:$B$19,2,0),VLOOKUP(J228,'для артикула'!$A$22:$B$23,2,0),VLOOKUP(H228,'для артик"&amp;"ула'!$A$26:$B$30,2,0))"),"002-2513E30Q13-OK")</f>
        <v>002-2513E30Q13-OK</v>
      </c>
      <c r="N228" s="8" t="str">
        <f>IF(ISNUMBER(MATCH(C228, 'Реестр договоров'!$D$2:$D$900, 0)), "Продано", "В наличии")</f>
        <v>Продано</v>
      </c>
      <c r="O228" s="8"/>
    </row>
    <row r="229" spans="1:15">
      <c r="A229" s="26">
        <v>45460.719068680555</v>
      </c>
      <c r="B229" s="26"/>
      <c r="C229" s="8" t="s">
        <v>338</v>
      </c>
      <c r="D229" s="8" t="s">
        <v>287</v>
      </c>
      <c r="E229" s="8">
        <v>30</v>
      </c>
      <c r="F229" s="8" t="s">
        <v>116</v>
      </c>
      <c r="G229" s="8" t="s">
        <v>116</v>
      </c>
      <c r="H229" s="8" t="s">
        <v>115</v>
      </c>
      <c r="I229" s="27">
        <v>45460</v>
      </c>
      <c r="J229" s="8" t="s">
        <v>117</v>
      </c>
      <c r="K229" s="8" t="s">
        <v>121</v>
      </c>
      <c r="L229" s="8" t="s">
        <v>119</v>
      </c>
      <c r="M229" s="16" t="str">
        <f ca="1">IFERROR(__xludf.DUMMYFUNCTION("JOIN("""",VLOOKUP(D229,'для артикула'!$A$2:$B$7,2,0),VLOOKUP(G229,'для артикула'!$A$13:$B$14,2,0),VLOOKUP(E229,'для артикула'!$A$9:$B$11,2,0),VLOOKUP(F229,'для артикула'!$A$17:$B$19,2,0),VLOOKUP(J229,'для артикула'!$A$22:$B$23,2,0),VLOOKUP(H229,'для артик"&amp;"ула'!$A$26:$B$30,2,0))"),"002-2513E30Q13-OK")</f>
        <v>002-2513E30Q13-OK</v>
      </c>
      <c r="N229" s="8" t="str">
        <f>IF(ISNUMBER(MATCH(C229, 'Реестр договоров'!$D$2:$D$900, 0)), "Продано", "В наличии")</f>
        <v>Продано</v>
      </c>
      <c r="O229" s="8"/>
    </row>
    <row r="230" spans="1:15">
      <c r="A230" s="26">
        <v>45460.717257488424</v>
      </c>
      <c r="B230" s="26"/>
      <c r="C230" s="8" t="s">
        <v>339</v>
      </c>
      <c r="D230" s="8" t="s">
        <v>287</v>
      </c>
      <c r="E230" s="8">
        <v>30</v>
      </c>
      <c r="F230" s="8" t="s">
        <v>116</v>
      </c>
      <c r="G230" s="8" t="s">
        <v>116</v>
      </c>
      <c r="H230" s="8" t="s">
        <v>115</v>
      </c>
      <c r="I230" s="27">
        <v>45460</v>
      </c>
      <c r="J230" s="8" t="s">
        <v>117</v>
      </c>
      <c r="K230" s="8" t="s">
        <v>121</v>
      </c>
      <c r="L230" s="8" t="s">
        <v>119</v>
      </c>
      <c r="M230" s="16" t="str">
        <f ca="1">IFERROR(__xludf.DUMMYFUNCTION("JOIN("""",VLOOKUP(D230,'для артикула'!$A$2:$B$7,2,0),VLOOKUP(G230,'для артикула'!$A$13:$B$14,2,0),VLOOKUP(E230,'для артикула'!$A$9:$B$11,2,0),VLOOKUP(F230,'для артикула'!$A$17:$B$19,2,0),VLOOKUP(J230,'для артикула'!$A$22:$B$23,2,0),VLOOKUP(H230,'для артик"&amp;"ула'!$A$26:$B$30,2,0))"),"002-2513E30Q13-OK")</f>
        <v>002-2513E30Q13-OK</v>
      </c>
      <c r="N230" s="8" t="str">
        <f>IF(ISNUMBER(MATCH(C230, 'Реестр договоров'!$D$2:$D$900, 0)), "Продано", "В наличии")</f>
        <v>Продано</v>
      </c>
      <c r="O230" s="8"/>
    </row>
    <row r="231" spans="1:15">
      <c r="A231" s="26">
        <v>45449.478351701386</v>
      </c>
      <c r="B231" s="26"/>
      <c r="C231" s="8" t="s">
        <v>340</v>
      </c>
      <c r="D231" s="8" t="s">
        <v>287</v>
      </c>
      <c r="E231" s="8">
        <v>50</v>
      </c>
      <c r="F231" s="8" t="s">
        <v>116</v>
      </c>
      <c r="G231" s="8" t="s">
        <v>116</v>
      </c>
      <c r="H231" s="8" t="s">
        <v>115</v>
      </c>
      <c r="I231" s="27">
        <v>45449</v>
      </c>
      <c r="J231" s="8" t="s">
        <v>117</v>
      </c>
      <c r="K231" s="8" t="s">
        <v>121</v>
      </c>
      <c r="L231" s="8" t="s">
        <v>119</v>
      </c>
      <c r="M231" s="16" t="str">
        <f ca="1">IFERROR(__xludf.DUMMYFUNCTION("JOIN("""",VLOOKUP(D231,'для артикула'!$A$2:$B$7,2,0),VLOOKUP(G231,'для артикула'!$A$13:$B$14,2,0),VLOOKUP(E231,'для артикула'!$A$9:$B$11,2,0),VLOOKUP(F231,'для артикула'!$A$17:$B$19,2,0),VLOOKUP(J231,'для артикула'!$A$22:$B$23,2,0),VLOOKUP(H231,'для артик"&amp;"ула'!$A$26:$B$30,2,0))"),"002-2513E50Q13-OK")</f>
        <v>002-2513E50Q13-OK</v>
      </c>
      <c r="N231" s="8" t="str">
        <f>IF(ISNUMBER(MATCH(C231, 'Реестр договоров'!$D$2:$D$900, 0)), "Продано", "В наличии")</f>
        <v>Продано</v>
      </c>
      <c r="O231" s="8"/>
    </row>
    <row r="232" spans="1:15">
      <c r="A232" s="26">
        <v>45532.503236076387</v>
      </c>
      <c r="B232" s="26"/>
      <c r="C232" s="8" t="s">
        <v>341</v>
      </c>
      <c r="D232" s="8" t="s">
        <v>287</v>
      </c>
      <c r="E232" s="8">
        <v>50</v>
      </c>
      <c r="F232" s="8" t="s">
        <v>116</v>
      </c>
      <c r="G232" s="8" t="s">
        <v>116</v>
      </c>
      <c r="H232" s="8" t="s">
        <v>115</v>
      </c>
      <c r="I232" s="27">
        <v>45532</v>
      </c>
      <c r="J232" s="8" t="s">
        <v>117</v>
      </c>
      <c r="K232" s="8" t="s">
        <v>118</v>
      </c>
      <c r="L232" s="8" t="s">
        <v>119</v>
      </c>
      <c r="M232" s="16" t="str">
        <f ca="1">IFERROR(__xludf.DUMMYFUNCTION("JOIN("""",VLOOKUP(D232,'для артикула'!$A$2:$B$7,2,0),VLOOKUP(G232,'для артикула'!$A$13:$B$14,2,0),VLOOKUP(E232,'для артикула'!$A$9:$B$11,2,0),VLOOKUP(F232,'для артикула'!$A$17:$B$19,2,0),VLOOKUP(J232,'для артикула'!$A$22:$B$23,2,0),VLOOKUP(H232,'для артик"&amp;"ула'!$A$26:$B$30,2,0))"),"002-2513E50Q13-OK")</f>
        <v>002-2513E50Q13-OK</v>
      </c>
      <c r="N232" s="8" t="str">
        <f>IF(ISNUMBER(MATCH(C232, 'Реестр договоров'!$D$2:$D$900, 0)), "Продано", "В наличии")</f>
        <v>Продано</v>
      </c>
    </row>
    <row r="233" spans="1:15">
      <c r="A233" s="26">
        <v>45484.686438009259</v>
      </c>
      <c r="B233" s="26"/>
      <c r="C233" s="8" t="s">
        <v>342</v>
      </c>
      <c r="D233" s="8" t="s">
        <v>287</v>
      </c>
      <c r="E233" s="8">
        <v>30</v>
      </c>
      <c r="F233" s="8" t="s">
        <v>116</v>
      </c>
      <c r="G233" s="8" t="s">
        <v>116</v>
      </c>
      <c r="H233" s="8" t="s">
        <v>115</v>
      </c>
      <c r="I233" s="27">
        <v>45484</v>
      </c>
      <c r="J233" s="8" t="s">
        <v>117</v>
      </c>
      <c r="K233" s="8" t="s">
        <v>121</v>
      </c>
      <c r="L233" s="8" t="s">
        <v>119</v>
      </c>
      <c r="M233" s="16" t="str">
        <f ca="1">IFERROR(__xludf.DUMMYFUNCTION("JOIN("""",VLOOKUP(D233,'для артикула'!$A$2:$B$7,2,0),VLOOKUP(G233,'для артикула'!$A$13:$B$14,2,0),VLOOKUP(E233,'для артикула'!$A$9:$B$11,2,0),VLOOKUP(F233,'для артикула'!$A$17:$B$19,2,0),VLOOKUP(J233,'для артикула'!$A$22:$B$23,2,0),VLOOKUP(H233,'для артик"&amp;"ула'!$A$26:$B$30,2,0))"),"002-2513E30Q13-OK")</f>
        <v>002-2513E30Q13-OK</v>
      </c>
      <c r="N233" s="8" t="str">
        <f>IF(ISNUMBER(MATCH(C233, 'Реестр договоров'!$D$2:$D$900, 0)), "Продано", "В наличии")</f>
        <v>В наличии</v>
      </c>
      <c r="O233" s="8"/>
    </row>
    <row r="234" spans="1:15">
      <c r="A234" s="26">
        <v>45449.66843662037</v>
      </c>
      <c r="B234" s="26"/>
      <c r="C234" s="8" t="s">
        <v>343</v>
      </c>
      <c r="D234" s="8" t="s">
        <v>287</v>
      </c>
      <c r="E234" s="8">
        <v>30</v>
      </c>
      <c r="F234" s="8" t="s">
        <v>116</v>
      </c>
      <c r="G234" s="8" t="s">
        <v>116</v>
      </c>
      <c r="H234" s="8" t="s">
        <v>115</v>
      </c>
      <c r="I234" s="27">
        <v>45324</v>
      </c>
      <c r="J234" s="8" t="s">
        <v>117</v>
      </c>
      <c r="K234" s="8" t="s">
        <v>124</v>
      </c>
      <c r="L234" s="8" t="s">
        <v>119</v>
      </c>
      <c r="M234" s="16" t="str">
        <f ca="1">IFERROR(__xludf.DUMMYFUNCTION("JOIN("""",VLOOKUP(D234,'для артикула'!$A$2:$B$7,2,0),VLOOKUP(G234,'для артикула'!$A$13:$B$14,2,0),VLOOKUP(E234,'для артикула'!$A$9:$B$11,2,0),VLOOKUP(F234,'для артикула'!$A$17:$B$19,2,0),VLOOKUP(J234,'для артикула'!$A$22:$B$23,2,0),VLOOKUP(H234,'для артик"&amp;"ула'!$A$26:$B$30,2,0))"),"002-2513E30Q13-OK")</f>
        <v>002-2513E30Q13-OK</v>
      </c>
      <c r="N234" s="8" t="str">
        <f>IF(ISNUMBER(MATCH(C234, 'Реестр договоров'!$D$2:$D$900, 0)), "Продано", "В наличии")</f>
        <v>Продано</v>
      </c>
      <c r="O234" s="8"/>
    </row>
    <row r="235" spans="1:15">
      <c r="A235" s="26">
        <v>45449.669068969903</v>
      </c>
      <c r="B235" s="26"/>
      <c r="C235" s="8" t="s">
        <v>344</v>
      </c>
      <c r="D235" s="8" t="s">
        <v>287</v>
      </c>
      <c r="E235" s="8">
        <v>30</v>
      </c>
      <c r="F235" s="8" t="s">
        <v>116</v>
      </c>
      <c r="G235" s="8" t="s">
        <v>116</v>
      </c>
      <c r="H235" s="8" t="s">
        <v>115</v>
      </c>
      <c r="I235" s="27">
        <v>45306</v>
      </c>
      <c r="J235" s="8" t="s">
        <v>117</v>
      </c>
      <c r="K235" s="8" t="s">
        <v>124</v>
      </c>
      <c r="L235" s="8" t="s">
        <v>119</v>
      </c>
      <c r="M235" s="16" t="str">
        <f ca="1">IFERROR(__xludf.DUMMYFUNCTION("JOIN("""",VLOOKUP(D235,'для артикула'!$A$2:$B$7,2,0),VLOOKUP(G235,'для артикула'!$A$13:$B$14,2,0),VLOOKUP(E235,'для артикула'!$A$9:$B$11,2,0),VLOOKUP(F235,'для артикула'!$A$17:$B$19,2,0),VLOOKUP(J235,'для артикула'!$A$22:$B$23,2,0),VLOOKUP(H235,'для артик"&amp;"ула'!$A$26:$B$30,2,0))"),"002-2513E30Q13-OK")</f>
        <v>002-2513E30Q13-OK</v>
      </c>
      <c r="N235" s="8" t="str">
        <f>IF(ISNUMBER(MATCH(C235, 'Реестр договоров'!$D$2:$D$900, 0)), "Продано", "В наличии")</f>
        <v>Продано</v>
      </c>
      <c r="O235" s="8"/>
    </row>
    <row r="236" spans="1:15">
      <c r="A236" s="26">
        <v>45612.548121817134</v>
      </c>
      <c r="B236" s="26"/>
      <c r="C236" s="8" t="s">
        <v>345</v>
      </c>
      <c r="D236" s="8" t="s">
        <v>287</v>
      </c>
      <c r="E236" s="8">
        <v>30</v>
      </c>
      <c r="F236" s="8" t="s">
        <v>116</v>
      </c>
      <c r="G236" s="8" t="s">
        <v>116</v>
      </c>
      <c r="H236" s="8" t="s">
        <v>115</v>
      </c>
      <c r="I236" s="27">
        <v>45276</v>
      </c>
      <c r="J236" s="8" t="s">
        <v>117</v>
      </c>
      <c r="K236" s="8" t="s">
        <v>121</v>
      </c>
      <c r="L236" s="8" t="s">
        <v>119</v>
      </c>
      <c r="M236" s="16" t="str">
        <f ca="1">IFERROR(__xludf.DUMMYFUNCTION("JOIN("""",VLOOKUP(D236,'для артикула'!$A$2:$B$7,2,0),VLOOKUP(G236,'для артикула'!$A$13:$B$14,2,0),VLOOKUP(E236,'для артикула'!$A$9:$B$11,2,0),VLOOKUP(F236,'для артикула'!$A$17:$B$19,2,0),VLOOKUP(J236,'для артикула'!$A$22:$B$23,2,0),VLOOKUP(H236,'для артик"&amp;"ула'!$A$26:$B$30,2,0))"),"002-2513E30Q13-OK")</f>
        <v>002-2513E30Q13-OK</v>
      </c>
      <c r="N236" s="8" t="str">
        <f>IF(ISNUMBER(MATCH(C236, 'Реестр договоров'!$D$2:$D$900, 0)), "Продано", "В наличии")</f>
        <v>Продано</v>
      </c>
    </row>
    <row r="237" spans="1:15">
      <c r="A237" s="26">
        <v>45637.774125833334</v>
      </c>
      <c r="B237" s="26"/>
      <c r="C237" s="8" t="s">
        <v>346</v>
      </c>
      <c r="D237" s="8" t="s">
        <v>347</v>
      </c>
      <c r="E237" s="8">
        <v>30</v>
      </c>
      <c r="F237" s="8" t="s">
        <v>116</v>
      </c>
      <c r="G237" s="8" t="s">
        <v>116</v>
      </c>
      <c r="H237" s="8" t="s">
        <v>115</v>
      </c>
      <c r="I237" s="27">
        <v>45637</v>
      </c>
      <c r="J237" s="8" t="s">
        <v>117</v>
      </c>
      <c r="K237" s="8" t="s">
        <v>124</v>
      </c>
      <c r="L237" s="8" t="s">
        <v>288</v>
      </c>
      <c r="M237" s="8" t="s">
        <v>348</v>
      </c>
      <c r="N237" s="8" t="str">
        <f>IF(ISNUMBER(MATCH(C237, 'Реестр договоров'!$D$2:$D$900, 0)), "Продано", "В наличии")</f>
        <v>Продано</v>
      </c>
    </row>
    <row r="238" spans="1:15">
      <c r="A238" s="26">
        <v>45579.739081122687</v>
      </c>
      <c r="B238" s="26"/>
      <c r="C238" s="8" t="s">
        <v>349</v>
      </c>
      <c r="D238" s="8" t="s">
        <v>347</v>
      </c>
      <c r="E238" s="8">
        <v>30</v>
      </c>
      <c r="F238" s="8" t="s">
        <v>116</v>
      </c>
      <c r="G238" s="8" t="s">
        <v>116</v>
      </c>
      <c r="H238" s="8">
        <v>90</v>
      </c>
      <c r="I238" s="27">
        <v>45579</v>
      </c>
      <c r="J238" s="8" t="s">
        <v>117</v>
      </c>
      <c r="K238" s="8" t="s">
        <v>124</v>
      </c>
      <c r="L238" s="8" t="s">
        <v>288</v>
      </c>
      <c r="M238" s="8" t="s">
        <v>348</v>
      </c>
      <c r="N238" s="8" t="str">
        <f>IF(ISNUMBER(MATCH(C238, 'Реестр договоров'!$D$2:$D$900, 0)), "Продано", "В наличии")</f>
        <v>Продано</v>
      </c>
    </row>
    <row r="239" spans="1:15">
      <c r="A239" s="26">
        <v>45565.558209814815</v>
      </c>
      <c r="B239" s="26"/>
      <c r="C239" s="8" t="s">
        <v>350</v>
      </c>
      <c r="D239" s="8" t="s">
        <v>347</v>
      </c>
      <c r="E239" s="8">
        <v>50</v>
      </c>
      <c r="F239" s="8" t="s">
        <v>116</v>
      </c>
      <c r="G239" s="8" t="s">
        <v>116</v>
      </c>
      <c r="H239" s="8" t="s">
        <v>115</v>
      </c>
      <c r="I239" s="27">
        <v>45565</v>
      </c>
      <c r="J239" s="8" t="s">
        <v>117</v>
      </c>
      <c r="K239" s="8" t="s">
        <v>118</v>
      </c>
      <c r="L239" s="8" t="s">
        <v>288</v>
      </c>
      <c r="M239" s="16" t="str">
        <f ca="1">IFERROR(__xludf.DUMMYFUNCTION("JOIN("""",VLOOKUP(D239,'для артикула'!$A$2:$B$7,2,0),VLOOKUP(G239,'для артикула'!$A$13:$B$14,2,0),VLOOKUP(E239,'для артикула'!$A$9:$B$11,2,0),VLOOKUP(F239,'для артикула'!$A$17:$B$19,2,0),VLOOKUP(J239,'для артикула'!$A$22:$B$23,2,0),VLOOKUP(H239,'для артик"&amp;"ула'!$A$26:$B$30,2,0))"),"002-2515E50Q13-OK")</f>
        <v>002-2515E50Q13-OK</v>
      </c>
      <c r="N239" s="8" t="str">
        <f>IF(ISNUMBER(MATCH(C239, 'Реестр договоров'!$D$2:$D$900, 0)), "Продано", "В наличии")</f>
        <v>Продано</v>
      </c>
    </row>
    <row r="240" spans="1:15">
      <c r="A240" s="26">
        <v>45607.514542789351</v>
      </c>
      <c r="B240" s="26"/>
      <c r="C240" s="8" t="s">
        <v>351</v>
      </c>
      <c r="D240" s="8" t="s">
        <v>347</v>
      </c>
      <c r="E240" s="8">
        <v>50</v>
      </c>
      <c r="F240" s="8" t="s">
        <v>116</v>
      </c>
      <c r="G240" s="8" t="s">
        <v>116</v>
      </c>
      <c r="H240" s="8" t="s">
        <v>115</v>
      </c>
      <c r="I240" s="27">
        <v>45607</v>
      </c>
      <c r="J240" s="8" t="s">
        <v>117</v>
      </c>
      <c r="K240" s="8" t="s">
        <v>121</v>
      </c>
      <c r="L240" s="8" t="s">
        <v>288</v>
      </c>
      <c r="M240" s="8" t="s">
        <v>348</v>
      </c>
      <c r="N240" s="8" t="str">
        <f>IF(ISNUMBER(MATCH(C240, 'Реестр договоров'!$D$2:$D$900, 0)), "Продано", "В наличии")</f>
        <v>Продано</v>
      </c>
    </row>
    <row r="241" spans="1:14">
      <c r="A241" s="26">
        <v>45552.487466296297</v>
      </c>
      <c r="B241" s="26"/>
      <c r="C241" s="8" t="s">
        <v>352</v>
      </c>
      <c r="D241" s="8" t="s">
        <v>347</v>
      </c>
      <c r="E241" s="8">
        <v>30</v>
      </c>
      <c r="F241" s="8" t="s">
        <v>116</v>
      </c>
      <c r="G241" s="8" t="s">
        <v>116</v>
      </c>
      <c r="H241" s="8" t="s">
        <v>115</v>
      </c>
      <c r="I241" s="27">
        <v>45552</v>
      </c>
      <c r="J241" s="8" t="s">
        <v>117</v>
      </c>
      <c r="K241" s="8" t="s">
        <v>124</v>
      </c>
      <c r="L241" s="8" t="s">
        <v>288</v>
      </c>
      <c r="M241" s="8" t="s">
        <v>348</v>
      </c>
      <c r="N241" s="8" t="str">
        <f>IF(ISNUMBER(MATCH(C241, 'Реестр договоров'!$D$2:$D$900, 0)), "Продано", "В наличии")</f>
        <v>Продано</v>
      </c>
    </row>
    <row r="242" spans="1:14">
      <c r="A242" s="26">
        <v>45539.697549780089</v>
      </c>
      <c r="B242" s="26"/>
      <c r="C242" s="8" t="s">
        <v>353</v>
      </c>
      <c r="D242" s="8" t="s">
        <v>347</v>
      </c>
      <c r="E242" s="8">
        <v>50</v>
      </c>
      <c r="F242" s="8" t="s">
        <v>116</v>
      </c>
      <c r="G242" s="8" t="s">
        <v>116</v>
      </c>
      <c r="H242" s="8">
        <v>90</v>
      </c>
      <c r="I242" s="27">
        <v>45539</v>
      </c>
      <c r="J242" s="8" t="s">
        <v>117</v>
      </c>
      <c r="K242" s="8" t="s">
        <v>121</v>
      </c>
      <c r="L242" s="8" t="s">
        <v>288</v>
      </c>
      <c r="M242" s="8" t="s">
        <v>354</v>
      </c>
      <c r="N242" s="8" t="str">
        <f>IF(ISNUMBER(MATCH(C242, 'Реестр договоров'!$D$2:$D$900, 0)), "Продано", "В наличии")</f>
        <v>Продано</v>
      </c>
    </row>
    <row r="243" spans="1:14">
      <c r="A243" s="26">
        <v>45544.706488518517</v>
      </c>
      <c r="B243" s="26"/>
      <c r="C243" s="8" t="s">
        <v>355</v>
      </c>
      <c r="D243" s="8" t="s">
        <v>347</v>
      </c>
      <c r="E243" s="8">
        <v>50</v>
      </c>
      <c r="F243" s="8" t="s">
        <v>116</v>
      </c>
      <c r="G243" s="8" t="s">
        <v>116</v>
      </c>
      <c r="H243" s="8" t="s">
        <v>115</v>
      </c>
      <c r="I243" s="27">
        <v>45544</v>
      </c>
      <c r="J243" s="8" t="s">
        <v>117</v>
      </c>
      <c r="K243" s="8" t="s">
        <v>121</v>
      </c>
      <c r="L243" s="8" t="s">
        <v>288</v>
      </c>
      <c r="M243" s="8" t="s">
        <v>356</v>
      </c>
      <c r="N243" s="8" t="str">
        <f>IF(ISNUMBER(MATCH(C243, 'Реестр договоров'!$D$2:$D$900, 0)), "Продано", "В наличии")</f>
        <v>Продано</v>
      </c>
    </row>
    <row r="244" spans="1:14">
      <c r="A244" s="26">
        <v>45449.67082806713</v>
      </c>
      <c r="B244" s="26"/>
      <c r="C244" s="8" t="s">
        <v>357</v>
      </c>
      <c r="D244" s="8" t="s">
        <v>347</v>
      </c>
      <c r="E244" s="8">
        <v>30</v>
      </c>
      <c r="F244" s="8" t="s">
        <v>116</v>
      </c>
      <c r="G244" s="8" t="s">
        <v>116</v>
      </c>
      <c r="H244" s="8" t="s">
        <v>115</v>
      </c>
      <c r="I244" s="27">
        <v>44841</v>
      </c>
      <c r="J244" s="8" t="s">
        <v>117</v>
      </c>
      <c r="K244" s="8" t="s">
        <v>124</v>
      </c>
      <c r="L244" s="8" t="s">
        <v>288</v>
      </c>
      <c r="M244" s="8" t="s">
        <v>348</v>
      </c>
      <c r="N244" s="8" t="str">
        <f>IF(ISNUMBER(MATCH(C244, 'Реестр договоров'!$D$2:$D$900, 0)), "Продано", "В наличии")</f>
        <v>Продано</v>
      </c>
    </row>
    <row r="245" spans="1:14">
      <c r="A245" s="26">
        <v>45579.739553032407</v>
      </c>
      <c r="B245" s="26"/>
      <c r="C245" s="8" t="s">
        <v>358</v>
      </c>
      <c r="D245" s="8" t="s">
        <v>347</v>
      </c>
      <c r="E245" s="8">
        <v>50</v>
      </c>
      <c r="F245" s="8" t="s">
        <v>116</v>
      </c>
      <c r="G245" s="8" t="s">
        <v>116</v>
      </c>
      <c r="H245" s="8" t="s">
        <v>115</v>
      </c>
      <c r="I245" s="27">
        <v>45579</v>
      </c>
      <c r="J245" s="8" t="s">
        <v>117</v>
      </c>
      <c r="K245" s="8" t="s">
        <v>124</v>
      </c>
      <c r="L245" s="8" t="s">
        <v>119</v>
      </c>
      <c r="M245" s="16" t="str">
        <f ca="1">IFERROR(__xludf.DUMMYFUNCTION("JOIN("""",VLOOKUP(D245,'для артикула'!$A$2:$B$7,2,0),VLOOKUP(G245,'для артикула'!$A$13:$B$14,2,0),VLOOKUP(E245,'для артикула'!$A$9:$B$11,2,0),VLOOKUP(F245,'для артикула'!$A$17:$B$19,2,0),VLOOKUP(J245,'для артикула'!$A$22:$B$23,2,0),VLOOKUP(H245,'для артик"&amp;"ула'!$A$26:$B$30,2,0))"),"002-2515E50Q13-OK")</f>
        <v>002-2515E50Q13-OK</v>
      </c>
      <c r="N245" s="8" t="str">
        <f>IF(ISNUMBER(MATCH(C245, 'Реестр договоров'!$D$2:$D$900, 0)), "Продано", "В наличии")</f>
        <v>Продано</v>
      </c>
    </row>
    <row r="246" spans="1:14">
      <c r="A246" s="26">
        <v>45584.488266319444</v>
      </c>
      <c r="B246" s="26"/>
      <c r="C246" s="8" t="s">
        <v>359</v>
      </c>
      <c r="D246" s="8" t="s">
        <v>347</v>
      </c>
      <c r="E246" s="8">
        <v>30</v>
      </c>
      <c r="F246" s="8" t="s">
        <v>116</v>
      </c>
      <c r="G246" s="8" t="s">
        <v>116</v>
      </c>
      <c r="H246" s="8" t="s">
        <v>115</v>
      </c>
      <c r="I246" s="27">
        <v>45583</v>
      </c>
      <c r="J246" s="8" t="s">
        <v>117</v>
      </c>
      <c r="K246" s="8" t="s">
        <v>121</v>
      </c>
      <c r="L246" s="8" t="s">
        <v>119</v>
      </c>
      <c r="M246" s="16" t="str">
        <f ca="1">IFERROR(__xludf.DUMMYFUNCTION("JOIN("""",VLOOKUP(D246,'для артикула'!$A$2:$B$7,2,0),VLOOKUP(G246,'для артикула'!$A$13:$B$14,2,0),VLOOKUP(E246,'для артикула'!$A$9:$B$11,2,0),VLOOKUP(F246,'для артикула'!$A$17:$B$19,2,0),VLOOKUP(J246,'для артикула'!$A$22:$B$23,2,0),VLOOKUP(H246,'для артик"&amp;"ула'!$A$26:$B$30,2,0))"),"002-2515E30Q13-OK")</f>
        <v>002-2515E30Q13-OK</v>
      </c>
      <c r="N246" s="8" t="str">
        <f>IF(ISNUMBER(MATCH(C246, 'Реестр договоров'!$D$2:$D$900, 0)), "Продано", "В наличии")</f>
        <v>Продано</v>
      </c>
    </row>
    <row r="247" spans="1:14">
      <c r="A247" s="26">
        <v>45584.480372835649</v>
      </c>
      <c r="B247" s="26"/>
      <c r="C247" s="8" t="s">
        <v>360</v>
      </c>
      <c r="D247" s="8" t="s">
        <v>347</v>
      </c>
      <c r="E247" s="8">
        <v>50</v>
      </c>
      <c r="F247" s="8" t="s">
        <v>116</v>
      </c>
      <c r="G247" s="8" t="s">
        <v>116</v>
      </c>
      <c r="H247" s="8" t="s">
        <v>115</v>
      </c>
      <c r="I247" s="27">
        <v>45583</v>
      </c>
      <c r="J247" s="8" t="s">
        <v>117</v>
      </c>
      <c r="K247" s="8" t="s">
        <v>121</v>
      </c>
      <c r="L247" s="8" t="s">
        <v>119</v>
      </c>
      <c r="M247" s="16" t="str">
        <f ca="1">IFERROR(__xludf.DUMMYFUNCTION("JOIN("""",VLOOKUP(D247,'для артикула'!$A$2:$B$7,2,0),VLOOKUP(G247,'для артикула'!$A$13:$B$14,2,0),VLOOKUP(E247,'для артикула'!$A$9:$B$11,2,0),VLOOKUP(F247,'для артикула'!$A$17:$B$19,2,0),VLOOKUP(J247,'для артикула'!$A$22:$B$23,2,0),VLOOKUP(H247,'для артик"&amp;"ула'!$A$26:$B$30,2,0))"),"002-2515E50Q13-OK")</f>
        <v>002-2515E50Q13-OK</v>
      </c>
      <c r="N247" s="8" t="str">
        <f>IF(ISNUMBER(MATCH(C247, 'Реестр договоров'!$D$2:$D$900, 0)), "Продано", "В наличии")</f>
        <v>Продано</v>
      </c>
    </row>
    <row r="248" spans="1:14">
      <c r="A248" s="26">
        <v>45528.461990706019</v>
      </c>
      <c r="B248" s="26"/>
      <c r="C248" s="8" t="s">
        <v>361</v>
      </c>
      <c r="D248" s="8" t="s">
        <v>347</v>
      </c>
      <c r="E248" s="8" t="s">
        <v>115</v>
      </c>
      <c r="F248" s="8" t="s">
        <v>116</v>
      </c>
      <c r="G248" s="8" t="s">
        <v>116</v>
      </c>
      <c r="H248" s="8" t="s">
        <v>115</v>
      </c>
      <c r="I248" s="27">
        <v>45528</v>
      </c>
      <c r="J248" s="8" t="s">
        <v>117</v>
      </c>
      <c r="K248" s="8" t="s">
        <v>121</v>
      </c>
      <c r="L248" s="8" t="s">
        <v>119</v>
      </c>
      <c r="M248" s="16" t="str">
        <f ca="1">IFERROR(__xludf.DUMMYFUNCTION("JOIN("""",VLOOKUP(D248,'для артикула'!$A$2:$B$7,2,0),VLOOKUP(G248,'для артикула'!$A$13:$B$14,2,0),VLOOKUP(E248,'для артикула'!$A$9:$B$11,2,0),VLOOKUP(F248,'для артикула'!$A$17:$B$19,2,0),VLOOKUP(J248,'для артикула'!$A$22:$B$23,2,0),VLOOKUP(H248,'для артик"&amp;"ула'!$A$26:$B$30,2,0))"),"002-2515Q13-OK")</f>
        <v>002-2515Q13-OK</v>
      </c>
      <c r="N248" s="8" t="str">
        <f>IF(ISNUMBER(MATCH(C248, 'Реестр договоров'!$D$2:$D$900, 0)), "Продано", "В наличии")</f>
        <v>Продано</v>
      </c>
    </row>
    <row r="249" spans="1:14">
      <c r="A249" s="26">
        <v>45541.48747709491</v>
      </c>
      <c r="B249" s="26"/>
      <c r="C249" s="8" t="s">
        <v>362</v>
      </c>
      <c r="D249" s="8" t="s">
        <v>347</v>
      </c>
      <c r="E249" s="8">
        <v>30</v>
      </c>
      <c r="F249" s="8" t="s">
        <v>116</v>
      </c>
      <c r="G249" s="8" t="s">
        <v>116</v>
      </c>
      <c r="H249" s="8" t="s">
        <v>115</v>
      </c>
      <c r="I249" s="27">
        <v>45541</v>
      </c>
      <c r="J249" s="8" t="s">
        <v>117</v>
      </c>
      <c r="K249" s="8" t="s">
        <v>124</v>
      </c>
      <c r="L249" s="8" t="s">
        <v>119</v>
      </c>
      <c r="M249" s="16" t="str">
        <f ca="1">IFERROR(__xludf.DUMMYFUNCTION("JOIN("""",VLOOKUP(D249,'для артикула'!$A$2:$B$7,2,0),VLOOKUP(G249,'для артикула'!$A$13:$B$14,2,0),VLOOKUP(E249,'для артикула'!$A$9:$B$11,2,0),VLOOKUP(F249,'для артикула'!$A$17:$B$19,2,0),VLOOKUP(J249,'для артикула'!$A$22:$B$23,2,0),VLOOKUP(H249,'для артик"&amp;"ула'!$A$26:$B$30,2,0))"),"002-2515E30Q13-OK")</f>
        <v>002-2515E30Q13-OK</v>
      </c>
      <c r="N249" s="8" t="str">
        <f>IF(ISNUMBER(MATCH(C249, 'Реестр договоров'!$D$2:$D$900, 0)), "Продано", "В наличии")</f>
        <v>Продано</v>
      </c>
    </row>
    <row r="250" spans="1:14">
      <c r="A250" s="26">
        <v>45453.592471921293</v>
      </c>
      <c r="B250" s="26"/>
      <c r="C250" s="8" t="s">
        <v>363</v>
      </c>
      <c r="D250" s="8" t="s">
        <v>347</v>
      </c>
      <c r="E250" s="8">
        <v>50</v>
      </c>
      <c r="F250" s="8" t="s">
        <v>116</v>
      </c>
      <c r="G250" s="8" t="s">
        <v>116</v>
      </c>
      <c r="H250" s="8">
        <v>60</v>
      </c>
      <c r="I250" s="27">
        <v>45452</v>
      </c>
      <c r="J250" s="8" t="s">
        <v>117</v>
      </c>
      <c r="K250" s="8" t="s">
        <v>118</v>
      </c>
      <c r="L250" s="8" t="s">
        <v>119</v>
      </c>
      <c r="M250" s="16" t="str">
        <f ca="1">IFERROR(__xludf.DUMMYFUNCTION("JOIN("""",VLOOKUP(D250,'для артикула'!$A$2:$B$7,2,0),VLOOKUP(G250,'для артикула'!$A$13:$B$14,2,0),VLOOKUP(E250,'для артикула'!$A$9:$B$11,2,0),VLOOKUP(F250,'для артикула'!$A$17:$B$19,2,0),VLOOKUP(J250,'для артикула'!$A$22:$B$23,2,0),VLOOKUP(H250,'для артик"&amp;"ула'!$A$26:$B$30,2,0))"),"002-2515E50Q13-OK60")</f>
        <v>002-2515E50Q13-OK60</v>
      </c>
      <c r="N250" s="8" t="str">
        <f>IF(ISNUMBER(MATCH(C250, 'Реестр договоров'!$D$2:$D$900, 0)), "Продано", "В наличии")</f>
        <v>Продано</v>
      </c>
    </row>
    <row r="251" spans="1:14">
      <c r="A251" s="26">
        <v>45498.575739178239</v>
      </c>
      <c r="B251" s="26"/>
      <c r="C251" s="8" t="s">
        <v>364</v>
      </c>
      <c r="D251" s="8" t="s">
        <v>347</v>
      </c>
      <c r="E251" s="8">
        <v>30</v>
      </c>
      <c r="F251" s="8" t="s">
        <v>116</v>
      </c>
      <c r="G251" s="8" t="s">
        <v>116</v>
      </c>
      <c r="H251" s="8" t="s">
        <v>115</v>
      </c>
      <c r="I251" s="27">
        <v>45291</v>
      </c>
      <c r="J251" s="8" t="s">
        <v>117</v>
      </c>
      <c r="K251" s="8" t="s">
        <v>124</v>
      </c>
      <c r="L251" s="8" t="s">
        <v>119</v>
      </c>
      <c r="M251" s="16" t="str">
        <f ca="1">IFERROR(__xludf.DUMMYFUNCTION("JOIN("""",VLOOKUP(D251,'для артикула'!$A$2:$B$7,2,0),VLOOKUP(G251,'для артикула'!$A$13:$B$14,2,0),VLOOKUP(E251,'для артикула'!$A$9:$B$11,2,0),VLOOKUP(F251,'для артикула'!$A$17:$B$19,2,0),VLOOKUP(J251,'для артикула'!$A$22:$B$23,2,0),VLOOKUP(H251,'для артик"&amp;"ула'!$A$26:$B$30,2,0))"),"002-2515E30Q13-OK")</f>
        <v>002-2515E30Q13-OK</v>
      </c>
      <c r="N251" s="8" t="str">
        <f>IF(ISNUMBER(MATCH(C251, 'Реестр договоров'!$D$2:$D$900, 0)), "Продано", "В наличии")</f>
        <v>Продано</v>
      </c>
    </row>
    <row r="252" spans="1:14">
      <c r="A252" s="26">
        <v>45576.591598437502</v>
      </c>
      <c r="B252" s="26"/>
      <c r="C252" s="8" t="s">
        <v>365</v>
      </c>
      <c r="D252" s="8" t="s">
        <v>366</v>
      </c>
      <c r="E252" s="8" t="s">
        <v>115</v>
      </c>
      <c r="F252" s="8" t="s">
        <v>116</v>
      </c>
      <c r="G252" s="8" t="s">
        <v>116</v>
      </c>
      <c r="H252" s="8" t="s">
        <v>115</v>
      </c>
      <c r="I252" s="27">
        <v>45576</v>
      </c>
      <c r="J252" s="8" t="s">
        <v>117</v>
      </c>
      <c r="K252" s="8" t="s">
        <v>118</v>
      </c>
      <c r="L252" s="8" t="s">
        <v>288</v>
      </c>
      <c r="M252" s="8" t="s">
        <v>367</v>
      </c>
      <c r="N252" s="8" t="str">
        <f>IF(ISNUMBER(MATCH(C252, 'Реестр договоров'!$D$2:$D$900, 0)), "Продано", "В наличии")</f>
        <v>Продано</v>
      </c>
    </row>
    <row r="253" spans="1:14">
      <c r="A253" s="26">
        <v>45579.736031828703</v>
      </c>
      <c r="B253" s="26"/>
      <c r="C253" s="8" t="s">
        <v>368</v>
      </c>
      <c r="D253" s="8" t="s">
        <v>366</v>
      </c>
      <c r="E253" s="8">
        <v>50</v>
      </c>
      <c r="F253" s="8" t="s">
        <v>116</v>
      </c>
      <c r="G253" s="8" t="s">
        <v>116</v>
      </c>
      <c r="H253" s="8" t="s">
        <v>115</v>
      </c>
      <c r="I253" s="27">
        <v>45579</v>
      </c>
      <c r="J253" s="8" t="s">
        <v>117</v>
      </c>
      <c r="K253" s="8" t="s">
        <v>124</v>
      </c>
      <c r="L253" s="8" t="s">
        <v>288</v>
      </c>
      <c r="M253" s="8" t="s">
        <v>367</v>
      </c>
      <c r="N253" s="8" t="str">
        <f>IF(ISNUMBER(MATCH(C253, 'Реестр договоров'!$D$2:$D$900, 0)), "Продано", "В наличии")</f>
        <v>Продано</v>
      </c>
    </row>
    <row r="254" spans="1:14">
      <c r="A254" s="26">
        <v>45595.628215173609</v>
      </c>
      <c r="B254" s="26"/>
      <c r="C254" s="8" t="s">
        <v>369</v>
      </c>
      <c r="D254" s="8" t="s">
        <v>366</v>
      </c>
      <c r="E254" s="8">
        <v>30</v>
      </c>
      <c r="F254" s="8" t="s">
        <v>116</v>
      </c>
      <c r="G254" s="8" t="s">
        <v>116</v>
      </c>
      <c r="H254" s="8" t="s">
        <v>115</v>
      </c>
      <c r="I254" s="27">
        <v>45595</v>
      </c>
      <c r="J254" s="8" t="s">
        <v>117</v>
      </c>
      <c r="K254" s="8" t="s">
        <v>121</v>
      </c>
      <c r="L254" s="8" t="s">
        <v>288</v>
      </c>
      <c r="M254" s="16" t="str">
        <f ca="1">IFERROR(__xludf.DUMMYFUNCTION("JOIN("""",VLOOKUP(D254,'для артикула'!$A$2:$B$7,2,0),VLOOKUP(G254,'для артикула'!$A$13:$B$14,2,0),VLOOKUP(E254,'для артикула'!$A$9:$B$11,2,0),VLOOKUP(F254,'для артикула'!$A$17:$B$19,2,0),VLOOKUP(J254,'для артикула'!$A$22:$B$23,2,0),VLOOKUP(H254,'для артик"&amp;"ула'!$A$26:$B$30,2,0))"),"002-3015E30Q13-OK")</f>
        <v>002-3015E30Q13-OK</v>
      </c>
      <c r="N254" s="8" t="str">
        <f>IF(ISNUMBER(MATCH(C254, 'Реестр договоров'!$D$2:$D$900, 0)), "Продано", "В наличии")</f>
        <v>Продано</v>
      </c>
    </row>
    <row r="255" spans="1:14">
      <c r="A255" s="26">
        <v>45551.561621805551</v>
      </c>
      <c r="B255" s="26"/>
      <c r="C255" s="8" t="s">
        <v>8</v>
      </c>
      <c r="D255" s="8" t="s">
        <v>366</v>
      </c>
      <c r="E255" s="8">
        <v>30</v>
      </c>
      <c r="F255" s="8" t="s">
        <v>116</v>
      </c>
      <c r="G255" s="8" t="s">
        <v>116</v>
      </c>
      <c r="H255" s="8">
        <v>150</v>
      </c>
      <c r="I255" s="27">
        <v>45551</v>
      </c>
      <c r="J255" s="8" t="s">
        <v>117</v>
      </c>
      <c r="K255" s="8" t="s">
        <v>118</v>
      </c>
      <c r="L255" s="8" t="s">
        <v>288</v>
      </c>
      <c r="M255" s="8" t="s">
        <v>370</v>
      </c>
      <c r="N255" s="8" t="str">
        <f>IF(ISNUMBER(MATCH(C255, 'Реестр договоров'!$D$2:$D$900, 0)), "Продано", "В наличии")</f>
        <v>Продано</v>
      </c>
    </row>
    <row r="256" spans="1:14">
      <c r="A256" s="26">
        <v>45449.671971770833</v>
      </c>
      <c r="B256" s="26"/>
      <c r="C256" s="8" t="s">
        <v>371</v>
      </c>
      <c r="D256" s="8" t="s">
        <v>366</v>
      </c>
      <c r="E256" s="8">
        <v>30</v>
      </c>
      <c r="F256" s="8" t="s">
        <v>116</v>
      </c>
      <c r="G256" s="8" t="s">
        <v>116</v>
      </c>
      <c r="H256" s="8">
        <v>90</v>
      </c>
      <c r="I256" s="27">
        <v>44988</v>
      </c>
      <c r="J256" s="8" t="s">
        <v>117</v>
      </c>
      <c r="K256" s="8" t="s">
        <v>124</v>
      </c>
      <c r="L256" s="8" t="s">
        <v>288</v>
      </c>
      <c r="M256" s="8" t="s">
        <v>372</v>
      </c>
      <c r="N256" s="8" t="str">
        <f>IF(ISNUMBER(MATCH(C256, 'Реестр договоров'!$D$2:$D$900, 0)), "Продано", "В наличии")</f>
        <v>Продано</v>
      </c>
    </row>
    <row r="257" spans="1:14">
      <c r="A257" s="26">
        <v>45579.735249201389</v>
      </c>
      <c r="B257" s="26"/>
      <c r="C257" s="8" t="s">
        <v>373</v>
      </c>
      <c r="D257" s="8" t="s">
        <v>366</v>
      </c>
      <c r="E257" s="8">
        <v>30</v>
      </c>
      <c r="F257" s="8" t="s">
        <v>116</v>
      </c>
      <c r="G257" s="8" t="s">
        <v>116</v>
      </c>
      <c r="H257" s="8" t="s">
        <v>115</v>
      </c>
      <c r="I257" s="27">
        <v>45579</v>
      </c>
      <c r="J257" s="8" t="s">
        <v>117</v>
      </c>
      <c r="K257" s="8" t="s">
        <v>124</v>
      </c>
      <c r="L257" s="8" t="s">
        <v>119</v>
      </c>
      <c r="M257" s="16" t="str">
        <f ca="1">IFERROR(__xludf.DUMMYFUNCTION("JOIN("""",VLOOKUP(D257,'для артикула'!$A$2:$B$7,2,0),VLOOKUP(G257,'для артикула'!$A$13:$B$14,2,0),VLOOKUP(E257,'для артикула'!$A$9:$B$11,2,0),VLOOKUP(F257,'для артикула'!$A$17:$B$19,2,0),VLOOKUP(J257,'для артикула'!$A$22:$B$23,2,0),VLOOKUP(H257,'для артик"&amp;"ула'!$A$26:$B$30,2,0))"),"002-3015E30Q13-OK")</f>
        <v>002-3015E30Q13-OK</v>
      </c>
      <c r="N257" s="8" t="str">
        <f>IF(ISNUMBER(MATCH(C257, 'Реестр договоров'!$D$2:$D$900, 0)), "Продано", "В наличии")</f>
        <v>В наличии</v>
      </c>
    </row>
    <row r="258" spans="1:14">
      <c r="A258" s="26">
        <v>45622.65752418981</v>
      </c>
      <c r="B258" s="26"/>
      <c r="C258" s="8" t="s">
        <v>374</v>
      </c>
      <c r="D258" s="8" t="s">
        <v>375</v>
      </c>
      <c r="E258" s="8">
        <v>30</v>
      </c>
      <c r="F258" s="8" t="s">
        <v>144</v>
      </c>
      <c r="G258" s="8" t="s">
        <v>144</v>
      </c>
      <c r="H258" s="8">
        <v>150</v>
      </c>
      <c r="I258" s="27">
        <v>45622</v>
      </c>
      <c r="J258" s="8" t="s">
        <v>117</v>
      </c>
      <c r="K258" s="8" t="s">
        <v>121</v>
      </c>
      <c r="L258" s="8" t="s">
        <v>288</v>
      </c>
      <c r="M258" s="8" t="s">
        <v>376</v>
      </c>
      <c r="N258" s="8" t="str">
        <f>IF(ISNUMBER(MATCH(C258, 'Реестр договоров'!$D$2:$D$900, 0)), "Продано", "В наличии")</f>
        <v>Продано</v>
      </c>
    </row>
    <row r="259" spans="1:14">
      <c r="A259" s="26">
        <v>45618.487276956017</v>
      </c>
      <c r="B259" s="26"/>
      <c r="C259" s="8" t="s">
        <v>30</v>
      </c>
      <c r="D259" s="8" t="s">
        <v>375</v>
      </c>
      <c r="E259" s="8">
        <v>30</v>
      </c>
      <c r="F259" s="8" t="s">
        <v>116</v>
      </c>
      <c r="G259" s="8" t="s">
        <v>116</v>
      </c>
      <c r="H259" s="8">
        <v>150</v>
      </c>
      <c r="I259" s="27">
        <v>45618</v>
      </c>
      <c r="J259" s="8" t="s">
        <v>115</v>
      </c>
      <c r="K259" s="8" t="s">
        <v>118</v>
      </c>
      <c r="L259" s="8" t="s">
        <v>288</v>
      </c>
      <c r="M259" s="8" t="s">
        <v>377</v>
      </c>
      <c r="N259" s="8" t="str">
        <f>IF(ISNUMBER(MATCH(C259, 'Реестр договоров'!$D$2:$D$900, 0)), "Продано", "В наличии")</f>
        <v>Продано</v>
      </c>
    </row>
    <row r="260" spans="1:14">
      <c r="A260" s="26">
        <v>45469.485376354161</v>
      </c>
      <c r="B260" s="26"/>
      <c r="C260" s="8" t="s">
        <v>378</v>
      </c>
      <c r="D260" s="8" t="s">
        <v>375</v>
      </c>
      <c r="E260" s="8">
        <v>50</v>
      </c>
      <c r="F260" s="8" t="s">
        <v>116</v>
      </c>
      <c r="G260" s="8" t="s">
        <v>116</v>
      </c>
      <c r="H260" s="8">
        <v>150</v>
      </c>
      <c r="I260" s="27">
        <v>45469</v>
      </c>
      <c r="J260" s="8" t="s">
        <v>117</v>
      </c>
      <c r="K260" s="8" t="s">
        <v>118</v>
      </c>
      <c r="L260" s="8" t="s">
        <v>288</v>
      </c>
      <c r="M260" s="8" t="s">
        <v>379</v>
      </c>
      <c r="N260" s="8" t="str">
        <f>IF(ISNUMBER(MATCH(C260, 'Реестр договоров'!$D$2:$D$900, 0)), "Продано", "В наличии")</f>
        <v>Продано</v>
      </c>
    </row>
    <row r="261" spans="1:14">
      <c r="A261" s="26">
        <v>45618.672377557872</v>
      </c>
      <c r="B261" s="26"/>
      <c r="C261" s="8" t="s">
        <v>31</v>
      </c>
      <c r="D261" s="8" t="s">
        <v>375</v>
      </c>
      <c r="E261" s="8">
        <v>30</v>
      </c>
      <c r="F261" s="8" t="s">
        <v>116</v>
      </c>
      <c r="G261" s="8" t="s">
        <v>116</v>
      </c>
      <c r="H261" s="8">
        <v>150</v>
      </c>
      <c r="I261" s="27">
        <v>45618</v>
      </c>
      <c r="J261" s="8" t="s">
        <v>117</v>
      </c>
      <c r="K261" s="8" t="s">
        <v>124</v>
      </c>
      <c r="L261" s="8" t="s">
        <v>119</v>
      </c>
      <c r="M261" s="8" t="s">
        <v>380</v>
      </c>
      <c r="N261" s="8" t="str">
        <f>IF(ISNUMBER(MATCH(C261, 'Реестр договоров'!$D$2:$D$900, 0)), "Продано", "В наличии")</f>
        <v>Продано</v>
      </c>
    </row>
    <row r="262" spans="1:14">
      <c r="A262" s="26">
        <v>45625.659351469905</v>
      </c>
      <c r="B262" s="26"/>
      <c r="C262" s="8" t="s">
        <v>381</v>
      </c>
      <c r="D262" s="8" t="s">
        <v>375</v>
      </c>
      <c r="E262" s="8">
        <v>30</v>
      </c>
      <c r="F262" s="8" t="s">
        <v>116</v>
      </c>
      <c r="G262" s="8" t="s">
        <v>116</v>
      </c>
      <c r="H262" s="8" t="s">
        <v>115</v>
      </c>
      <c r="I262" s="27">
        <v>45625</v>
      </c>
      <c r="J262" s="8" t="s">
        <v>117</v>
      </c>
      <c r="K262" s="8" t="s">
        <v>121</v>
      </c>
      <c r="L262" s="8" t="s">
        <v>119</v>
      </c>
      <c r="M262" s="16" t="str">
        <f ca="1">IFERROR(__xludf.DUMMYFUNCTION("JOIN("""",VLOOKUP(D262,'для артикула'!$A$2:$B$7,2,0),VLOOKUP(G262,'для артикула'!$A$13:$B$14,2,0),VLOOKUP(E262,'для артикула'!$A$9:$B$11,2,0),VLOOKUP(F262,'для артикула'!$A$17:$B$19,2,0),VLOOKUP(J262,'для артикула'!$A$22:$B$23,2,0),VLOOKUP(H262,'для артик"&amp;"ула'!$A$26:$B$30,2,0))"),"002-3515E30Q13-OK")</f>
        <v>002-3515E30Q13-OK</v>
      </c>
      <c r="N262" s="8" t="str">
        <f>IF(ISNUMBER(MATCH(C262, 'Реестр договоров'!$D$2:$D$900, 0)), "Продано", "В наличии")</f>
        <v>Продано</v>
      </c>
    </row>
    <row r="263" spans="1:14">
      <c r="A263" s="26">
        <v>45470.520028645835</v>
      </c>
      <c r="B263" s="26"/>
      <c r="C263" s="8" t="s">
        <v>382</v>
      </c>
      <c r="D263" s="8" t="s">
        <v>375</v>
      </c>
      <c r="E263" s="8">
        <v>30</v>
      </c>
      <c r="F263" s="8" t="s">
        <v>116</v>
      </c>
      <c r="G263" s="8" t="s">
        <v>116</v>
      </c>
      <c r="H263" s="8" t="s">
        <v>115</v>
      </c>
      <c r="I263" s="27">
        <v>45470</v>
      </c>
      <c r="J263" s="8" t="s">
        <v>117</v>
      </c>
      <c r="K263" s="8" t="s">
        <v>121</v>
      </c>
      <c r="L263" s="8" t="s">
        <v>119</v>
      </c>
      <c r="M263" s="16" t="str">
        <f ca="1">IFERROR(__xludf.DUMMYFUNCTION("JOIN("""",VLOOKUP(D263,'для артикула'!$A$2:$B$7,2,0),VLOOKUP(G263,'для артикула'!$A$13:$B$14,2,0),VLOOKUP(E263,'для артикула'!$A$9:$B$11,2,0),VLOOKUP(F263,'для артикула'!$A$17:$B$19,2,0),VLOOKUP(J263,'для артикула'!$A$22:$B$23,2,0),VLOOKUP(H263,'для артик"&amp;"ула'!$A$26:$B$30,2,0))"),"002-3515E30Q13-OK")</f>
        <v>002-3515E30Q13-OK</v>
      </c>
      <c r="N263" s="8" t="str">
        <f>IF(ISNUMBER(MATCH(C263, 'Реестр договоров'!$D$2:$D$900, 0)), "Продано", "В наличии")</f>
        <v>Продано</v>
      </c>
    </row>
    <row r="264" spans="1:14">
      <c r="A264" s="26">
        <v>45560.675640891204</v>
      </c>
      <c r="B264" s="26"/>
      <c r="C264" s="8" t="s">
        <v>9</v>
      </c>
      <c r="D264" s="8" t="s">
        <v>383</v>
      </c>
      <c r="E264" s="8" t="s">
        <v>115</v>
      </c>
      <c r="F264" s="8" t="s">
        <v>116</v>
      </c>
      <c r="G264" s="8" t="s">
        <v>116</v>
      </c>
      <c r="H264" s="8" t="s">
        <v>115</v>
      </c>
      <c r="I264" s="27">
        <v>45560</v>
      </c>
      <c r="J264" s="8" t="s">
        <v>117</v>
      </c>
      <c r="K264" s="8" t="s">
        <v>118</v>
      </c>
      <c r="L264" s="8" t="s">
        <v>288</v>
      </c>
      <c r="M264" s="16" t="str">
        <f ca="1">IFERROR(__xludf.DUMMYFUNCTION("JOIN("""",VLOOKUP(D264,'для артикула'!$A$2:$B$7,2,0),VLOOKUP(G264,'для артикула'!$A$13:$B$14,2,0),VLOOKUP(E264,'для артикула'!$A$9:$B$11,2,0),VLOOKUP(F264,'для артикула'!$A$17:$B$19,2,0),VLOOKUP(J264,'для артикула'!$A$22:$B$23,2,0),VLOOKUP(H264,'для артик"&amp;"ула'!$A$26:$B$30,2,0))"),"002-4015Q13-OK")</f>
        <v>002-4015Q13-OK</v>
      </c>
      <c r="N264" s="8" t="str">
        <f>IF(ISNUMBER(MATCH(C264, 'Реестр договоров'!$D$2:$D$900, 0)), "Продано", "В наличии")</f>
        <v>Продано</v>
      </c>
    </row>
    <row r="265" spans="1:14">
      <c r="A265" s="26">
        <v>45625.767357060184</v>
      </c>
      <c r="B265" s="26"/>
      <c r="C265" s="8" t="s">
        <v>384</v>
      </c>
      <c r="D265" s="8" t="s">
        <v>383</v>
      </c>
      <c r="E265" s="8">
        <v>30</v>
      </c>
      <c r="F265" s="8" t="s">
        <v>116</v>
      </c>
      <c r="G265" s="8" t="s">
        <v>116</v>
      </c>
      <c r="H265" s="8" t="s">
        <v>115</v>
      </c>
      <c r="I265" s="27">
        <v>45625</v>
      </c>
      <c r="J265" s="8" t="s">
        <v>117</v>
      </c>
      <c r="K265" s="8" t="s">
        <v>124</v>
      </c>
      <c r="L265" s="8" t="s">
        <v>119</v>
      </c>
      <c r="M265" s="16" t="str">
        <f ca="1">IFERROR(__xludf.DUMMYFUNCTION("JOIN("""",VLOOKUP(D265,'для артикула'!$A$2:$B$7,2,0),VLOOKUP(G265,'для артикула'!$A$13:$B$14,2,0),VLOOKUP(E265,'для артикула'!$A$9:$B$11,2,0),VLOOKUP(F265,'для артикула'!$A$17:$B$19,2,0),VLOOKUP(J265,'для артикула'!$A$22:$B$23,2,0),VLOOKUP(H265,'для артик"&amp;"ула'!$A$26:$B$30,2,0))"),"002-4015E30Q13-OK")</f>
        <v>002-4015E30Q13-OK</v>
      </c>
      <c r="N265" s="8" t="str">
        <f>IF(ISNUMBER(MATCH(C265, 'Реестр договоров'!$D$2:$D$900, 0)), "Продано", "В наличии")</f>
        <v>Продано</v>
      </c>
    </row>
    <row r="266" spans="1:14">
      <c r="A266" s="26">
        <v>45663.538485428246</v>
      </c>
      <c r="B266" s="26"/>
      <c r="C266" s="8" t="s">
        <v>385</v>
      </c>
      <c r="D266" s="8" t="s">
        <v>287</v>
      </c>
      <c r="E266" s="8">
        <v>30</v>
      </c>
      <c r="F266" s="8" t="s">
        <v>116</v>
      </c>
      <c r="G266" s="8" t="s">
        <v>116</v>
      </c>
      <c r="H266" s="8" t="s">
        <v>115</v>
      </c>
      <c r="I266" s="27">
        <v>45650</v>
      </c>
      <c r="J266" s="8" t="s">
        <v>117</v>
      </c>
      <c r="K266" s="8" t="s">
        <v>121</v>
      </c>
      <c r="L266" s="8" t="s">
        <v>119</v>
      </c>
      <c r="M266" s="16" t="str">
        <f ca="1">IFERROR(__xludf.DUMMYFUNCTION("JOIN("""",VLOOKUP(D266,'для артикула'!$A$2:$B$7,2,0),VLOOKUP(G266,'для артикула'!$A$13:$B$14,2,0),VLOOKUP(E266,'для артикула'!$A$9:$B$11,2,0),VLOOKUP(F266,'для артикула'!$A$17:$B$19,2,0),VLOOKUP(J266,'для артикула'!$A$22:$B$23,2,0),VLOOKUP(H266,'для артик"&amp;"ула'!$A$26:$B$30,2,0))"),"002-2513E30Q13-OK")</f>
        <v>002-2513E30Q13-OK</v>
      </c>
      <c r="N266" s="8" t="str">
        <f>IF(ISNUMBER(MATCH(C266, 'Реестр договоров'!$D$2:$D$900, 0)), "Продано", "В наличии")</f>
        <v>Продано</v>
      </c>
    </row>
    <row r="267" spans="1:14">
      <c r="A267" s="26">
        <v>45668.524079374998</v>
      </c>
      <c r="B267" s="26"/>
      <c r="C267" s="8" t="s">
        <v>386</v>
      </c>
      <c r="D267" s="8" t="s">
        <v>114</v>
      </c>
      <c r="E267" s="8">
        <v>30</v>
      </c>
      <c r="F267" s="8" t="s">
        <v>116</v>
      </c>
      <c r="G267" s="8" t="s">
        <v>116</v>
      </c>
      <c r="H267" s="8" t="s">
        <v>115</v>
      </c>
      <c r="I267" s="27">
        <v>45657</v>
      </c>
      <c r="J267" s="8" t="s">
        <v>117</v>
      </c>
      <c r="K267" s="8" t="s">
        <v>121</v>
      </c>
      <c r="L267" s="8" t="s">
        <v>119</v>
      </c>
      <c r="M267" s="16" t="str">
        <f ca="1">IFERROR(__xludf.DUMMYFUNCTION("JOIN("""",VLOOKUP(D267,'для артикула'!$A$2:$B$7,2,0),VLOOKUP(G267,'для артикула'!$A$13:$B$14,2,0),VLOOKUP(E267,'для артикула'!$A$9:$B$11,2,0),VLOOKUP(F267,'для артикула'!$A$17:$B$19,2,0),VLOOKUP(J267,'для артикула'!$A$22:$B$23,2,0),VLOOKUP(H267,'для артик"&amp;"ула'!$A$26:$B$30,2,0))"),"002-2013E30Q13-OK")</f>
        <v>002-2013E30Q13-OK</v>
      </c>
      <c r="N267" s="8" t="str">
        <f>IF(ISNUMBER(MATCH(C267, 'Реестр договоров'!$D$2:$D$900, 0)), "Продано", "В наличии")</f>
        <v>Продано</v>
      </c>
    </row>
    <row r="268" spans="1:14">
      <c r="A268" s="26">
        <v>45673.494102546298</v>
      </c>
      <c r="B268" s="26"/>
      <c r="C268" s="8" t="s">
        <v>387</v>
      </c>
      <c r="D268" s="8" t="s">
        <v>114</v>
      </c>
      <c r="E268" s="8">
        <v>50</v>
      </c>
      <c r="F268" s="8" t="s">
        <v>116</v>
      </c>
      <c r="G268" s="8" t="s">
        <v>116</v>
      </c>
      <c r="H268" s="8">
        <v>30</v>
      </c>
      <c r="I268" s="27">
        <v>45656</v>
      </c>
      <c r="J268" s="8" t="s">
        <v>117</v>
      </c>
      <c r="K268" s="8" t="s">
        <v>118</v>
      </c>
      <c r="L268" s="8" t="s">
        <v>119</v>
      </c>
      <c r="M268" s="16" t="str">
        <f ca="1">IFERROR(__xludf.DUMMYFUNCTION("JOIN("""",VLOOKUP(D268,'для артикула'!$A$2:$B$7,2,0),VLOOKUP(G268,'для артикула'!$A$13:$B$14,2,0),VLOOKUP(E268,'для артикула'!$A$9:$B$11,2,0),VLOOKUP(F268,'для артикула'!$A$17:$B$19,2,0),VLOOKUP(J268,'для артикула'!$A$22:$B$23,2,0),VLOOKUP(H268,'для артик"&amp;"ула'!$A$26:$B$30,2,0))"),"002-2013E50Q13-OK30")</f>
        <v>002-2013E50Q13-OK30</v>
      </c>
      <c r="N268" s="8" t="str">
        <f>IF(ISNUMBER(MATCH(C268, 'Реестр договоров'!$D$2:$D$900, 0)), "Продано", "В наличии")</f>
        <v>Продано</v>
      </c>
    </row>
    <row r="269" spans="1:14">
      <c r="A269" s="26">
        <v>45675.490472349542</v>
      </c>
      <c r="B269" s="26"/>
      <c r="C269" s="8" t="s">
        <v>388</v>
      </c>
      <c r="D269" s="8" t="s">
        <v>114</v>
      </c>
      <c r="E269" s="8">
        <v>50</v>
      </c>
      <c r="F269" s="8" t="s">
        <v>116</v>
      </c>
      <c r="G269" s="8" t="s">
        <v>116</v>
      </c>
      <c r="H269" s="8" t="s">
        <v>115</v>
      </c>
      <c r="I269" s="27">
        <v>45656</v>
      </c>
      <c r="J269" s="8" t="s">
        <v>117</v>
      </c>
      <c r="K269" s="8" t="s">
        <v>124</v>
      </c>
      <c r="L269" s="8" t="s">
        <v>119</v>
      </c>
      <c r="M269" s="16" t="str">
        <f ca="1">IFERROR(__xludf.DUMMYFUNCTION("JOIN("""",VLOOKUP(D269,'для артикула'!$A$2:$B$7,2,0),VLOOKUP(G269,'для артикула'!$A$13:$B$14,2,0),VLOOKUP(E269,'для артикула'!$A$9:$B$11,2,0),VLOOKUP(F269,'для артикула'!$A$17:$B$19,2,0),VLOOKUP(J269,'для артикула'!$A$22:$B$23,2,0),VLOOKUP(H269,'для артик"&amp;"ула'!$A$26:$B$30,2,0))"),"002-2013E50Q13-OK")</f>
        <v>002-2013E50Q13-OK</v>
      </c>
      <c r="N269" s="8" t="str">
        <f>IF(ISNUMBER(MATCH(C269, 'Реестр договоров'!$D$2:$D$900, 0)), "Продано", "В наличии")</f>
        <v>Продано</v>
      </c>
    </row>
    <row r="270" spans="1:14">
      <c r="A270" s="26">
        <v>45676.5166862037</v>
      </c>
      <c r="B270" s="26"/>
      <c r="C270" s="8" t="s">
        <v>389</v>
      </c>
      <c r="D270" s="8" t="s">
        <v>114</v>
      </c>
      <c r="E270" s="8">
        <v>50</v>
      </c>
      <c r="F270" s="8" t="s">
        <v>116</v>
      </c>
      <c r="G270" s="8" t="s">
        <v>116</v>
      </c>
      <c r="H270" s="8" t="s">
        <v>115</v>
      </c>
      <c r="I270" s="27">
        <v>45656</v>
      </c>
      <c r="J270" s="8" t="s">
        <v>117</v>
      </c>
      <c r="K270" s="8" t="s">
        <v>124</v>
      </c>
      <c r="L270" s="8" t="s">
        <v>119</v>
      </c>
      <c r="M270" s="16" t="str">
        <f ca="1">IFERROR(__xludf.DUMMYFUNCTION("JOIN("""",VLOOKUP(D270,'для артикула'!$A$2:$B$7,2,0),VLOOKUP(G270,'для артикула'!$A$13:$B$14,2,0),VLOOKUP(E270,'для артикула'!$A$9:$B$11,2,0),VLOOKUP(F270,'для артикула'!$A$17:$B$19,2,0),VLOOKUP(J270,'для артикула'!$A$22:$B$23,2,0),VLOOKUP(H270,'для артик"&amp;"ула'!$A$26:$B$30,2,0))"),"002-2013E50Q13-OK")</f>
        <v>002-2013E50Q13-OK</v>
      </c>
      <c r="N270" s="8" t="str">
        <f>IF(ISNUMBER(MATCH(C270, 'Реестр договоров'!$D$2:$D$900, 0)), "Продано", "В наличии")</f>
        <v>Продано</v>
      </c>
    </row>
    <row r="271" spans="1:14">
      <c r="A271" s="26">
        <v>45679.517795902779</v>
      </c>
      <c r="B271" s="26"/>
      <c r="C271" s="8" t="s">
        <v>390</v>
      </c>
      <c r="D271" s="8" t="s">
        <v>366</v>
      </c>
      <c r="E271" s="8">
        <v>50</v>
      </c>
      <c r="F271" s="8" t="s">
        <v>116</v>
      </c>
      <c r="G271" s="8" t="s">
        <v>116</v>
      </c>
      <c r="H271" s="8" t="s">
        <v>115</v>
      </c>
      <c r="I271" s="27">
        <v>45679</v>
      </c>
      <c r="J271" s="8" t="s">
        <v>117</v>
      </c>
      <c r="K271" s="8" t="s">
        <v>124</v>
      </c>
      <c r="L271" s="8" t="s">
        <v>288</v>
      </c>
      <c r="M271" s="16" t="str">
        <f ca="1">IFERROR(__xludf.DUMMYFUNCTION("JOIN("""",VLOOKUP(D271,'для артикула'!$A$2:$B$7,2,0),VLOOKUP(G271,'для артикула'!$A$13:$B$14,2,0),VLOOKUP(E271,'для артикула'!$A$9:$B$11,2,0),VLOOKUP(F271,'для артикула'!$A$17:$B$19,2,0),VLOOKUP(J271,'для артикула'!$A$22:$B$23,2,0),VLOOKUP(H271,'для артик"&amp;"ула'!$A$26:$B$30,2,0))"),"002-3015E50Q13-OK")</f>
        <v>002-3015E50Q13-OK</v>
      </c>
      <c r="N271" s="8" t="str">
        <f>IF(ISNUMBER(MATCH(C271, 'Реестр договоров'!$D$2:$D$900, 0)), "Продано", "В наличии")</f>
        <v>Продано</v>
      </c>
    </row>
    <row r="272" spans="1:14">
      <c r="A272" s="26">
        <v>45679.518533298615</v>
      </c>
      <c r="B272" s="26"/>
      <c r="C272" s="8" t="s">
        <v>391</v>
      </c>
      <c r="D272" s="8" t="s">
        <v>366</v>
      </c>
      <c r="E272" s="8">
        <v>30</v>
      </c>
      <c r="F272" s="8" t="s">
        <v>116</v>
      </c>
      <c r="G272" s="8" t="s">
        <v>116</v>
      </c>
      <c r="H272" s="8" t="s">
        <v>115</v>
      </c>
      <c r="I272" s="27">
        <v>45679</v>
      </c>
      <c r="J272" s="8" t="s">
        <v>117</v>
      </c>
      <c r="K272" s="8" t="s">
        <v>124</v>
      </c>
      <c r="L272" s="8" t="s">
        <v>119</v>
      </c>
      <c r="M272" s="16" t="str">
        <f ca="1">IFERROR(__xludf.DUMMYFUNCTION("JOIN("""",VLOOKUP(D272,'для артикула'!$A$2:$B$7,2,0),VLOOKUP(G272,'для артикула'!$A$13:$B$14,2,0),VLOOKUP(E272,'для артикула'!$A$9:$B$11,2,0),VLOOKUP(F272,'для артикула'!$A$17:$B$19,2,0),VLOOKUP(J272,'для артикула'!$A$22:$B$23,2,0),VLOOKUP(H272,'для артик"&amp;"ула'!$A$26:$B$30,2,0))"),"002-3015E30Q13-OK")</f>
        <v>002-3015E30Q13-OK</v>
      </c>
      <c r="N272" s="8" t="str">
        <f>IF(ISNUMBER(MATCH(C272, 'Реестр договоров'!$D$2:$D$900, 0)), "Продано", "В наличии")</f>
        <v>Продано</v>
      </c>
    </row>
    <row r="273" spans="1:14">
      <c r="A273" s="26">
        <v>45679.520345671292</v>
      </c>
      <c r="B273" s="26"/>
      <c r="C273" s="8" t="s">
        <v>392</v>
      </c>
      <c r="D273" s="8" t="s">
        <v>287</v>
      </c>
      <c r="E273" s="8">
        <v>30</v>
      </c>
      <c r="F273" s="8" t="s">
        <v>116</v>
      </c>
      <c r="G273" s="8" t="s">
        <v>116</v>
      </c>
      <c r="H273" s="8" t="s">
        <v>115</v>
      </c>
      <c r="I273" s="27">
        <v>45679</v>
      </c>
      <c r="J273" s="8" t="s">
        <v>117</v>
      </c>
      <c r="K273" s="8" t="s">
        <v>124</v>
      </c>
      <c r="L273" s="8" t="s">
        <v>119</v>
      </c>
      <c r="M273" s="16" t="str">
        <f ca="1">IFERROR(__xludf.DUMMYFUNCTION("JOIN("""",VLOOKUP(D273,'для артикула'!$A$2:$B$7,2,0),VLOOKUP(G273,'для артикула'!$A$13:$B$14,2,0),VLOOKUP(E273,'для артикула'!$A$9:$B$11,2,0),VLOOKUP(F273,'для артикула'!$A$17:$B$19,2,0),VLOOKUP(J273,'для артикула'!$A$22:$B$23,2,0),VLOOKUP(H273,'для артик"&amp;"ула'!$A$26:$B$30,2,0))"),"002-2513E30Q13-OK")</f>
        <v>002-2513E30Q13-OK</v>
      </c>
      <c r="N273" s="8" t="str">
        <f>IF(ISNUMBER(MATCH(C273, 'Реестр договоров'!$D$2:$D$900, 0)), "Продано", "В наличии")</f>
        <v>Продано</v>
      </c>
    </row>
    <row r="274" spans="1:14">
      <c r="A274" s="26">
        <v>45679.520886331018</v>
      </c>
      <c r="B274" s="26"/>
      <c r="C274" s="8" t="s">
        <v>393</v>
      </c>
      <c r="D274" s="8" t="s">
        <v>287</v>
      </c>
      <c r="E274" s="8">
        <v>50</v>
      </c>
      <c r="F274" s="8" t="s">
        <v>116</v>
      </c>
      <c r="G274" s="8" t="s">
        <v>116</v>
      </c>
      <c r="H274" s="8" t="s">
        <v>115</v>
      </c>
      <c r="I274" s="27">
        <v>45679</v>
      </c>
      <c r="J274" s="8" t="s">
        <v>117</v>
      </c>
      <c r="K274" s="8" t="s">
        <v>124</v>
      </c>
      <c r="L274" s="8" t="s">
        <v>119</v>
      </c>
      <c r="M274" s="16" t="str">
        <f ca="1">IFERROR(__xludf.DUMMYFUNCTION("JOIN("""",VLOOKUP(D274,'для артикула'!$A$2:$B$7,2,0),VLOOKUP(G274,'для артикула'!$A$13:$B$14,2,0),VLOOKUP(E274,'для артикула'!$A$9:$B$11,2,0),VLOOKUP(F274,'для артикула'!$A$17:$B$19,2,0),VLOOKUP(J274,'для артикула'!$A$22:$B$23,2,0),VLOOKUP(H274,'для артик"&amp;"ула'!$A$26:$B$30,2,0))"),"002-2513E50Q13-OK")</f>
        <v>002-2513E50Q13-OK</v>
      </c>
      <c r="N274" s="8" t="str">
        <f>IF(ISNUMBER(MATCH(C274, 'Реестр договоров'!$D$2:$D$900, 0)), "Продано", "В наличии")</f>
        <v>Продано</v>
      </c>
    </row>
    <row r="275" spans="1:14">
      <c r="A275" s="26">
        <v>45679.524287638887</v>
      </c>
      <c r="B275" s="26"/>
      <c r="C275" s="8" t="s">
        <v>394</v>
      </c>
      <c r="D275" s="8" t="s">
        <v>287</v>
      </c>
      <c r="E275" s="8">
        <v>50</v>
      </c>
      <c r="F275" s="8" t="s">
        <v>116</v>
      </c>
      <c r="G275" s="8" t="s">
        <v>116</v>
      </c>
      <c r="H275" s="8" t="s">
        <v>115</v>
      </c>
      <c r="I275" s="27">
        <v>45656</v>
      </c>
      <c r="J275" s="8" t="s">
        <v>117</v>
      </c>
      <c r="K275" s="8" t="s">
        <v>124</v>
      </c>
      <c r="L275" s="8" t="s">
        <v>119</v>
      </c>
      <c r="M275" s="16" t="str">
        <f ca="1">IFERROR(__xludf.DUMMYFUNCTION("JOIN("""",VLOOKUP(D275,'для артикула'!$A$2:$B$7,2,0),VLOOKUP(G275,'для артикула'!$A$13:$B$14,2,0),VLOOKUP(E275,'для артикула'!$A$9:$B$11,2,0),VLOOKUP(F275,'для артикула'!$A$17:$B$19,2,0),VLOOKUP(J275,'для артикула'!$A$22:$B$23,2,0),VLOOKUP(H275,'для артик"&amp;"ула'!$A$26:$B$30,2,0))"),"002-2513E50Q13-OK")</f>
        <v>002-2513E50Q13-OK</v>
      </c>
      <c r="N275" s="8" t="str">
        <f>IF(ISNUMBER(MATCH(C275, 'Реестр договоров'!$D$2:$D$900, 0)), "Продано", "В наличии")</f>
        <v>Продано</v>
      </c>
    </row>
    <row r="276" spans="1:14">
      <c r="A276" s="26">
        <v>45684.553109351851</v>
      </c>
      <c r="B276" s="26"/>
      <c r="C276" s="8" t="s">
        <v>395</v>
      </c>
      <c r="D276" s="8" t="s">
        <v>114</v>
      </c>
      <c r="E276" s="8">
        <v>50</v>
      </c>
      <c r="F276" s="8" t="s">
        <v>116</v>
      </c>
      <c r="G276" s="8" t="s">
        <v>116</v>
      </c>
      <c r="H276" s="8" t="s">
        <v>115</v>
      </c>
      <c r="I276" s="27">
        <v>45684</v>
      </c>
      <c r="J276" s="8" t="s">
        <v>117</v>
      </c>
      <c r="K276" s="8" t="s">
        <v>124</v>
      </c>
      <c r="L276" s="8" t="s">
        <v>119</v>
      </c>
      <c r="M276" s="16" t="str">
        <f ca="1">IFERROR(__xludf.DUMMYFUNCTION("JOIN("""",VLOOKUP(D276,'для артикула'!$A$2:$B$7,2,0),VLOOKUP(G276,'для артикула'!$A$13:$B$14,2,0),VLOOKUP(E276,'для артикула'!$A$9:$B$11,2,0),VLOOKUP(F276,'для артикула'!$A$17:$B$19,2,0),VLOOKUP(J276,'для артикула'!$A$22:$B$23,2,0),VLOOKUP(H276,'для артик"&amp;"ула'!$A$26:$B$30,2,0))"),"002-2013E50Q13-OK")</f>
        <v>002-2013E50Q13-OK</v>
      </c>
      <c r="N276" s="8" t="str">
        <f>IF(ISNUMBER(MATCH(C276, 'Реестр договоров'!$D$2:$D$900, 0)), "Продано", "В наличии")</f>
        <v>Продано</v>
      </c>
    </row>
    <row r="277" spans="1:14">
      <c r="A277" s="26">
        <v>45684.553937997684</v>
      </c>
      <c r="B277" s="26"/>
      <c r="C277" s="8" t="s">
        <v>396</v>
      </c>
      <c r="D277" s="8" t="s">
        <v>287</v>
      </c>
      <c r="E277" s="8">
        <v>50</v>
      </c>
      <c r="F277" s="8" t="s">
        <v>116</v>
      </c>
      <c r="G277" s="8" t="s">
        <v>116</v>
      </c>
      <c r="H277" s="8" t="s">
        <v>115</v>
      </c>
      <c r="I277" s="27">
        <v>45644</v>
      </c>
      <c r="J277" s="8" t="s">
        <v>115</v>
      </c>
      <c r="K277" s="8" t="s">
        <v>121</v>
      </c>
      <c r="L277" s="8" t="s">
        <v>119</v>
      </c>
      <c r="M277" s="16" t="str">
        <f ca="1">IFERROR(__xludf.DUMMYFUNCTION("JOIN("""",VLOOKUP(D277,'для артикула'!$A$2:$B$7,2,0),VLOOKUP(G277,'для артикула'!$A$13:$B$14,2,0),VLOOKUP(E277,'для артикула'!$A$9:$B$11,2,0),VLOOKUP(F277,'для артикула'!$A$17:$B$19,2,0),VLOOKUP(J277,'для артикула'!$A$22:$B$23,2,0),VLOOKUP(H277,'для артик"&amp;"ула'!$A$26:$B$30,2,0))"),"002-2513E50Q13")</f>
        <v>002-2513E50Q13</v>
      </c>
      <c r="N277" s="8" t="str">
        <f>IF(ISNUMBER(MATCH(C277, 'Реестр договоров'!$D$2:$D$900, 0)), "Продано", "В наличии")</f>
        <v>Продано</v>
      </c>
    </row>
    <row r="278" spans="1:14">
      <c r="A278" s="26">
        <v>45684.665599525462</v>
      </c>
      <c r="B278" s="26"/>
      <c r="C278" s="8" t="s">
        <v>397</v>
      </c>
      <c r="D278" s="8" t="s">
        <v>287</v>
      </c>
      <c r="E278" s="8">
        <v>30</v>
      </c>
      <c r="F278" s="8" t="s">
        <v>116</v>
      </c>
      <c r="G278" s="8" t="s">
        <v>116</v>
      </c>
      <c r="H278" s="8" t="s">
        <v>115</v>
      </c>
      <c r="I278" s="27">
        <v>45788</v>
      </c>
      <c r="J278" s="8" t="s">
        <v>117</v>
      </c>
      <c r="K278" s="8" t="s">
        <v>124</v>
      </c>
      <c r="L278" s="8" t="s">
        <v>119</v>
      </c>
      <c r="M278" s="16" t="str">
        <f ca="1">IFERROR(__xludf.DUMMYFUNCTION("JOIN("""",VLOOKUP(D278,'для артикула'!$A$2:$B$7,2,0),VLOOKUP(G278,'для артикула'!$A$13:$B$14,2,0),VLOOKUP(E278,'для артикула'!$A$9:$B$11,2,0),VLOOKUP(F278,'для артикула'!$A$17:$B$19,2,0),VLOOKUP(J278,'для артикула'!$A$22:$B$23,2,0),VLOOKUP(H278,'для артик"&amp;"ула'!$A$26:$B$30,2,0))"),"002-2513E30Q13-OK")</f>
        <v>002-2513E30Q13-OK</v>
      </c>
      <c r="N278" s="8" t="str">
        <f>IF(ISNUMBER(MATCH(C278, 'Реестр договоров'!$D$2:$D$900, 0)), "Продано", "В наличии")</f>
        <v>Продано</v>
      </c>
    </row>
    <row r="279" spans="1:14">
      <c r="A279" s="26">
        <v>45684.666434224535</v>
      </c>
      <c r="B279" s="26"/>
      <c r="C279" s="8" t="s">
        <v>398</v>
      </c>
      <c r="D279" s="8" t="s">
        <v>114</v>
      </c>
      <c r="E279" s="8">
        <v>50</v>
      </c>
      <c r="F279" s="8" t="s">
        <v>116</v>
      </c>
      <c r="G279" s="8" t="s">
        <v>116</v>
      </c>
      <c r="H279" s="8">
        <v>90</v>
      </c>
      <c r="I279" s="27">
        <v>45684</v>
      </c>
      <c r="J279" s="8" t="s">
        <v>117</v>
      </c>
      <c r="K279" s="8" t="s">
        <v>124</v>
      </c>
      <c r="L279" s="8" t="s">
        <v>119</v>
      </c>
      <c r="M279" s="16" t="str">
        <f ca="1">IFERROR(__xludf.DUMMYFUNCTION("JOIN("""",VLOOKUP(D279,'для артикула'!$A$2:$B$7,2,0),VLOOKUP(G279,'для артикула'!$A$13:$B$14,2,0),VLOOKUP(E279,'для артикула'!$A$9:$B$11,2,0),VLOOKUP(F279,'для артикула'!$A$17:$B$19,2,0),VLOOKUP(J279,'для артикула'!$A$22:$B$23,2,0),VLOOKUP(H279,'для артик"&amp;"ула'!$A$26:$B$30,2,0))"),"002-2013E50Q13-OK90")</f>
        <v>002-2013E50Q13-OK90</v>
      </c>
      <c r="N279" s="8" t="str">
        <f>IF(ISNUMBER(MATCH(C279, 'Реестр договоров'!$D$2:$D$900, 0)), "Продано", "В наличии")</f>
        <v>Продано</v>
      </c>
    </row>
    <row r="280" spans="1:14">
      <c r="A280" s="26">
        <v>45684.667176550924</v>
      </c>
      <c r="B280" s="26"/>
      <c r="C280" s="8" t="s">
        <v>399</v>
      </c>
      <c r="D280" s="8" t="s">
        <v>114</v>
      </c>
      <c r="E280" s="8">
        <v>30</v>
      </c>
      <c r="F280" s="8" t="s">
        <v>116</v>
      </c>
      <c r="G280" s="8" t="s">
        <v>116</v>
      </c>
      <c r="H280" s="8" t="s">
        <v>115</v>
      </c>
      <c r="I280" s="27">
        <v>45684</v>
      </c>
      <c r="J280" s="8" t="s">
        <v>117</v>
      </c>
      <c r="K280" s="8" t="s">
        <v>124</v>
      </c>
      <c r="L280" s="8" t="s">
        <v>119</v>
      </c>
      <c r="M280" s="16" t="str">
        <f ca="1">IFERROR(__xludf.DUMMYFUNCTION("JOIN("""",VLOOKUP(D280,'для артикула'!$A$2:$B$7,2,0),VLOOKUP(G280,'для артикула'!$A$13:$B$14,2,0),VLOOKUP(E280,'для артикула'!$A$9:$B$11,2,0),VLOOKUP(F280,'для артикула'!$A$17:$B$19,2,0),VLOOKUP(J280,'для артикула'!$A$22:$B$23,2,0),VLOOKUP(H280,'для артик"&amp;"ула'!$A$26:$B$30,2,0))"),"002-2013E30Q13-OK")</f>
        <v>002-2013E30Q13-OK</v>
      </c>
      <c r="N280" s="8" t="str">
        <f>IF(ISNUMBER(MATCH(C280, 'Реестр договоров'!$D$2:$D$900, 0)), "Продано", "В наличии")</f>
        <v>Продано</v>
      </c>
    </row>
    <row r="281" spans="1:14">
      <c r="A281" s="26">
        <v>45684.667852280094</v>
      </c>
      <c r="B281" s="26"/>
      <c r="C281" s="8" t="s">
        <v>400</v>
      </c>
      <c r="D281" s="8" t="s">
        <v>114</v>
      </c>
      <c r="E281" s="8">
        <v>30</v>
      </c>
      <c r="F281" s="8" t="s">
        <v>116</v>
      </c>
      <c r="G281" s="8" t="s">
        <v>116</v>
      </c>
      <c r="H281" s="8" t="s">
        <v>115</v>
      </c>
      <c r="I281" s="27">
        <v>45684</v>
      </c>
      <c r="J281" s="8" t="s">
        <v>117</v>
      </c>
      <c r="K281" s="8" t="s">
        <v>124</v>
      </c>
      <c r="L281" s="8" t="s">
        <v>119</v>
      </c>
      <c r="M281" s="16" t="str">
        <f ca="1">IFERROR(__xludf.DUMMYFUNCTION("JOIN("""",VLOOKUP(D281,'для артикула'!$A$2:$B$7,2,0),VLOOKUP(G281,'для артикула'!$A$13:$B$14,2,0),VLOOKUP(E281,'для артикула'!$A$9:$B$11,2,0),VLOOKUP(F281,'для артикула'!$A$17:$B$19,2,0),VLOOKUP(J281,'для артикула'!$A$22:$B$23,2,0),VLOOKUP(H281,'для артик"&amp;"ула'!$A$26:$B$30,2,0))"),"002-2013E30Q13-OK")</f>
        <v>002-2013E30Q13-OK</v>
      </c>
      <c r="N281" s="8" t="str">
        <f>IF(ISNUMBER(MATCH(C281, 'Реестр договоров'!$D$2:$D$900, 0)), "Продано", "В наличии")</f>
        <v>Продано</v>
      </c>
    </row>
    <row r="282" spans="1:14">
      <c r="A282" s="26">
        <v>45684.721673125001</v>
      </c>
      <c r="B282" s="26"/>
      <c r="C282" s="8" t="s">
        <v>401</v>
      </c>
      <c r="D282" s="8" t="s">
        <v>114</v>
      </c>
      <c r="E282" s="8">
        <v>30</v>
      </c>
      <c r="F282" s="8" t="s">
        <v>116</v>
      </c>
      <c r="G282" s="8" t="s">
        <v>116</v>
      </c>
      <c r="H282" s="8" t="s">
        <v>115</v>
      </c>
      <c r="I282" s="27">
        <v>45677</v>
      </c>
      <c r="J282" s="8" t="s">
        <v>117</v>
      </c>
      <c r="K282" s="8" t="s">
        <v>124</v>
      </c>
      <c r="L282" s="8" t="s">
        <v>119</v>
      </c>
      <c r="M282" s="16" t="str">
        <f ca="1">IFERROR(__xludf.DUMMYFUNCTION("JOIN("""",VLOOKUP(D282,'для артикула'!$A$2:$B$7,2,0),VLOOKUP(G282,'для артикула'!$A$13:$B$14,2,0),VLOOKUP(E282,'для артикула'!$A$9:$B$11,2,0),VLOOKUP(F282,'для артикула'!$A$17:$B$19,2,0),VLOOKUP(J282,'для артикула'!$A$22:$B$23,2,0),VLOOKUP(H282,'для артик"&amp;"ула'!$A$26:$B$30,2,0))"),"002-2013E30Q13-OK")</f>
        <v>002-2013E30Q13-OK</v>
      </c>
      <c r="N282" s="8" t="str">
        <f>IF(ISNUMBER(MATCH(C282, 'Реестр договоров'!$D$2:$D$900, 0)), "Продано", "В наличии")</f>
        <v>Продано</v>
      </c>
    </row>
    <row r="283" spans="1:14">
      <c r="A283" s="26">
        <v>45685.459754560186</v>
      </c>
      <c r="B283" s="26"/>
      <c r="C283" s="8" t="s">
        <v>402</v>
      </c>
      <c r="D283" s="8" t="s">
        <v>287</v>
      </c>
      <c r="E283" s="8">
        <v>30</v>
      </c>
      <c r="F283" s="8" t="s">
        <v>116</v>
      </c>
      <c r="G283" s="8" t="s">
        <v>116</v>
      </c>
      <c r="H283" s="8" t="s">
        <v>115</v>
      </c>
      <c r="I283" s="27">
        <v>45656</v>
      </c>
      <c r="J283" s="8" t="s">
        <v>117</v>
      </c>
      <c r="K283" s="8" t="s">
        <v>118</v>
      </c>
      <c r="L283" s="8" t="s">
        <v>119</v>
      </c>
      <c r="M283" s="16" t="str">
        <f ca="1">IFERROR(__xludf.DUMMYFUNCTION("JOIN("""",VLOOKUP(D283,'для артикула'!$A$2:$B$7,2,0),VLOOKUP(G283,'для артикула'!$A$13:$B$14,2,0),VLOOKUP(E283,'для артикула'!$A$9:$B$11,2,0),VLOOKUP(F283,'для артикула'!$A$17:$B$19,2,0),VLOOKUP(J283,'для артикула'!$A$22:$B$23,2,0),VLOOKUP(H283,'для артик"&amp;"ула'!$A$26:$B$30,2,0))"),"002-2513E30Q13-OK")</f>
        <v>002-2513E30Q13-OK</v>
      </c>
      <c r="N283" s="8" t="str">
        <f>IF(ISNUMBER(MATCH(C283, 'Реестр договоров'!$D$2:$D$900, 0)), "Продано", "В наличии")</f>
        <v>Продано</v>
      </c>
    </row>
    <row r="284" spans="1:14">
      <c r="A284" s="26">
        <v>45687.560712118051</v>
      </c>
      <c r="B284" s="26"/>
      <c r="C284" s="8" t="s">
        <v>403</v>
      </c>
      <c r="D284" s="8" t="s">
        <v>287</v>
      </c>
      <c r="E284" s="8">
        <v>30</v>
      </c>
      <c r="F284" s="8" t="s">
        <v>116</v>
      </c>
      <c r="G284" s="8" t="s">
        <v>116</v>
      </c>
      <c r="H284" s="8" t="s">
        <v>115</v>
      </c>
      <c r="I284" s="27">
        <v>45645</v>
      </c>
      <c r="J284" s="8" t="s">
        <v>117</v>
      </c>
      <c r="K284" s="8" t="s">
        <v>121</v>
      </c>
      <c r="L284" s="8" t="s">
        <v>119</v>
      </c>
      <c r="M284" s="16" t="str">
        <f ca="1">IFERROR(__xludf.DUMMYFUNCTION("JOIN("""",VLOOKUP(D284,'для артикула'!$A$2:$B$7,2,0),VLOOKUP(G284,'для артикула'!$A$13:$B$14,2,0),VLOOKUP(E284,'для артикула'!$A$9:$B$11,2,0),VLOOKUP(F284,'для артикула'!$A$17:$B$19,2,0),VLOOKUP(J284,'для артикула'!$A$22:$B$23,2,0),VLOOKUP(H284,'для артик"&amp;"ула'!$A$26:$B$30,2,0))"),"002-2513E30Q13-OK")</f>
        <v>002-2513E30Q13-OK</v>
      </c>
      <c r="N284" s="8" t="str">
        <f>IF(ISNUMBER(MATCH(C284, 'Реестр договоров'!$D$2:$D$900, 0)), "Продано", "В наличии")</f>
        <v>Продано</v>
      </c>
    </row>
    <row r="285" spans="1:14">
      <c r="A285" s="26">
        <v>45691.64443969907</v>
      </c>
      <c r="B285" s="26"/>
      <c r="C285" s="8" t="s">
        <v>404</v>
      </c>
      <c r="D285" s="8" t="s">
        <v>287</v>
      </c>
      <c r="E285" s="8">
        <v>50</v>
      </c>
      <c r="F285" s="8" t="s">
        <v>116</v>
      </c>
      <c r="G285" s="8" t="s">
        <v>116</v>
      </c>
      <c r="H285" s="8" t="s">
        <v>115</v>
      </c>
      <c r="I285" s="27">
        <v>45656</v>
      </c>
      <c r="J285" s="8" t="s">
        <v>117</v>
      </c>
      <c r="K285" s="8" t="s">
        <v>121</v>
      </c>
      <c r="L285" s="8" t="s">
        <v>119</v>
      </c>
      <c r="M285" s="16" t="str">
        <f ca="1">IFERROR(__xludf.DUMMYFUNCTION("JOIN("""",VLOOKUP(D285,'для артикула'!$A$2:$B$7,2,0),VLOOKUP(G285,'для артикула'!$A$13:$B$14,2,0),VLOOKUP(E285,'для артикула'!$A$9:$B$11,2,0),VLOOKUP(F285,'для артикула'!$A$17:$B$19,2,0),VLOOKUP(J285,'для артикула'!$A$22:$B$23,2,0),VLOOKUP(H285,'для артик"&amp;"ула'!$A$26:$B$30,2,0))"),"002-2513E50Q13-OK")</f>
        <v>002-2513E50Q13-OK</v>
      </c>
      <c r="N285" s="8" t="str">
        <f>IF(ISNUMBER(MATCH(C285, 'Реестр договоров'!$D$2:$D$900, 0)), "Продано", "В наличии")</f>
        <v>Продано</v>
      </c>
    </row>
    <row r="286" spans="1:14">
      <c r="A286" s="26">
        <v>45693.495199976853</v>
      </c>
      <c r="B286" s="26"/>
      <c r="C286" s="8" t="s">
        <v>405</v>
      </c>
      <c r="D286" s="8" t="s">
        <v>114</v>
      </c>
      <c r="E286" s="8">
        <v>50</v>
      </c>
      <c r="F286" s="8" t="s">
        <v>116</v>
      </c>
      <c r="G286" s="8" t="s">
        <v>116</v>
      </c>
      <c r="H286" s="8" t="s">
        <v>115</v>
      </c>
      <c r="I286" s="27">
        <v>45779</v>
      </c>
      <c r="J286" s="8" t="s">
        <v>117</v>
      </c>
      <c r="K286" s="8" t="s">
        <v>124</v>
      </c>
      <c r="L286" s="8" t="s">
        <v>119</v>
      </c>
      <c r="M286" s="16" t="str">
        <f ca="1">IFERROR(__xludf.DUMMYFUNCTION("JOIN("""",VLOOKUP(D286,'для артикула'!$A$2:$B$7,2,0),VLOOKUP(G286,'для артикула'!$A$13:$B$14,2,0),VLOOKUP(E286,'для артикула'!$A$9:$B$11,2,0),VLOOKUP(F286,'для артикула'!$A$17:$B$19,2,0),VLOOKUP(J286,'для артикула'!$A$22:$B$23,2,0),VLOOKUP(H286,'для артик"&amp;"ула'!$A$26:$B$30,2,0))"),"002-2013E50Q13-OK")</f>
        <v>002-2013E50Q13-OK</v>
      </c>
      <c r="N286" s="8" t="str">
        <f>IF(ISNUMBER(MATCH(C286, 'Реестр договоров'!$D$2:$D$900, 0)), "Продано", "В наличии")</f>
        <v>Продано</v>
      </c>
    </row>
    <row r="287" spans="1:14">
      <c r="A287" s="26">
        <v>45696.572904502318</v>
      </c>
      <c r="B287" s="26"/>
      <c r="C287" s="8" t="s">
        <v>406</v>
      </c>
      <c r="D287" s="8" t="s">
        <v>114</v>
      </c>
      <c r="E287" s="8">
        <v>30</v>
      </c>
      <c r="F287" s="8" t="s">
        <v>116</v>
      </c>
      <c r="G287" s="8" t="s">
        <v>116</v>
      </c>
      <c r="H287" s="8" t="s">
        <v>115</v>
      </c>
      <c r="I287" s="27">
        <v>45656</v>
      </c>
      <c r="J287" s="8" t="s">
        <v>117</v>
      </c>
      <c r="K287" s="8" t="s">
        <v>121</v>
      </c>
      <c r="L287" s="8" t="s">
        <v>119</v>
      </c>
      <c r="M287" s="16" t="str">
        <f ca="1">IFERROR(__xludf.DUMMYFUNCTION("JOIN("""",VLOOKUP(D287,'для артикула'!$A$2:$B$7,2,0),VLOOKUP(G287,'для артикула'!$A$13:$B$14,2,0),VLOOKUP(E287,'для артикула'!$A$9:$B$11,2,0),VLOOKUP(F287,'для артикула'!$A$17:$B$19,2,0),VLOOKUP(J287,'для артикула'!$A$22:$B$23,2,0),VLOOKUP(H287,'для артик"&amp;"ула'!$A$26:$B$30,2,0))"),"002-2013E30Q13-OK")</f>
        <v>002-2013E30Q13-OK</v>
      </c>
      <c r="N287" s="8" t="str">
        <f>IF(ISNUMBER(MATCH(C287, 'Реестр договоров'!$D$2:$D$900, 0)), "Продано", "В наличии")</f>
        <v>Продано</v>
      </c>
    </row>
    <row r="288" spans="1:14">
      <c r="A288" s="26">
        <v>45697.635036377316</v>
      </c>
      <c r="B288" s="26"/>
      <c r="C288" s="8" t="s">
        <v>407</v>
      </c>
      <c r="D288" s="8" t="s">
        <v>366</v>
      </c>
      <c r="E288" s="8">
        <v>30</v>
      </c>
      <c r="F288" s="8" t="s">
        <v>116</v>
      </c>
      <c r="G288" s="8" t="s">
        <v>116</v>
      </c>
      <c r="H288" s="8" t="s">
        <v>115</v>
      </c>
      <c r="I288" s="27">
        <v>45656</v>
      </c>
      <c r="J288" s="8" t="s">
        <v>117</v>
      </c>
      <c r="K288" s="8" t="s">
        <v>121</v>
      </c>
      <c r="L288" s="8" t="s">
        <v>119</v>
      </c>
      <c r="M288" s="16" t="str">
        <f ca="1">IFERROR(__xludf.DUMMYFUNCTION("JOIN("""",VLOOKUP(D288,'для артикула'!$A$2:$B$7,2,0),VLOOKUP(G288,'для артикула'!$A$13:$B$14,2,0),VLOOKUP(E288,'для артикула'!$A$9:$B$11,2,0),VLOOKUP(F288,'для артикула'!$A$17:$B$19,2,0),VLOOKUP(J288,'для артикула'!$A$22:$B$23,2,0),VLOOKUP(H288,'для артик"&amp;"ула'!$A$26:$B$30,2,0))"),"002-3015E30Q13-OK")</f>
        <v>002-3015E30Q13-OK</v>
      </c>
      <c r="N288" s="8" t="str">
        <f>IF(ISNUMBER(MATCH(C288, 'Реестр договоров'!$D$2:$D$900, 0)), "Продано", "В наличии")</f>
        <v>Продано</v>
      </c>
    </row>
    <row r="289" spans="1:14">
      <c r="A289" s="26">
        <v>45698.570404456019</v>
      </c>
      <c r="B289" s="26"/>
      <c r="C289" s="8" t="s">
        <v>408</v>
      </c>
      <c r="D289" s="8" t="s">
        <v>114</v>
      </c>
      <c r="E289" s="8">
        <v>50</v>
      </c>
      <c r="F289" s="8" t="s">
        <v>116</v>
      </c>
      <c r="G289" s="8" t="s">
        <v>116</v>
      </c>
      <c r="H289" s="8">
        <v>60</v>
      </c>
      <c r="I289" s="27">
        <v>45698</v>
      </c>
      <c r="J289" s="8" t="s">
        <v>117</v>
      </c>
      <c r="K289" s="8" t="s">
        <v>124</v>
      </c>
      <c r="L289" s="8" t="s">
        <v>119</v>
      </c>
      <c r="M289" s="16" t="str">
        <f ca="1">IFERROR(__xludf.DUMMYFUNCTION("JOIN("""",VLOOKUP(D289,'для артикула'!$A$2:$B$7,2,0),VLOOKUP(G289,'для артикула'!$A$13:$B$14,2,0),VLOOKUP(E289,'для артикула'!$A$9:$B$11,2,0),VLOOKUP(F289,'для артикула'!$A$17:$B$19,2,0),VLOOKUP(J289,'для артикула'!$A$22:$B$23,2,0),VLOOKUP(H289,'для артик"&amp;"ула'!$A$26:$B$30,2,0))"),"002-2013E50Q13-OK60")</f>
        <v>002-2013E50Q13-OK60</v>
      </c>
      <c r="N289" s="8" t="str">
        <f>IF(ISNUMBER(MATCH(C289, 'Реестр договоров'!$D$2:$D$900, 0)), "Продано", "В наличии")</f>
        <v>Продано</v>
      </c>
    </row>
    <row r="290" spans="1:14">
      <c r="A290" s="26">
        <v>45698.570851168981</v>
      </c>
      <c r="B290" s="26"/>
      <c r="C290" s="8" t="s">
        <v>409</v>
      </c>
      <c r="D290" s="8" t="s">
        <v>114</v>
      </c>
      <c r="E290" s="8">
        <v>50</v>
      </c>
      <c r="F290" s="8" t="s">
        <v>116</v>
      </c>
      <c r="G290" s="8" t="s">
        <v>116</v>
      </c>
      <c r="H290" s="8" t="s">
        <v>115</v>
      </c>
      <c r="I290" s="27">
        <v>45698</v>
      </c>
      <c r="J290" s="8" t="s">
        <v>117</v>
      </c>
      <c r="K290" s="8" t="s">
        <v>124</v>
      </c>
      <c r="L290" s="8" t="s">
        <v>119</v>
      </c>
      <c r="M290" s="16" t="str">
        <f ca="1">IFERROR(__xludf.DUMMYFUNCTION("JOIN("""",VLOOKUP(D290,'для артикула'!$A$2:$B$7,2,0),VLOOKUP(G290,'для артикула'!$A$13:$B$14,2,0),VLOOKUP(E290,'для артикула'!$A$9:$B$11,2,0),VLOOKUP(F290,'для артикула'!$A$17:$B$19,2,0),VLOOKUP(J290,'для артикула'!$A$22:$B$23,2,0),VLOOKUP(H290,'для артик"&amp;"ула'!$A$26:$B$30,2,0))"),"002-2013E50Q13-OK")</f>
        <v>002-2013E50Q13-OK</v>
      </c>
      <c r="N290" s="8" t="str">
        <f>IF(ISNUMBER(MATCH(C290, 'Реестр договоров'!$D$2:$D$900, 0)), "Продано", "В наличии")</f>
        <v>Продано</v>
      </c>
    </row>
    <row r="291" spans="1:14">
      <c r="A291" s="26">
        <v>45698.578687604167</v>
      </c>
      <c r="B291" s="26"/>
      <c r="C291" s="8" t="s">
        <v>410</v>
      </c>
      <c r="D291" s="8" t="s">
        <v>114</v>
      </c>
      <c r="E291" s="8">
        <v>50</v>
      </c>
      <c r="F291" s="8" t="s">
        <v>116</v>
      </c>
      <c r="G291" s="8" t="s">
        <v>116</v>
      </c>
      <c r="H291" s="8" t="s">
        <v>115</v>
      </c>
      <c r="I291" s="27">
        <v>45698</v>
      </c>
      <c r="J291" s="8" t="s">
        <v>117</v>
      </c>
      <c r="K291" s="8" t="s">
        <v>124</v>
      </c>
      <c r="L291" s="8" t="s">
        <v>119</v>
      </c>
      <c r="M291" s="16" t="str">
        <f ca="1">IFERROR(__xludf.DUMMYFUNCTION("JOIN("""",VLOOKUP(D291,'для артикула'!$A$2:$B$7,2,0),VLOOKUP(G291,'для артикула'!$A$13:$B$14,2,0),VLOOKUP(E291,'для артикула'!$A$9:$B$11,2,0),VLOOKUP(F291,'для артикула'!$A$17:$B$19,2,0),VLOOKUP(J291,'для артикула'!$A$22:$B$23,2,0),VLOOKUP(H291,'для артик"&amp;"ула'!$A$26:$B$30,2,0))"),"002-2013E50Q13-OK")</f>
        <v>002-2013E50Q13-OK</v>
      </c>
      <c r="N291" s="8" t="str">
        <f>IF(ISNUMBER(MATCH(C291, 'Реестр договоров'!$D$2:$D$900, 0)), "Продано", "В наличии")</f>
        <v>Продано</v>
      </c>
    </row>
    <row r="292" spans="1:14">
      <c r="A292" s="26">
        <v>45700.518292326393</v>
      </c>
      <c r="B292" s="26"/>
      <c r="C292" s="8" t="s">
        <v>411</v>
      </c>
      <c r="D292" s="8" t="s">
        <v>347</v>
      </c>
      <c r="E292" s="8">
        <v>30</v>
      </c>
      <c r="F292" s="8" t="s">
        <v>144</v>
      </c>
      <c r="G292" s="8" t="s">
        <v>144</v>
      </c>
      <c r="H292" s="8" t="s">
        <v>115</v>
      </c>
      <c r="I292" s="27">
        <v>45656</v>
      </c>
      <c r="J292" s="8" t="s">
        <v>117</v>
      </c>
      <c r="K292" s="8" t="s">
        <v>121</v>
      </c>
      <c r="L292" s="8" t="s">
        <v>119</v>
      </c>
      <c r="M292" s="16" t="str">
        <f ca="1">IFERROR(__xludf.DUMMYFUNCTION("JOIN("""",VLOOKUP(D292,'для артикула'!$A$2:$B$7,2,0),VLOOKUP(G292,'для артикула'!$A$13:$B$14,2,0),VLOOKUP(E292,'для артикула'!$A$9:$B$11,2,0),VLOOKUP(F292,'для артикула'!$A$17:$B$19,2,0),VLOOKUP(J292,'для артикула'!$A$22:$B$23,2,0),VLOOKUP(H292,'для артик"&amp;"ула'!$A$26:$B$30,2,0))"),"002-2515E30Q15-OK")</f>
        <v>002-2515E30Q15-OK</v>
      </c>
      <c r="N292" s="8" t="str">
        <f>IF(ISNUMBER(MATCH(C292, 'Реестр договоров'!$D$2:$D$900, 0)), "Продано", "В наличии")</f>
        <v>Продано</v>
      </c>
    </row>
    <row r="293" spans="1:14">
      <c r="A293" s="26">
        <v>45700.617975590278</v>
      </c>
      <c r="B293" s="26"/>
      <c r="C293" s="8" t="s">
        <v>412</v>
      </c>
      <c r="D293" s="8" t="s">
        <v>287</v>
      </c>
      <c r="E293" s="8">
        <v>50</v>
      </c>
      <c r="F293" s="8" t="s">
        <v>116</v>
      </c>
      <c r="G293" s="8" t="s">
        <v>116</v>
      </c>
      <c r="H293" s="8" t="s">
        <v>115</v>
      </c>
      <c r="I293" s="27">
        <v>45698</v>
      </c>
      <c r="J293" s="8" t="s">
        <v>117</v>
      </c>
      <c r="K293" s="8" t="s">
        <v>118</v>
      </c>
      <c r="L293" s="8" t="s">
        <v>119</v>
      </c>
      <c r="M293" s="16" t="str">
        <f ca="1">IFERROR(__xludf.DUMMYFUNCTION("JOIN("""",VLOOKUP(D293,'для артикула'!$A$2:$B$7,2,0),VLOOKUP(G293,'для артикула'!$A$13:$B$14,2,0),VLOOKUP(E293,'для артикула'!$A$9:$B$11,2,0),VLOOKUP(F293,'для артикула'!$A$17:$B$19,2,0),VLOOKUP(J293,'для артикула'!$A$22:$B$23,2,0),VLOOKUP(H293,'для артик"&amp;"ула'!$A$26:$B$30,2,0))"),"002-2513E50Q13-OK")</f>
        <v>002-2513E50Q13-OK</v>
      </c>
      <c r="N293" s="8" t="str">
        <f>IF(ISNUMBER(MATCH(C293, 'Реестр договоров'!$D$2:$D$900, 0)), "Продано", "В наличии")</f>
        <v>Продано</v>
      </c>
    </row>
    <row r="294" spans="1:14">
      <c r="A294" s="26">
        <v>45700.690268634258</v>
      </c>
      <c r="B294" s="26"/>
      <c r="C294" s="8" t="s">
        <v>413</v>
      </c>
      <c r="D294" s="8" t="s">
        <v>114</v>
      </c>
      <c r="E294" s="8">
        <v>50</v>
      </c>
      <c r="F294" s="8" t="s">
        <v>116</v>
      </c>
      <c r="G294" s="8" t="s">
        <v>116</v>
      </c>
      <c r="H294" s="8" t="s">
        <v>115</v>
      </c>
      <c r="I294" s="27">
        <v>45656</v>
      </c>
      <c r="J294" s="8" t="s">
        <v>117</v>
      </c>
      <c r="K294" s="8" t="s">
        <v>121</v>
      </c>
      <c r="L294" s="8" t="s">
        <v>119</v>
      </c>
      <c r="M294" s="16" t="str">
        <f ca="1">IFERROR(__xludf.DUMMYFUNCTION("JOIN("""",VLOOKUP(D294,'для артикула'!$A$2:$B$7,2,0),VLOOKUP(G294,'для артикула'!$A$13:$B$14,2,0),VLOOKUP(E294,'для артикула'!$A$9:$B$11,2,0),VLOOKUP(F294,'для артикула'!$A$17:$B$19,2,0),VLOOKUP(J294,'для артикула'!$A$22:$B$23,2,0),VLOOKUP(H294,'для артик"&amp;"ула'!$A$26:$B$30,2,0))"),"002-2013E50Q13-OK")</f>
        <v>002-2013E50Q13-OK</v>
      </c>
      <c r="N294" s="8" t="str">
        <f>IF(ISNUMBER(MATCH(C294, 'Реестр договоров'!$D$2:$D$900, 0)), "Продано", "В наличии")</f>
        <v>Продано</v>
      </c>
    </row>
    <row r="295" spans="1:14">
      <c r="A295" s="26">
        <v>45701.473714085645</v>
      </c>
      <c r="B295" s="26"/>
      <c r="C295" s="8" t="s">
        <v>414</v>
      </c>
      <c r="D295" s="8" t="s">
        <v>114</v>
      </c>
      <c r="E295" s="8">
        <v>50</v>
      </c>
      <c r="F295" s="8" t="s">
        <v>116</v>
      </c>
      <c r="G295" s="8" t="s">
        <v>116</v>
      </c>
      <c r="H295" s="8">
        <v>60</v>
      </c>
      <c r="I295" s="27">
        <v>45701</v>
      </c>
      <c r="J295" s="8" t="s">
        <v>117</v>
      </c>
      <c r="K295" s="8" t="s">
        <v>124</v>
      </c>
      <c r="L295" s="8" t="s">
        <v>119</v>
      </c>
      <c r="M295" s="16" t="str">
        <f ca="1">IFERROR(__xludf.DUMMYFUNCTION("JOIN("""",VLOOKUP(D295,'для артикула'!$A$2:$B$7,2,0),VLOOKUP(G295,'для артикула'!$A$13:$B$14,2,0),VLOOKUP(E295,'для артикула'!$A$9:$B$11,2,0),VLOOKUP(F295,'для артикула'!$A$17:$B$19,2,0),VLOOKUP(J295,'для артикула'!$A$22:$B$23,2,0),VLOOKUP(H295,'для артик"&amp;"ула'!$A$26:$B$30,2,0))"),"002-2013E50Q13-OK60")</f>
        <v>002-2013E50Q13-OK60</v>
      </c>
      <c r="N295" s="8" t="str">
        <f>IF(ISNUMBER(MATCH(C295, 'Реестр договоров'!$D$2:$D$900, 0)), "Продано", "В наличии")</f>
        <v>Продано</v>
      </c>
    </row>
    <row r="296" spans="1:14">
      <c r="A296" s="26">
        <v>45701.497039340276</v>
      </c>
      <c r="B296" s="26"/>
      <c r="C296" s="8" t="s">
        <v>415</v>
      </c>
      <c r="D296" s="8" t="s">
        <v>347</v>
      </c>
      <c r="E296" s="8">
        <v>50</v>
      </c>
      <c r="F296" s="8" t="s">
        <v>116</v>
      </c>
      <c r="G296" s="8" t="s">
        <v>116</v>
      </c>
      <c r="H296" s="8" t="s">
        <v>115</v>
      </c>
      <c r="I296" s="27">
        <v>45701</v>
      </c>
      <c r="J296" s="8" t="s">
        <v>117</v>
      </c>
      <c r="K296" s="8" t="s">
        <v>124</v>
      </c>
      <c r="L296" s="8" t="s">
        <v>288</v>
      </c>
      <c r="M296" s="16" t="str">
        <f ca="1">IFERROR(__xludf.DUMMYFUNCTION("JOIN("""",VLOOKUP(D296,'для артикула'!$A$2:$B$7,2,0),VLOOKUP(G296,'для артикула'!$A$13:$B$14,2,0),VLOOKUP(E296,'для артикула'!$A$9:$B$11,2,0),VLOOKUP(F296,'для артикула'!$A$17:$B$19,2,0),VLOOKUP(J296,'для артикула'!$A$22:$B$23,2,0),VLOOKUP(H296,'для артик"&amp;"ула'!$A$26:$B$30,2,0))"),"002-2515E50Q13-OK")</f>
        <v>002-2515E50Q13-OK</v>
      </c>
      <c r="N296" s="8" t="str">
        <f>IF(ISNUMBER(MATCH(C296, 'Реестр договоров'!$D$2:$D$900, 0)), "Продано", "В наличии")</f>
        <v>Продано</v>
      </c>
    </row>
    <row r="297" spans="1:14">
      <c r="A297" s="26">
        <v>45702.521142094905</v>
      </c>
      <c r="B297" s="26"/>
      <c r="C297" s="8" t="s">
        <v>416</v>
      </c>
      <c r="D297" s="8" t="s">
        <v>287</v>
      </c>
      <c r="E297" s="8">
        <v>50</v>
      </c>
      <c r="F297" s="8" t="s">
        <v>116</v>
      </c>
      <c r="G297" s="8" t="s">
        <v>116</v>
      </c>
      <c r="H297" s="8" t="s">
        <v>115</v>
      </c>
      <c r="I297" s="27">
        <v>45656</v>
      </c>
      <c r="J297" s="8" t="s">
        <v>117</v>
      </c>
      <c r="K297" s="8" t="s">
        <v>121</v>
      </c>
      <c r="L297" s="8" t="s">
        <v>119</v>
      </c>
      <c r="M297" s="16" t="str">
        <f ca="1">IFERROR(__xludf.DUMMYFUNCTION("JOIN("""",VLOOKUP(D297,'для артикула'!$A$2:$B$7,2,0),VLOOKUP(G297,'для артикула'!$A$13:$B$14,2,0),VLOOKUP(E297,'для артикула'!$A$9:$B$11,2,0),VLOOKUP(F297,'для артикула'!$A$17:$B$19,2,0),VLOOKUP(J297,'для артикула'!$A$22:$B$23,2,0),VLOOKUP(H297,'для артик"&amp;"ула'!$A$26:$B$30,2,0))"),"002-2513E50Q13-OK")</f>
        <v>002-2513E50Q13-OK</v>
      </c>
      <c r="N297" s="8" t="str">
        <f>IF(ISNUMBER(MATCH(C297, 'Реестр договоров'!$D$2:$D$900, 0)), "Продано", "В наличии")</f>
        <v>Продано</v>
      </c>
    </row>
    <row r="298" spans="1:14">
      <c r="A298" s="26">
        <v>45702.707120763887</v>
      </c>
      <c r="B298" s="26"/>
      <c r="C298" s="8" t="s">
        <v>417</v>
      </c>
      <c r="D298" s="8" t="s">
        <v>114</v>
      </c>
      <c r="E298" s="8">
        <v>50</v>
      </c>
      <c r="F298" s="8" t="s">
        <v>116</v>
      </c>
      <c r="G298" s="8" t="s">
        <v>116</v>
      </c>
      <c r="H298" s="8" t="s">
        <v>115</v>
      </c>
      <c r="I298" s="27">
        <v>45702</v>
      </c>
      <c r="J298" s="8" t="s">
        <v>117</v>
      </c>
      <c r="K298" s="8" t="s">
        <v>118</v>
      </c>
      <c r="L298" s="8" t="s">
        <v>119</v>
      </c>
      <c r="M298" s="16" t="str">
        <f ca="1">IFERROR(__xludf.DUMMYFUNCTION("JOIN("""",VLOOKUP(D298,'для артикула'!$A$2:$B$7,2,0),VLOOKUP(G298,'для артикула'!$A$13:$B$14,2,0),VLOOKUP(E298,'для артикула'!$A$9:$B$11,2,0),VLOOKUP(F298,'для артикула'!$A$17:$B$19,2,0),VLOOKUP(J298,'для артикула'!$A$22:$B$23,2,0),VLOOKUP(H298,'для артик"&amp;"ула'!$A$26:$B$30,2,0))"),"002-2013E50Q13-OK")</f>
        <v>002-2013E50Q13-OK</v>
      </c>
      <c r="N298" s="8" t="str">
        <f>IF(ISNUMBER(MATCH(C298, 'Реестр договоров'!$D$2:$D$900, 0)), "Продано", "В наличии")</f>
        <v>Продано</v>
      </c>
    </row>
    <row r="299" spans="1:14">
      <c r="A299" s="26">
        <v>45703.699996967596</v>
      </c>
      <c r="B299" s="26"/>
      <c r="C299" s="8" t="s">
        <v>418</v>
      </c>
      <c r="D299" s="8" t="s">
        <v>114</v>
      </c>
      <c r="E299" s="8">
        <v>50</v>
      </c>
      <c r="F299" s="8" t="s">
        <v>116</v>
      </c>
      <c r="G299" s="8" t="s">
        <v>116</v>
      </c>
      <c r="H299" s="8" t="s">
        <v>115</v>
      </c>
      <c r="I299" s="27">
        <v>45703</v>
      </c>
      <c r="J299" s="8" t="s">
        <v>117</v>
      </c>
      <c r="K299" s="8" t="s">
        <v>124</v>
      </c>
      <c r="L299" s="8" t="s">
        <v>119</v>
      </c>
      <c r="M299" s="16" t="str">
        <f ca="1">IFERROR(__xludf.DUMMYFUNCTION("JOIN("""",VLOOKUP(D299,'для артикула'!$A$2:$B$7,2,0),VLOOKUP(G299,'для артикула'!$A$13:$B$14,2,0),VLOOKUP(E299,'для артикула'!$A$9:$B$11,2,0),VLOOKUP(F299,'для артикула'!$A$17:$B$19,2,0),VLOOKUP(J299,'для артикула'!$A$22:$B$23,2,0),VLOOKUP(H299,'для артик"&amp;"ула'!$A$26:$B$30,2,0))"),"002-2013E50Q13-OK")</f>
        <v>002-2013E50Q13-OK</v>
      </c>
      <c r="N299" s="8" t="str">
        <f>IF(ISNUMBER(MATCH(C299, 'Реестр договоров'!$D$2:$D$900, 0)), "Продано", "В наличии")</f>
        <v>Продано</v>
      </c>
    </row>
    <row r="300" spans="1:14">
      <c r="A300" s="26">
        <v>45703.700647662037</v>
      </c>
      <c r="B300" s="26"/>
      <c r="C300" s="8" t="s">
        <v>419</v>
      </c>
      <c r="D300" s="8" t="s">
        <v>114</v>
      </c>
      <c r="E300" s="8">
        <v>30</v>
      </c>
      <c r="F300" s="8" t="s">
        <v>116</v>
      </c>
      <c r="G300" s="8" t="s">
        <v>116</v>
      </c>
      <c r="H300" s="8" t="s">
        <v>115</v>
      </c>
      <c r="I300" s="27">
        <v>45657</v>
      </c>
      <c r="J300" s="8" t="s">
        <v>117</v>
      </c>
      <c r="K300" s="8" t="s">
        <v>124</v>
      </c>
      <c r="L300" s="8" t="s">
        <v>119</v>
      </c>
      <c r="M300" s="16" t="str">
        <f ca="1">IFERROR(__xludf.DUMMYFUNCTION("JOIN("""",VLOOKUP(D300,'для артикула'!$A$2:$B$7,2,0),VLOOKUP(G300,'для артикула'!$A$13:$B$14,2,0),VLOOKUP(E300,'для артикула'!$A$9:$B$11,2,0),VLOOKUP(F300,'для артикула'!$A$17:$B$19,2,0),VLOOKUP(J300,'для артикула'!$A$22:$B$23,2,0),VLOOKUP(H300,'для артик"&amp;"ула'!$A$26:$B$30,2,0))"),"002-2013E30Q13-OK")</f>
        <v>002-2013E30Q13-OK</v>
      </c>
      <c r="N300" s="8" t="str">
        <f>IF(ISNUMBER(MATCH(C300, 'Реестр договоров'!$D$2:$D$900, 0)), "Продано", "В наличии")</f>
        <v>Продано</v>
      </c>
    </row>
    <row r="301" spans="1:14">
      <c r="A301" s="26">
        <v>45705.480501053244</v>
      </c>
      <c r="B301" s="26"/>
      <c r="C301" s="8" t="s">
        <v>420</v>
      </c>
      <c r="D301" s="8" t="s">
        <v>114</v>
      </c>
      <c r="E301" s="8">
        <v>50</v>
      </c>
      <c r="F301" s="8" t="s">
        <v>116</v>
      </c>
      <c r="G301" s="8" t="s">
        <v>116</v>
      </c>
      <c r="H301" s="8" t="s">
        <v>115</v>
      </c>
      <c r="I301" s="27">
        <v>45705</v>
      </c>
      <c r="J301" s="8" t="s">
        <v>117</v>
      </c>
      <c r="K301" s="8" t="s">
        <v>118</v>
      </c>
      <c r="L301" s="8" t="s">
        <v>119</v>
      </c>
      <c r="M301" s="16" t="str">
        <f ca="1">IFERROR(__xludf.DUMMYFUNCTION("JOIN("""",VLOOKUP(D301,'для артикула'!$A$2:$B$7,2,0),VLOOKUP(G301,'для артикула'!$A$13:$B$14,2,0),VLOOKUP(E301,'для артикула'!$A$9:$B$11,2,0),VLOOKUP(F301,'для артикула'!$A$17:$B$19,2,0),VLOOKUP(J301,'для артикула'!$A$22:$B$23,2,0),VLOOKUP(H301,'для артик"&amp;"ула'!$A$26:$B$30,2,0))"),"002-2013E50Q13-OK")</f>
        <v>002-2013E50Q13-OK</v>
      </c>
      <c r="N301" s="8" t="str">
        <f>IF(ISNUMBER(MATCH(C301, 'Реестр договоров'!$D$2:$D$900, 0)), "Продано", "В наличии")</f>
        <v>Продано</v>
      </c>
    </row>
    <row r="302" spans="1:14">
      <c r="A302" s="26">
        <v>45705.494832962962</v>
      </c>
      <c r="B302" s="26"/>
      <c r="C302" s="8" t="s">
        <v>421</v>
      </c>
      <c r="D302" s="8" t="s">
        <v>287</v>
      </c>
      <c r="E302" s="8">
        <v>50</v>
      </c>
      <c r="F302" s="8" t="s">
        <v>116</v>
      </c>
      <c r="G302" s="8" t="s">
        <v>116</v>
      </c>
      <c r="H302" s="8" t="s">
        <v>115</v>
      </c>
      <c r="I302" s="27">
        <v>45705</v>
      </c>
      <c r="J302" s="8" t="s">
        <v>117</v>
      </c>
      <c r="K302" s="8" t="s">
        <v>118</v>
      </c>
      <c r="L302" s="8" t="s">
        <v>119</v>
      </c>
      <c r="M302" s="16" t="str">
        <f ca="1">IFERROR(__xludf.DUMMYFUNCTION("JOIN("""",VLOOKUP(D302,'для артикула'!$A$2:$B$7,2,0),VLOOKUP(G302,'для артикула'!$A$13:$B$14,2,0),VLOOKUP(E302,'для артикула'!$A$9:$B$11,2,0),VLOOKUP(F302,'для артикула'!$A$17:$B$19,2,0),VLOOKUP(J302,'для артикула'!$A$22:$B$23,2,0),VLOOKUP(H302,'для артик"&amp;"ула'!$A$26:$B$30,2,0))"),"002-2513E50Q13-OK")</f>
        <v>002-2513E50Q13-OK</v>
      </c>
      <c r="N302" s="8" t="str">
        <f>IF(ISNUMBER(MATCH(C302, 'Реестр договоров'!$D$2:$D$900, 0)), "Продано", "В наличии")</f>
        <v>Продано</v>
      </c>
    </row>
    <row r="303" spans="1:14">
      <c r="A303" s="26">
        <v>45706.439871689814</v>
      </c>
      <c r="B303" s="26"/>
      <c r="C303" s="8" t="s">
        <v>422</v>
      </c>
      <c r="D303" s="8" t="s">
        <v>287</v>
      </c>
      <c r="E303" s="8">
        <v>50</v>
      </c>
      <c r="F303" s="8" t="s">
        <v>116</v>
      </c>
      <c r="G303" s="8" t="s">
        <v>116</v>
      </c>
      <c r="H303" s="8" t="s">
        <v>115</v>
      </c>
      <c r="I303" s="27">
        <v>45706</v>
      </c>
      <c r="J303" s="8" t="s">
        <v>117</v>
      </c>
      <c r="K303" s="8" t="s">
        <v>124</v>
      </c>
      <c r="L303" s="8" t="s">
        <v>119</v>
      </c>
      <c r="M303" s="16" t="str">
        <f ca="1">IFERROR(__xludf.DUMMYFUNCTION("JOIN("""",VLOOKUP(D303,'для артикула'!$A$2:$B$7,2,0),VLOOKUP(G303,'для артикула'!$A$13:$B$14,2,0),VLOOKUP(E303,'для артикула'!$A$9:$B$11,2,0),VLOOKUP(F303,'для артикула'!$A$17:$B$19,2,0),VLOOKUP(J303,'для артикула'!$A$22:$B$23,2,0),VLOOKUP(H303,'для артик"&amp;"ула'!$A$26:$B$30,2,0))"),"002-2513E50Q13-OK")</f>
        <v>002-2513E50Q13-OK</v>
      </c>
      <c r="N303" s="8" t="str">
        <f>IF(ISNUMBER(MATCH(C303, 'Реестр договоров'!$D$2:$D$900, 0)), "Продано", "В наличии")</f>
        <v>Продано</v>
      </c>
    </row>
    <row r="304" spans="1:14">
      <c r="A304" s="26">
        <v>45706.440211979163</v>
      </c>
      <c r="B304" s="26"/>
      <c r="C304" s="8" t="s">
        <v>423</v>
      </c>
      <c r="D304" s="8" t="s">
        <v>287</v>
      </c>
      <c r="E304" s="8">
        <v>50</v>
      </c>
      <c r="F304" s="8" t="s">
        <v>116</v>
      </c>
      <c r="G304" s="8" t="s">
        <v>116</v>
      </c>
      <c r="H304" s="8" t="s">
        <v>115</v>
      </c>
      <c r="I304" s="27">
        <v>45706</v>
      </c>
      <c r="J304" s="8" t="s">
        <v>117</v>
      </c>
      <c r="K304" s="8" t="s">
        <v>124</v>
      </c>
      <c r="L304" s="8" t="s">
        <v>119</v>
      </c>
      <c r="M304" s="16" t="str">
        <f ca="1">IFERROR(__xludf.DUMMYFUNCTION("JOIN("""",VLOOKUP(D304,'для артикула'!$A$2:$B$7,2,0),VLOOKUP(G304,'для артикула'!$A$13:$B$14,2,0),VLOOKUP(E304,'для артикула'!$A$9:$B$11,2,0),VLOOKUP(F304,'для артикула'!$A$17:$B$19,2,0),VLOOKUP(J304,'для артикула'!$A$22:$B$23,2,0),VLOOKUP(H304,'для артик"&amp;"ула'!$A$26:$B$30,2,0))"),"002-2513E50Q13-OK")</f>
        <v>002-2513E50Q13-OK</v>
      </c>
      <c r="N304" s="8" t="str">
        <f>IF(ISNUMBER(MATCH(C304, 'Реестр договоров'!$D$2:$D$900, 0)), "Продано", "В наличии")</f>
        <v>Продано</v>
      </c>
    </row>
    <row r="305" spans="1:14">
      <c r="A305" s="26">
        <v>45706.446051296298</v>
      </c>
      <c r="B305" s="26"/>
      <c r="C305" s="8" t="s">
        <v>424</v>
      </c>
      <c r="D305" s="8" t="s">
        <v>114</v>
      </c>
      <c r="E305" s="8">
        <v>50</v>
      </c>
      <c r="F305" s="8" t="s">
        <v>116</v>
      </c>
      <c r="G305" s="8" t="s">
        <v>116</v>
      </c>
      <c r="H305" s="8">
        <v>60</v>
      </c>
      <c r="I305" s="27">
        <v>45706</v>
      </c>
      <c r="J305" s="8" t="s">
        <v>117</v>
      </c>
      <c r="K305" s="8" t="s">
        <v>124</v>
      </c>
      <c r="L305" s="8" t="s">
        <v>119</v>
      </c>
      <c r="M305" s="16" t="str">
        <f ca="1">IFERROR(__xludf.DUMMYFUNCTION("JOIN("""",VLOOKUP(D305,'для артикула'!$A$2:$B$7,2,0),VLOOKUP(G305,'для артикула'!$A$13:$B$14,2,0),VLOOKUP(E305,'для артикула'!$A$9:$B$11,2,0),VLOOKUP(F305,'для артикула'!$A$17:$B$19,2,0),VLOOKUP(J305,'для артикула'!$A$22:$B$23,2,0),VLOOKUP(H305,'для артик"&amp;"ула'!$A$26:$B$30,2,0))"),"002-2013E50Q13-OK60")</f>
        <v>002-2013E50Q13-OK60</v>
      </c>
      <c r="N305" s="8" t="str">
        <f>IF(ISNUMBER(MATCH(C305, 'Реестр договоров'!$D$2:$D$900, 0)), "Продано", "В наличии")</f>
        <v>Продано</v>
      </c>
    </row>
    <row r="306" spans="1:14">
      <c r="A306" s="26">
        <v>45706.446466458336</v>
      </c>
      <c r="B306" s="26"/>
      <c r="C306" s="8" t="s">
        <v>425</v>
      </c>
      <c r="D306" s="8" t="s">
        <v>114</v>
      </c>
      <c r="E306" s="8">
        <v>50</v>
      </c>
      <c r="F306" s="8" t="s">
        <v>116</v>
      </c>
      <c r="G306" s="8" t="s">
        <v>116</v>
      </c>
      <c r="H306" s="8" t="s">
        <v>115</v>
      </c>
      <c r="I306" s="27">
        <v>45706</v>
      </c>
      <c r="J306" s="8" t="s">
        <v>117</v>
      </c>
      <c r="K306" s="8" t="s">
        <v>124</v>
      </c>
      <c r="L306" s="8" t="s">
        <v>119</v>
      </c>
      <c r="M306" s="16" t="str">
        <f ca="1">IFERROR(__xludf.DUMMYFUNCTION("JOIN("""",VLOOKUP(D306,'для артикула'!$A$2:$B$7,2,0),VLOOKUP(G306,'для артикула'!$A$13:$B$14,2,0),VLOOKUP(E306,'для артикула'!$A$9:$B$11,2,0),VLOOKUP(F306,'для артикула'!$A$17:$B$19,2,0),VLOOKUP(J306,'для артикула'!$A$22:$B$23,2,0),VLOOKUP(H306,'для артик"&amp;"ула'!$A$26:$B$30,2,0))"),"002-2013E50Q13-OK")</f>
        <v>002-2013E50Q13-OK</v>
      </c>
      <c r="N306" s="8" t="str">
        <f>IF(ISNUMBER(MATCH(C306, 'Реестр договоров'!$D$2:$D$900, 0)), "Продано", "В наличии")</f>
        <v>Продано</v>
      </c>
    </row>
    <row r="307" spans="1:14">
      <c r="A307" s="26">
        <v>45706.627776979163</v>
      </c>
      <c r="B307" s="26"/>
      <c r="C307" s="8" t="s">
        <v>426</v>
      </c>
      <c r="D307" s="8" t="s">
        <v>114</v>
      </c>
      <c r="E307" s="8">
        <v>50</v>
      </c>
      <c r="F307" s="8" t="s">
        <v>116</v>
      </c>
      <c r="G307" s="8" t="s">
        <v>116</v>
      </c>
      <c r="H307" s="8">
        <v>30</v>
      </c>
      <c r="I307" s="27">
        <v>45706</v>
      </c>
      <c r="J307" s="8" t="s">
        <v>117</v>
      </c>
      <c r="K307" s="8" t="s">
        <v>124</v>
      </c>
      <c r="L307" s="8" t="s">
        <v>119</v>
      </c>
      <c r="M307" s="16" t="str">
        <f ca="1">IFERROR(__xludf.DUMMYFUNCTION("JOIN("""",VLOOKUP(D307,'для артикула'!$A$2:$B$7,2,0),VLOOKUP(G307,'для артикула'!$A$13:$B$14,2,0),VLOOKUP(E307,'для артикула'!$A$9:$B$11,2,0),VLOOKUP(F307,'для артикула'!$A$17:$B$19,2,0),VLOOKUP(J307,'для артикула'!$A$22:$B$23,2,0),VLOOKUP(H307,'для артик"&amp;"ула'!$A$26:$B$30,2,0))"),"002-2013E50Q13-OK30")</f>
        <v>002-2013E50Q13-OK30</v>
      </c>
      <c r="N307" s="8" t="str">
        <f>IF(ISNUMBER(MATCH(C307, 'Реестр договоров'!$D$2:$D$900, 0)), "Продано", "В наличии")</f>
        <v>Продано</v>
      </c>
    </row>
    <row r="308" spans="1:14">
      <c r="A308" s="26">
        <v>45706.644675173608</v>
      </c>
      <c r="B308" s="26"/>
      <c r="C308" s="8" t="s">
        <v>427</v>
      </c>
      <c r="D308" s="8" t="s">
        <v>114</v>
      </c>
      <c r="E308" s="8">
        <v>50</v>
      </c>
      <c r="F308" s="8" t="s">
        <v>116</v>
      </c>
      <c r="G308" s="8" t="s">
        <v>116</v>
      </c>
      <c r="H308" s="8" t="s">
        <v>115</v>
      </c>
      <c r="I308" s="27">
        <v>45706</v>
      </c>
      <c r="J308" s="8" t="s">
        <v>117</v>
      </c>
      <c r="K308" s="8" t="s">
        <v>118</v>
      </c>
      <c r="L308" s="8" t="s">
        <v>119</v>
      </c>
      <c r="M308" s="16" t="str">
        <f ca="1">IFERROR(__xludf.DUMMYFUNCTION("JOIN("""",VLOOKUP(D308,'для артикула'!$A$2:$B$7,2,0),VLOOKUP(G308,'для артикула'!$A$13:$B$14,2,0),VLOOKUP(E308,'для артикула'!$A$9:$B$11,2,0),VLOOKUP(F308,'для артикула'!$A$17:$B$19,2,0),VLOOKUP(J308,'для артикула'!$A$22:$B$23,2,0),VLOOKUP(H308,'для артик"&amp;"ула'!$A$26:$B$30,2,0))"),"002-2013E50Q13-OK")</f>
        <v>002-2013E50Q13-OK</v>
      </c>
      <c r="N308" s="8" t="str">
        <f>IF(ISNUMBER(MATCH(C308, 'Реестр договоров'!$D$2:$D$900, 0)), "Продано", "В наличии")</f>
        <v>Продано</v>
      </c>
    </row>
    <row r="309" spans="1:14">
      <c r="A309" s="26">
        <v>45707.506251342595</v>
      </c>
      <c r="B309" s="26"/>
      <c r="C309" s="8" t="s">
        <v>428</v>
      </c>
      <c r="D309" s="8" t="s">
        <v>114</v>
      </c>
      <c r="E309" s="8">
        <v>50</v>
      </c>
      <c r="F309" s="8" t="s">
        <v>116</v>
      </c>
      <c r="G309" s="8" t="s">
        <v>116</v>
      </c>
      <c r="H309" s="8">
        <v>30</v>
      </c>
      <c r="I309" s="27">
        <v>45707</v>
      </c>
      <c r="J309" s="8" t="s">
        <v>117</v>
      </c>
      <c r="K309" s="8" t="s">
        <v>124</v>
      </c>
      <c r="L309" s="8" t="s">
        <v>119</v>
      </c>
      <c r="M309" s="16" t="str">
        <f ca="1">IFERROR(__xludf.DUMMYFUNCTION("JOIN("""",VLOOKUP(D309,'для артикула'!$A$2:$B$7,2,0),VLOOKUP(G309,'для артикула'!$A$13:$B$14,2,0),VLOOKUP(E309,'для артикула'!$A$9:$B$11,2,0),VLOOKUP(F309,'для артикула'!$A$17:$B$19,2,0),VLOOKUP(J309,'для артикула'!$A$22:$B$23,2,0),VLOOKUP(H309,'для артик"&amp;"ула'!$A$26:$B$30,2,0))"),"002-2013E50Q13-OK30")</f>
        <v>002-2013E50Q13-OK30</v>
      </c>
      <c r="N309" s="8" t="str">
        <f>IF(ISNUMBER(MATCH(C309, 'Реестр договоров'!$D$2:$D$900, 0)), "Продано", "В наличии")</f>
        <v>Продано</v>
      </c>
    </row>
    <row r="310" spans="1:14">
      <c r="A310" s="26">
        <v>45707.620287245372</v>
      </c>
      <c r="B310" s="26"/>
      <c r="C310" s="8" t="s">
        <v>429</v>
      </c>
      <c r="D310" s="8" t="s">
        <v>114</v>
      </c>
      <c r="E310" s="8">
        <v>30</v>
      </c>
      <c r="F310" s="8" t="s">
        <v>116</v>
      </c>
      <c r="G310" s="8" t="s">
        <v>116</v>
      </c>
      <c r="H310" s="8" t="s">
        <v>115</v>
      </c>
      <c r="I310" s="27">
        <v>45638</v>
      </c>
      <c r="J310" s="8" t="s">
        <v>117</v>
      </c>
      <c r="K310" s="8" t="s">
        <v>121</v>
      </c>
      <c r="L310" s="8" t="s">
        <v>119</v>
      </c>
      <c r="M310" s="16" t="str">
        <f ca="1">IFERROR(__xludf.DUMMYFUNCTION("JOIN("""",VLOOKUP(D310,'для артикула'!$A$2:$B$7,2,0),VLOOKUP(G310,'для артикула'!$A$13:$B$14,2,0),VLOOKUP(E310,'для артикула'!$A$9:$B$11,2,0),VLOOKUP(F310,'для артикула'!$A$17:$B$19,2,0),VLOOKUP(J310,'для артикула'!$A$22:$B$23,2,0),VLOOKUP(H310,'для артик"&amp;"ула'!$A$26:$B$30,2,0))"),"002-2013E30Q13-OK")</f>
        <v>002-2013E30Q13-OK</v>
      </c>
      <c r="N310" s="8" t="str">
        <f>IF(ISNUMBER(MATCH(C310, 'Реестр договоров'!$D$2:$D$900, 0)), "Продано", "В наличии")</f>
        <v>Продано</v>
      </c>
    </row>
    <row r="311" spans="1:14">
      <c r="A311" s="26">
        <v>45708.543738113425</v>
      </c>
      <c r="B311" s="26"/>
      <c r="C311" s="8" t="s">
        <v>430</v>
      </c>
      <c r="D311" s="8" t="s">
        <v>114</v>
      </c>
      <c r="E311" s="8">
        <v>50</v>
      </c>
      <c r="F311" s="8" t="s">
        <v>116</v>
      </c>
      <c r="G311" s="8" t="s">
        <v>116</v>
      </c>
      <c r="H311" s="8" t="s">
        <v>115</v>
      </c>
      <c r="I311" s="27">
        <v>45638</v>
      </c>
      <c r="J311" s="8" t="s">
        <v>117</v>
      </c>
      <c r="K311" s="8" t="s">
        <v>121</v>
      </c>
      <c r="L311" s="8" t="s">
        <v>119</v>
      </c>
      <c r="M311" s="16" t="str">
        <f ca="1">IFERROR(__xludf.DUMMYFUNCTION("JOIN("""",VLOOKUP(D311,'для артикула'!$A$2:$B$7,2,0),VLOOKUP(G311,'для артикула'!$A$13:$B$14,2,0),VLOOKUP(E311,'для артикула'!$A$9:$B$11,2,0),VLOOKUP(F311,'для артикула'!$A$17:$B$19,2,0),VLOOKUP(J311,'для артикула'!$A$22:$B$23,2,0),VLOOKUP(H311,'для артик"&amp;"ула'!$A$26:$B$30,2,0))"),"002-2013E50Q13-OK")</f>
        <v>002-2013E50Q13-OK</v>
      </c>
      <c r="N311" s="8" t="str">
        <f>IF(ISNUMBER(MATCH(C311, 'Реестр договоров'!$D$2:$D$900, 0)), "Продано", "В наличии")</f>
        <v>Продано</v>
      </c>
    </row>
    <row r="312" spans="1:14">
      <c r="A312" s="26">
        <v>45709.405237129627</v>
      </c>
      <c r="B312" s="26"/>
      <c r="C312" s="8" t="s">
        <v>431</v>
      </c>
      <c r="D312" s="8" t="s">
        <v>114</v>
      </c>
      <c r="E312" s="8">
        <v>50</v>
      </c>
      <c r="F312" s="8" t="s">
        <v>116</v>
      </c>
      <c r="G312" s="8" t="s">
        <v>116</v>
      </c>
      <c r="H312" s="8" t="s">
        <v>115</v>
      </c>
      <c r="I312" s="27">
        <v>45705</v>
      </c>
      <c r="J312" s="8" t="s">
        <v>117</v>
      </c>
      <c r="K312" s="8" t="s">
        <v>124</v>
      </c>
      <c r="L312" s="8" t="s">
        <v>119</v>
      </c>
      <c r="M312" s="16" t="str">
        <f ca="1">IFERROR(__xludf.DUMMYFUNCTION("JOIN("""",VLOOKUP(D312,'для артикула'!$A$2:$B$7,2,0),VLOOKUP(G312,'для артикула'!$A$13:$B$14,2,0),VLOOKUP(E312,'для артикула'!$A$9:$B$11,2,0),VLOOKUP(F312,'для артикула'!$A$17:$B$19,2,0),VLOOKUP(J312,'для артикула'!$A$22:$B$23,2,0),VLOOKUP(H312,'для артик"&amp;"ула'!$A$26:$B$30,2,0))"),"002-2013E50Q13-OK")</f>
        <v>002-2013E50Q13-OK</v>
      </c>
      <c r="N312" s="8" t="str">
        <f>IF(ISNUMBER(MATCH(C312, 'Реестр договоров'!$D$2:$D$900, 0)), "Продано", "В наличии")</f>
        <v>Продано</v>
      </c>
    </row>
    <row r="313" spans="1:14">
      <c r="A313" s="26">
        <v>45709.423826076389</v>
      </c>
      <c r="B313" s="26"/>
      <c r="C313" s="8" t="s">
        <v>432</v>
      </c>
      <c r="D313" s="8" t="s">
        <v>114</v>
      </c>
      <c r="E313" s="8">
        <v>50</v>
      </c>
      <c r="F313" s="8" t="s">
        <v>116</v>
      </c>
      <c r="G313" s="8" t="s">
        <v>116</v>
      </c>
      <c r="H313" s="8" t="s">
        <v>115</v>
      </c>
      <c r="I313" s="27">
        <v>45706</v>
      </c>
      <c r="J313" s="8" t="s">
        <v>117</v>
      </c>
      <c r="K313" s="8" t="s">
        <v>124</v>
      </c>
      <c r="L313" s="8" t="s">
        <v>119</v>
      </c>
      <c r="M313" s="16" t="str">
        <f ca="1">IFERROR(__xludf.DUMMYFUNCTION("JOIN("""",VLOOKUP(D313,'для артикула'!$A$2:$B$7,2,0),VLOOKUP(G313,'для артикула'!$A$13:$B$14,2,0),VLOOKUP(E313,'для артикула'!$A$9:$B$11,2,0),VLOOKUP(F313,'для артикула'!$A$17:$B$19,2,0),VLOOKUP(J313,'для артикула'!$A$22:$B$23,2,0),VLOOKUP(H313,'для артик"&amp;"ула'!$A$26:$B$30,2,0))"),"002-2013E50Q13-OK")</f>
        <v>002-2013E50Q13-OK</v>
      </c>
      <c r="N313" s="8" t="str">
        <f>IF(ISNUMBER(MATCH(C313, 'Реестр договоров'!$D$2:$D$900, 0)), "Продано", "В наличии")</f>
        <v>Продано</v>
      </c>
    </row>
    <row r="314" spans="1:14">
      <c r="A314" s="26">
        <v>45709.705555763889</v>
      </c>
      <c r="B314" s="26"/>
      <c r="C314" s="8" t="s">
        <v>433</v>
      </c>
      <c r="D314" s="8" t="s">
        <v>114</v>
      </c>
      <c r="E314" s="8">
        <v>30</v>
      </c>
      <c r="F314" s="8" t="s">
        <v>116</v>
      </c>
      <c r="G314" s="8" t="s">
        <v>116</v>
      </c>
      <c r="H314" s="8" t="s">
        <v>115</v>
      </c>
      <c r="I314" s="27">
        <v>45706</v>
      </c>
      <c r="J314" s="8" t="s">
        <v>117</v>
      </c>
      <c r="K314" s="8" t="s">
        <v>118</v>
      </c>
      <c r="L314" s="8" t="s">
        <v>119</v>
      </c>
      <c r="M314" s="16" t="str">
        <f ca="1">IFERROR(__xludf.DUMMYFUNCTION("JOIN("""",VLOOKUP(D314,'для артикула'!$A$2:$B$7,2,0),VLOOKUP(G314,'для артикула'!$A$13:$B$14,2,0),VLOOKUP(E314,'для артикула'!$A$9:$B$11,2,0),VLOOKUP(F314,'для артикула'!$A$17:$B$19,2,0),VLOOKUP(J314,'для артикула'!$A$22:$B$23,2,0),VLOOKUP(H314,'для артик"&amp;"ула'!$A$26:$B$30,2,0))"),"002-2013E30Q13-OK")</f>
        <v>002-2013E30Q13-OK</v>
      </c>
      <c r="N314" s="8" t="str">
        <f>IF(ISNUMBER(MATCH(C314, 'Реестр договоров'!$D$2:$D$900, 0)), "Продано", "В наличии")</f>
        <v>Продано</v>
      </c>
    </row>
    <row r="315" spans="1:14">
      <c r="A315" s="26">
        <v>45710.433413530089</v>
      </c>
      <c r="B315" s="26"/>
      <c r="C315" s="8" t="s">
        <v>434</v>
      </c>
      <c r="D315" s="8" t="s">
        <v>114</v>
      </c>
      <c r="E315" s="8">
        <v>50</v>
      </c>
      <c r="F315" s="8" t="s">
        <v>116</v>
      </c>
      <c r="G315" s="8" t="s">
        <v>116</v>
      </c>
      <c r="H315" s="8">
        <v>30</v>
      </c>
      <c r="I315" s="27">
        <v>45710</v>
      </c>
      <c r="J315" s="8" t="s">
        <v>117</v>
      </c>
      <c r="K315" s="8" t="s">
        <v>118</v>
      </c>
      <c r="L315" s="8" t="s">
        <v>119</v>
      </c>
      <c r="M315" s="16" t="str">
        <f ca="1">IFERROR(__xludf.DUMMYFUNCTION("JOIN("""",VLOOKUP(D315,'для артикула'!$A$2:$B$7,2,0),VLOOKUP(G315,'для артикула'!$A$13:$B$14,2,0),VLOOKUP(E315,'для артикула'!$A$9:$B$11,2,0),VLOOKUP(F315,'для артикула'!$A$17:$B$19,2,0),VLOOKUP(J315,'для артикула'!$A$22:$B$23,2,0),VLOOKUP(H315,'для артик"&amp;"ула'!$A$26:$B$30,2,0))"),"002-2013E50Q13-OK30")</f>
        <v>002-2013E50Q13-OK30</v>
      </c>
      <c r="N315" s="8" t="str">
        <f>IF(ISNUMBER(MATCH(C315, 'Реестр договоров'!$D$2:$D$900, 0)), "Продано", "В наличии")</f>
        <v>Продано</v>
      </c>
    </row>
    <row r="316" spans="1:14">
      <c r="A316" s="26">
        <v>45712.455205486112</v>
      </c>
      <c r="B316" s="26"/>
      <c r="C316" s="8" t="s">
        <v>435</v>
      </c>
      <c r="D316" s="8" t="s">
        <v>366</v>
      </c>
      <c r="E316" s="8">
        <v>50</v>
      </c>
      <c r="F316" s="8" t="s">
        <v>116</v>
      </c>
      <c r="G316" s="8" t="s">
        <v>116</v>
      </c>
      <c r="H316" s="8" t="s">
        <v>115</v>
      </c>
      <c r="I316" s="27">
        <v>45638</v>
      </c>
      <c r="J316" s="8" t="s">
        <v>117</v>
      </c>
      <c r="K316" s="8" t="s">
        <v>121</v>
      </c>
      <c r="L316" s="8" t="s">
        <v>119</v>
      </c>
      <c r="M316" s="16" t="str">
        <f ca="1">IFERROR(__xludf.DUMMYFUNCTION("JOIN("""",VLOOKUP(D316,'для артикула'!$A$2:$B$7,2,0),VLOOKUP(G316,'для артикула'!$A$13:$B$14,2,0),VLOOKUP(E316,'для артикула'!$A$9:$B$11,2,0),VLOOKUP(F316,'для артикула'!$A$17:$B$19,2,0),VLOOKUP(J316,'для артикула'!$A$22:$B$23,2,0),VLOOKUP(H316,'для артик"&amp;"ула'!$A$26:$B$30,2,0))"),"002-3015E50Q13-OK")</f>
        <v>002-3015E50Q13-OK</v>
      </c>
      <c r="N316" s="8" t="str">
        <f>IF(ISNUMBER(MATCH(C316, 'Реестр договоров'!$D$2:$D$900, 0)), "Продано", "В наличии")</f>
        <v>Продано</v>
      </c>
    </row>
    <row r="317" spans="1:14">
      <c r="A317" s="26">
        <v>45712.49722365741</v>
      </c>
      <c r="B317" s="26"/>
      <c r="C317" s="8" t="s">
        <v>436</v>
      </c>
      <c r="D317" s="8" t="s">
        <v>114</v>
      </c>
      <c r="E317" s="8">
        <v>50</v>
      </c>
      <c r="F317" s="8" t="s">
        <v>116</v>
      </c>
      <c r="G317" s="8" t="s">
        <v>116</v>
      </c>
      <c r="H317" s="8" t="s">
        <v>115</v>
      </c>
      <c r="I317" s="27">
        <v>45638</v>
      </c>
      <c r="J317" s="8" t="s">
        <v>117</v>
      </c>
      <c r="K317" s="8" t="s">
        <v>121</v>
      </c>
      <c r="L317" s="8" t="s">
        <v>119</v>
      </c>
      <c r="M317" s="16" t="str">
        <f ca="1">IFERROR(__xludf.DUMMYFUNCTION("JOIN("""",VLOOKUP(D317,'для артикула'!$A$2:$B$7,2,0),VLOOKUP(G317,'для артикула'!$A$13:$B$14,2,0),VLOOKUP(E317,'для артикула'!$A$9:$B$11,2,0),VLOOKUP(F317,'для артикула'!$A$17:$B$19,2,0),VLOOKUP(J317,'для артикула'!$A$22:$B$23,2,0),VLOOKUP(H317,'для артик"&amp;"ула'!$A$26:$B$30,2,0))"),"002-2013E50Q13-OK")</f>
        <v>002-2013E50Q13-OK</v>
      </c>
      <c r="N317" s="8" t="str">
        <f>IF(ISNUMBER(MATCH(C317, 'Реестр договоров'!$D$2:$D$900, 0)), "Продано", "В наличии")</f>
        <v>Продано</v>
      </c>
    </row>
    <row r="318" spans="1:14">
      <c r="A318" s="26">
        <v>45713.486797743055</v>
      </c>
      <c r="B318" s="26"/>
      <c r="C318" s="8" t="s">
        <v>437</v>
      </c>
      <c r="D318" s="8" t="s">
        <v>287</v>
      </c>
      <c r="E318" s="8">
        <v>50</v>
      </c>
      <c r="F318" s="8" t="s">
        <v>116</v>
      </c>
      <c r="G318" s="8" t="s">
        <v>116</v>
      </c>
      <c r="H318" s="8" t="s">
        <v>115</v>
      </c>
      <c r="I318" s="27">
        <v>45713</v>
      </c>
      <c r="J318" s="8" t="s">
        <v>117</v>
      </c>
      <c r="K318" s="8" t="s">
        <v>124</v>
      </c>
      <c r="L318" s="8" t="s">
        <v>119</v>
      </c>
      <c r="M318" s="16" t="str">
        <f ca="1">IFERROR(__xludf.DUMMYFUNCTION("JOIN("""",VLOOKUP(D318,'для артикула'!$A$2:$B$7,2,0),VLOOKUP(G318,'для артикула'!$A$13:$B$14,2,0),VLOOKUP(E318,'для артикула'!$A$9:$B$11,2,0),VLOOKUP(F318,'для артикула'!$A$17:$B$19,2,0),VLOOKUP(J318,'для артикула'!$A$22:$B$23,2,0),VLOOKUP(H318,'для артик"&amp;"ула'!$A$26:$B$30,2,0))"),"002-2513E50Q13-OK")</f>
        <v>002-2513E50Q13-OK</v>
      </c>
      <c r="N318" s="8" t="str">
        <f>IF(ISNUMBER(MATCH(C318, 'Реестр договоров'!$D$2:$D$900, 0)), "Продано", "В наличии")</f>
        <v>Продано</v>
      </c>
    </row>
    <row r="319" spans="1:14">
      <c r="A319" s="26">
        <v>45713.487685717591</v>
      </c>
      <c r="B319" s="26"/>
      <c r="C319" s="8" t="s">
        <v>438</v>
      </c>
      <c r="D319" s="8" t="s">
        <v>287</v>
      </c>
      <c r="E319" s="8">
        <v>50</v>
      </c>
      <c r="F319" s="8" t="s">
        <v>116</v>
      </c>
      <c r="G319" s="8" t="s">
        <v>116</v>
      </c>
      <c r="H319" s="8">
        <v>30</v>
      </c>
      <c r="I319" s="27">
        <v>45713</v>
      </c>
      <c r="J319" s="8" t="s">
        <v>117</v>
      </c>
      <c r="K319" s="8" t="s">
        <v>124</v>
      </c>
      <c r="L319" s="8" t="s">
        <v>119</v>
      </c>
      <c r="M319" s="16" t="str">
        <f ca="1">IFERROR(__xludf.DUMMYFUNCTION("JOIN("""",VLOOKUP(D319,'для артикула'!$A$2:$B$7,2,0),VLOOKUP(G319,'для артикула'!$A$13:$B$14,2,0),VLOOKUP(E319,'для артикула'!$A$9:$B$11,2,0),VLOOKUP(F319,'для артикула'!$A$17:$B$19,2,0),VLOOKUP(J319,'для артикула'!$A$22:$B$23,2,0),VLOOKUP(H319,'для артик"&amp;"ула'!$A$26:$B$30,2,0))"),"002-2513E50Q13-OK30")</f>
        <v>002-2513E50Q13-OK30</v>
      </c>
      <c r="N319" s="8" t="str">
        <f>IF(ISNUMBER(MATCH(C319, 'Реестр договоров'!$D$2:$D$900, 0)), "Продано", "В наличии")</f>
        <v>Продано</v>
      </c>
    </row>
    <row r="320" spans="1:14">
      <c r="A320" s="26">
        <v>45713.705950312498</v>
      </c>
      <c r="B320" s="26"/>
      <c r="C320" s="8" t="s">
        <v>439</v>
      </c>
      <c r="D320" s="8" t="s">
        <v>114</v>
      </c>
      <c r="E320" s="8">
        <v>50</v>
      </c>
      <c r="F320" s="8" t="s">
        <v>116</v>
      </c>
      <c r="G320" s="8" t="s">
        <v>116</v>
      </c>
      <c r="H320" s="8" t="s">
        <v>115</v>
      </c>
      <c r="I320" s="27">
        <v>45713</v>
      </c>
      <c r="J320" s="8" t="s">
        <v>117</v>
      </c>
      <c r="K320" s="8" t="s">
        <v>118</v>
      </c>
      <c r="L320" s="8" t="s">
        <v>119</v>
      </c>
      <c r="M320" s="16" t="str">
        <f ca="1">IFERROR(__xludf.DUMMYFUNCTION("JOIN("""",VLOOKUP(D320,'для артикула'!$A$2:$B$7,2,0),VLOOKUP(G320,'для артикула'!$A$13:$B$14,2,0),VLOOKUP(E320,'для артикула'!$A$9:$B$11,2,0),VLOOKUP(F320,'для артикула'!$A$17:$B$19,2,0),VLOOKUP(J320,'для артикула'!$A$22:$B$23,2,0),VLOOKUP(H320,'для артик"&amp;"ула'!$A$26:$B$30,2,0))"),"002-2013E50Q13-OK")</f>
        <v>002-2013E50Q13-OK</v>
      </c>
      <c r="N320" s="8" t="str">
        <f>IF(ISNUMBER(MATCH(C320, 'Реестр договоров'!$D$2:$D$900, 0)), "Продано", "В наличии")</f>
        <v>Продано</v>
      </c>
    </row>
    <row r="321" spans="1:14">
      <c r="A321" s="26">
        <v>45714.52275123843</v>
      </c>
      <c r="B321" s="26"/>
      <c r="C321" s="8" t="s">
        <v>440</v>
      </c>
      <c r="D321" s="8" t="s">
        <v>114</v>
      </c>
      <c r="E321" s="8">
        <v>30</v>
      </c>
      <c r="F321" s="8" t="s">
        <v>116</v>
      </c>
      <c r="G321" s="8" t="s">
        <v>116</v>
      </c>
      <c r="H321" s="8" t="s">
        <v>115</v>
      </c>
      <c r="I321" s="27">
        <v>45646</v>
      </c>
      <c r="J321" s="8" t="s">
        <v>117</v>
      </c>
      <c r="K321" s="8" t="s">
        <v>121</v>
      </c>
      <c r="L321" s="8" t="s">
        <v>119</v>
      </c>
      <c r="M321" s="16" t="str">
        <f ca="1">IFERROR(__xludf.DUMMYFUNCTION("JOIN("""",VLOOKUP(D321,'для артикула'!$A$2:$B$7,2,0),VLOOKUP(G321,'для артикула'!$A$13:$B$14,2,0),VLOOKUP(E321,'для артикула'!$A$9:$B$11,2,0),VLOOKUP(F321,'для артикула'!$A$17:$B$19,2,0),VLOOKUP(J321,'для артикула'!$A$22:$B$23,2,0),VLOOKUP(H321,'для артик"&amp;"ула'!$A$26:$B$30,2,0))"),"002-2013E30Q13-OK")</f>
        <v>002-2013E30Q13-OK</v>
      </c>
      <c r="N321" s="8" t="str">
        <f>IF(ISNUMBER(MATCH(C321, 'Реестр договоров'!$D$2:$D$900, 0)), "Продано", "В наличии")</f>
        <v>Продано</v>
      </c>
    </row>
    <row r="322" spans="1:14">
      <c r="A322" s="26">
        <v>45714.663708460648</v>
      </c>
      <c r="B322" s="26"/>
      <c r="C322" s="8" t="s">
        <v>441</v>
      </c>
      <c r="D322" s="8" t="s">
        <v>114</v>
      </c>
      <c r="E322" s="8">
        <v>50</v>
      </c>
      <c r="F322" s="8" t="s">
        <v>116</v>
      </c>
      <c r="G322" s="8" t="s">
        <v>116</v>
      </c>
      <c r="H322" s="8" t="s">
        <v>115</v>
      </c>
      <c r="I322" s="27">
        <v>45694</v>
      </c>
      <c r="J322" s="8" t="s">
        <v>117</v>
      </c>
      <c r="K322" s="8" t="s">
        <v>124</v>
      </c>
      <c r="L322" s="8" t="s">
        <v>119</v>
      </c>
      <c r="M322" s="16" t="str">
        <f ca="1">IFERROR(__xludf.DUMMYFUNCTION("JOIN("""",VLOOKUP(D322,'для артикула'!$A$2:$B$7,2,0),VLOOKUP(G322,'для артикула'!$A$13:$B$14,2,0),VLOOKUP(E322,'для артикула'!$A$9:$B$11,2,0),VLOOKUP(F322,'для артикула'!$A$17:$B$19,2,0),VLOOKUP(J322,'для артикула'!$A$22:$B$23,2,0),VLOOKUP(H322,'для артик"&amp;"ула'!$A$26:$B$30,2,0))"),"002-2013E50Q13-OK")</f>
        <v>002-2013E50Q13-OK</v>
      </c>
      <c r="N322" s="8" t="str">
        <f>IF(ISNUMBER(MATCH(C322, 'Реестр договоров'!$D$2:$D$900, 0)), "Продано", "В наличии")</f>
        <v>Продано</v>
      </c>
    </row>
    <row r="323" spans="1:14">
      <c r="A323" s="26">
        <v>45714.664164351852</v>
      </c>
      <c r="B323" s="26"/>
      <c r="C323" s="8" t="s">
        <v>442</v>
      </c>
      <c r="D323" s="8" t="s">
        <v>114</v>
      </c>
      <c r="E323" s="8">
        <v>50</v>
      </c>
      <c r="F323" s="8" t="s">
        <v>116</v>
      </c>
      <c r="G323" s="8" t="s">
        <v>116</v>
      </c>
      <c r="H323" s="8">
        <v>30</v>
      </c>
      <c r="I323" s="27">
        <v>45714</v>
      </c>
      <c r="J323" s="8" t="s">
        <v>117</v>
      </c>
      <c r="K323" s="8" t="s">
        <v>124</v>
      </c>
      <c r="L323" s="8" t="s">
        <v>119</v>
      </c>
      <c r="M323" s="16" t="str">
        <f ca="1">IFERROR(__xludf.DUMMYFUNCTION("JOIN("""",VLOOKUP(D323,'для артикула'!$A$2:$B$7,2,0),VLOOKUP(G323,'для артикула'!$A$13:$B$14,2,0),VLOOKUP(E323,'для артикула'!$A$9:$B$11,2,0),VLOOKUP(F323,'для артикула'!$A$17:$B$19,2,0),VLOOKUP(J323,'для артикула'!$A$22:$B$23,2,0),VLOOKUP(H323,'для артик"&amp;"ула'!$A$26:$B$30,2,0))"),"002-2013E50Q13-OK30")</f>
        <v>002-2013E50Q13-OK30</v>
      </c>
      <c r="N323" s="8" t="str">
        <f>IF(ISNUMBER(MATCH(C323, 'Реестр договоров'!$D$2:$D$900, 0)), "Продано", "В наличии")</f>
        <v>Продано</v>
      </c>
    </row>
    <row r="324" spans="1:14">
      <c r="A324" s="26">
        <v>45714.74069633102</v>
      </c>
      <c r="B324" s="26"/>
      <c r="C324" s="8" t="s">
        <v>443</v>
      </c>
      <c r="D324" s="8" t="s">
        <v>114</v>
      </c>
      <c r="E324" s="8">
        <v>50</v>
      </c>
      <c r="F324" s="8" t="s">
        <v>116</v>
      </c>
      <c r="G324" s="8" t="s">
        <v>116</v>
      </c>
      <c r="H324" s="8" t="s">
        <v>115</v>
      </c>
      <c r="I324" s="27">
        <v>45714</v>
      </c>
      <c r="J324" s="8" t="s">
        <v>117</v>
      </c>
      <c r="K324" s="8" t="s">
        <v>118</v>
      </c>
      <c r="L324" s="8" t="s">
        <v>119</v>
      </c>
      <c r="M324" s="16" t="str">
        <f ca="1">IFERROR(__xludf.DUMMYFUNCTION("JOIN("""",VLOOKUP(D324,'для артикула'!$A$2:$B$7,2,0),VLOOKUP(G324,'для артикула'!$A$13:$B$14,2,0),VLOOKUP(E324,'для артикула'!$A$9:$B$11,2,0),VLOOKUP(F324,'для артикула'!$A$17:$B$19,2,0),VLOOKUP(J324,'для артикула'!$A$22:$B$23,2,0),VLOOKUP(H324,'для артик"&amp;"ула'!$A$26:$B$30,2,0))"),"002-2013E50Q13-OK")</f>
        <v>002-2013E50Q13-OK</v>
      </c>
      <c r="N324" s="8" t="str">
        <f>IF(ISNUMBER(MATCH(C324, 'Реестр договоров'!$D$2:$D$900, 0)), "Продано", "В наличии")</f>
        <v>Продано</v>
      </c>
    </row>
    <row r="325" spans="1:14">
      <c r="A325" s="26">
        <v>45715.445305914356</v>
      </c>
      <c r="B325" s="26"/>
      <c r="C325" s="8" t="s">
        <v>444</v>
      </c>
      <c r="D325" s="8" t="s">
        <v>287</v>
      </c>
      <c r="E325" s="8">
        <v>50</v>
      </c>
      <c r="F325" s="8" t="s">
        <v>116</v>
      </c>
      <c r="G325" s="8" t="s">
        <v>116</v>
      </c>
      <c r="H325" s="8" t="s">
        <v>115</v>
      </c>
      <c r="I325" s="27">
        <v>45715</v>
      </c>
      <c r="J325" s="8" t="s">
        <v>117</v>
      </c>
      <c r="K325" s="8" t="s">
        <v>118</v>
      </c>
      <c r="L325" s="8" t="s">
        <v>119</v>
      </c>
      <c r="M325" s="16" t="str">
        <f ca="1">IFERROR(__xludf.DUMMYFUNCTION("JOIN("""",VLOOKUP(D325,'для артикула'!$A$2:$B$7,2,0),VLOOKUP(G325,'для артикула'!$A$13:$B$14,2,0),VLOOKUP(E325,'для артикула'!$A$9:$B$11,2,0),VLOOKUP(F325,'для артикула'!$A$17:$B$19,2,0),VLOOKUP(J325,'для артикула'!$A$22:$B$23,2,0),VLOOKUP(H325,'для артик"&amp;"ула'!$A$26:$B$30,2,0))"),"002-2513E50Q13-OK")</f>
        <v>002-2513E50Q13-OK</v>
      </c>
      <c r="N325" s="8" t="str">
        <f>IF(ISNUMBER(MATCH(C325, 'Реестр договоров'!$D$2:$D$900, 0)), "Продано", "В наличии")</f>
        <v>Продано</v>
      </c>
    </row>
    <row r="326" spans="1:14">
      <c r="A326" s="26">
        <v>45715.682634965277</v>
      </c>
      <c r="B326" s="26"/>
      <c r="C326" s="8" t="s">
        <v>445</v>
      </c>
      <c r="D326" s="8" t="s">
        <v>347</v>
      </c>
      <c r="E326" s="8">
        <v>50</v>
      </c>
      <c r="F326" s="8" t="s">
        <v>116</v>
      </c>
      <c r="G326" s="8" t="s">
        <v>116</v>
      </c>
      <c r="H326" s="8">
        <v>90</v>
      </c>
      <c r="I326" s="27">
        <v>45656</v>
      </c>
      <c r="J326" s="8" t="s">
        <v>117</v>
      </c>
      <c r="K326" s="8" t="s">
        <v>121</v>
      </c>
      <c r="L326" s="8" t="s">
        <v>288</v>
      </c>
      <c r="M326" s="16" t="str">
        <f ca="1">IFERROR(__xludf.DUMMYFUNCTION("JOIN("""",VLOOKUP(D326,'для артикула'!$A$2:$B$7,2,0),VLOOKUP(G326,'для артикула'!$A$13:$B$14,2,0),VLOOKUP(E326,'для артикула'!$A$9:$B$11,2,0),VLOOKUP(F326,'для артикула'!$A$17:$B$19,2,0),VLOOKUP(J326,'для артикула'!$A$22:$B$23,2,0),VLOOKUP(H326,'для артик"&amp;"ула'!$A$26:$B$30,2,0))"),"002-2515E50Q13-OK90")</f>
        <v>002-2515E50Q13-OK90</v>
      </c>
      <c r="N326" s="8" t="str">
        <f>IF(ISNUMBER(MATCH(C326, 'Реестр договоров'!$D$2:$D$900, 0)), "Продано", "В наличии")</f>
        <v>Продано</v>
      </c>
    </row>
    <row r="327" spans="1:14">
      <c r="A327" s="26">
        <v>45715.744391296292</v>
      </c>
      <c r="B327" s="26"/>
      <c r="C327" s="8" t="s">
        <v>34</v>
      </c>
      <c r="D327" s="8" t="s">
        <v>347</v>
      </c>
      <c r="E327" s="8">
        <v>50</v>
      </c>
      <c r="F327" s="8" t="s">
        <v>144</v>
      </c>
      <c r="G327" s="8" t="s">
        <v>144</v>
      </c>
      <c r="H327" s="8" t="s">
        <v>115</v>
      </c>
      <c r="I327" s="27">
        <v>45639</v>
      </c>
      <c r="J327" s="8" t="s">
        <v>117</v>
      </c>
      <c r="K327" s="8" t="s">
        <v>121</v>
      </c>
      <c r="L327" s="8" t="s">
        <v>119</v>
      </c>
      <c r="M327" s="16" t="str">
        <f ca="1">IFERROR(__xludf.DUMMYFUNCTION("JOIN("""",VLOOKUP(D327,'для артикула'!$A$2:$B$7,2,0),VLOOKUP(G327,'для артикула'!$A$13:$B$14,2,0),VLOOKUP(E327,'для артикула'!$A$9:$B$11,2,0),VLOOKUP(F327,'для артикула'!$A$17:$B$19,2,0),VLOOKUP(J327,'для артикула'!$A$22:$B$23,2,0),VLOOKUP(H327,'для артик"&amp;"ула'!$A$26:$B$30,2,0))"),"002-2515E50Q15-OK")</f>
        <v>002-2515E50Q15-OK</v>
      </c>
      <c r="N327" s="8" t="str">
        <f>IF(ISNUMBER(MATCH(C327, 'Реестр договоров'!$D$2:$D$900, 0)), "Продано", "В наличии")</f>
        <v>Продано</v>
      </c>
    </row>
    <row r="328" spans="1:14">
      <c r="A328" s="26">
        <v>45716.476226493054</v>
      </c>
      <c r="B328" s="26"/>
      <c r="C328" s="8" t="s">
        <v>446</v>
      </c>
      <c r="D328" s="8" t="s">
        <v>287</v>
      </c>
      <c r="E328" s="8">
        <v>50</v>
      </c>
      <c r="F328" s="8" t="s">
        <v>116</v>
      </c>
      <c r="G328" s="8" t="s">
        <v>116</v>
      </c>
      <c r="H328" s="8" t="s">
        <v>115</v>
      </c>
      <c r="I328" s="27">
        <v>45715</v>
      </c>
      <c r="J328" s="8" t="s">
        <v>117</v>
      </c>
      <c r="K328" s="8" t="s">
        <v>118</v>
      </c>
      <c r="L328" s="8" t="s">
        <v>119</v>
      </c>
      <c r="M328" s="16" t="str">
        <f ca="1">IFERROR(__xludf.DUMMYFUNCTION("JOIN("""",VLOOKUP(D328,'для артикула'!$A$2:$B$7,2,0),VLOOKUP(G328,'для артикула'!$A$13:$B$14,2,0),VLOOKUP(E328,'для артикула'!$A$9:$B$11,2,0),VLOOKUP(F328,'для артикула'!$A$17:$B$19,2,0),VLOOKUP(J328,'для артикула'!$A$22:$B$23,2,0),VLOOKUP(H328,'для артик"&amp;"ула'!$A$26:$B$30,2,0))"),"002-2513E50Q13-OK")</f>
        <v>002-2513E50Q13-OK</v>
      </c>
      <c r="N328" s="8" t="str">
        <f>IF(ISNUMBER(MATCH(C328, 'Реестр договоров'!$D$2:$D$900, 0)), "Продано", "В наличии")</f>
        <v>Продано</v>
      </c>
    </row>
    <row r="329" spans="1:14">
      <c r="A329" s="26">
        <v>45719.470687256944</v>
      </c>
      <c r="B329" s="26"/>
      <c r="C329" s="8" t="s">
        <v>447</v>
      </c>
      <c r="D329" s="8" t="s">
        <v>287</v>
      </c>
      <c r="E329" s="8">
        <v>30</v>
      </c>
      <c r="F329" s="8" t="s">
        <v>116</v>
      </c>
      <c r="G329" s="8" t="s">
        <v>116</v>
      </c>
      <c r="H329" s="8">
        <v>30</v>
      </c>
      <c r="I329" s="27">
        <v>45719</v>
      </c>
      <c r="J329" s="8" t="s">
        <v>117</v>
      </c>
      <c r="K329" s="8" t="s">
        <v>118</v>
      </c>
      <c r="L329" s="8" t="s">
        <v>119</v>
      </c>
      <c r="M329" s="16" t="str">
        <f ca="1">IFERROR(__xludf.DUMMYFUNCTION("JOIN("""",VLOOKUP(D329,'для артикула'!$A$2:$B$7,2,0),VLOOKUP(G329,'для артикула'!$A$13:$B$14,2,0),VLOOKUP(E329,'для артикула'!$A$9:$B$11,2,0),VLOOKUP(F329,'для артикула'!$A$17:$B$19,2,0),VLOOKUP(J329,'для артикула'!$A$22:$B$23,2,0),VLOOKUP(H329,'для артик"&amp;"ула'!$A$26:$B$30,2,0))"),"002-2513E30Q13-OK30")</f>
        <v>002-2513E30Q13-OK30</v>
      </c>
      <c r="N329" s="8" t="str">
        <f>IF(ISNUMBER(MATCH(C329, 'Реестр договоров'!$D$2:$D$900, 0)), "Продано", "В наличии")</f>
        <v>Продано</v>
      </c>
    </row>
    <row r="330" spans="1:14">
      <c r="A330" s="26">
        <v>45719.573946493052</v>
      </c>
      <c r="B330" s="26"/>
      <c r="C330" s="8" t="s">
        <v>448</v>
      </c>
      <c r="D330" s="8" t="s">
        <v>114</v>
      </c>
      <c r="E330" s="8">
        <v>50</v>
      </c>
      <c r="F330" s="8" t="s">
        <v>116</v>
      </c>
      <c r="G330" s="8" t="s">
        <v>116</v>
      </c>
      <c r="H330" s="8" t="s">
        <v>115</v>
      </c>
      <c r="I330" s="27">
        <v>45639</v>
      </c>
      <c r="J330" s="8" t="s">
        <v>117</v>
      </c>
      <c r="K330" s="8" t="s">
        <v>121</v>
      </c>
      <c r="L330" s="8" t="s">
        <v>119</v>
      </c>
      <c r="M330" s="16" t="str">
        <f ca="1">IFERROR(__xludf.DUMMYFUNCTION("JOIN("""",VLOOKUP(D330,'для артикула'!$A$2:$B$7,2,0),VLOOKUP(G330,'для артикула'!$A$13:$B$14,2,0),VLOOKUP(E330,'для артикула'!$A$9:$B$11,2,0),VLOOKUP(F330,'для артикула'!$A$17:$B$19,2,0),VLOOKUP(J330,'для артикула'!$A$22:$B$23,2,0),VLOOKUP(H330,'для артик"&amp;"ула'!$A$26:$B$30,2,0))"),"002-2013E50Q13-OK")</f>
        <v>002-2013E50Q13-OK</v>
      </c>
      <c r="N330" s="8" t="str">
        <f>IF(ISNUMBER(MATCH(C330, 'Реестр договоров'!$D$2:$D$900, 0)), "Продано", "В наличии")</f>
        <v>Продано</v>
      </c>
    </row>
    <row r="331" spans="1:14">
      <c r="A331" s="26">
        <v>45719.690722083338</v>
      </c>
      <c r="B331" s="26"/>
      <c r="C331" s="8" t="s">
        <v>449</v>
      </c>
      <c r="D331" s="8" t="s">
        <v>287</v>
      </c>
      <c r="E331" s="8">
        <v>50</v>
      </c>
      <c r="F331" s="8" t="s">
        <v>116</v>
      </c>
      <c r="G331" s="8" t="s">
        <v>116</v>
      </c>
      <c r="H331" s="8" t="s">
        <v>115</v>
      </c>
      <c r="I331" s="27">
        <v>45638</v>
      </c>
      <c r="J331" s="8" t="s">
        <v>117</v>
      </c>
      <c r="K331" s="8" t="s">
        <v>121</v>
      </c>
      <c r="L331" s="8" t="s">
        <v>119</v>
      </c>
      <c r="M331" s="16" t="str">
        <f ca="1">IFERROR(__xludf.DUMMYFUNCTION("JOIN("""",VLOOKUP(D331,'для артикула'!$A$2:$B$7,2,0),VLOOKUP(G331,'для артикула'!$A$13:$B$14,2,0),VLOOKUP(E331,'для артикула'!$A$9:$B$11,2,0),VLOOKUP(F331,'для артикула'!$A$17:$B$19,2,0),VLOOKUP(J331,'для артикула'!$A$22:$B$23,2,0),VLOOKUP(H331,'для артик"&amp;"ула'!$A$26:$B$30,2,0))"),"002-2513E50Q13-OK")</f>
        <v>002-2513E50Q13-OK</v>
      </c>
      <c r="N331" s="8" t="str">
        <f>IF(ISNUMBER(MATCH(C331, 'Реестр договоров'!$D$2:$D$900, 0)), "Продано", "В наличии")</f>
        <v>Продано</v>
      </c>
    </row>
    <row r="332" spans="1:14">
      <c r="A332" s="26">
        <v>45720.459754629628</v>
      </c>
      <c r="B332" s="26"/>
      <c r="C332" s="8" t="s">
        <v>450</v>
      </c>
      <c r="D332" s="8" t="s">
        <v>287</v>
      </c>
      <c r="E332" s="8">
        <v>50</v>
      </c>
      <c r="F332" s="8" t="s">
        <v>116</v>
      </c>
      <c r="G332" s="8" t="s">
        <v>116</v>
      </c>
      <c r="H332" s="8" t="s">
        <v>115</v>
      </c>
      <c r="I332" s="27">
        <v>45719</v>
      </c>
      <c r="J332" s="8" t="s">
        <v>117</v>
      </c>
      <c r="K332" s="8" t="s">
        <v>118</v>
      </c>
      <c r="L332" s="8" t="s">
        <v>119</v>
      </c>
      <c r="M332" s="16" t="str">
        <f ca="1">IFERROR(__xludf.DUMMYFUNCTION("JOIN("""",VLOOKUP(D332,'для артикула'!$A$2:$B$7,2,0),VLOOKUP(G332,'для артикула'!$A$13:$B$14,2,0),VLOOKUP(E332,'для артикула'!$A$9:$B$11,2,0),VLOOKUP(F332,'для артикула'!$A$17:$B$19,2,0),VLOOKUP(J332,'для артикула'!$A$22:$B$23,2,0),VLOOKUP(H332,'для артик"&amp;"ула'!$A$26:$B$30,2,0))"),"002-2513E50Q13-OK")</f>
        <v>002-2513E50Q13-OK</v>
      </c>
      <c r="N332" s="8" t="str">
        <f>IF(ISNUMBER(MATCH(C332, 'Реестр договоров'!$D$2:$D$900, 0)), "Продано", "В наличии")</f>
        <v>Продано</v>
      </c>
    </row>
    <row r="333" spans="1:14">
      <c r="A333" s="26">
        <v>45722.46705979167</v>
      </c>
      <c r="B333" s="26"/>
      <c r="C333" s="8" t="s">
        <v>451</v>
      </c>
      <c r="D333" s="8" t="s">
        <v>287</v>
      </c>
      <c r="E333" s="8">
        <v>50</v>
      </c>
      <c r="F333" s="8" t="s">
        <v>144</v>
      </c>
      <c r="G333" s="8" t="s">
        <v>144</v>
      </c>
      <c r="H333" s="8" t="s">
        <v>115</v>
      </c>
      <c r="I333" s="27">
        <v>45637</v>
      </c>
      <c r="J333" s="8" t="s">
        <v>115</v>
      </c>
      <c r="K333" s="8" t="s">
        <v>121</v>
      </c>
      <c r="L333" s="8" t="s">
        <v>119</v>
      </c>
      <c r="M333" s="16" t="str">
        <f ca="1">IFERROR(__xludf.DUMMYFUNCTION("JOIN("""",VLOOKUP(D333,'для артикула'!$A$2:$B$7,2,0),VLOOKUP(G333,'для артикула'!$A$13:$B$14,2,0),VLOOKUP(E333,'для артикула'!$A$9:$B$11,2,0),VLOOKUP(F333,'для артикула'!$A$17:$B$19,2,0),VLOOKUP(J333,'для артикула'!$A$22:$B$23,2,0),VLOOKUP(H333,'для артик"&amp;"ула'!$A$26:$B$30,2,0))"),"002-2513E50Q15")</f>
        <v>002-2513E50Q15</v>
      </c>
      <c r="N333" s="8" t="str">
        <f>IF(ISNUMBER(MATCH(C333, 'Реестр договоров'!$D$2:$D$900, 0)), "Продано", "В наличии")</f>
        <v>Продано</v>
      </c>
    </row>
    <row r="334" spans="1:14">
      <c r="A334" s="26">
        <v>45722.593704050931</v>
      </c>
      <c r="B334" s="26"/>
      <c r="C334" s="8" t="s">
        <v>452</v>
      </c>
      <c r="D334" s="8" t="s">
        <v>114</v>
      </c>
      <c r="E334" s="8">
        <v>30</v>
      </c>
      <c r="F334" s="8" t="s">
        <v>116</v>
      </c>
      <c r="G334" s="8" t="s">
        <v>116</v>
      </c>
      <c r="H334" s="8" t="s">
        <v>115</v>
      </c>
      <c r="I334" s="27">
        <v>45656</v>
      </c>
      <c r="J334" s="8" t="s">
        <v>117</v>
      </c>
      <c r="K334" s="8" t="s">
        <v>121</v>
      </c>
      <c r="L334" s="8" t="s">
        <v>119</v>
      </c>
      <c r="M334" s="16" t="str">
        <f ca="1">IFERROR(__xludf.DUMMYFUNCTION("JOIN("""",VLOOKUP(D334,'для артикула'!$A$2:$B$7,2,0),VLOOKUP(G334,'для артикула'!$A$13:$B$14,2,0),VLOOKUP(E334,'для артикула'!$A$9:$B$11,2,0),VLOOKUP(F334,'для артикула'!$A$17:$B$19,2,0),VLOOKUP(J334,'для артикула'!$A$22:$B$23,2,0),VLOOKUP(H334,'для артик"&amp;"ула'!$A$26:$B$30,2,0))"),"002-2013E30Q13-OK")</f>
        <v>002-2013E30Q13-OK</v>
      </c>
      <c r="N334" s="8" t="str">
        <f>IF(ISNUMBER(MATCH(C334, 'Реестр договоров'!$D$2:$D$900, 0)), "Продано", "В наличии")</f>
        <v>Продано</v>
      </c>
    </row>
    <row r="335" spans="1:14">
      <c r="A335" s="26">
        <v>45723.701769641208</v>
      </c>
      <c r="B335" s="26"/>
      <c r="C335" s="8" t="s">
        <v>453</v>
      </c>
      <c r="D335" s="8" t="s">
        <v>287</v>
      </c>
      <c r="E335" s="8">
        <v>30</v>
      </c>
      <c r="F335" s="8" t="s">
        <v>116</v>
      </c>
      <c r="G335" s="8" t="s">
        <v>116</v>
      </c>
      <c r="H335" s="8" t="s">
        <v>115</v>
      </c>
      <c r="I335" s="27">
        <v>45723</v>
      </c>
      <c r="J335" s="8" t="s">
        <v>117</v>
      </c>
      <c r="K335" s="8" t="s">
        <v>118</v>
      </c>
      <c r="L335" s="8" t="s">
        <v>119</v>
      </c>
      <c r="M335" s="16" t="str">
        <f ca="1">IFERROR(__xludf.DUMMYFUNCTION("JOIN("""",VLOOKUP(D335,'для артикула'!$A$2:$B$7,2,0),VLOOKUP(G335,'для артикула'!$A$13:$B$14,2,0),VLOOKUP(E335,'для артикула'!$A$9:$B$11,2,0),VLOOKUP(F335,'для артикула'!$A$17:$B$19,2,0),VLOOKUP(J335,'для артикула'!$A$22:$B$23,2,0),VLOOKUP(H335,'для артик"&amp;"ула'!$A$26:$B$30,2,0))"),"002-2513E30Q13-OK")</f>
        <v>002-2513E30Q13-OK</v>
      </c>
      <c r="N335" s="8" t="str">
        <f>IF(ISNUMBER(MATCH(C335, 'Реестр договоров'!$D$2:$D$900, 0)), "Продано", "В наличии")</f>
        <v>Продано</v>
      </c>
    </row>
    <row r="336" spans="1:14">
      <c r="A336" s="26">
        <v>45727.401986423611</v>
      </c>
      <c r="B336" s="26"/>
      <c r="C336" s="8" t="s">
        <v>454</v>
      </c>
      <c r="D336" s="8" t="s">
        <v>366</v>
      </c>
      <c r="E336" s="8">
        <v>50</v>
      </c>
      <c r="F336" s="8" t="s">
        <v>116</v>
      </c>
      <c r="G336" s="8" t="s">
        <v>116</v>
      </c>
      <c r="H336" s="8">
        <v>120</v>
      </c>
      <c r="I336" s="27">
        <v>45637</v>
      </c>
      <c r="J336" s="8" t="s">
        <v>117</v>
      </c>
      <c r="K336" s="8" t="s">
        <v>121</v>
      </c>
      <c r="L336" s="8" t="s">
        <v>288</v>
      </c>
      <c r="M336" s="16" t="str">
        <f ca="1">IFERROR(__xludf.DUMMYFUNCTION("JOIN("""",VLOOKUP(D336,'для артикула'!$A$2:$B$7,2,0),VLOOKUP(G336,'для артикула'!$A$13:$B$14,2,0),VLOOKUP(E336,'для артикула'!$A$9:$B$11,2,0),VLOOKUP(F336,'для артикула'!$A$17:$B$19,2,0),VLOOKUP(J336,'для артикула'!$A$22:$B$23,2,0),VLOOKUP(H336,'для артик"&amp;"ула'!$A$26:$B$30,2,0))"),"002-3015E50Q13-OK120")</f>
        <v>002-3015E50Q13-OK120</v>
      </c>
      <c r="N336" s="8" t="str">
        <f>IF(ISNUMBER(MATCH(C336, 'Реестр договоров'!$D$2:$D$900, 0)), "Продано", "В наличии")</f>
        <v>Продано</v>
      </c>
    </row>
    <row r="337" spans="1:14">
      <c r="A337" s="26">
        <v>45727.437343414349</v>
      </c>
      <c r="B337" s="26"/>
      <c r="C337" s="8" t="s">
        <v>455</v>
      </c>
      <c r="D337" s="8" t="s">
        <v>287</v>
      </c>
      <c r="E337" s="8">
        <v>30</v>
      </c>
      <c r="F337" s="8" t="s">
        <v>116</v>
      </c>
      <c r="G337" s="8" t="s">
        <v>116</v>
      </c>
      <c r="H337" s="8">
        <v>60</v>
      </c>
      <c r="I337" s="27">
        <v>45719</v>
      </c>
      <c r="J337" s="8" t="s">
        <v>117</v>
      </c>
      <c r="K337" s="8" t="s">
        <v>118</v>
      </c>
      <c r="L337" s="8" t="s">
        <v>119</v>
      </c>
      <c r="M337" s="16" t="str">
        <f ca="1">IFERROR(__xludf.DUMMYFUNCTION("JOIN("""",VLOOKUP(D337,'для артикула'!$A$2:$B$7,2,0),VLOOKUP(G337,'для артикула'!$A$13:$B$14,2,0),VLOOKUP(E337,'для артикула'!$A$9:$B$11,2,0),VLOOKUP(F337,'для артикула'!$A$17:$B$19,2,0),VLOOKUP(J337,'для артикула'!$A$22:$B$23,2,0),VLOOKUP(H337,'для артик"&amp;"ула'!$A$26:$B$30,2,0))"),"002-2513E30Q13-OK60")</f>
        <v>002-2513E30Q13-OK60</v>
      </c>
      <c r="N337" s="8" t="str">
        <f>IF(ISNUMBER(MATCH(C337, 'Реестр договоров'!$D$2:$D$900, 0)), "Продано", "В наличии")</f>
        <v>Продано</v>
      </c>
    </row>
    <row r="338" spans="1:14">
      <c r="A338" s="26">
        <v>45727.453040428241</v>
      </c>
      <c r="B338" s="26"/>
      <c r="C338" s="8" t="s">
        <v>456</v>
      </c>
      <c r="D338" s="8" t="s">
        <v>114</v>
      </c>
      <c r="E338" s="8">
        <v>50</v>
      </c>
      <c r="F338" s="8" t="s">
        <v>116</v>
      </c>
      <c r="G338" s="8" t="s">
        <v>116</v>
      </c>
      <c r="H338" s="8">
        <v>30</v>
      </c>
      <c r="I338" s="27">
        <v>45719</v>
      </c>
      <c r="J338" s="8" t="s">
        <v>117</v>
      </c>
      <c r="K338" s="8" t="s">
        <v>118</v>
      </c>
      <c r="L338" s="8" t="s">
        <v>119</v>
      </c>
      <c r="M338" s="16" t="str">
        <f ca="1">IFERROR(__xludf.DUMMYFUNCTION("JOIN("""",VLOOKUP(D338,'для артикула'!$A$2:$B$7,2,0),VLOOKUP(G338,'для артикула'!$A$13:$B$14,2,0),VLOOKUP(E338,'для артикула'!$A$9:$B$11,2,0),VLOOKUP(F338,'для артикула'!$A$17:$B$19,2,0),VLOOKUP(J338,'для артикула'!$A$22:$B$23,2,0),VLOOKUP(H338,'для артик"&amp;"ула'!$A$26:$B$30,2,0))"),"002-2013E50Q13-OK30")</f>
        <v>002-2013E50Q13-OK30</v>
      </c>
      <c r="N338" s="8" t="str">
        <f>IF(ISNUMBER(MATCH(C338, 'Реестр договоров'!$D$2:$D$900, 0)), "Продано", "В наличии")</f>
        <v>Продано</v>
      </c>
    </row>
    <row r="339" spans="1:14">
      <c r="A339" s="26">
        <v>45727.475556111109</v>
      </c>
      <c r="B339" s="26"/>
      <c r="C339" s="8" t="s">
        <v>457</v>
      </c>
      <c r="D339" s="8" t="s">
        <v>114</v>
      </c>
      <c r="E339" s="8">
        <v>30</v>
      </c>
      <c r="F339" s="8" t="s">
        <v>116</v>
      </c>
      <c r="G339" s="8" t="s">
        <v>116</v>
      </c>
      <c r="H339" s="8" t="s">
        <v>115</v>
      </c>
      <c r="I339" s="27">
        <v>45727</v>
      </c>
      <c r="J339" s="8" t="s">
        <v>117</v>
      </c>
      <c r="K339" s="8" t="s">
        <v>124</v>
      </c>
      <c r="L339" s="8" t="s">
        <v>119</v>
      </c>
      <c r="M339" s="16" t="str">
        <f ca="1">IFERROR(__xludf.DUMMYFUNCTION("JOIN("""",VLOOKUP(D339,'для артикула'!$A$2:$B$7,2,0),VLOOKUP(G339,'для артикула'!$A$13:$B$14,2,0),VLOOKUP(E339,'для артикула'!$A$9:$B$11,2,0),VLOOKUP(F339,'для артикула'!$A$17:$B$19,2,0),VLOOKUP(J339,'для артикула'!$A$22:$B$23,2,0),VLOOKUP(H339,'для артик"&amp;"ула'!$A$26:$B$30,2,0))"),"002-2013E30Q13-OK")</f>
        <v>002-2013E30Q13-OK</v>
      </c>
      <c r="N339" s="8" t="str">
        <f>IF(ISNUMBER(MATCH(C339, 'Реестр договоров'!$D$2:$D$900, 0)), "Продано", "В наличии")</f>
        <v>Продано</v>
      </c>
    </row>
    <row r="340" spans="1:14">
      <c r="A340" s="26">
        <v>45727.604336863427</v>
      </c>
      <c r="B340" s="26"/>
      <c r="C340" s="8" t="s">
        <v>458</v>
      </c>
      <c r="D340" s="8" t="s">
        <v>287</v>
      </c>
      <c r="E340" s="8">
        <v>50</v>
      </c>
      <c r="F340" s="8" t="s">
        <v>116</v>
      </c>
      <c r="G340" s="8" t="s">
        <v>116</v>
      </c>
      <c r="H340" s="8" t="s">
        <v>115</v>
      </c>
      <c r="I340" s="27">
        <v>45637</v>
      </c>
      <c r="J340" s="8" t="s">
        <v>117</v>
      </c>
      <c r="K340" s="8" t="s">
        <v>121</v>
      </c>
      <c r="L340" s="8" t="s">
        <v>119</v>
      </c>
      <c r="M340" s="16" t="str">
        <f ca="1">IFERROR(__xludf.DUMMYFUNCTION("JOIN("""",VLOOKUP(D340,'для артикула'!$A$2:$B$7,2,0),VLOOKUP(G340,'для артикула'!$A$13:$B$14,2,0),VLOOKUP(E340,'для артикула'!$A$9:$B$11,2,0),VLOOKUP(F340,'для артикула'!$A$17:$B$19,2,0),VLOOKUP(J340,'для артикула'!$A$22:$B$23,2,0),VLOOKUP(H340,'для артик"&amp;"ула'!$A$26:$B$30,2,0))"),"002-2513E50Q13-OK")</f>
        <v>002-2513E50Q13-OK</v>
      </c>
      <c r="N340" s="8" t="str">
        <f>IF(ISNUMBER(MATCH(C340, 'Реестр договоров'!$D$2:$D$900, 0)), "Продано", "В наличии")</f>
        <v>Продано</v>
      </c>
    </row>
    <row r="341" spans="1:14">
      <c r="A341" s="26">
        <v>45727.643464710651</v>
      </c>
      <c r="B341" s="26"/>
      <c r="C341" s="8" t="s">
        <v>459</v>
      </c>
      <c r="D341" s="8" t="s">
        <v>114</v>
      </c>
      <c r="E341" s="8">
        <v>30</v>
      </c>
      <c r="F341" s="8" t="s">
        <v>116</v>
      </c>
      <c r="G341" s="8" t="s">
        <v>116</v>
      </c>
      <c r="H341" s="8" t="s">
        <v>115</v>
      </c>
      <c r="I341" s="27">
        <v>45637</v>
      </c>
      <c r="J341" s="8" t="s">
        <v>117</v>
      </c>
      <c r="K341" s="8" t="s">
        <v>121</v>
      </c>
      <c r="L341" s="8" t="s">
        <v>119</v>
      </c>
      <c r="M341" s="16" t="str">
        <f ca="1">IFERROR(__xludf.DUMMYFUNCTION("JOIN("""",VLOOKUP(D341,'для артикула'!$A$2:$B$7,2,0),VLOOKUP(G341,'для артикула'!$A$13:$B$14,2,0),VLOOKUP(E341,'для артикула'!$A$9:$B$11,2,0),VLOOKUP(F341,'для артикула'!$A$17:$B$19,2,0),VLOOKUP(J341,'для артикула'!$A$22:$B$23,2,0),VLOOKUP(H341,'для артик"&amp;"ула'!$A$26:$B$30,2,0))"),"002-2013E30Q13-OK")</f>
        <v>002-2013E30Q13-OK</v>
      </c>
      <c r="N341" s="8" t="str">
        <f>IF(ISNUMBER(MATCH(C341, 'Реестр договоров'!$D$2:$D$900, 0)), "Продано", "В наличии")</f>
        <v>Продано</v>
      </c>
    </row>
    <row r="342" spans="1:14">
      <c r="A342" s="26">
        <v>45727.66319644676</v>
      </c>
      <c r="B342" s="26"/>
      <c r="C342" s="8" t="s">
        <v>460</v>
      </c>
      <c r="D342" s="8" t="s">
        <v>114</v>
      </c>
      <c r="E342" s="8">
        <v>50</v>
      </c>
      <c r="F342" s="8" t="s">
        <v>116</v>
      </c>
      <c r="G342" s="8" t="s">
        <v>116</v>
      </c>
      <c r="H342" s="8">
        <v>30</v>
      </c>
      <c r="I342" s="27">
        <v>45727</v>
      </c>
      <c r="J342" s="8" t="s">
        <v>117</v>
      </c>
      <c r="K342" s="8" t="s">
        <v>118</v>
      </c>
      <c r="L342" s="8" t="s">
        <v>119</v>
      </c>
      <c r="M342" s="16" t="str">
        <f ca="1">IFERROR(__xludf.DUMMYFUNCTION("JOIN("""",VLOOKUP(D342,'для артикула'!$A$2:$B$7,2,0),VLOOKUP(G342,'для артикула'!$A$13:$B$14,2,0),VLOOKUP(E342,'для артикула'!$A$9:$B$11,2,0),VLOOKUP(F342,'для артикула'!$A$17:$B$19,2,0),VLOOKUP(J342,'для артикула'!$A$22:$B$23,2,0),VLOOKUP(H342,'для артик"&amp;"ула'!$A$26:$B$30,2,0))"),"002-2013E50Q13-OK30")</f>
        <v>002-2013E50Q13-OK30</v>
      </c>
      <c r="N342" s="8" t="str">
        <f>IF(ISNUMBER(MATCH(C342, 'Реестр договоров'!$D$2:$D$900, 0)), "Продано", "В наличии")</f>
        <v>Продано</v>
      </c>
    </row>
    <row r="343" spans="1:14">
      <c r="A343" s="26">
        <v>45727.666842569444</v>
      </c>
      <c r="B343" s="26"/>
      <c r="C343" s="8" t="s">
        <v>461</v>
      </c>
      <c r="D343" s="8" t="s">
        <v>114</v>
      </c>
      <c r="E343" s="8">
        <v>50</v>
      </c>
      <c r="F343" s="8" t="s">
        <v>116</v>
      </c>
      <c r="G343" s="8" t="s">
        <v>116</v>
      </c>
      <c r="H343" s="8" t="s">
        <v>115</v>
      </c>
      <c r="I343" s="27">
        <v>45727</v>
      </c>
      <c r="J343" s="8" t="s">
        <v>117</v>
      </c>
      <c r="K343" s="8" t="s">
        <v>124</v>
      </c>
      <c r="L343" s="8" t="s">
        <v>119</v>
      </c>
      <c r="M343" s="16" t="str">
        <f ca="1">IFERROR(__xludf.DUMMYFUNCTION("JOIN("""",VLOOKUP(D343,'для артикула'!$A$2:$B$7,2,0),VLOOKUP(G343,'для артикула'!$A$13:$B$14,2,0),VLOOKUP(E343,'для артикула'!$A$9:$B$11,2,0),VLOOKUP(F343,'для артикула'!$A$17:$B$19,2,0),VLOOKUP(J343,'для артикула'!$A$22:$B$23,2,0),VLOOKUP(H343,'для артик"&amp;"ула'!$A$26:$B$30,2,0))"),"002-2013E50Q13-OK")</f>
        <v>002-2013E50Q13-OK</v>
      </c>
      <c r="N343" s="8" t="str">
        <f>IF(ISNUMBER(MATCH(C343, 'Реестр договоров'!$D$2:$D$900, 0)), "Продано", "В наличии")</f>
        <v>Продано</v>
      </c>
    </row>
    <row r="344" spans="1:14">
      <c r="A344" s="26">
        <v>45729.564242546301</v>
      </c>
      <c r="B344" s="26"/>
      <c r="C344" s="8" t="s">
        <v>462</v>
      </c>
      <c r="D344" s="8" t="s">
        <v>114</v>
      </c>
      <c r="E344" s="8">
        <v>50</v>
      </c>
      <c r="F344" s="8" t="s">
        <v>144</v>
      </c>
      <c r="G344" s="8" t="s">
        <v>144</v>
      </c>
      <c r="H344" s="8" t="s">
        <v>115</v>
      </c>
      <c r="I344" s="27">
        <v>45638</v>
      </c>
      <c r="J344" s="8" t="s">
        <v>117</v>
      </c>
      <c r="K344" s="8" t="s">
        <v>121</v>
      </c>
      <c r="L344" s="8" t="s">
        <v>119</v>
      </c>
      <c r="M344" s="16" t="str">
        <f ca="1">IFERROR(__xludf.DUMMYFUNCTION("JOIN("""",VLOOKUP(D344,'для артикула'!$A$2:$B$7,2,0),VLOOKUP(G344,'для артикула'!$A$13:$B$14,2,0),VLOOKUP(E344,'для артикула'!$A$9:$B$11,2,0),VLOOKUP(F344,'для артикула'!$A$17:$B$19,2,0),VLOOKUP(J344,'для артикула'!$A$22:$B$23,2,0),VLOOKUP(H344,'для артик"&amp;"ула'!$A$26:$B$30,2,0))"),"002-2013E50Q15-OK")</f>
        <v>002-2013E50Q15-OK</v>
      </c>
      <c r="N344" s="8" t="str">
        <f>IF(ISNUMBER(MATCH(C344, 'Реестр договоров'!$D$2:$D$900, 0)), "Продано", "В наличии")</f>
        <v>Продано</v>
      </c>
    </row>
    <row r="345" spans="1:14">
      <c r="A345" s="26">
        <v>45730.432915173616</v>
      </c>
      <c r="B345" s="26"/>
      <c r="C345" s="8" t="s">
        <v>463</v>
      </c>
      <c r="D345" s="8" t="s">
        <v>114</v>
      </c>
      <c r="E345" s="8">
        <v>50</v>
      </c>
      <c r="F345" s="8" t="s">
        <v>116</v>
      </c>
      <c r="G345" s="8" t="s">
        <v>116</v>
      </c>
      <c r="H345" s="8" t="s">
        <v>115</v>
      </c>
      <c r="I345" s="27">
        <v>45638</v>
      </c>
      <c r="J345" s="8" t="s">
        <v>117</v>
      </c>
      <c r="K345" s="8" t="s">
        <v>121</v>
      </c>
      <c r="L345" s="8" t="s">
        <v>119</v>
      </c>
      <c r="M345" s="16" t="str">
        <f ca="1">IFERROR(__xludf.DUMMYFUNCTION("JOIN("""",VLOOKUP(D345,'для артикула'!$A$2:$B$7,2,0),VLOOKUP(G345,'для артикула'!$A$13:$B$14,2,0),VLOOKUP(E345,'для артикула'!$A$9:$B$11,2,0),VLOOKUP(F345,'для артикула'!$A$17:$B$19,2,0),VLOOKUP(J345,'для артикула'!$A$22:$B$23,2,0),VLOOKUP(H345,'для артик"&amp;"ула'!$A$26:$B$30,2,0))"),"002-2013E50Q13-OK")</f>
        <v>002-2013E50Q13-OK</v>
      </c>
      <c r="N345" s="8" t="str">
        <f>IF(ISNUMBER(MATCH(C345, 'Реестр договоров'!$D$2:$D$900, 0)), "Продано", "В наличии")</f>
        <v>Продано</v>
      </c>
    </row>
    <row r="346" spans="1:14">
      <c r="A346" s="26">
        <v>45730.754807824072</v>
      </c>
      <c r="B346" s="26"/>
      <c r="C346" s="8" t="s">
        <v>38</v>
      </c>
      <c r="D346" s="8" t="s">
        <v>114</v>
      </c>
      <c r="E346" s="8">
        <v>50</v>
      </c>
      <c r="F346" s="8" t="s">
        <v>116</v>
      </c>
      <c r="G346" s="8" t="s">
        <v>116</v>
      </c>
      <c r="H346" s="28">
        <v>30</v>
      </c>
      <c r="I346" s="27">
        <v>45730</v>
      </c>
      <c r="J346" s="8" t="s">
        <v>117</v>
      </c>
      <c r="K346" s="8" t="s">
        <v>124</v>
      </c>
      <c r="L346" s="8" t="s">
        <v>119</v>
      </c>
      <c r="M346" s="16" t="str">
        <f ca="1">IFERROR(__xludf.DUMMYFUNCTION("JOIN("""",VLOOKUP(D346,'для артикула'!$A$2:$B$7,2,0),VLOOKUP(G346,'для артикула'!$A$13:$B$14,2,0),VLOOKUP(E346,'для артикула'!$A$9:$B$11,2,0),VLOOKUP(F346,'для артикула'!$A$17:$B$19,2,0),VLOOKUP(J346,'для артикула'!$A$22:$B$23,2,0),VLOOKUP(H346,'для артик"&amp;"ула'!$A$26:$B$30,2,0))"),"002-2013E50Q13-OK30")</f>
        <v>002-2013E50Q13-OK30</v>
      </c>
      <c r="N346" s="8" t="str">
        <f>IF(ISNUMBER(MATCH(C346, 'Реестр договоров'!$D$2:$D$900, 0)), "Продано", "В наличии")</f>
        <v>Продано</v>
      </c>
    </row>
    <row r="347" spans="1:14">
      <c r="A347" s="26">
        <v>45730.755461550929</v>
      </c>
      <c r="B347" s="26"/>
      <c r="C347" s="8" t="s">
        <v>464</v>
      </c>
      <c r="D347" s="8" t="s">
        <v>114</v>
      </c>
      <c r="E347" s="8">
        <v>50</v>
      </c>
      <c r="F347" s="8" t="s">
        <v>116</v>
      </c>
      <c r="G347" s="8" t="s">
        <v>116</v>
      </c>
      <c r="H347" s="8" t="s">
        <v>115</v>
      </c>
      <c r="I347" s="27">
        <v>45730</v>
      </c>
      <c r="J347" s="8" t="s">
        <v>117</v>
      </c>
      <c r="K347" s="8" t="s">
        <v>124</v>
      </c>
      <c r="L347" s="8" t="s">
        <v>119</v>
      </c>
      <c r="M347" s="16" t="str">
        <f ca="1">IFERROR(__xludf.DUMMYFUNCTION("JOIN("""",VLOOKUP(D347,'для артикула'!$A$2:$B$7,2,0),VLOOKUP(G347,'для артикула'!$A$13:$B$14,2,0),VLOOKUP(E347,'для артикула'!$A$9:$B$11,2,0),VLOOKUP(F347,'для артикула'!$A$17:$B$19,2,0),VLOOKUP(J347,'для артикула'!$A$22:$B$23,2,0),VLOOKUP(H347,'для артик"&amp;"ула'!$A$26:$B$30,2,0))"),"002-2013E50Q13-OK")</f>
        <v>002-2013E50Q13-OK</v>
      </c>
      <c r="N347" s="8" t="str">
        <f>IF(ISNUMBER(MATCH(C347, 'Реестр договоров'!$D$2:$D$900, 0)), "Продано", "В наличии")</f>
        <v>Продано</v>
      </c>
    </row>
    <row r="348" spans="1:14">
      <c r="A348" s="26">
        <v>45731.473450081015</v>
      </c>
      <c r="B348" s="26"/>
      <c r="C348" s="8" t="s">
        <v>465</v>
      </c>
      <c r="D348" s="8" t="s">
        <v>114</v>
      </c>
      <c r="E348" s="8">
        <v>50</v>
      </c>
      <c r="F348" s="8" t="s">
        <v>116</v>
      </c>
      <c r="G348" s="8" t="s">
        <v>116</v>
      </c>
      <c r="H348" s="8">
        <v>60</v>
      </c>
      <c r="I348" s="27">
        <v>45727</v>
      </c>
      <c r="J348" s="8" t="s">
        <v>117</v>
      </c>
      <c r="K348" s="8" t="s">
        <v>118</v>
      </c>
      <c r="L348" s="8" t="s">
        <v>119</v>
      </c>
      <c r="M348" s="16" t="str">
        <f ca="1">IFERROR(__xludf.DUMMYFUNCTION("JOIN("""",VLOOKUP(D348,'для артикула'!$A$2:$B$7,2,0),VLOOKUP(G348,'для артикула'!$A$13:$B$14,2,0),VLOOKUP(E348,'для артикула'!$A$9:$B$11,2,0),VLOOKUP(F348,'для артикула'!$A$17:$B$19,2,0),VLOOKUP(J348,'для артикула'!$A$22:$B$23,2,0),VLOOKUP(H348,'для артик"&amp;"ула'!$A$26:$B$30,2,0))"),"002-2013E50Q13-OK60")</f>
        <v>002-2013E50Q13-OK60</v>
      </c>
      <c r="N348" s="8" t="str">
        <f>IF(ISNUMBER(MATCH(C348, 'Реестр договоров'!$D$2:$D$900, 0)), "Продано", "В наличии")</f>
        <v>Продано</v>
      </c>
    </row>
    <row r="349" spans="1:14">
      <c r="A349" s="26">
        <v>45731.606556874998</v>
      </c>
      <c r="B349" s="26"/>
      <c r="C349" s="8" t="s">
        <v>466</v>
      </c>
      <c r="D349" s="8" t="s">
        <v>347</v>
      </c>
      <c r="E349" s="8">
        <v>30</v>
      </c>
      <c r="F349" s="8" t="s">
        <v>116</v>
      </c>
      <c r="G349" s="8" t="s">
        <v>116</v>
      </c>
      <c r="H349" s="8" t="s">
        <v>115</v>
      </c>
      <c r="I349" s="27">
        <v>45994</v>
      </c>
      <c r="J349" s="8" t="s">
        <v>117</v>
      </c>
      <c r="K349" s="8" t="s">
        <v>124</v>
      </c>
      <c r="L349" s="8" t="s">
        <v>119</v>
      </c>
      <c r="M349" s="16" t="str">
        <f ca="1">IFERROR(__xludf.DUMMYFUNCTION("JOIN("""",VLOOKUP(D349,'для артикула'!$A$2:$B$7,2,0),VLOOKUP(G349,'для артикула'!$A$13:$B$14,2,0),VLOOKUP(E349,'для артикула'!$A$9:$B$11,2,0),VLOOKUP(F349,'для артикула'!$A$17:$B$19,2,0),VLOOKUP(J349,'для артикула'!$A$22:$B$23,2,0),VLOOKUP(H349,'для артик"&amp;"ула'!$A$26:$B$30,2,0))"),"002-2515E30Q13-OK")</f>
        <v>002-2515E30Q13-OK</v>
      </c>
      <c r="N349" s="8" t="str">
        <f>IF(ISNUMBER(MATCH(C349, 'Реестр договоров'!$D$2:$D$900, 0)), "Продано", "В наличии")</f>
        <v>Продано</v>
      </c>
    </row>
    <row r="350" spans="1:14">
      <c r="A350" s="26">
        <v>45731.607429976852</v>
      </c>
      <c r="B350" s="26"/>
      <c r="C350" s="8" t="s">
        <v>467</v>
      </c>
      <c r="D350" s="8" t="s">
        <v>114</v>
      </c>
      <c r="E350" s="8">
        <v>50</v>
      </c>
      <c r="F350" s="8" t="s">
        <v>116</v>
      </c>
      <c r="G350" s="8" t="s">
        <v>116</v>
      </c>
      <c r="H350" s="8" t="s">
        <v>115</v>
      </c>
      <c r="I350" s="27">
        <v>45994</v>
      </c>
      <c r="J350" s="8" t="s">
        <v>117</v>
      </c>
      <c r="K350" s="8" t="s">
        <v>124</v>
      </c>
      <c r="L350" s="8" t="s">
        <v>119</v>
      </c>
      <c r="M350" s="16" t="str">
        <f ca="1">IFERROR(__xludf.DUMMYFUNCTION("JOIN("""",VLOOKUP(D350,'для артикула'!$A$2:$B$7,2,0),VLOOKUP(G350,'для артикула'!$A$13:$B$14,2,0),VLOOKUP(E350,'для артикула'!$A$9:$B$11,2,0),VLOOKUP(F350,'для артикула'!$A$17:$B$19,2,0),VLOOKUP(J350,'для артикула'!$A$22:$B$23,2,0),VLOOKUP(H350,'для артик"&amp;"ула'!$A$26:$B$30,2,0))"),"002-2013E50Q13-OK")</f>
        <v>002-2013E50Q13-OK</v>
      </c>
      <c r="N350" s="8" t="str">
        <f>IF(ISNUMBER(MATCH(C350, 'Реестр договоров'!$D$2:$D$900, 0)), "Продано", "В наличии")</f>
        <v>Продано</v>
      </c>
    </row>
    <row r="351" spans="1:14">
      <c r="A351" s="26">
        <v>45731.608333356482</v>
      </c>
      <c r="B351" s="26"/>
      <c r="C351" s="8" t="s">
        <v>468</v>
      </c>
      <c r="D351" s="8" t="s">
        <v>114</v>
      </c>
      <c r="E351" s="8">
        <v>30</v>
      </c>
      <c r="F351" s="8" t="s">
        <v>116</v>
      </c>
      <c r="G351" s="8" t="s">
        <v>116</v>
      </c>
      <c r="H351" s="8" t="s">
        <v>115</v>
      </c>
      <c r="I351" s="27">
        <v>45994</v>
      </c>
      <c r="J351" s="8" t="s">
        <v>117</v>
      </c>
      <c r="K351" s="8" t="s">
        <v>124</v>
      </c>
      <c r="L351" s="8" t="s">
        <v>119</v>
      </c>
      <c r="M351" s="16" t="str">
        <f ca="1">IFERROR(__xludf.DUMMYFUNCTION("JOIN("""",VLOOKUP(D351,'для артикула'!$A$2:$B$7,2,0),VLOOKUP(G351,'для артикула'!$A$13:$B$14,2,0),VLOOKUP(E351,'для артикула'!$A$9:$B$11,2,0),VLOOKUP(F351,'для артикула'!$A$17:$B$19,2,0),VLOOKUP(J351,'для артикула'!$A$22:$B$23,2,0),VLOOKUP(H351,'для артик"&amp;"ула'!$A$26:$B$30,2,0))"),"002-2013E30Q13-OK")</f>
        <v>002-2013E30Q13-OK</v>
      </c>
      <c r="N351" s="8" t="str">
        <f>IF(ISNUMBER(MATCH(C351, 'Реестр договоров'!$D$2:$D$900, 0)), "Продано", "В наличии")</f>
        <v>Продано</v>
      </c>
    </row>
    <row r="352" spans="1:14">
      <c r="A352" s="26">
        <v>45731.609310648149</v>
      </c>
      <c r="B352" s="26"/>
      <c r="C352" s="8" t="s">
        <v>469</v>
      </c>
      <c r="D352" s="8" t="s">
        <v>347</v>
      </c>
      <c r="E352" s="8">
        <v>50</v>
      </c>
      <c r="F352" s="8" t="s">
        <v>144</v>
      </c>
      <c r="G352" s="8" t="s">
        <v>144</v>
      </c>
      <c r="H352" s="8" t="s">
        <v>115</v>
      </c>
      <c r="I352" s="27">
        <v>45656</v>
      </c>
      <c r="J352" s="8" t="s">
        <v>117</v>
      </c>
      <c r="K352" s="8" t="s">
        <v>124</v>
      </c>
      <c r="L352" s="8" t="s">
        <v>119</v>
      </c>
      <c r="M352" s="16" t="str">
        <f ca="1">IFERROR(__xludf.DUMMYFUNCTION("JOIN("""",VLOOKUP(D352,'для артикула'!$A$2:$B$7,2,0),VLOOKUP(G352,'для артикула'!$A$13:$B$14,2,0),VLOOKUP(E352,'для артикула'!$A$9:$B$11,2,0),VLOOKUP(F352,'для артикула'!$A$17:$B$19,2,0),VLOOKUP(J352,'для артикула'!$A$22:$B$23,2,0),VLOOKUP(H352,'для артик"&amp;"ула'!$A$26:$B$30,2,0))"),"002-2515E50Q15-OK")</f>
        <v>002-2515E50Q15-OK</v>
      </c>
      <c r="N352" s="8" t="str">
        <f>IF(ISNUMBER(MATCH(C352, 'Реестр договоров'!$D$2:$D$900, 0)), "Продано", "В наличии")</f>
        <v>Продано</v>
      </c>
    </row>
    <row r="353" spans="1:14">
      <c r="A353" s="26">
        <v>45731.61017137731</v>
      </c>
      <c r="B353" s="26"/>
      <c r="C353" s="8" t="s">
        <v>470</v>
      </c>
      <c r="D353" s="8" t="s">
        <v>114</v>
      </c>
      <c r="E353" s="8">
        <v>50</v>
      </c>
      <c r="F353" s="8" t="s">
        <v>116</v>
      </c>
      <c r="G353" s="8" t="s">
        <v>116</v>
      </c>
      <c r="H353" s="28">
        <v>60</v>
      </c>
      <c r="I353" s="27">
        <v>45731</v>
      </c>
      <c r="J353" s="8" t="s">
        <v>117</v>
      </c>
      <c r="K353" s="8" t="s">
        <v>124</v>
      </c>
      <c r="L353" s="8" t="s">
        <v>119</v>
      </c>
      <c r="M353" s="16" t="str">
        <f ca="1">IFERROR(__xludf.DUMMYFUNCTION("JOIN("""",VLOOKUP(D353,'для артикула'!$A$2:$B$7,2,0),VLOOKUP(G353,'для артикула'!$A$13:$B$14,2,0),VLOOKUP(E353,'для артикула'!$A$9:$B$11,2,0),VLOOKUP(F353,'для артикула'!$A$17:$B$19,2,0),VLOOKUP(J353,'для артикула'!$A$22:$B$23,2,0),VLOOKUP(H353,'для артик"&amp;"ула'!$A$26:$B$30,2,0))"),"002-2013E50Q13-OK60")</f>
        <v>002-2013E50Q13-OK60</v>
      </c>
      <c r="N353" s="8" t="str">
        <f>IF(ISNUMBER(MATCH(C353, 'Реестр договоров'!$D$2:$D$900, 0)), "Продано", "В наличии")</f>
        <v>Продано</v>
      </c>
    </row>
    <row r="354" spans="1:14">
      <c r="A354" s="26">
        <v>45731.611881863428</v>
      </c>
      <c r="B354" s="26"/>
      <c r="C354" s="8" t="s">
        <v>471</v>
      </c>
      <c r="D354" s="8" t="s">
        <v>114</v>
      </c>
      <c r="E354" s="8">
        <v>50</v>
      </c>
      <c r="F354" s="8" t="s">
        <v>116</v>
      </c>
      <c r="G354" s="8" t="s">
        <v>116</v>
      </c>
      <c r="H354" s="28" t="s">
        <v>115</v>
      </c>
      <c r="I354" s="27">
        <v>45731</v>
      </c>
      <c r="J354" s="8" t="s">
        <v>117</v>
      </c>
      <c r="K354" s="8" t="s">
        <v>124</v>
      </c>
      <c r="L354" s="8" t="s">
        <v>119</v>
      </c>
      <c r="M354" s="16" t="str">
        <f ca="1">IFERROR(__xludf.DUMMYFUNCTION("JOIN("""",VLOOKUP(D354,'для артикула'!$A$2:$B$7,2,0),VLOOKUP(G354,'для артикула'!$A$13:$B$14,2,0),VLOOKUP(E354,'для артикула'!$A$9:$B$11,2,0),VLOOKUP(F354,'для артикула'!$A$17:$B$19,2,0),VLOOKUP(J354,'для артикула'!$A$22:$B$23,2,0),VLOOKUP(H354,'для артик"&amp;"ула'!$A$26:$B$30,2,0))"),"002-2013E50Q13-OK")</f>
        <v>002-2013E50Q13-OK</v>
      </c>
      <c r="N354" s="8" t="str">
        <f>IF(ISNUMBER(MATCH(C354, 'Реестр договоров'!$D$2:$D$900, 0)), "Продано", "В наличии")</f>
        <v>Продано</v>
      </c>
    </row>
    <row r="355" spans="1:14">
      <c r="A355" s="26">
        <v>45733.466318356484</v>
      </c>
      <c r="B355" s="26"/>
      <c r="C355" s="8" t="s">
        <v>472</v>
      </c>
      <c r="D355" s="8" t="s">
        <v>114</v>
      </c>
      <c r="E355" s="8">
        <v>30</v>
      </c>
      <c r="F355" s="8" t="s">
        <v>116</v>
      </c>
      <c r="G355" s="8" t="s">
        <v>116</v>
      </c>
      <c r="H355" s="8" t="s">
        <v>115</v>
      </c>
      <c r="I355" s="27">
        <v>45702</v>
      </c>
      <c r="J355" s="8" t="s">
        <v>117</v>
      </c>
      <c r="K355" s="8" t="s">
        <v>121</v>
      </c>
      <c r="L355" s="8" t="s">
        <v>119</v>
      </c>
      <c r="M355" s="16" t="str">
        <f ca="1">IFERROR(__xludf.DUMMYFUNCTION("JOIN("""",VLOOKUP(D355,'для артикула'!$A$2:$B$7,2,0),VLOOKUP(G355,'для артикула'!$A$13:$B$14,2,0),VLOOKUP(E355,'для артикула'!$A$9:$B$11,2,0),VLOOKUP(F355,'для артикула'!$A$17:$B$19,2,0),VLOOKUP(J355,'для артикула'!$A$22:$B$23,2,0),VLOOKUP(H355,'для артик"&amp;"ула'!$A$26:$B$30,2,0))"),"002-2013E30Q13-OK")</f>
        <v>002-2013E30Q13-OK</v>
      </c>
      <c r="N355" s="8" t="str">
        <f>IF(ISNUMBER(MATCH(C355, 'Реестр договоров'!$D$2:$D$900, 0)), "Продано", "В наличии")</f>
        <v>Продано</v>
      </c>
    </row>
    <row r="356" spans="1:14">
      <c r="A356" s="26">
        <v>45733.494536064813</v>
      </c>
      <c r="B356" s="26"/>
      <c r="C356" s="8" t="s">
        <v>473</v>
      </c>
      <c r="D356" s="8" t="s">
        <v>114</v>
      </c>
      <c r="E356" s="8">
        <v>50</v>
      </c>
      <c r="F356" s="8" t="s">
        <v>116</v>
      </c>
      <c r="G356" s="8" t="s">
        <v>116</v>
      </c>
      <c r="H356" s="8">
        <v>60</v>
      </c>
      <c r="I356" s="27">
        <v>45733</v>
      </c>
      <c r="J356" s="8" t="s">
        <v>117</v>
      </c>
      <c r="K356" s="8" t="s">
        <v>118</v>
      </c>
      <c r="L356" s="8" t="s">
        <v>119</v>
      </c>
      <c r="M356" s="16" t="str">
        <f ca="1">IFERROR(__xludf.DUMMYFUNCTION("JOIN("""",VLOOKUP(D356,'для артикула'!$A$2:$B$7,2,0),VLOOKUP(G356,'для артикула'!$A$13:$B$14,2,0),VLOOKUP(E356,'для артикула'!$A$9:$B$11,2,0),VLOOKUP(F356,'для артикула'!$A$17:$B$19,2,0),VLOOKUP(J356,'для артикула'!$A$22:$B$23,2,0),VLOOKUP(H356,'для артик"&amp;"ула'!$A$26:$B$30,2,0))"),"002-2013E50Q13-OK60")</f>
        <v>002-2013E50Q13-OK60</v>
      </c>
      <c r="N356" s="8" t="str">
        <f>IF(ISNUMBER(MATCH(C356, 'Реестр договоров'!$D$2:$D$900, 0)), "Продано", "В наличии")</f>
        <v>Продано</v>
      </c>
    </row>
    <row r="357" spans="1:14">
      <c r="A357" s="26">
        <v>45733.603928564815</v>
      </c>
      <c r="B357" s="26"/>
      <c r="C357" s="8" t="s">
        <v>474</v>
      </c>
      <c r="D357" s="8" t="s">
        <v>114</v>
      </c>
      <c r="E357" s="8">
        <v>50</v>
      </c>
      <c r="F357" s="8" t="s">
        <v>116</v>
      </c>
      <c r="G357" s="8" t="s">
        <v>116</v>
      </c>
      <c r="H357" s="8" t="s">
        <v>115</v>
      </c>
      <c r="I357" s="27">
        <v>45733</v>
      </c>
      <c r="J357" s="8" t="s">
        <v>117</v>
      </c>
      <c r="K357" s="8" t="s">
        <v>121</v>
      </c>
      <c r="L357" s="8" t="s">
        <v>119</v>
      </c>
      <c r="M357" s="16" t="str">
        <f ca="1">IFERROR(__xludf.DUMMYFUNCTION("JOIN("""",VLOOKUP(D357,'для артикула'!$A$2:$B$7,2,0),VLOOKUP(G357,'для артикула'!$A$13:$B$14,2,0),VLOOKUP(E357,'для артикула'!$A$9:$B$11,2,0),VLOOKUP(F357,'для артикула'!$A$17:$B$19,2,0),VLOOKUP(J357,'для артикула'!$A$22:$B$23,2,0),VLOOKUP(H357,'для артик"&amp;"ула'!$A$26:$B$30,2,0))"),"002-2013E50Q13-OK")</f>
        <v>002-2013E50Q13-OK</v>
      </c>
      <c r="N357" s="8" t="str">
        <f>IF(ISNUMBER(MATCH(C357, 'Реестр договоров'!$D$2:$D$900, 0)), "Продано", "В наличии")</f>
        <v>Продано</v>
      </c>
    </row>
    <row r="358" spans="1:14">
      <c r="A358" s="26">
        <v>45733.634784849535</v>
      </c>
      <c r="B358" s="26"/>
      <c r="C358" s="8" t="s">
        <v>475</v>
      </c>
      <c r="D358" s="8" t="s">
        <v>347</v>
      </c>
      <c r="E358" s="8" t="s">
        <v>115</v>
      </c>
      <c r="F358" s="8" t="s">
        <v>116</v>
      </c>
      <c r="G358" s="8" t="s">
        <v>116</v>
      </c>
      <c r="H358" s="8" t="s">
        <v>115</v>
      </c>
      <c r="I358" s="27">
        <v>45700</v>
      </c>
      <c r="J358" s="8" t="s">
        <v>117</v>
      </c>
      <c r="K358" s="8" t="s">
        <v>118</v>
      </c>
      <c r="L358" s="8" t="s">
        <v>119</v>
      </c>
      <c r="M358" s="16" t="str">
        <f ca="1">IFERROR(__xludf.DUMMYFUNCTION("JOIN("""",VLOOKUP(D358,'для артикула'!$A$2:$B$7,2,0),VLOOKUP(G358,'для артикула'!$A$13:$B$14,2,0),VLOOKUP(E358,'для артикула'!$A$9:$B$11,2,0),VLOOKUP(F358,'для артикула'!$A$17:$B$19,2,0),VLOOKUP(J358,'для артикула'!$A$22:$B$23,2,0),VLOOKUP(H358,'для артик"&amp;"ула'!$A$26:$B$30,2,0))"),"002-2515Q13-OK")</f>
        <v>002-2515Q13-OK</v>
      </c>
      <c r="N358" s="8" t="str">
        <f>IF(ISNUMBER(MATCH(C358, 'Реестр договоров'!$D$2:$D$900, 0)), "Продано", "В наличии")</f>
        <v>Продано</v>
      </c>
    </row>
    <row r="359" spans="1:14">
      <c r="A359" s="26">
        <v>45733.750035266203</v>
      </c>
      <c r="B359" s="26"/>
      <c r="C359" s="8" t="s">
        <v>476</v>
      </c>
      <c r="D359" s="8" t="s">
        <v>114</v>
      </c>
      <c r="E359" s="8">
        <v>50</v>
      </c>
      <c r="F359" s="8" t="s">
        <v>116</v>
      </c>
      <c r="G359" s="8" t="s">
        <v>116</v>
      </c>
      <c r="H359" s="8">
        <v>60</v>
      </c>
      <c r="I359" s="27">
        <v>45638</v>
      </c>
      <c r="J359" s="8" t="s">
        <v>117</v>
      </c>
      <c r="K359" s="8" t="s">
        <v>121</v>
      </c>
      <c r="L359" s="8" t="s">
        <v>119</v>
      </c>
      <c r="M359" s="16" t="str">
        <f ca="1">IFERROR(__xludf.DUMMYFUNCTION("JOIN("""",VLOOKUP(D359,'для артикула'!$A$2:$B$7,2,0),VLOOKUP(G359,'для артикула'!$A$13:$B$14,2,0),VLOOKUP(E359,'для артикула'!$A$9:$B$11,2,0),VLOOKUP(F359,'для артикула'!$A$17:$B$19,2,0),VLOOKUP(J359,'для артикула'!$A$22:$B$23,2,0),VLOOKUP(H359,'для артик"&amp;"ула'!$A$26:$B$30,2,0))"),"002-2013E50Q13-OK60")</f>
        <v>002-2013E50Q13-OK60</v>
      </c>
      <c r="N359" s="8" t="str">
        <f>IF(ISNUMBER(MATCH(C359, 'Реестр договоров'!$D$2:$D$900, 0)), "Продано", "В наличии")</f>
        <v>Продано</v>
      </c>
    </row>
    <row r="360" spans="1:14">
      <c r="A360" s="26">
        <v>45734.514956458333</v>
      </c>
      <c r="B360" s="26"/>
      <c r="C360" s="8" t="s">
        <v>477</v>
      </c>
      <c r="D360" s="8" t="s">
        <v>114</v>
      </c>
      <c r="E360" s="8">
        <v>30</v>
      </c>
      <c r="F360" s="8" t="s">
        <v>116</v>
      </c>
      <c r="G360" s="8" t="s">
        <v>116</v>
      </c>
      <c r="H360" s="8" t="s">
        <v>115</v>
      </c>
      <c r="I360" s="27">
        <v>45734</v>
      </c>
      <c r="J360" s="8" t="s">
        <v>117</v>
      </c>
      <c r="K360" s="8" t="s">
        <v>121</v>
      </c>
      <c r="L360" s="8" t="s">
        <v>119</v>
      </c>
      <c r="M360" s="16" t="str">
        <f ca="1">IFERROR(__xludf.DUMMYFUNCTION("JOIN("""",VLOOKUP(D360,'для артикула'!$A$2:$B$7,2,0),VLOOKUP(G360,'для артикула'!$A$13:$B$14,2,0),VLOOKUP(E360,'для артикула'!$A$9:$B$11,2,0),VLOOKUP(F360,'для артикула'!$A$17:$B$19,2,0),VLOOKUP(J360,'для артикула'!$A$22:$B$23,2,0),VLOOKUP(H360,'для артик"&amp;"ула'!$A$26:$B$30,2,0))"),"002-2013E30Q13-OK")</f>
        <v>002-2013E30Q13-OK</v>
      </c>
      <c r="N360" s="8" t="str">
        <f>IF(ISNUMBER(MATCH(C360, 'Реестр договоров'!$D$2:$D$900, 0)), "Продано", "В наличии")</f>
        <v>Продано</v>
      </c>
    </row>
    <row r="361" spans="1:14">
      <c r="A361" s="26">
        <v>45734.587473530089</v>
      </c>
      <c r="B361" s="26"/>
      <c r="C361" s="8" t="s">
        <v>478</v>
      </c>
      <c r="D361" s="8" t="s">
        <v>114</v>
      </c>
      <c r="E361" s="8">
        <v>50</v>
      </c>
      <c r="F361" s="8" t="s">
        <v>116</v>
      </c>
      <c r="G361" s="8" t="s">
        <v>116</v>
      </c>
      <c r="H361" s="8" t="s">
        <v>115</v>
      </c>
      <c r="I361" s="27">
        <v>45638</v>
      </c>
      <c r="J361" s="8" t="s">
        <v>117</v>
      </c>
      <c r="K361" s="8" t="s">
        <v>121</v>
      </c>
      <c r="L361" s="8" t="s">
        <v>119</v>
      </c>
      <c r="M361" s="16" t="str">
        <f ca="1">IFERROR(__xludf.DUMMYFUNCTION("JOIN("""",VLOOKUP(D361,'для артикула'!$A$2:$B$7,2,0),VLOOKUP(G361,'для артикула'!$A$13:$B$14,2,0),VLOOKUP(E361,'для артикула'!$A$9:$B$11,2,0),VLOOKUP(F361,'для артикула'!$A$17:$B$19,2,0),VLOOKUP(J361,'для артикула'!$A$22:$B$23,2,0),VLOOKUP(H361,'для артик"&amp;"ула'!$A$26:$B$30,2,0))"),"002-2013E50Q13-OK")</f>
        <v>002-2013E50Q13-OK</v>
      </c>
      <c r="N361" s="8" t="str">
        <f>IF(ISNUMBER(MATCH(C361, 'Реестр договоров'!$D$2:$D$900, 0)), "Продано", "В наличии")</f>
        <v>Продано</v>
      </c>
    </row>
    <row r="362" spans="1:14">
      <c r="A362" s="26">
        <v>45735.45366392361</v>
      </c>
      <c r="B362" s="26"/>
      <c r="C362" s="8" t="s">
        <v>479</v>
      </c>
      <c r="D362" s="8" t="s">
        <v>287</v>
      </c>
      <c r="E362" s="8">
        <v>50</v>
      </c>
      <c r="F362" s="8" t="s">
        <v>116</v>
      </c>
      <c r="G362" s="8" t="s">
        <v>116</v>
      </c>
      <c r="H362" s="8" t="s">
        <v>115</v>
      </c>
      <c r="I362" s="27">
        <v>45656</v>
      </c>
      <c r="J362" s="8" t="s">
        <v>115</v>
      </c>
      <c r="K362" s="8" t="s">
        <v>121</v>
      </c>
      <c r="L362" s="8" t="s">
        <v>119</v>
      </c>
      <c r="M362" s="16" t="str">
        <f ca="1">IFERROR(__xludf.DUMMYFUNCTION("JOIN("""",VLOOKUP(D362,'для артикула'!$A$2:$B$7,2,0),VLOOKUP(G362,'для артикула'!$A$13:$B$14,2,0),VLOOKUP(E362,'для артикула'!$A$9:$B$11,2,0),VLOOKUP(F362,'для артикула'!$A$17:$B$19,2,0),VLOOKUP(J362,'для артикула'!$A$22:$B$23,2,0),VLOOKUP(H362,'для артик"&amp;"ула'!$A$26:$B$30,2,0))"),"002-2513E50Q13")</f>
        <v>002-2513E50Q13</v>
      </c>
      <c r="N362" s="8" t="str">
        <f>IF(ISNUMBER(MATCH(C362, 'Реестр договоров'!$D$2:$D$900, 0)), "Продано", "В наличии")</f>
        <v>Продано</v>
      </c>
    </row>
    <row r="363" spans="1:14">
      <c r="A363" s="26">
        <v>45735.455354861115</v>
      </c>
      <c r="B363" s="26"/>
      <c r="C363" s="8" t="s">
        <v>480</v>
      </c>
      <c r="D363" s="8" t="s">
        <v>114</v>
      </c>
      <c r="E363" s="8">
        <v>50</v>
      </c>
      <c r="F363" s="8" t="s">
        <v>116</v>
      </c>
      <c r="G363" s="8" t="s">
        <v>116</v>
      </c>
      <c r="H363" s="8" t="s">
        <v>115</v>
      </c>
      <c r="I363" s="27">
        <v>45656</v>
      </c>
      <c r="J363" s="8" t="s">
        <v>117</v>
      </c>
      <c r="K363" s="8" t="s">
        <v>121</v>
      </c>
      <c r="L363" s="8" t="s">
        <v>119</v>
      </c>
      <c r="M363" s="16" t="str">
        <f ca="1">IFERROR(__xludf.DUMMYFUNCTION("JOIN("""",VLOOKUP(D363,'для артикула'!$A$2:$B$7,2,0),VLOOKUP(G363,'для артикула'!$A$13:$B$14,2,0),VLOOKUP(E363,'для артикула'!$A$9:$B$11,2,0),VLOOKUP(F363,'для артикула'!$A$17:$B$19,2,0),VLOOKUP(J363,'для артикула'!$A$22:$B$23,2,0),VLOOKUP(H363,'для артик"&amp;"ула'!$A$26:$B$30,2,0))"),"002-2013E50Q13-OK")</f>
        <v>002-2013E50Q13-OK</v>
      </c>
      <c r="N363" s="8" t="str">
        <f>IF(ISNUMBER(MATCH(C363, 'Реестр договоров'!$D$2:$D$900, 0)), "Продано", "В наличии")</f>
        <v>Продано</v>
      </c>
    </row>
    <row r="364" spans="1:14">
      <c r="A364" s="26">
        <v>45735.456248287039</v>
      </c>
      <c r="B364" s="26"/>
      <c r="C364" s="8" t="s">
        <v>481</v>
      </c>
      <c r="D364" s="8" t="s">
        <v>114</v>
      </c>
      <c r="E364" s="8">
        <v>50</v>
      </c>
      <c r="F364" s="8" t="s">
        <v>116</v>
      </c>
      <c r="G364" s="8" t="s">
        <v>116</v>
      </c>
      <c r="H364" s="8" t="s">
        <v>115</v>
      </c>
      <c r="I364" s="27">
        <v>45656</v>
      </c>
      <c r="J364" s="8" t="s">
        <v>117</v>
      </c>
      <c r="K364" s="8" t="s">
        <v>121</v>
      </c>
      <c r="L364" s="8" t="s">
        <v>119</v>
      </c>
      <c r="M364" s="16" t="str">
        <f ca="1">IFERROR(__xludf.DUMMYFUNCTION("JOIN("""",VLOOKUP(D364,'для артикула'!$A$2:$B$7,2,0),VLOOKUP(G364,'для артикула'!$A$13:$B$14,2,0),VLOOKUP(E364,'для артикула'!$A$9:$B$11,2,0),VLOOKUP(F364,'для артикула'!$A$17:$B$19,2,0),VLOOKUP(J364,'для артикула'!$A$22:$B$23,2,0),VLOOKUP(H364,'для артик"&amp;"ула'!$A$26:$B$30,2,0))"),"002-2013E50Q13-OK")</f>
        <v>002-2013E50Q13-OK</v>
      </c>
      <c r="N364" s="8" t="str">
        <f>IF(ISNUMBER(MATCH(C364, 'Реестр договоров'!$D$2:$D$900, 0)), "Продано", "В наличии")</f>
        <v>Продано</v>
      </c>
    </row>
    <row r="365" spans="1:14">
      <c r="A365" s="26">
        <v>45735.456678587958</v>
      </c>
      <c r="B365" s="26"/>
      <c r="C365" s="8" t="s">
        <v>482</v>
      </c>
      <c r="D365" s="8" t="s">
        <v>114</v>
      </c>
      <c r="E365" s="8">
        <v>30</v>
      </c>
      <c r="F365" s="8" t="s">
        <v>116</v>
      </c>
      <c r="G365" s="8" t="s">
        <v>116</v>
      </c>
      <c r="H365" s="8" t="s">
        <v>115</v>
      </c>
      <c r="I365" s="27">
        <v>45656</v>
      </c>
      <c r="J365" s="8" t="s">
        <v>115</v>
      </c>
      <c r="K365" s="8" t="s">
        <v>121</v>
      </c>
      <c r="L365" s="8" t="s">
        <v>119</v>
      </c>
      <c r="M365" s="16" t="str">
        <f ca="1">IFERROR(__xludf.DUMMYFUNCTION("JOIN("""",VLOOKUP(D365,'для артикула'!$A$2:$B$7,2,0),VLOOKUP(G365,'для артикула'!$A$13:$B$14,2,0),VLOOKUP(E365,'для артикула'!$A$9:$B$11,2,0),VLOOKUP(F365,'для артикула'!$A$17:$B$19,2,0),VLOOKUP(J365,'для артикула'!$A$22:$B$23,2,0),VLOOKUP(H365,'для артик"&amp;"ула'!$A$26:$B$30,2,0))"),"002-2013E30Q13")</f>
        <v>002-2013E30Q13</v>
      </c>
      <c r="N365" s="8" t="str">
        <f>IF(ISNUMBER(MATCH(C365, 'Реестр договоров'!$D$2:$D$900, 0)), "Продано", "В наличии")</f>
        <v>Продано</v>
      </c>
    </row>
    <row r="366" spans="1:14">
      <c r="A366" s="26">
        <v>45735.45729038195</v>
      </c>
      <c r="B366" s="26"/>
      <c r="C366" s="8" t="s">
        <v>483</v>
      </c>
      <c r="D366" s="8" t="s">
        <v>375</v>
      </c>
      <c r="E366" s="8">
        <v>30</v>
      </c>
      <c r="F366" s="8" t="s">
        <v>116</v>
      </c>
      <c r="G366" s="8" t="s">
        <v>116</v>
      </c>
      <c r="H366" s="8" t="s">
        <v>115</v>
      </c>
      <c r="I366" s="27">
        <v>45657</v>
      </c>
      <c r="J366" s="8" t="s">
        <v>117</v>
      </c>
      <c r="K366" s="8" t="s">
        <v>121</v>
      </c>
      <c r="L366" s="8" t="s">
        <v>119</v>
      </c>
      <c r="M366" s="16" t="str">
        <f ca="1">IFERROR(__xludf.DUMMYFUNCTION("JOIN("""",VLOOKUP(D366,'для артикула'!$A$2:$B$7,2,0),VLOOKUP(G366,'для артикула'!$A$13:$B$14,2,0),VLOOKUP(E366,'для артикула'!$A$9:$B$11,2,0),VLOOKUP(F366,'для артикула'!$A$17:$B$19,2,0),VLOOKUP(J366,'для артикула'!$A$22:$B$23,2,0),VLOOKUP(H366,'для артик"&amp;"ула'!$A$26:$B$30,2,0))"),"002-3515E30Q13-OK")</f>
        <v>002-3515E30Q13-OK</v>
      </c>
      <c r="N366" s="8" t="str">
        <f>IF(ISNUMBER(MATCH(C366, 'Реестр договоров'!$D$2:$D$900, 0)), "Продано", "В наличии")</f>
        <v>Продано</v>
      </c>
    </row>
    <row r="367" spans="1:14">
      <c r="A367" s="26">
        <v>45735.457758310185</v>
      </c>
      <c r="B367" s="26"/>
      <c r="C367" s="8" t="s">
        <v>484</v>
      </c>
      <c r="D367" s="8" t="s">
        <v>287</v>
      </c>
      <c r="E367" s="8">
        <v>30</v>
      </c>
      <c r="F367" s="8" t="s">
        <v>116</v>
      </c>
      <c r="G367" s="8" t="s">
        <v>116</v>
      </c>
      <c r="H367" s="8" t="s">
        <v>115</v>
      </c>
      <c r="I367" s="27">
        <v>45656</v>
      </c>
      <c r="J367" s="8" t="s">
        <v>117</v>
      </c>
      <c r="K367" s="8" t="s">
        <v>121</v>
      </c>
      <c r="L367" s="8" t="s">
        <v>119</v>
      </c>
      <c r="M367" s="16" t="str">
        <f ca="1">IFERROR(__xludf.DUMMYFUNCTION("JOIN("""",VLOOKUP(D367,'для артикула'!$A$2:$B$7,2,0),VLOOKUP(G367,'для артикула'!$A$13:$B$14,2,0),VLOOKUP(E367,'для артикула'!$A$9:$B$11,2,0),VLOOKUP(F367,'для артикула'!$A$17:$B$19,2,0),VLOOKUP(J367,'для артикула'!$A$22:$B$23,2,0),VLOOKUP(H367,'для артик"&amp;"ула'!$A$26:$B$30,2,0))"),"002-2513E30Q13-OK")</f>
        <v>002-2513E30Q13-OK</v>
      </c>
      <c r="N367" s="8" t="str">
        <f>IF(ISNUMBER(MATCH(C367, 'Реестр договоров'!$D$2:$D$900, 0)), "Продано", "В наличии")</f>
        <v>Продано</v>
      </c>
    </row>
    <row r="368" spans="1:14">
      <c r="A368" s="26">
        <v>45735.458304016203</v>
      </c>
      <c r="B368" s="26"/>
      <c r="C368" s="8" t="s">
        <v>485</v>
      </c>
      <c r="D368" s="8" t="s">
        <v>347</v>
      </c>
      <c r="E368" s="8">
        <v>30</v>
      </c>
      <c r="F368" s="8" t="s">
        <v>116</v>
      </c>
      <c r="G368" s="8" t="s">
        <v>116</v>
      </c>
      <c r="H368" s="8" t="s">
        <v>115</v>
      </c>
      <c r="I368" s="27">
        <v>45656</v>
      </c>
      <c r="J368" s="8" t="s">
        <v>117</v>
      </c>
      <c r="K368" s="8" t="s">
        <v>121</v>
      </c>
      <c r="L368" s="8" t="s">
        <v>288</v>
      </c>
      <c r="M368" s="16" t="str">
        <f ca="1">IFERROR(__xludf.DUMMYFUNCTION("JOIN("""",VLOOKUP(D368,'для артикула'!$A$2:$B$7,2,0),VLOOKUP(G368,'для артикула'!$A$13:$B$14,2,0),VLOOKUP(E368,'для артикула'!$A$9:$B$11,2,0),VLOOKUP(F368,'для артикула'!$A$17:$B$19,2,0),VLOOKUP(J368,'для артикула'!$A$22:$B$23,2,0),VLOOKUP(H368,'для артик"&amp;"ула'!$A$26:$B$30,2,0))"),"002-2515E30Q13-OK")</f>
        <v>002-2515E30Q13-OK</v>
      </c>
      <c r="N368" s="8" t="str">
        <f>IF(ISNUMBER(MATCH(C368, 'Реестр договоров'!$D$2:$D$900, 0)), "Продано", "В наличии")</f>
        <v>Продано</v>
      </c>
    </row>
    <row r="369" spans="1:14">
      <c r="A369" s="26">
        <v>45735.460330509261</v>
      </c>
      <c r="B369" s="26"/>
      <c r="C369" s="8" t="s">
        <v>486</v>
      </c>
      <c r="D369" s="8" t="s">
        <v>114</v>
      </c>
      <c r="E369" s="8">
        <v>50</v>
      </c>
      <c r="F369" s="8" t="s">
        <v>116</v>
      </c>
      <c r="G369" s="8" t="s">
        <v>116</v>
      </c>
      <c r="H369" s="8" t="s">
        <v>115</v>
      </c>
      <c r="I369" s="27">
        <v>45720</v>
      </c>
      <c r="J369" s="8" t="s">
        <v>117</v>
      </c>
      <c r="K369" s="8" t="s">
        <v>121</v>
      </c>
      <c r="L369" s="8" t="s">
        <v>119</v>
      </c>
      <c r="M369" s="16" t="str">
        <f ca="1">IFERROR(__xludf.DUMMYFUNCTION("JOIN("""",VLOOKUP(D369,'для артикула'!$A$2:$B$7,2,0),VLOOKUP(G369,'для артикула'!$A$13:$B$14,2,0),VLOOKUP(E369,'для артикула'!$A$9:$B$11,2,0),VLOOKUP(F369,'для артикула'!$A$17:$B$19,2,0),VLOOKUP(J369,'для артикула'!$A$22:$B$23,2,0),VLOOKUP(H369,'для артик"&amp;"ула'!$A$26:$B$30,2,0))"),"002-2013E50Q13-OK")</f>
        <v>002-2013E50Q13-OK</v>
      </c>
      <c r="N369" s="8" t="str">
        <f>IF(ISNUMBER(MATCH(C369, 'Реестр договоров'!$D$2:$D$900, 0)), "Продано", "В наличии")</f>
        <v>Продано</v>
      </c>
    </row>
    <row r="370" spans="1:14">
      <c r="A370" s="26">
        <v>45735.461186747685</v>
      </c>
      <c r="B370" s="26"/>
      <c r="C370" s="8" t="s">
        <v>487</v>
      </c>
      <c r="D370" s="8" t="s">
        <v>114</v>
      </c>
      <c r="E370" s="8">
        <v>50</v>
      </c>
      <c r="F370" s="8" t="s">
        <v>144</v>
      </c>
      <c r="G370" s="8" t="s">
        <v>116</v>
      </c>
      <c r="H370" s="8" t="s">
        <v>115</v>
      </c>
      <c r="I370" s="27">
        <v>45750</v>
      </c>
      <c r="J370" s="8" t="s">
        <v>117</v>
      </c>
      <c r="K370" s="8" t="s">
        <v>121</v>
      </c>
      <c r="L370" s="8" t="s">
        <v>119</v>
      </c>
      <c r="M370" s="16" t="str">
        <f ca="1">IFERROR(__xludf.DUMMYFUNCTION("JOIN("""",VLOOKUP(D370,'для артикула'!$A$2:$B$7,2,0),VLOOKUP(G370,'для артикула'!$A$13:$B$14,2,0),VLOOKUP(E370,'для артикула'!$A$9:$B$11,2,0),VLOOKUP(F370,'для артикула'!$A$17:$B$19,2,0),VLOOKUP(J370,'для артикула'!$A$22:$B$23,2,0),VLOOKUP(H370,'для артик"&amp;"ула'!$A$26:$B$30,2,0))"),"002-2013E50Q15-OK")</f>
        <v>002-2013E50Q15-OK</v>
      </c>
      <c r="N370" s="8" t="str">
        <f>IF(ISNUMBER(MATCH(C370, 'Реестр договоров'!$D$2:$D$900, 0)), "Продано", "В наличии")</f>
        <v>Продано</v>
      </c>
    </row>
    <row r="371" spans="1:14">
      <c r="A371" s="26">
        <v>45735.461580555551</v>
      </c>
      <c r="B371" s="26"/>
      <c r="C371" s="8" t="s">
        <v>488</v>
      </c>
      <c r="D371" s="8" t="s">
        <v>114</v>
      </c>
      <c r="E371" s="8">
        <v>50</v>
      </c>
      <c r="F371" s="8" t="s">
        <v>116</v>
      </c>
      <c r="G371" s="8" t="s">
        <v>116</v>
      </c>
      <c r="H371" s="8" t="s">
        <v>115</v>
      </c>
      <c r="I371" s="27">
        <v>45720</v>
      </c>
      <c r="J371" s="8" t="s">
        <v>117</v>
      </c>
      <c r="K371" s="8" t="s">
        <v>121</v>
      </c>
      <c r="L371" s="8" t="s">
        <v>119</v>
      </c>
      <c r="M371" s="16" t="str">
        <f ca="1">IFERROR(__xludf.DUMMYFUNCTION("JOIN("""",VLOOKUP(D371,'для артикула'!$A$2:$B$7,2,0),VLOOKUP(G371,'для артикула'!$A$13:$B$14,2,0),VLOOKUP(E371,'для артикула'!$A$9:$B$11,2,0),VLOOKUP(F371,'для артикула'!$A$17:$B$19,2,0),VLOOKUP(J371,'для артикула'!$A$22:$B$23,2,0),VLOOKUP(H371,'для артик"&amp;"ула'!$A$26:$B$30,2,0))"),"002-2013E50Q13-OK")</f>
        <v>002-2013E50Q13-OK</v>
      </c>
      <c r="N371" s="8" t="str">
        <f>IF(ISNUMBER(MATCH(C371, 'Реестр договоров'!$D$2:$D$900, 0)), "Продано", "В наличии")</f>
        <v>Продано</v>
      </c>
    </row>
    <row r="372" spans="1:14">
      <c r="A372" s="26">
        <v>45735.461997557868</v>
      </c>
      <c r="B372" s="26"/>
      <c r="C372" s="8" t="s">
        <v>489</v>
      </c>
      <c r="D372" s="8" t="s">
        <v>114</v>
      </c>
      <c r="E372" s="8">
        <v>50</v>
      </c>
      <c r="F372" s="8" t="s">
        <v>116</v>
      </c>
      <c r="G372" s="8" t="s">
        <v>116</v>
      </c>
      <c r="H372" s="8" t="s">
        <v>115</v>
      </c>
      <c r="I372" s="27">
        <v>45720</v>
      </c>
      <c r="J372" s="8" t="s">
        <v>117</v>
      </c>
      <c r="K372" s="8" t="s">
        <v>121</v>
      </c>
      <c r="L372" s="8" t="s">
        <v>119</v>
      </c>
      <c r="M372" s="16" t="str">
        <f ca="1">IFERROR(__xludf.DUMMYFUNCTION("JOIN("""",VLOOKUP(D372,'для артикула'!$A$2:$B$7,2,0),VLOOKUP(G372,'для артикула'!$A$13:$B$14,2,0),VLOOKUP(E372,'для артикула'!$A$9:$B$11,2,0),VLOOKUP(F372,'для артикула'!$A$17:$B$19,2,0),VLOOKUP(J372,'для артикула'!$A$22:$B$23,2,0),VLOOKUP(H372,'для артик"&amp;"ула'!$A$26:$B$30,2,0))"),"002-2013E50Q13-OK")</f>
        <v>002-2013E50Q13-OK</v>
      </c>
      <c r="N372" s="8" t="str">
        <f>IF(ISNUMBER(MATCH(C372, 'Реестр договоров'!$D$2:$D$900, 0)), "Продано", "В наличии")</f>
        <v>Продано</v>
      </c>
    </row>
    <row r="373" spans="1:14">
      <c r="A373" s="26">
        <v>45735.462500300928</v>
      </c>
      <c r="B373" s="26"/>
      <c r="C373" s="8" t="s">
        <v>490</v>
      </c>
      <c r="D373" s="8" t="s">
        <v>114</v>
      </c>
      <c r="E373" s="8">
        <v>30</v>
      </c>
      <c r="F373" s="8" t="s">
        <v>116</v>
      </c>
      <c r="G373" s="8" t="s">
        <v>116</v>
      </c>
      <c r="H373" s="8" t="s">
        <v>115</v>
      </c>
      <c r="I373" s="27">
        <v>45720</v>
      </c>
      <c r="J373" s="8" t="s">
        <v>117</v>
      </c>
      <c r="K373" s="8" t="s">
        <v>121</v>
      </c>
      <c r="L373" s="8" t="s">
        <v>119</v>
      </c>
      <c r="M373" s="16" t="str">
        <f ca="1">IFERROR(__xludf.DUMMYFUNCTION("JOIN("""",VLOOKUP(D373,'для артикула'!$A$2:$B$7,2,0),VLOOKUP(G373,'для артикула'!$A$13:$B$14,2,0),VLOOKUP(E373,'для артикула'!$A$9:$B$11,2,0),VLOOKUP(F373,'для артикула'!$A$17:$B$19,2,0),VLOOKUP(J373,'для артикула'!$A$22:$B$23,2,0),VLOOKUP(H373,'для артик"&amp;"ула'!$A$26:$B$30,2,0))"),"002-2013E30Q13-OK")</f>
        <v>002-2013E30Q13-OK</v>
      </c>
      <c r="N373" s="8" t="str">
        <f>IF(ISNUMBER(MATCH(C373, 'Реестр договоров'!$D$2:$D$900, 0)), "Продано", "В наличии")</f>
        <v>Продано</v>
      </c>
    </row>
    <row r="374" spans="1:14">
      <c r="A374" s="26">
        <v>45735.462966701394</v>
      </c>
      <c r="B374" s="26"/>
      <c r="C374" s="8" t="s">
        <v>491</v>
      </c>
      <c r="D374" s="8" t="s">
        <v>114</v>
      </c>
      <c r="E374" s="8">
        <v>50</v>
      </c>
      <c r="F374" s="8" t="s">
        <v>116</v>
      </c>
      <c r="G374" s="8" t="s">
        <v>116</v>
      </c>
      <c r="H374" s="8" t="s">
        <v>115</v>
      </c>
      <c r="I374" s="27">
        <v>45720</v>
      </c>
      <c r="J374" s="8" t="s">
        <v>117</v>
      </c>
      <c r="K374" s="8" t="s">
        <v>121</v>
      </c>
      <c r="L374" s="8" t="s">
        <v>119</v>
      </c>
      <c r="M374" s="16" t="str">
        <f ca="1">IFERROR(__xludf.DUMMYFUNCTION("JOIN("""",VLOOKUP(D374,'для артикула'!$A$2:$B$7,2,0),VLOOKUP(G374,'для артикула'!$A$13:$B$14,2,0),VLOOKUP(E374,'для артикула'!$A$9:$B$11,2,0),VLOOKUP(F374,'для артикула'!$A$17:$B$19,2,0),VLOOKUP(J374,'для артикула'!$A$22:$B$23,2,0),VLOOKUP(H374,'для артик"&amp;"ула'!$A$26:$B$30,2,0))"),"002-2013E50Q13-OK")</f>
        <v>002-2013E50Q13-OK</v>
      </c>
      <c r="N374" s="8" t="str">
        <f>IF(ISNUMBER(MATCH(C374, 'Реестр договоров'!$D$2:$D$900, 0)), "Продано", "В наличии")</f>
        <v>Продано</v>
      </c>
    </row>
    <row r="375" spans="1:14">
      <c r="A375" s="26">
        <v>45735.463449224539</v>
      </c>
      <c r="B375" s="26"/>
      <c r="C375" s="8" t="s">
        <v>492</v>
      </c>
      <c r="D375" s="8" t="s">
        <v>114</v>
      </c>
      <c r="E375" s="8">
        <v>50</v>
      </c>
      <c r="F375" s="8" t="s">
        <v>116</v>
      </c>
      <c r="G375" s="8" t="s">
        <v>116</v>
      </c>
      <c r="H375" s="8" t="s">
        <v>115</v>
      </c>
      <c r="I375" s="27">
        <v>45720</v>
      </c>
      <c r="J375" s="8" t="s">
        <v>117</v>
      </c>
      <c r="K375" s="8" t="s">
        <v>121</v>
      </c>
      <c r="L375" s="8" t="s">
        <v>119</v>
      </c>
      <c r="M375" s="16" t="str">
        <f ca="1">IFERROR(__xludf.DUMMYFUNCTION("JOIN("""",VLOOKUP(D375,'для артикула'!$A$2:$B$7,2,0),VLOOKUP(G375,'для артикула'!$A$13:$B$14,2,0),VLOOKUP(E375,'для артикула'!$A$9:$B$11,2,0),VLOOKUP(F375,'для артикула'!$A$17:$B$19,2,0),VLOOKUP(J375,'для артикула'!$A$22:$B$23,2,0),VLOOKUP(H375,'для артик"&amp;"ула'!$A$26:$B$30,2,0))"),"002-2013E50Q13-OK")</f>
        <v>002-2013E50Q13-OK</v>
      </c>
      <c r="N375" s="8" t="str">
        <f>IF(ISNUMBER(MATCH(C375, 'Реестр договоров'!$D$2:$D$900, 0)), "Продано", "В наличии")</f>
        <v>Продано</v>
      </c>
    </row>
    <row r="376" spans="1:14">
      <c r="A376" s="26">
        <v>45735.463847430554</v>
      </c>
      <c r="B376" s="26"/>
      <c r="C376" s="8" t="s">
        <v>493</v>
      </c>
      <c r="D376" s="8" t="s">
        <v>114</v>
      </c>
      <c r="E376" s="8">
        <v>50</v>
      </c>
      <c r="F376" s="8" t="s">
        <v>116</v>
      </c>
      <c r="G376" s="8" t="s">
        <v>116</v>
      </c>
      <c r="H376" s="8" t="s">
        <v>115</v>
      </c>
      <c r="I376" s="27">
        <v>45720</v>
      </c>
      <c r="J376" s="8" t="s">
        <v>117</v>
      </c>
      <c r="K376" s="8" t="s">
        <v>121</v>
      </c>
      <c r="L376" s="8" t="s">
        <v>119</v>
      </c>
      <c r="M376" s="16" t="str">
        <f ca="1">IFERROR(__xludf.DUMMYFUNCTION("JOIN("""",VLOOKUP(D376,'для артикула'!$A$2:$B$7,2,0),VLOOKUP(G376,'для артикула'!$A$13:$B$14,2,0),VLOOKUP(E376,'для артикула'!$A$9:$B$11,2,0),VLOOKUP(F376,'для артикула'!$A$17:$B$19,2,0),VLOOKUP(J376,'для артикула'!$A$22:$B$23,2,0),VLOOKUP(H376,'для артик"&amp;"ула'!$A$26:$B$30,2,0))"),"002-2013E50Q13-OK")</f>
        <v>002-2013E50Q13-OK</v>
      </c>
      <c r="N376" s="8" t="str">
        <f>IF(ISNUMBER(MATCH(C376, 'Реестр договоров'!$D$2:$D$900, 0)), "Продано", "В наличии")</f>
        <v>Продано</v>
      </c>
    </row>
    <row r="377" spans="1:14">
      <c r="A377" s="26">
        <v>45735.464248796299</v>
      </c>
      <c r="B377" s="26"/>
      <c r="C377" s="8" t="s">
        <v>494</v>
      </c>
      <c r="D377" s="8" t="s">
        <v>114</v>
      </c>
      <c r="E377" s="8">
        <v>50</v>
      </c>
      <c r="F377" s="8" t="s">
        <v>116</v>
      </c>
      <c r="G377" s="8" t="s">
        <v>116</v>
      </c>
      <c r="H377" s="8" t="s">
        <v>115</v>
      </c>
      <c r="I377" s="27">
        <v>45750</v>
      </c>
      <c r="J377" s="8" t="s">
        <v>117</v>
      </c>
      <c r="K377" s="8" t="s">
        <v>121</v>
      </c>
      <c r="L377" s="8" t="s">
        <v>119</v>
      </c>
      <c r="M377" s="16" t="str">
        <f ca="1">IFERROR(__xludf.DUMMYFUNCTION("JOIN("""",VLOOKUP(D377,'для артикула'!$A$2:$B$7,2,0),VLOOKUP(G377,'для артикула'!$A$13:$B$14,2,0),VLOOKUP(E377,'для артикула'!$A$9:$B$11,2,0),VLOOKUP(F377,'для артикула'!$A$17:$B$19,2,0),VLOOKUP(J377,'для артикула'!$A$22:$B$23,2,0),VLOOKUP(H377,'для артик"&amp;"ула'!$A$26:$B$30,2,0))"),"002-2013E50Q13-OK")</f>
        <v>002-2013E50Q13-OK</v>
      </c>
      <c r="N377" s="8" t="str">
        <f>IF(ISNUMBER(MATCH(C377, 'Реестр договоров'!$D$2:$D$900, 0)), "Продано", "В наличии")</f>
        <v>Продано</v>
      </c>
    </row>
    <row r="378" spans="1:14">
      <c r="A378" s="26">
        <v>45735.464693935181</v>
      </c>
      <c r="B378" s="26"/>
      <c r="C378" s="8" t="s">
        <v>495</v>
      </c>
      <c r="D378" s="8" t="s">
        <v>114</v>
      </c>
      <c r="E378" s="8">
        <v>30</v>
      </c>
      <c r="F378" s="8" t="s">
        <v>116</v>
      </c>
      <c r="G378" s="8" t="s">
        <v>116</v>
      </c>
      <c r="H378" s="8" t="s">
        <v>115</v>
      </c>
      <c r="I378" s="27">
        <v>45720</v>
      </c>
      <c r="J378" s="8" t="s">
        <v>117</v>
      </c>
      <c r="K378" s="8" t="s">
        <v>121</v>
      </c>
      <c r="L378" s="8" t="s">
        <v>119</v>
      </c>
      <c r="M378" s="16" t="str">
        <f ca="1">IFERROR(__xludf.DUMMYFUNCTION("JOIN("""",VLOOKUP(D378,'для артикула'!$A$2:$B$7,2,0),VLOOKUP(G378,'для артикула'!$A$13:$B$14,2,0),VLOOKUP(E378,'для артикула'!$A$9:$B$11,2,0),VLOOKUP(F378,'для артикула'!$A$17:$B$19,2,0),VLOOKUP(J378,'для артикула'!$A$22:$B$23,2,0),VLOOKUP(H378,'для артик"&amp;"ула'!$A$26:$B$30,2,0))"),"002-2013E30Q13-OK")</f>
        <v>002-2013E30Q13-OK</v>
      </c>
      <c r="N378" s="8" t="str">
        <f>IF(ISNUMBER(MATCH(C378, 'Реестр договоров'!$D$2:$D$900, 0)), "Продано", "В наличии")</f>
        <v>Продано</v>
      </c>
    </row>
    <row r="379" spans="1:14">
      <c r="A379" s="26">
        <v>45735.465180416664</v>
      </c>
      <c r="B379" s="26"/>
      <c r="C379" s="8" t="s">
        <v>496</v>
      </c>
      <c r="D379" s="8" t="s">
        <v>114</v>
      </c>
      <c r="E379" s="8">
        <v>30</v>
      </c>
      <c r="F379" s="8" t="s">
        <v>116</v>
      </c>
      <c r="G379" s="8" t="s">
        <v>116</v>
      </c>
      <c r="H379" s="8" t="s">
        <v>115</v>
      </c>
      <c r="I379" s="27">
        <v>45720</v>
      </c>
      <c r="J379" s="8" t="s">
        <v>117</v>
      </c>
      <c r="K379" s="8" t="s">
        <v>121</v>
      </c>
      <c r="L379" s="8" t="s">
        <v>119</v>
      </c>
      <c r="M379" s="16" t="str">
        <f ca="1">IFERROR(__xludf.DUMMYFUNCTION("JOIN("""",VLOOKUP(D379,'для артикула'!$A$2:$B$7,2,0),VLOOKUP(G379,'для артикула'!$A$13:$B$14,2,0),VLOOKUP(E379,'для артикула'!$A$9:$B$11,2,0),VLOOKUP(F379,'для артикула'!$A$17:$B$19,2,0),VLOOKUP(J379,'для артикула'!$A$22:$B$23,2,0),VLOOKUP(H379,'для артик"&amp;"ула'!$A$26:$B$30,2,0))"),"002-2013E30Q13-OK")</f>
        <v>002-2013E30Q13-OK</v>
      </c>
      <c r="N379" s="8" t="str">
        <f>IF(ISNUMBER(MATCH(C379, 'Реестр договоров'!$D$2:$D$900, 0)), "Продано", "В наличии")</f>
        <v>Продано</v>
      </c>
    </row>
    <row r="380" spans="1:14">
      <c r="A380" s="26">
        <v>45735.465575856477</v>
      </c>
      <c r="B380" s="26"/>
      <c r="D380" s="8" t="s">
        <v>114</v>
      </c>
      <c r="E380" s="8">
        <v>50</v>
      </c>
      <c r="F380" s="8" t="s">
        <v>116</v>
      </c>
      <c r="G380" s="8" t="s">
        <v>116</v>
      </c>
      <c r="H380" s="8" t="s">
        <v>115</v>
      </c>
      <c r="I380" s="27">
        <v>45750</v>
      </c>
      <c r="J380" s="8" t="s">
        <v>117</v>
      </c>
      <c r="K380" s="8" t="s">
        <v>121</v>
      </c>
      <c r="L380" s="8" t="s">
        <v>119</v>
      </c>
      <c r="M380" s="16" t="str">
        <f ca="1">IFERROR(__xludf.DUMMYFUNCTION("JOIN("""",VLOOKUP(D380,'для артикула'!$A$2:$B$7,2,0),VLOOKUP(G380,'для артикула'!$A$13:$B$14,2,0),VLOOKUP(E380,'для артикула'!$A$9:$B$11,2,0),VLOOKUP(F380,'для артикула'!$A$17:$B$19,2,0),VLOOKUP(J380,'для артикула'!$A$22:$B$23,2,0),VLOOKUP(H380,'для артик"&amp;"ула'!$A$26:$B$30,2,0))"),"002-2013E50Q13-OK")</f>
        <v>002-2013E50Q13-OK</v>
      </c>
      <c r="N380" s="8" t="str">
        <f>IF(ISNUMBER(MATCH(C380, 'Реестр договоров'!$D$2:$D$900, 0)), "Продано", "В наличии")</f>
        <v>В наличии</v>
      </c>
    </row>
    <row r="381" spans="1:14">
      <c r="A381" s="26">
        <v>45735.465998773143</v>
      </c>
      <c r="B381" s="26"/>
      <c r="C381" s="8" t="s">
        <v>497</v>
      </c>
      <c r="D381" s="8" t="s">
        <v>114</v>
      </c>
      <c r="E381" s="8">
        <v>50</v>
      </c>
      <c r="F381" s="8" t="s">
        <v>116</v>
      </c>
      <c r="G381" s="8" t="s">
        <v>116</v>
      </c>
      <c r="H381" s="8" t="s">
        <v>115</v>
      </c>
      <c r="I381" s="27">
        <v>45720</v>
      </c>
      <c r="J381" s="8" t="s">
        <v>117</v>
      </c>
      <c r="K381" s="8" t="s">
        <v>121</v>
      </c>
      <c r="L381" s="8" t="s">
        <v>119</v>
      </c>
      <c r="M381" s="16" t="str">
        <f ca="1">IFERROR(__xludf.DUMMYFUNCTION("JOIN("""",VLOOKUP(D381,'для артикула'!$A$2:$B$7,2,0),VLOOKUP(G381,'для артикула'!$A$13:$B$14,2,0),VLOOKUP(E381,'для артикула'!$A$9:$B$11,2,0),VLOOKUP(F381,'для артикула'!$A$17:$B$19,2,0),VLOOKUP(J381,'для артикула'!$A$22:$B$23,2,0),VLOOKUP(H381,'для артик"&amp;"ула'!$A$26:$B$30,2,0))"),"002-2013E50Q13-OK")</f>
        <v>002-2013E50Q13-OK</v>
      </c>
      <c r="N381" s="8" t="str">
        <f>IF(ISNUMBER(MATCH(C381, 'Реестр договоров'!$D$2:$D$900, 0)), "Продано", "В наличии")</f>
        <v>Продано</v>
      </c>
    </row>
    <row r="382" spans="1:14">
      <c r="A382" s="26">
        <v>45735.467375706023</v>
      </c>
      <c r="B382" s="26"/>
      <c r="C382" s="8" t="s">
        <v>498</v>
      </c>
      <c r="D382" s="8" t="s">
        <v>114</v>
      </c>
      <c r="E382" s="8">
        <v>50</v>
      </c>
      <c r="F382" s="8" t="s">
        <v>116</v>
      </c>
      <c r="G382" s="8" t="s">
        <v>116</v>
      </c>
      <c r="H382" s="8" t="s">
        <v>115</v>
      </c>
      <c r="I382" s="27">
        <v>45720</v>
      </c>
      <c r="J382" s="8" t="s">
        <v>117</v>
      </c>
      <c r="K382" s="8" t="s">
        <v>121</v>
      </c>
      <c r="L382" s="8" t="s">
        <v>119</v>
      </c>
      <c r="M382" s="16" t="str">
        <f ca="1">IFERROR(__xludf.DUMMYFUNCTION("JOIN("""",VLOOKUP(D382,'для артикула'!$A$2:$B$7,2,0),VLOOKUP(G382,'для артикула'!$A$13:$B$14,2,0),VLOOKUP(E382,'для артикула'!$A$9:$B$11,2,0),VLOOKUP(F382,'для артикула'!$A$17:$B$19,2,0),VLOOKUP(J382,'для артикула'!$A$22:$B$23,2,0),VLOOKUP(H382,'для артик"&amp;"ула'!$A$26:$B$30,2,0))"),"002-2013E50Q13-OK")</f>
        <v>002-2013E50Q13-OK</v>
      </c>
      <c r="N382" s="8" t="str">
        <f>IF(ISNUMBER(MATCH(C382, 'Реестр договоров'!$D$2:$D$900, 0)), "Продано", "В наличии")</f>
        <v>Продано</v>
      </c>
    </row>
    <row r="383" spans="1:14">
      <c r="A383" s="26">
        <v>45735.468113958334</v>
      </c>
      <c r="B383" s="26"/>
      <c r="C383" s="8" t="s">
        <v>499</v>
      </c>
      <c r="D383" s="8" t="s">
        <v>114</v>
      </c>
      <c r="E383" s="8">
        <v>50</v>
      </c>
      <c r="F383" s="8" t="s">
        <v>116</v>
      </c>
      <c r="G383" s="8" t="s">
        <v>116</v>
      </c>
      <c r="H383" s="8" t="s">
        <v>115</v>
      </c>
      <c r="I383" s="27">
        <v>45720</v>
      </c>
      <c r="J383" s="8" t="s">
        <v>117</v>
      </c>
      <c r="K383" s="8" t="s">
        <v>121</v>
      </c>
      <c r="L383" s="8" t="s">
        <v>119</v>
      </c>
      <c r="M383" s="16" t="str">
        <f ca="1">IFERROR(__xludf.DUMMYFUNCTION("JOIN("""",VLOOKUP(D383,'для артикула'!$A$2:$B$7,2,0),VLOOKUP(G383,'для артикула'!$A$13:$B$14,2,0),VLOOKUP(E383,'для артикула'!$A$9:$B$11,2,0),VLOOKUP(F383,'для артикула'!$A$17:$B$19,2,0),VLOOKUP(J383,'для артикула'!$A$22:$B$23,2,0),VLOOKUP(H383,'для артик"&amp;"ула'!$A$26:$B$30,2,0))"),"002-2013E50Q13-OK")</f>
        <v>002-2013E50Q13-OK</v>
      </c>
      <c r="N383" s="8" t="str">
        <f>IF(ISNUMBER(MATCH(C383, 'Реестр договоров'!$D$2:$D$900, 0)), "Продано", "В наличии")</f>
        <v>Продано</v>
      </c>
    </row>
    <row r="384" spans="1:14">
      <c r="A384" s="26">
        <v>45735.468452905094</v>
      </c>
      <c r="B384" s="26"/>
      <c r="C384" s="8" t="s">
        <v>500</v>
      </c>
      <c r="D384" s="8" t="s">
        <v>114</v>
      </c>
      <c r="E384" s="8">
        <v>50</v>
      </c>
      <c r="F384" s="8" t="s">
        <v>116</v>
      </c>
      <c r="G384" s="8" t="s">
        <v>116</v>
      </c>
      <c r="H384" s="8" t="s">
        <v>115</v>
      </c>
      <c r="I384" s="27">
        <v>45720</v>
      </c>
      <c r="J384" s="8" t="s">
        <v>117</v>
      </c>
      <c r="K384" s="8" t="s">
        <v>121</v>
      </c>
      <c r="L384" s="8" t="s">
        <v>119</v>
      </c>
      <c r="M384" s="16" t="str">
        <f ca="1">IFERROR(__xludf.DUMMYFUNCTION("JOIN("""",VLOOKUP(D384,'для артикула'!$A$2:$B$7,2,0),VLOOKUP(G384,'для артикула'!$A$13:$B$14,2,0),VLOOKUP(E384,'для артикула'!$A$9:$B$11,2,0),VLOOKUP(F384,'для артикула'!$A$17:$B$19,2,0),VLOOKUP(J384,'для артикула'!$A$22:$B$23,2,0),VLOOKUP(H384,'для артик"&amp;"ула'!$A$26:$B$30,2,0))"),"002-2013E50Q13-OK")</f>
        <v>002-2013E50Q13-OK</v>
      </c>
      <c r="N384" s="8" t="str">
        <f>IF(ISNUMBER(MATCH(C384, 'Реестр договоров'!$D$2:$D$900, 0)), "Продано", "В наличии")</f>
        <v>Продано</v>
      </c>
    </row>
    <row r="385" spans="1:14">
      <c r="A385" s="26">
        <v>45735.469370810184</v>
      </c>
      <c r="B385" s="26"/>
      <c r="C385" s="8" t="s">
        <v>501</v>
      </c>
      <c r="D385" s="8" t="s">
        <v>114</v>
      </c>
      <c r="E385" s="8">
        <v>30</v>
      </c>
      <c r="F385" s="8" t="s">
        <v>116</v>
      </c>
      <c r="G385" s="8" t="s">
        <v>116</v>
      </c>
      <c r="H385" s="8" t="s">
        <v>115</v>
      </c>
      <c r="I385" s="27">
        <v>45720</v>
      </c>
      <c r="J385" s="8" t="s">
        <v>117</v>
      </c>
      <c r="K385" s="8" t="s">
        <v>121</v>
      </c>
      <c r="L385" s="8" t="s">
        <v>119</v>
      </c>
      <c r="M385" s="16" t="str">
        <f ca="1">IFERROR(__xludf.DUMMYFUNCTION("JOIN("""",VLOOKUP(D385,'для артикула'!$A$2:$B$7,2,0),VLOOKUP(G385,'для артикула'!$A$13:$B$14,2,0),VLOOKUP(E385,'для артикула'!$A$9:$B$11,2,0),VLOOKUP(F385,'для артикула'!$A$17:$B$19,2,0),VLOOKUP(J385,'для артикула'!$A$22:$B$23,2,0),VLOOKUP(H385,'для артик"&amp;"ула'!$A$26:$B$30,2,0))"),"002-2013E30Q13-OK")</f>
        <v>002-2013E30Q13-OK</v>
      </c>
      <c r="N385" s="8" t="str">
        <f>IF(ISNUMBER(MATCH(C385, 'Реестр договоров'!$D$2:$D$900, 0)), "Продано", "В наличии")</f>
        <v>Продано</v>
      </c>
    </row>
    <row r="386" spans="1:14">
      <c r="A386" s="26">
        <v>45735.469890578708</v>
      </c>
      <c r="B386" s="26"/>
      <c r="C386" s="8" t="s">
        <v>502</v>
      </c>
      <c r="D386" s="8" t="s">
        <v>114</v>
      </c>
      <c r="E386" s="8">
        <v>50</v>
      </c>
      <c r="F386" s="8" t="s">
        <v>116</v>
      </c>
      <c r="G386" s="8" t="s">
        <v>116</v>
      </c>
      <c r="H386" s="8" t="s">
        <v>115</v>
      </c>
      <c r="I386" s="27">
        <v>45720</v>
      </c>
      <c r="J386" s="8" t="s">
        <v>117</v>
      </c>
      <c r="K386" s="8" t="s">
        <v>121</v>
      </c>
      <c r="L386" s="8" t="s">
        <v>119</v>
      </c>
      <c r="M386" s="16" t="str">
        <f ca="1">IFERROR(__xludf.DUMMYFUNCTION("JOIN("""",VLOOKUP(D386,'для артикула'!$A$2:$B$7,2,0),VLOOKUP(G386,'для артикула'!$A$13:$B$14,2,0),VLOOKUP(E386,'для артикула'!$A$9:$B$11,2,0),VLOOKUP(F386,'для артикула'!$A$17:$B$19,2,0),VLOOKUP(J386,'для артикула'!$A$22:$B$23,2,0),VLOOKUP(H386,'для артик"&amp;"ула'!$A$26:$B$30,2,0))"),"002-2013E50Q13-OK")</f>
        <v>002-2013E50Q13-OK</v>
      </c>
      <c r="N386" s="8" t="str">
        <f>IF(ISNUMBER(MATCH(C386, 'Реестр договоров'!$D$2:$D$900, 0)), "Продано", "В наличии")</f>
        <v>Продано</v>
      </c>
    </row>
    <row r="387" spans="1:14">
      <c r="A387" s="26">
        <v>45735.470295613428</v>
      </c>
      <c r="B387" s="26"/>
      <c r="C387" s="8" t="s">
        <v>503</v>
      </c>
      <c r="D387" s="8" t="s">
        <v>114</v>
      </c>
      <c r="E387" s="8" t="s">
        <v>115</v>
      </c>
      <c r="F387" s="8" t="s">
        <v>116</v>
      </c>
      <c r="G387" s="8" t="s">
        <v>116</v>
      </c>
      <c r="H387" s="8" t="s">
        <v>115</v>
      </c>
      <c r="I387" s="27">
        <v>45720</v>
      </c>
      <c r="J387" s="8" t="s">
        <v>117</v>
      </c>
      <c r="K387" s="8" t="s">
        <v>121</v>
      </c>
      <c r="L387" s="8" t="s">
        <v>119</v>
      </c>
      <c r="M387" s="16" t="str">
        <f ca="1">IFERROR(__xludf.DUMMYFUNCTION("JOIN("""",VLOOKUP(D387,'для артикула'!$A$2:$B$7,2,0),VLOOKUP(G387,'для артикула'!$A$13:$B$14,2,0),VLOOKUP(E387,'для артикула'!$A$9:$B$11,2,0),VLOOKUP(F387,'для артикула'!$A$17:$B$19,2,0),VLOOKUP(J387,'для артикула'!$A$22:$B$23,2,0),VLOOKUP(H387,'для артик"&amp;"ула'!$A$26:$B$30,2,0))"),"002-2013Q13-OK")</f>
        <v>002-2013Q13-OK</v>
      </c>
      <c r="N387" s="8" t="str">
        <f>IF(ISNUMBER(MATCH(C387, 'Реестр договоров'!$D$2:$D$900, 0)), "Продано", "В наличии")</f>
        <v>Продано</v>
      </c>
    </row>
    <row r="388" spans="1:14">
      <c r="A388" s="26">
        <v>45735.470713587958</v>
      </c>
      <c r="B388" s="26"/>
      <c r="C388" s="8" t="s">
        <v>504</v>
      </c>
      <c r="D388" s="8" t="s">
        <v>114</v>
      </c>
      <c r="E388" s="8">
        <v>30</v>
      </c>
      <c r="F388" s="8" t="s">
        <v>116</v>
      </c>
      <c r="G388" s="8" t="s">
        <v>116</v>
      </c>
      <c r="H388" s="8" t="s">
        <v>115</v>
      </c>
      <c r="I388" s="27">
        <v>45720</v>
      </c>
      <c r="J388" s="8" t="s">
        <v>117</v>
      </c>
      <c r="K388" s="8" t="s">
        <v>121</v>
      </c>
      <c r="L388" s="8" t="s">
        <v>119</v>
      </c>
      <c r="M388" s="16" t="str">
        <f ca="1">IFERROR(__xludf.DUMMYFUNCTION("JOIN("""",VLOOKUP(D388,'для артикула'!$A$2:$B$7,2,0),VLOOKUP(G388,'для артикула'!$A$13:$B$14,2,0),VLOOKUP(E388,'для артикула'!$A$9:$B$11,2,0),VLOOKUP(F388,'для артикула'!$A$17:$B$19,2,0),VLOOKUP(J388,'для артикула'!$A$22:$B$23,2,0),VLOOKUP(H388,'для артик"&amp;"ула'!$A$26:$B$30,2,0))"),"002-2013E30Q13-OK")</f>
        <v>002-2013E30Q13-OK</v>
      </c>
      <c r="N388" s="8" t="str">
        <f>IF(ISNUMBER(MATCH(C388, 'Реестр договоров'!$D$2:$D$900, 0)), "Продано", "В наличии")</f>
        <v>Продано</v>
      </c>
    </row>
    <row r="389" spans="1:14">
      <c r="A389" s="26">
        <v>45735.471124814816</v>
      </c>
      <c r="B389" s="26"/>
      <c r="C389" s="8" t="s">
        <v>505</v>
      </c>
      <c r="D389" s="8" t="s">
        <v>114</v>
      </c>
      <c r="E389" s="8">
        <v>30</v>
      </c>
      <c r="F389" s="8" t="s">
        <v>116</v>
      </c>
      <c r="G389" s="8" t="s">
        <v>116</v>
      </c>
      <c r="H389" s="8" t="s">
        <v>115</v>
      </c>
      <c r="I389" s="27">
        <v>45720</v>
      </c>
      <c r="J389" s="8" t="s">
        <v>117</v>
      </c>
      <c r="K389" s="8" t="s">
        <v>121</v>
      </c>
      <c r="L389" s="8" t="s">
        <v>119</v>
      </c>
      <c r="M389" s="16" t="str">
        <f ca="1">IFERROR(__xludf.DUMMYFUNCTION("JOIN("""",VLOOKUP(D389,'для артикула'!$A$2:$B$7,2,0),VLOOKUP(G389,'для артикула'!$A$13:$B$14,2,0),VLOOKUP(E389,'для артикула'!$A$9:$B$11,2,0),VLOOKUP(F389,'для артикула'!$A$17:$B$19,2,0),VLOOKUP(J389,'для артикула'!$A$22:$B$23,2,0),VLOOKUP(H389,'для артик"&amp;"ула'!$A$26:$B$30,2,0))"),"002-2013E30Q13-OK")</f>
        <v>002-2013E30Q13-OK</v>
      </c>
      <c r="N389" s="8" t="str">
        <f>IF(ISNUMBER(MATCH(C389, 'Реестр договоров'!$D$2:$D$900, 0)), "Продано", "В наличии")</f>
        <v>Продано</v>
      </c>
    </row>
    <row r="390" spans="1:14">
      <c r="A390" s="26">
        <v>45735.55254365741</v>
      </c>
      <c r="B390" s="26"/>
      <c r="C390" s="8" t="s">
        <v>506</v>
      </c>
      <c r="D390" s="8" t="s">
        <v>114</v>
      </c>
      <c r="E390" s="8">
        <v>50</v>
      </c>
      <c r="F390" s="8" t="s">
        <v>116</v>
      </c>
      <c r="G390" s="8" t="s">
        <v>116</v>
      </c>
      <c r="H390" s="8" t="s">
        <v>115</v>
      </c>
      <c r="I390" s="27">
        <v>45735</v>
      </c>
      <c r="J390" s="8" t="s">
        <v>117</v>
      </c>
      <c r="K390" s="8" t="s">
        <v>118</v>
      </c>
      <c r="L390" s="8" t="s">
        <v>119</v>
      </c>
      <c r="M390" s="16" t="str">
        <f ca="1">IFERROR(__xludf.DUMMYFUNCTION("JOIN("""",VLOOKUP(D390,'для артикула'!$A$2:$B$7,2,0),VLOOKUP(G390,'для артикула'!$A$13:$B$14,2,0),VLOOKUP(E390,'для артикула'!$A$9:$B$11,2,0),VLOOKUP(F390,'для артикула'!$A$17:$B$19,2,0),VLOOKUP(J390,'для артикула'!$A$22:$B$23,2,0),VLOOKUP(H390,'для артик"&amp;"ула'!$A$26:$B$30,2,0))"),"002-2013E50Q13-OK")</f>
        <v>002-2013E50Q13-OK</v>
      </c>
      <c r="N390" s="8" t="str">
        <f>IF(ISNUMBER(MATCH(C390, 'Реестр договоров'!$D$2:$D$900, 0)), "Продано", "В наличии")</f>
        <v>Продано</v>
      </c>
    </row>
    <row r="391" spans="1:14">
      <c r="A391" s="26">
        <v>45736.416689641206</v>
      </c>
      <c r="B391" s="26"/>
      <c r="C391" s="8" t="s">
        <v>507</v>
      </c>
      <c r="D391" s="8" t="s">
        <v>287</v>
      </c>
      <c r="E391" s="8">
        <v>30</v>
      </c>
      <c r="F391" s="8" t="s">
        <v>116</v>
      </c>
      <c r="G391" s="8" t="s">
        <v>116</v>
      </c>
      <c r="H391" s="8" t="s">
        <v>115</v>
      </c>
      <c r="I391" s="27">
        <v>45736</v>
      </c>
      <c r="J391" s="8" t="s">
        <v>117</v>
      </c>
      <c r="K391" s="8" t="s">
        <v>118</v>
      </c>
      <c r="L391" s="8" t="s">
        <v>119</v>
      </c>
      <c r="M391" s="16" t="str">
        <f ca="1">IFERROR(__xludf.DUMMYFUNCTION("JOIN("""",VLOOKUP(D391,'для артикула'!$A$2:$B$7,2,0),VLOOKUP(G391,'для артикула'!$A$13:$B$14,2,0),VLOOKUP(E391,'для артикула'!$A$9:$B$11,2,0),VLOOKUP(F391,'для артикула'!$A$17:$B$19,2,0),VLOOKUP(J391,'для артикула'!$A$22:$B$23,2,0),VLOOKUP(H391,'для артик"&amp;"ула'!$A$26:$B$30,2,0))"),"002-2513E30Q13-OK")</f>
        <v>002-2513E30Q13-OK</v>
      </c>
      <c r="N391" s="8" t="str">
        <f>IF(ISNUMBER(MATCH(C391, 'Реестр договоров'!$D$2:$D$900, 0)), "Продано", "В наличии")</f>
        <v>Продано</v>
      </c>
    </row>
    <row r="392" spans="1:14">
      <c r="A392" s="26">
        <v>45742.549299363425</v>
      </c>
      <c r="B392" s="26"/>
      <c r="C392" s="8" t="s">
        <v>508</v>
      </c>
      <c r="D392" s="8" t="s">
        <v>114</v>
      </c>
      <c r="E392" s="8">
        <v>50</v>
      </c>
      <c r="F392" s="8" t="s">
        <v>116</v>
      </c>
      <c r="G392" s="8" t="s">
        <v>116</v>
      </c>
      <c r="H392" s="8" t="s">
        <v>115</v>
      </c>
      <c r="I392" s="27">
        <v>45742</v>
      </c>
      <c r="J392" s="8" t="s">
        <v>117</v>
      </c>
      <c r="K392" s="8" t="s">
        <v>118</v>
      </c>
      <c r="L392" s="8" t="s">
        <v>119</v>
      </c>
      <c r="M392" s="16" t="str">
        <f ca="1">IFERROR(__xludf.DUMMYFUNCTION("JOIN("""",VLOOKUP(D392,'для артикула'!$A$2:$B$7,2,0),VLOOKUP(G392,'для артикула'!$A$13:$B$14,2,0),VLOOKUP(E392,'для артикула'!$A$9:$B$11,2,0),VLOOKUP(F392,'для артикула'!$A$17:$B$19,2,0),VLOOKUP(J392,'для артикула'!$A$22:$B$23,2,0),VLOOKUP(H392,'для артик"&amp;"ула'!$A$26:$B$30,2,0))"),"002-2013E50Q13-OK")</f>
        <v>002-2013E50Q13-OK</v>
      </c>
      <c r="N392" s="8" t="str">
        <f>IF(ISNUMBER(MATCH(C392, 'Реестр договоров'!$D$2:$D$900, 0)), "Продано", "В наличии")</f>
        <v>Продано</v>
      </c>
    </row>
    <row r="393" spans="1:14">
      <c r="A393" s="26">
        <v>45742.705052546298</v>
      </c>
      <c r="B393" s="26"/>
      <c r="C393" s="8" t="s">
        <v>509</v>
      </c>
      <c r="D393" s="8" t="s">
        <v>114</v>
      </c>
      <c r="E393" s="8">
        <v>30</v>
      </c>
      <c r="F393" s="8" t="s">
        <v>116</v>
      </c>
      <c r="G393" s="8" t="s">
        <v>116</v>
      </c>
      <c r="H393" s="8" t="s">
        <v>115</v>
      </c>
      <c r="I393" s="27">
        <v>45638</v>
      </c>
      <c r="J393" s="8" t="s">
        <v>115</v>
      </c>
      <c r="K393" s="8" t="s">
        <v>121</v>
      </c>
      <c r="L393" s="8" t="s">
        <v>119</v>
      </c>
      <c r="M393" s="16" t="str">
        <f ca="1">IFERROR(__xludf.DUMMYFUNCTION("JOIN("""",VLOOKUP(D393,'для артикула'!$A$2:$B$7,2,0),VLOOKUP(G393,'для артикула'!$A$13:$B$14,2,0),VLOOKUP(E393,'для артикула'!$A$9:$B$11,2,0),VLOOKUP(F393,'для артикула'!$A$17:$B$19,2,0),VLOOKUP(J393,'для артикула'!$A$22:$B$23,2,0),VLOOKUP(H393,'для артик"&amp;"ула'!$A$26:$B$30,2,0))"),"002-2013E30Q13")</f>
        <v>002-2013E30Q13</v>
      </c>
      <c r="N393" s="8" t="str">
        <f>IF(ISNUMBER(MATCH(C393, 'Реестр договоров'!$D$2:$D$900, 0)), "Продано", "В наличии")</f>
        <v>Продано</v>
      </c>
    </row>
    <row r="394" spans="1:14">
      <c r="A394" s="26">
        <v>45743.659593125005</v>
      </c>
      <c r="B394" s="26"/>
      <c r="C394" s="8" t="s">
        <v>510</v>
      </c>
      <c r="D394" s="8" t="s">
        <v>287</v>
      </c>
      <c r="E394" s="8">
        <v>50</v>
      </c>
      <c r="F394" s="8" t="s">
        <v>116</v>
      </c>
      <c r="G394" s="8" t="s">
        <v>116</v>
      </c>
      <c r="H394" s="8" t="s">
        <v>115</v>
      </c>
      <c r="I394" s="27">
        <v>45638</v>
      </c>
      <c r="J394" s="8" t="s">
        <v>117</v>
      </c>
      <c r="K394" s="8" t="s">
        <v>118</v>
      </c>
      <c r="L394" s="8" t="s">
        <v>119</v>
      </c>
      <c r="M394" s="16" t="str">
        <f ca="1">IFERROR(__xludf.DUMMYFUNCTION("JOIN("""",VLOOKUP(D394,'для артикула'!$A$2:$B$7,2,0),VLOOKUP(G394,'для артикула'!$A$13:$B$14,2,0),VLOOKUP(E394,'для артикула'!$A$9:$B$11,2,0),VLOOKUP(F394,'для артикула'!$A$17:$B$19,2,0),VLOOKUP(J394,'для артикула'!$A$22:$B$23,2,0),VLOOKUP(H394,'для артик"&amp;"ула'!$A$26:$B$30,2,0))"),"002-2513E50Q13-OK")</f>
        <v>002-2513E50Q13-OK</v>
      </c>
      <c r="N394" s="8" t="str">
        <f>IF(ISNUMBER(MATCH(C394, 'Реестр договоров'!$D$2:$D$900, 0)), "Продано", "В наличии")</f>
        <v>Продано</v>
      </c>
    </row>
    <row r="395" spans="1:14">
      <c r="A395" s="26">
        <v>45744.473742638889</v>
      </c>
      <c r="B395" s="26"/>
      <c r="C395" s="8" t="s">
        <v>511</v>
      </c>
      <c r="D395" s="8" t="s">
        <v>287</v>
      </c>
      <c r="E395" s="8">
        <v>50</v>
      </c>
      <c r="F395" s="8" t="s">
        <v>116</v>
      </c>
      <c r="G395" s="8" t="s">
        <v>116</v>
      </c>
      <c r="H395" s="8">
        <v>30</v>
      </c>
      <c r="I395" s="27">
        <v>45744</v>
      </c>
      <c r="J395" s="8" t="s">
        <v>117</v>
      </c>
      <c r="K395" s="8" t="s">
        <v>118</v>
      </c>
      <c r="L395" s="8" t="s">
        <v>119</v>
      </c>
      <c r="M395" s="16" t="str">
        <f ca="1">IFERROR(__xludf.DUMMYFUNCTION("JOIN("""",VLOOKUP(D395,'для артикула'!$A$2:$B$7,2,0),VLOOKUP(G395,'для артикула'!$A$13:$B$14,2,0),VLOOKUP(E395,'для артикула'!$A$9:$B$11,2,0),VLOOKUP(F395,'для артикула'!$A$17:$B$19,2,0),VLOOKUP(J395,'для артикула'!$A$22:$B$23,2,0),VLOOKUP(H395,'для артик"&amp;"ула'!$A$26:$B$30,2,0))"),"002-2513E50Q13-OK30")</f>
        <v>002-2513E50Q13-OK30</v>
      </c>
      <c r="N395" s="8" t="str">
        <f>IF(ISNUMBER(MATCH(C395, 'Реестр договоров'!$D$2:$D$900, 0)), "Продано", "В наличии")</f>
        <v>Продано</v>
      </c>
    </row>
    <row r="396" spans="1:14">
      <c r="A396" s="26">
        <v>45744.497453171294</v>
      </c>
      <c r="B396" s="26"/>
      <c r="C396" s="8" t="s">
        <v>512</v>
      </c>
      <c r="D396" s="8" t="s">
        <v>287</v>
      </c>
      <c r="E396" s="8">
        <v>50</v>
      </c>
      <c r="F396" s="8" t="s">
        <v>116</v>
      </c>
      <c r="G396" s="8" t="s">
        <v>116</v>
      </c>
      <c r="H396" s="8" t="s">
        <v>115</v>
      </c>
      <c r="I396" s="27">
        <v>45744</v>
      </c>
      <c r="J396" s="8" t="s">
        <v>117</v>
      </c>
      <c r="K396" s="8" t="s">
        <v>118</v>
      </c>
      <c r="L396" s="8" t="s">
        <v>119</v>
      </c>
      <c r="M396" s="16" t="str">
        <f ca="1">IFERROR(__xludf.DUMMYFUNCTION("JOIN("""",VLOOKUP(D396,'для артикула'!$A$2:$B$7,2,0),VLOOKUP(G396,'для артикула'!$A$13:$B$14,2,0),VLOOKUP(E396,'для артикула'!$A$9:$B$11,2,0),VLOOKUP(F396,'для артикула'!$A$17:$B$19,2,0),VLOOKUP(J396,'для артикула'!$A$22:$B$23,2,0),VLOOKUP(H396,'для артик"&amp;"ула'!$A$26:$B$30,2,0))"),"002-2513E50Q13-OK")</f>
        <v>002-2513E50Q13-OK</v>
      </c>
      <c r="N396" s="8" t="str">
        <f>IF(ISNUMBER(MATCH(C396, 'Реестр договоров'!$D$2:$D$900, 0)), "Продано", "В наличии")</f>
        <v>Продано</v>
      </c>
    </row>
    <row r="397" spans="1:14">
      <c r="A397" s="26">
        <v>45745.495814131944</v>
      </c>
      <c r="B397" s="26"/>
      <c r="C397" s="8" t="s">
        <v>513</v>
      </c>
      <c r="D397" s="8" t="s">
        <v>287</v>
      </c>
      <c r="E397" s="8">
        <v>50</v>
      </c>
      <c r="F397" s="8" t="s">
        <v>116</v>
      </c>
      <c r="G397" s="8" t="s">
        <v>116</v>
      </c>
      <c r="H397" s="8" t="s">
        <v>115</v>
      </c>
      <c r="I397" s="27">
        <v>45745</v>
      </c>
      <c r="J397" s="8" t="s">
        <v>117</v>
      </c>
      <c r="K397" s="8" t="s">
        <v>124</v>
      </c>
      <c r="L397" s="8" t="s">
        <v>119</v>
      </c>
      <c r="M397" s="16" t="str">
        <f ca="1">IFERROR(__xludf.DUMMYFUNCTION("JOIN("""",VLOOKUP(D397,'для артикула'!$A$2:$B$7,2,0),VLOOKUP(G397,'для артикула'!$A$13:$B$14,2,0),VLOOKUP(E397,'для артикула'!$A$9:$B$11,2,0),VLOOKUP(F397,'для артикула'!$A$17:$B$19,2,0),VLOOKUP(J397,'для артикула'!$A$22:$B$23,2,0),VLOOKUP(H397,'для артик"&amp;"ула'!$A$26:$B$30,2,0))"),"002-2513E50Q13-OK")</f>
        <v>002-2513E50Q13-OK</v>
      </c>
      <c r="N397" s="8" t="str">
        <f>IF(ISNUMBER(MATCH(C397, 'Реестр договоров'!$D$2:$D$900, 0)), "Продано", "В наличии")</f>
        <v>Продано</v>
      </c>
    </row>
    <row r="398" spans="1:14">
      <c r="A398" s="26">
        <v>45745.543620277778</v>
      </c>
      <c r="B398" s="26"/>
      <c r="C398" s="8" t="s">
        <v>514</v>
      </c>
      <c r="D398" s="8" t="s">
        <v>114</v>
      </c>
      <c r="E398" s="8">
        <v>30</v>
      </c>
      <c r="F398" s="8" t="s">
        <v>116</v>
      </c>
      <c r="G398" s="8" t="s">
        <v>116</v>
      </c>
      <c r="H398" s="8" t="s">
        <v>115</v>
      </c>
      <c r="I398" s="27">
        <v>45743</v>
      </c>
      <c r="J398" s="8" t="s">
        <v>117</v>
      </c>
      <c r="K398" s="8" t="s">
        <v>118</v>
      </c>
      <c r="L398" s="8" t="s">
        <v>119</v>
      </c>
      <c r="M398" s="16" t="str">
        <f ca="1">IFERROR(__xludf.DUMMYFUNCTION("JOIN("""",VLOOKUP(D398,'для артикула'!$A$2:$B$7,2,0),VLOOKUP(G398,'для артикула'!$A$13:$B$14,2,0),VLOOKUP(E398,'для артикула'!$A$9:$B$11,2,0),VLOOKUP(F398,'для артикула'!$A$17:$B$19,2,0),VLOOKUP(J398,'для артикула'!$A$22:$B$23,2,0),VLOOKUP(H398,'для артик"&amp;"ула'!$A$26:$B$30,2,0))"),"002-2013E30Q13-OK")</f>
        <v>002-2013E30Q13-OK</v>
      </c>
      <c r="N398" s="8" t="str">
        <f>IF(ISNUMBER(MATCH(C398, 'Реестр договоров'!$D$2:$D$900, 0)), "Продано", "В наличии")</f>
        <v>Продано</v>
      </c>
    </row>
    <row r="399" spans="1:14">
      <c r="A399" s="26">
        <v>45747.627604641202</v>
      </c>
      <c r="B399" s="26"/>
      <c r="C399" s="8" t="s">
        <v>515</v>
      </c>
      <c r="D399" s="8" t="s">
        <v>114</v>
      </c>
      <c r="E399" s="8">
        <v>50</v>
      </c>
      <c r="F399" s="8" t="s">
        <v>116</v>
      </c>
      <c r="G399" s="8" t="s">
        <v>116</v>
      </c>
      <c r="H399" s="8">
        <v>30</v>
      </c>
      <c r="I399" s="27">
        <v>45747</v>
      </c>
      <c r="J399" s="8" t="s">
        <v>117</v>
      </c>
      <c r="K399" s="8" t="s">
        <v>118</v>
      </c>
      <c r="L399" s="8" t="s">
        <v>119</v>
      </c>
      <c r="M399" s="16" t="str">
        <f ca="1">IFERROR(__xludf.DUMMYFUNCTION("JOIN("""",VLOOKUP(D399,'для артикула'!$A$2:$B$7,2,0),VLOOKUP(G399,'для артикула'!$A$13:$B$14,2,0),VLOOKUP(E399,'для артикула'!$A$9:$B$11,2,0),VLOOKUP(F399,'для артикула'!$A$17:$B$19,2,0),VLOOKUP(J399,'для артикула'!$A$22:$B$23,2,0),VLOOKUP(H399,'для артик"&amp;"ула'!$A$26:$B$30,2,0))"),"002-2013E50Q13-OK30")</f>
        <v>002-2013E50Q13-OK30</v>
      </c>
      <c r="N399" s="8" t="str">
        <f>IF(ISNUMBER(MATCH(C399, 'Реестр договоров'!$D$2:$D$900, 0)), "Продано", "В наличии")</f>
        <v>Продано</v>
      </c>
    </row>
    <row r="400" spans="1:14">
      <c r="A400" s="26">
        <v>45748.705449641202</v>
      </c>
      <c r="B400" s="26"/>
      <c r="C400" s="8" t="s">
        <v>516</v>
      </c>
      <c r="D400" s="8" t="s">
        <v>347</v>
      </c>
      <c r="E400" s="8">
        <v>30</v>
      </c>
      <c r="F400" s="8" t="s">
        <v>116</v>
      </c>
      <c r="G400" s="8" t="s">
        <v>116</v>
      </c>
      <c r="H400" s="8" t="s">
        <v>115</v>
      </c>
      <c r="I400" s="27">
        <v>45748</v>
      </c>
      <c r="J400" s="8" t="s">
        <v>117</v>
      </c>
      <c r="K400" s="8" t="s">
        <v>121</v>
      </c>
      <c r="L400" s="8" t="s">
        <v>119</v>
      </c>
      <c r="M400" s="16" t="str">
        <f ca="1">IFERROR(__xludf.DUMMYFUNCTION("JOIN("""",VLOOKUP(D400,'для артикула'!$A$2:$B$7,2,0),VLOOKUP(G400,'для артикула'!$A$13:$B$14,2,0),VLOOKUP(E400,'для артикула'!$A$9:$B$11,2,0),VLOOKUP(F400,'для артикула'!$A$17:$B$19,2,0),VLOOKUP(J400,'для артикула'!$A$22:$B$23,2,0),VLOOKUP(H400,'для артик"&amp;"ула'!$A$26:$B$30,2,0))"),"002-2515E30Q13-OK")</f>
        <v>002-2515E30Q13-OK</v>
      </c>
      <c r="N400" s="8" t="str">
        <f>IF(ISNUMBER(MATCH(C400, 'Реестр договоров'!$D$2:$D$900, 0)), "Продано", "В наличии")</f>
        <v>Продано</v>
      </c>
    </row>
    <row r="401" spans="1:14">
      <c r="A401" s="26">
        <v>45749.46235913194</v>
      </c>
      <c r="B401" s="26"/>
      <c r="C401" s="8" t="s">
        <v>517</v>
      </c>
      <c r="D401" s="8" t="s">
        <v>114</v>
      </c>
      <c r="E401" s="8">
        <v>30</v>
      </c>
      <c r="F401" s="8" t="s">
        <v>116</v>
      </c>
      <c r="G401" s="8" t="s">
        <v>116</v>
      </c>
      <c r="H401" s="8">
        <v>60</v>
      </c>
      <c r="I401" s="27">
        <v>45749</v>
      </c>
      <c r="J401" s="8" t="s">
        <v>117</v>
      </c>
      <c r="K401" s="8" t="s">
        <v>118</v>
      </c>
      <c r="L401" s="8" t="s">
        <v>119</v>
      </c>
      <c r="M401" s="16" t="str">
        <f ca="1">IFERROR(__xludf.DUMMYFUNCTION("JOIN("""",VLOOKUP(D401,'для артикула'!$A$2:$B$7,2,0),VLOOKUP(G401,'для артикула'!$A$13:$B$14,2,0),VLOOKUP(E401,'для артикула'!$A$9:$B$11,2,0),VLOOKUP(F401,'для артикула'!$A$17:$B$19,2,0),VLOOKUP(J401,'для артикула'!$A$22:$B$23,2,0),VLOOKUP(H401,'для артик"&amp;"ула'!$A$26:$B$30,2,0))"),"002-2013E30Q13-OK60")</f>
        <v>002-2013E30Q13-OK60</v>
      </c>
      <c r="N401" s="8" t="str">
        <f>IF(ISNUMBER(MATCH(C401, 'Реестр договоров'!$D$2:$D$900, 0)), "Продано", "В наличии")</f>
        <v>Продано</v>
      </c>
    </row>
    <row r="402" spans="1:14">
      <c r="A402" s="26">
        <v>45749.551583541666</v>
      </c>
      <c r="B402" s="26"/>
      <c r="C402" s="8" t="s">
        <v>518</v>
      </c>
      <c r="D402" s="8" t="s">
        <v>114</v>
      </c>
      <c r="E402" s="8">
        <v>30</v>
      </c>
      <c r="F402" s="8" t="s">
        <v>116</v>
      </c>
      <c r="G402" s="8" t="s">
        <v>116</v>
      </c>
      <c r="H402" s="8" t="s">
        <v>115</v>
      </c>
      <c r="I402" s="27">
        <v>45638</v>
      </c>
      <c r="J402" s="8" t="s">
        <v>117</v>
      </c>
      <c r="K402" s="8" t="s">
        <v>121</v>
      </c>
      <c r="L402" s="8" t="s">
        <v>119</v>
      </c>
      <c r="M402" s="16" t="str">
        <f ca="1">IFERROR(__xludf.DUMMYFUNCTION("JOIN("""",VLOOKUP(D402,'для артикула'!$A$2:$B$7,2,0),VLOOKUP(G402,'для артикула'!$A$13:$B$14,2,0),VLOOKUP(E402,'для артикула'!$A$9:$B$11,2,0),VLOOKUP(F402,'для артикула'!$A$17:$B$19,2,0),VLOOKUP(J402,'для артикула'!$A$22:$B$23,2,0),VLOOKUP(H402,'для артик"&amp;"ула'!$A$26:$B$30,2,0))"),"002-2013E30Q13-OK")</f>
        <v>002-2013E30Q13-OK</v>
      </c>
      <c r="N402" s="8" t="str">
        <f>IF(ISNUMBER(MATCH(C402, 'Реестр договоров'!$D$2:$D$900, 0)), "Продано", "В наличии")</f>
        <v>Продано</v>
      </c>
    </row>
    <row r="403" spans="1:14">
      <c r="A403" s="26">
        <v>45749.668346307866</v>
      </c>
      <c r="B403" s="26"/>
      <c r="C403" s="8" t="s">
        <v>519</v>
      </c>
      <c r="D403" s="8" t="s">
        <v>114</v>
      </c>
      <c r="E403" s="8">
        <v>50</v>
      </c>
      <c r="F403" s="8" t="s">
        <v>116</v>
      </c>
      <c r="G403" s="8" t="s">
        <v>116</v>
      </c>
      <c r="H403" s="8" t="s">
        <v>115</v>
      </c>
      <c r="I403" s="27">
        <v>45639</v>
      </c>
      <c r="J403" s="8" t="s">
        <v>117</v>
      </c>
      <c r="K403" s="8" t="s">
        <v>121</v>
      </c>
      <c r="L403" s="8" t="s">
        <v>119</v>
      </c>
      <c r="M403" s="16" t="str">
        <f ca="1">IFERROR(__xludf.DUMMYFUNCTION("JOIN("""",VLOOKUP(D403,'для артикула'!$A$2:$B$7,2,0),VLOOKUP(G403,'для артикула'!$A$13:$B$14,2,0),VLOOKUP(E403,'для артикула'!$A$9:$B$11,2,0),VLOOKUP(F403,'для артикула'!$A$17:$B$19,2,0),VLOOKUP(J403,'для артикула'!$A$22:$B$23,2,0),VLOOKUP(H403,'для артик"&amp;"ула'!$A$26:$B$30,2,0))"),"002-2013E50Q13-OK")</f>
        <v>002-2013E50Q13-OK</v>
      </c>
      <c r="N403" s="8" t="str">
        <f>IF(ISNUMBER(MATCH(C403, 'Реестр договоров'!$D$2:$D$900, 0)), "Продано", "В наличии")</f>
        <v>Продано</v>
      </c>
    </row>
    <row r="404" spans="1:14">
      <c r="A404" s="26">
        <v>45749.71162047454</v>
      </c>
      <c r="B404" s="26"/>
      <c r="C404" s="8" t="s">
        <v>520</v>
      </c>
      <c r="D404" s="8" t="s">
        <v>287</v>
      </c>
      <c r="E404" s="8">
        <v>50</v>
      </c>
      <c r="F404" s="8" t="s">
        <v>116</v>
      </c>
      <c r="G404" s="8" t="s">
        <v>116</v>
      </c>
      <c r="H404" s="8" t="s">
        <v>115</v>
      </c>
      <c r="I404" s="27">
        <v>45639</v>
      </c>
      <c r="J404" s="8" t="s">
        <v>117</v>
      </c>
      <c r="K404" s="8" t="s">
        <v>121</v>
      </c>
      <c r="L404" s="8" t="s">
        <v>119</v>
      </c>
      <c r="M404" s="16" t="str">
        <f ca="1">IFERROR(__xludf.DUMMYFUNCTION("JOIN("""",VLOOKUP(D404,'для артикула'!$A$2:$B$7,2,0),VLOOKUP(G404,'для артикула'!$A$13:$B$14,2,0),VLOOKUP(E404,'для артикула'!$A$9:$B$11,2,0),VLOOKUP(F404,'для артикула'!$A$17:$B$19,2,0),VLOOKUP(J404,'для артикула'!$A$22:$B$23,2,0),VLOOKUP(H404,'для артик"&amp;"ула'!$A$26:$B$30,2,0))"),"002-2513E50Q13-OK")</f>
        <v>002-2513E50Q13-OK</v>
      </c>
      <c r="N404" s="8" t="str">
        <f>IF(ISNUMBER(MATCH(C404, 'Реестр договоров'!$D$2:$D$900, 0)), "Продано", "В наличии")</f>
        <v>Продано</v>
      </c>
    </row>
    <row r="405" spans="1:14">
      <c r="A405" s="26">
        <v>45750.519074756943</v>
      </c>
      <c r="B405" s="26"/>
      <c r="C405" s="8" t="s">
        <v>521</v>
      </c>
      <c r="D405" s="8" t="s">
        <v>287</v>
      </c>
      <c r="E405" s="8">
        <v>50</v>
      </c>
      <c r="F405" s="8" t="s">
        <v>116</v>
      </c>
      <c r="G405" s="8" t="s">
        <v>116</v>
      </c>
      <c r="H405" s="8" t="s">
        <v>115</v>
      </c>
      <c r="I405" s="27">
        <v>45750</v>
      </c>
      <c r="J405" s="8" t="s">
        <v>117</v>
      </c>
      <c r="K405" s="8" t="s">
        <v>124</v>
      </c>
      <c r="L405" s="8" t="s">
        <v>119</v>
      </c>
      <c r="M405" s="16" t="str">
        <f ca="1">IFERROR(__xludf.DUMMYFUNCTION("JOIN("""",VLOOKUP(D405,'для артикула'!$A$2:$B$7,2,0),VLOOKUP(G405,'для артикула'!$A$13:$B$14,2,0),VLOOKUP(E405,'для артикула'!$A$9:$B$11,2,0),VLOOKUP(F405,'для артикула'!$A$17:$B$19,2,0),VLOOKUP(J405,'для артикула'!$A$22:$B$23,2,0),VLOOKUP(H405,'для артик"&amp;"ула'!$A$26:$B$30,2,0))"),"002-2513E50Q13-OK")</f>
        <v>002-2513E50Q13-OK</v>
      </c>
      <c r="N405" s="8" t="str">
        <f>IF(ISNUMBER(MATCH(C405, 'Реестр договоров'!$D$2:$D$900, 0)), "Продано", "В наличии")</f>
        <v>Продано</v>
      </c>
    </row>
    <row r="406" spans="1:14">
      <c r="A406" s="26">
        <v>45751.508956388891</v>
      </c>
      <c r="B406" s="26"/>
      <c r="C406" s="8" t="s">
        <v>522</v>
      </c>
      <c r="D406" s="8" t="s">
        <v>114</v>
      </c>
      <c r="E406" s="8">
        <v>50</v>
      </c>
      <c r="F406" s="8" t="s">
        <v>116</v>
      </c>
      <c r="G406" s="8" t="s">
        <v>116</v>
      </c>
      <c r="H406" s="8" t="s">
        <v>115</v>
      </c>
      <c r="I406" s="27">
        <v>45751</v>
      </c>
      <c r="J406" s="8" t="s">
        <v>117</v>
      </c>
      <c r="K406" s="8" t="s">
        <v>118</v>
      </c>
      <c r="L406" s="8" t="s">
        <v>119</v>
      </c>
      <c r="M406" s="16" t="str">
        <f ca="1">IFERROR(__xludf.DUMMYFUNCTION("JOIN("""",VLOOKUP(D406,'для артикула'!$A$2:$B$7,2,0),VLOOKUP(G406,'для артикула'!$A$13:$B$14,2,0),VLOOKUP(E406,'для артикула'!$A$9:$B$11,2,0),VLOOKUP(F406,'для артикула'!$A$17:$B$19,2,0),VLOOKUP(J406,'для артикула'!$A$22:$B$23,2,0),VLOOKUP(H406,'для артик"&amp;"ула'!$A$26:$B$30,2,0))"),"002-2013E50Q13-OK")</f>
        <v>002-2013E50Q13-OK</v>
      </c>
      <c r="N406" s="8" t="str">
        <f>IF(ISNUMBER(MATCH(C406, 'Реестр договоров'!$D$2:$D$900, 0)), "Продано", "В наличии")</f>
        <v>Продано</v>
      </c>
    </row>
    <row r="407" spans="1:14">
      <c r="A407" s="26">
        <v>45751.554840393517</v>
      </c>
      <c r="B407" s="26"/>
      <c r="C407" s="8" t="s">
        <v>523</v>
      </c>
      <c r="D407" s="8" t="s">
        <v>114</v>
      </c>
      <c r="E407" s="8">
        <v>50</v>
      </c>
      <c r="F407" s="8" t="s">
        <v>116</v>
      </c>
      <c r="G407" s="8" t="s">
        <v>116</v>
      </c>
      <c r="H407" s="8" t="s">
        <v>115</v>
      </c>
      <c r="I407" s="27">
        <v>45751</v>
      </c>
      <c r="J407" s="8" t="s">
        <v>117</v>
      </c>
      <c r="K407" s="8" t="s">
        <v>118</v>
      </c>
      <c r="L407" s="8" t="s">
        <v>119</v>
      </c>
      <c r="M407" s="16" t="str">
        <f ca="1">IFERROR(__xludf.DUMMYFUNCTION("JOIN("""",VLOOKUP(D407,'для артикула'!$A$2:$B$7,2,0),VLOOKUP(G407,'для артикула'!$A$13:$B$14,2,0),VLOOKUP(E407,'для артикула'!$A$9:$B$11,2,0),VLOOKUP(F407,'для артикула'!$A$17:$B$19,2,0),VLOOKUP(J407,'для артикула'!$A$22:$B$23,2,0),VLOOKUP(H407,'для артик"&amp;"ула'!$A$26:$B$30,2,0))"),"002-2013E50Q13-OK")</f>
        <v>002-2013E50Q13-OK</v>
      </c>
      <c r="N407" s="8" t="str">
        <f>IF(ISNUMBER(MATCH(C407, 'Реестр договоров'!$D$2:$D$900, 0)), "Продано", "В наличии")</f>
        <v>Продано</v>
      </c>
    </row>
    <row r="408" spans="1:14">
      <c r="A408" s="26">
        <v>45751.599706446759</v>
      </c>
      <c r="B408" s="26"/>
      <c r="C408" s="8" t="s">
        <v>524</v>
      </c>
      <c r="D408" s="8" t="s">
        <v>347</v>
      </c>
      <c r="E408" s="8">
        <v>30</v>
      </c>
      <c r="F408" s="8" t="s">
        <v>116</v>
      </c>
      <c r="G408" s="8" t="s">
        <v>116</v>
      </c>
      <c r="H408" s="8">
        <v>120</v>
      </c>
      <c r="I408" s="27">
        <v>45748</v>
      </c>
      <c r="J408" s="8" t="s">
        <v>117</v>
      </c>
      <c r="K408" s="8" t="s">
        <v>118</v>
      </c>
      <c r="L408" s="8" t="s">
        <v>119</v>
      </c>
      <c r="M408" s="16" t="str">
        <f ca="1">IFERROR(__xludf.DUMMYFUNCTION("JOIN("""",VLOOKUP(D408,'для артикула'!$A$2:$B$7,2,0),VLOOKUP(G408,'для артикула'!$A$13:$B$14,2,0),VLOOKUP(E408,'для артикула'!$A$9:$B$11,2,0),VLOOKUP(F408,'для артикула'!$A$17:$B$19,2,0),VLOOKUP(J408,'для артикула'!$A$22:$B$23,2,0),VLOOKUP(H408,'для артик"&amp;"ула'!$A$26:$B$30,2,0))"),"002-2515E30Q13-OK120")</f>
        <v>002-2515E30Q13-OK120</v>
      </c>
      <c r="N408" s="8" t="str">
        <f>IF(ISNUMBER(MATCH(C408, 'Реестр договоров'!$D$2:$D$900, 0)), "Продано", "В наличии")</f>
        <v>Продано</v>
      </c>
    </row>
    <row r="409" spans="1:14">
      <c r="A409" s="26">
        <v>45754.626026469909</v>
      </c>
      <c r="B409" s="26"/>
      <c r="C409" s="8" t="s">
        <v>525</v>
      </c>
      <c r="D409" s="8" t="s">
        <v>114</v>
      </c>
      <c r="E409" s="8">
        <v>50</v>
      </c>
      <c r="F409" s="8" t="s">
        <v>116</v>
      </c>
      <c r="G409" s="8" t="s">
        <v>116</v>
      </c>
      <c r="H409" s="8" t="s">
        <v>115</v>
      </c>
      <c r="I409" s="27">
        <v>45754</v>
      </c>
      <c r="J409" s="8" t="s">
        <v>117</v>
      </c>
      <c r="K409" s="8" t="s">
        <v>118</v>
      </c>
      <c r="L409" s="8" t="s">
        <v>119</v>
      </c>
      <c r="M409" s="16" t="str">
        <f ca="1">IFERROR(__xludf.DUMMYFUNCTION("JOIN("""",VLOOKUP(D409,'для артикула'!$A$2:$B$7,2,0),VLOOKUP(G409,'для артикула'!$A$13:$B$14,2,0),VLOOKUP(E409,'для артикула'!$A$9:$B$11,2,0),VLOOKUP(F409,'для артикула'!$A$17:$B$19,2,0),VLOOKUP(J409,'для артикула'!$A$22:$B$23,2,0),VLOOKUP(H409,'для артик"&amp;"ула'!$A$26:$B$30,2,0))"),"002-2013E50Q13-OK")</f>
        <v>002-2013E50Q13-OK</v>
      </c>
      <c r="N409" s="8" t="str">
        <f>IF(ISNUMBER(MATCH(C409, 'Реестр договоров'!$D$2:$D$900, 0)), "Продано", "В наличии")</f>
        <v>Продано</v>
      </c>
    </row>
    <row r="410" spans="1:14">
      <c r="A410" s="26">
        <v>45754.639266018523</v>
      </c>
      <c r="B410" s="26"/>
      <c r="C410" s="8" t="s">
        <v>526</v>
      </c>
      <c r="D410" s="8" t="s">
        <v>114</v>
      </c>
      <c r="E410" s="8">
        <v>50</v>
      </c>
      <c r="F410" s="8" t="s">
        <v>116</v>
      </c>
      <c r="G410" s="8" t="s">
        <v>116</v>
      </c>
      <c r="H410" s="8">
        <v>60</v>
      </c>
      <c r="I410" s="27">
        <v>45754</v>
      </c>
      <c r="J410" s="8" t="s">
        <v>117</v>
      </c>
      <c r="K410" s="8" t="s">
        <v>118</v>
      </c>
      <c r="L410" s="8" t="s">
        <v>119</v>
      </c>
      <c r="M410" s="16" t="str">
        <f ca="1">IFERROR(__xludf.DUMMYFUNCTION("JOIN("""",VLOOKUP(D410,'для артикула'!$A$2:$B$7,2,0),VLOOKUP(G410,'для артикула'!$A$13:$B$14,2,0),VLOOKUP(E410,'для артикула'!$A$9:$B$11,2,0),VLOOKUP(F410,'для артикула'!$A$17:$B$19,2,0),VLOOKUP(J410,'для артикула'!$A$22:$B$23,2,0),VLOOKUP(H410,'для артик"&amp;"ула'!$A$26:$B$30,2,0))"),"002-2013E50Q13-OK60")</f>
        <v>002-2013E50Q13-OK60</v>
      </c>
      <c r="N410" s="8" t="str">
        <f>IF(ISNUMBER(MATCH(C410, 'Реестр договоров'!$D$2:$D$900, 0)), "Продано", "В наличии")</f>
        <v>Продано</v>
      </c>
    </row>
    <row r="411" spans="1:14">
      <c r="A411" s="26">
        <v>45754.650082719905</v>
      </c>
      <c r="B411" s="26"/>
      <c r="C411" s="8" t="s">
        <v>527</v>
      </c>
      <c r="D411" s="8" t="s">
        <v>114</v>
      </c>
      <c r="E411" s="8">
        <v>50</v>
      </c>
      <c r="F411" s="8" t="s">
        <v>116</v>
      </c>
      <c r="G411" s="8" t="s">
        <v>116</v>
      </c>
      <c r="H411" s="8" t="s">
        <v>115</v>
      </c>
      <c r="I411" s="27">
        <v>45754</v>
      </c>
      <c r="J411" s="8" t="s">
        <v>117</v>
      </c>
      <c r="K411" s="8" t="s">
        <v>124</v>
      </c>
      <c r="L411" s="8" t="s">
        <v>119</v>
      </c>
      <c r="M411" s="16" t="str">
        <f ca="1">IFERROR(__xludf.DUMMYFUNCTION("JOIN("""",VLOOKUP(D411,'для артикула'!$A$2:$B$7,2,0),VLOOKUP(G411,'для артикула'!$A$13:$B$14,2,0),VLOOKUP(E411,'для артикула'!$A$9:$B$11,2,0),VLOOKUP(F411,'для артикула'!$A$17:$B$19,2,0),VLOOKUP(J411,'для артикула'!$A$22:$B$23,2,0),VLOOKUP(H411,'для артик"&amp;"ула'!$A$26:$B$30,2,0))"),"002-2013E50Q13-OK")</f>
        <v>002-2013E50Q13-OK</v>
      </c>
      <c r="N411" s="8" t="str">
        <f>IF(ISNUMBER(MATCH(C411, 'Реестр договоров'!$D$2:$D$900, 0)), "Продано", "В наличии")</f>
        <v>Продано</v>
      </c>
    </row>
    <row r="412" spans="1:14">
      <c r="A412" s="26">
        <v>45754.650906261573</v>
      </c>
      <c r="B412" s="26"/>
      <c r="C412" s="8" t="s">
        <v>528</v>
      </c>
      <c r="D412" s="8" t="s">
        <v>114</v>
      </c>
      <c r="E412" s="8">
        <v>50</v>
      </c>
      <c r="F412" s="8" t="s">
        <v>116</v>
      </c>
      <c r="G412" s="8" t="s">
        <v>116</v>
      </c>
      <c r="H412" s="8" t="s">
        <v>115</v>
      </c>
      <c r="I412" s="27">
        <v>45754</v>
      </c>
      <c r="J412" s="8" t="s">
        <v>117</v>
      </c>
      <c r="K412" s="8" t="s">
        <v>124</v>
      </c>
      <c r="L412" s="8" t="s">
        <v>119</v>
      </c>
      <c r="M412" s="16" t="str">
        <f ca="1">IFERROR(__xludf.DUMMYFUNCTION("JOIN("""",VLOOKUP(D412,'для артикула'!$A$2:$B$7,2,0),VLOOKUP(G412,'для артикула'!$A$13:$B$14,2,0),VLOOKUP(E412,'для артикула'!$A$9:$B$11,2,0),VLOOKUP(F412,'для артикула'!$A$17:$B$19,2,0),VLOOKUP(J412,'для артикула'!$A$22:$B$23,2,0),VLOOKUP(H412,'для артик"&amp;"ула'!$A$26:$B$30,2,0))"),"002-2013E50Q13-OK")</f>
        <v>002-2013E50Q13-OK</v>
      </c>
      <c r="N412" s="8" t="str">
        <f>IF(ISNUMBER(MATCH(C412, 'Реестр договоров'!$D$2:$D$900, 0)), "Продано", "В наличии")</f>
        <v>Продано</v>
      </c>
    </row>
    <row r="413" spans="1:14">
      <c r="A413" s="26">
        <v>45754.65248675926</v>
      </c>
      <c r="B413" s="26"/>
      <c r="C413" s="8" t="s">
        <v>529</v>
      </c>
      <c r="D413" s="8" t="s">
        <v>366</v>
      </c>
      <c r="E413" s="8">
        <v>50</v>
      </c>
      <c r="F413" s="8" t="s">
        <v>116</v>
      </c>
      <c r="G413" s="8" t="s">
        <v>116</v>
      </c>
      <c r="H413" s="8">
        <v>120</v>
      </c>
      <c r="I413" s="27">
        <v>45842</v>
      </c>
      <c r="J413" s="8" t="s">
        <v>117</v>
      </c>
      <c r="K413" s="8" t="s">
        <v>124</v>
      </c>
      <c r="L413" s="8" t="s">
        <v>288</v>
      </c>
      <c r="M413" s="16" t="str">
        <f ca="1">IFERROR(__xludf.DUMMYFUNCTION("JOIN("""",VLOOKUP(D413,'для артикула'!$A$2:$B$7,2,0),VLOOKUP(G413,'для артикула'!$A$13:$B$14,2,0),VLOOKUP(E413,'для артикула'!$A$9:$B$11,2,0),VLOOKUP(F413,'для артикула'!$A$17:$B$19,2,0),VLOOKUP(J413,'для артикула'!$A$22:$B$23,2,0),VLOOKUP(H413,'для артик"&amp;"ула'!$A$26:$B$30,2,0))"),"002-3015E50Q13-OK120")</f>
        <v>002-3015E50Q13-OK120</v>
      </c>
      <c r="N413" s="8" t="str">
        <f>IF(ISNUMBER(MATCH(C413, 'Реестр договоров'!$D$2:$D$900, 0)), "Продано", "В наличии")</f>
        <v>Продано</v>
      </c>
    </row>
    <row r="414" spans="1:14">
      <c r="A414" s="26">
        <v>45754.654594131949</v>
      </c>
      <c r="B414" s="26"/>
      <c r="C414" s="8" t="s">
        <v>530</v>
      </c>
      <c r="D414" s="8" t="s">
        <v>287</v>
      </c>
      <c r="E414" s="8">
        <v>50</v>
      </c>
      <c r="F414" s="8" t="s">
        <v>144</v>
      </c>
      <c r="G414" s="8" t="s">
        <v>144</v>
      </c>
      <c r="H414" s="8" t="s">
        <v>115</v>
      </c>
      <c r="I414" s="27">
        <v>45842</v>
      </c>
      <c r="J414" s="8" t="s">
        <v>117</v>
      </c>
      <c r="K414" s="8" t="s">
        <v>124</v>
      </c>
      <c r="L414" s="8" t="s">
        <v>119</v>
      </c>
      <c r="M414" s="16" t="str">
        <f ca="1">IFERROR(__xludf.DUMMYFUNCTION("JOIN("""",VLOOKUP(D414,'для артикула'!$A$2:$B$7,2,0),VLOOKUP(G414,'для артикула'!$A$13:$B$14,2,0),VLOOKUP(E414,'для артикула'!$A$9:$B$11,2,0),VLOOKUP(F414,'для артикула'!$A$17:$B$19,2,0),VLOOKUP(J414,'для артикула'!$A$22:$B$23,2,0),VLOOKUP(H414,'для артик"&amp;"ула'!$A$26:$B$30,2,0))"),"002-2513E50Q15-OK")</f>
        <v>002-2513E50Q15-OK</v>
      </c>
      <c r="N414" s="8" t="str">
        <f>IF(ISNUMBER(MATCH(C414, 'Реестр договоров'!$D$2:$D$900, 0)), "Продано", "В наличии")</f>
        <v>Продано</v>
      </c>
    </row>
    <row r="415" spans="1:14">
      <c r="A415" s="26">
        <v>45754.65503130787</v>
      </c>
      <c r="B415" s="26"/>
      <c r="C415" s="8" t="s">
        <v>531</v>
      </c>
      <c r="D415" s="8" t="s">
        <v>287</v>
      </c>
      <c r="E415" s="8">
        <v>50</v>
      </c>
      <c r="F415" s="8" t="s">
        <v>116</v>
      </c>
      <c r="G415" s="8" t="s">
        <v>116</v>
      </c>
      <c r="H415" s="8" t="s">
        <v>115</v>
      </c>
      <c r="I415" s="27">
        <v>45842</v>
      </c>
      <c r="J415" s="8" t="s">
        <v>117</v>
      </c>
      <c r="K415" s="8" t="s">
        <v>124</v>
      </c>
      <c r="L415" s="8" t="s">
        <v>119</v>
      </c>
      <c r="M415" s="16" t="str">
        <f ca="1">IFERROR(__xludf.DUMMYFUNCTION("JOIN("""",VLOOKUP(D415,'для артикула'!$A$2:$B$7,2,0),VLOOKUP(G415,'для артикула'!$A$13:$B$14,2,0),VLOOKUP(E415,'для артикула'!$A$9:$B$11,2,0),VLOOKUP(F415,'для артикула'!$A$17:$B$19,2,0),VLOOKUP(J415,'для артикула'!$A$22:$B$23,2,0),VLOOKUP(H415,'для артик"&amp;"ула'!$A$26:$B$30,2,0))"),"002-2513E50Q13-OK")</f>
        <v>002-2513E50Q13-OK</v>
      </c>
      <c r="N415" s="8" t="str">
        <f>IF(ISNUMBER(MATCH(C415, 'Реестр договоров'!$D$2:$D$900, 0)), "Продано", "В наличии")</f>
        <v>Продано</v>
      </c>
    </row>
    <row r="416" spans="1:14">
      <c r="A416" s="26">
        <v>45754.658726354166</v>
      </c>
      <c r="B416" s="26"/>
      <c r="C416" s="8" t="s">
        <v>532</v>
      </c>
      <c r="D416" s="8" t="s">
        <v>114</v>
      </c>
      <c r="E416" s="8">
        <v>50</v>
      </c>
      <c r="F416" s="8" t="s">
        <v>116</v>
      </c>
      <c r="G416" s="8" t="s">
        <v>116</v>
      </c>
      <c r="H416" s="8" t="s">
        <v>115</v>
      </c>
      <c r="I416" s="27">
        <v>45748</v>
      </c>
      <c r="J416" s="8" t="s">
        <v>117</v>
      </c>
      <c r="K416" s="8" t="s">
        <v>121</v>
      </c>
      <c r="L416" s="8" t="s">
        <v>119</v>
      </c>
      <c r="M416" s="16" t="str">
        <f ca="1">IFERROR(__xludf.DUMMYFUNCTION("JOIN("""",VLOOKUP(D416,'для артикула'!$A$2:$B$7,2,0),VLOOKUP(G416,'для артикула'!$A$13:$B$14,2,0),VLOOKUP(E416,'для артикула'!$A$9:$B$11,2,0),VLOOKUP(F416,'для артикула'!$A$17:$B$19,2,0),VLOOKUP(J416,'для артикула'!$A$22:$B$23,2,0),VLOOKUP(H416,'для артик"&amp;"ула'!$A$26:$B$30,2,0))"),"002-2013E50Q13-OK")</f>
        <v>002-2013E50Q13-OK</v>
      </c>
      <c r="N416" s="8" t="str">
        <f>IF(ISNUMBER(MATCH(C416, 'Реестр договоров'!$D$2:$D$900, 0)), "Продано", "В наличии")</f>
        <v>Продано</v>
      </c>
    </row>
    <row r="417" spans="1:14">
      <c r="A417" s="26">
        <v>45755.541189282405</v>
      </c>
      <c r="B417" s="26"/>
      <c r="C417" s="8" t="s">
        <v>533</v>
      </c>
      <c r="D417" s="8" t="s">
        <v>114</v>
      </c>
      <c r="E417" s="8">
        <v>50</v>
      </c>
      <c r="F417" s="8" t="s">
        <v>116</v>
      </c>
      <c r="G417" s="8" t="s">
        <v>116</v>
      </c>
      <c r="H417" s="8">
        <v>30</v>
      </c>
      <c r="I417" s="27">
        <v>45755</v>
      </c>
      <c r="J417" s="8" t="s">
        <v>117</v>
      </c>
      <c r="K417" s="8" t="s">
        <v>118</v>
      </c>
      <c r="L417" s="8" t="s">
        <v>119</v>
      </c>
      <c r="M417" s="16" t="str">
        <f ca="1">IFERROR(__xludf.DUMMYFUNCTION("JOIN("""",VLOOKUP(D417,'для артикула'!$A$2:$B$7,2,0),VLOOKUP(G417,'для артикула'!$A$13:$B$14,2,0),VLOOKUP(E417,'для артикула'!$A$9:$B$11,2,0),VLOOKUP(F417,'для артикула'!$A$17:$B$19,2,0),VLOOKUP(J417,'для артикула'!$A$22:$B$23,2,0),VLOOKUP(H417,'для артик"&amp;"ула'!$A$26:$B$30,2,0))"),"002-2013E50Q13-OK30")</f>
        <v>002-2013E50Q13-OK30</v>
      </c>
      <c r="N417" s="8" t="str">
        <f>IF(ISNUMBER(MATCH(C417, 'Реестр договоров'!$D$2:$D$900, 0)), "Продано", "В наличии")</f>
        <v>Продано</v>
      </c>
    </row>
    <row r="418" spans="1:14">
      <c r="A418" s="26">
        <v>45757.73604653935</v>
      </c>
      <c r="B418" s="26"/>
      <c r="C418" s="8" t="s">
        <v>49</v>
      </c>
      <c r="D418" s="8" t="s">
        <v>375</v>
      </c>
      <c r="E418" s="8">
        <v>50</v>
      </c>
      <c r="F418" s="8" t="s">
        <v>116</v>
      </c>
      <c r="G418" s="8" t="s">
        <v>116</v>
      </c>
      <c r="H418" s="8">
        <v>120</v>
      </c>
      <c r="I418" s="27">
        <v>45757</v>
      </c>
      <c r="J418" s="8" t="s">
        <v>117</v>
      </c>
      <c r="K418" s="8" t="s">
        <v>124</v>
      </c>
      <c r="L418" s="8" t="s">
        <v>288</v>
      </c>
      <c r="M418" s="16" t="str">
        <f ca="1">IFERROR(__xludf.DUMMYFUNCTION("JOIN("""",VLOOKUP(D418,'для артикула'!$A$2:$B$7,2,0),VLOOKUP(G418,'для артикула'!$A$13:$B$14,2,0),VLOOKUP(E418,'для артикула'!$A$9:$B$11,2,0),VLOOKUP(F418,'для артикула'!$A$17:$B$19,2,0),VLOOKUP(J418,'для артикула'!$A$22:$B$23,2,0),VLOOKUP(H418,'для артик"&amp;"ула'!$A$26:$B$30,2,0))"),"002-3515E50Q13-OK120")</f>
        <v>002-3515E50Q13-OK120</v>
      </c>
      <c r="N418" s="8" t="str">
        <f>IF(ISNUMBER(MATCH(C418, 'Реестр договоров'!$D$2:$D$900, 0)), "Продано", "В наличии")</f>
        <v>Продано</v>
      </c>
    </row>
    <row r="419" spans="1:14">
      <c r="A419" s="26">
        <v>45757.736448877316</v>
      </c>
      <c r="B419" s="26"/>
      <c r="C419" s="8" t="s">
        <v>45</v>
      </c>
      <c r="D419" s="8" t="s">
        <v>375</v>
      </c>
      <c r="E419" s="8">
        <v>50</v>
      </c>
      <c r="F419" s="8" t="s">
        <v>116</v>
      </c>
      <c r="G419" s="8" t="s">
        <v>116</v>
      </c>
      <c r="H419" s="8">
        <v>120</v>
      </c>
      <c r="I419" s="27">
        <v>45757</v>
      </c>
      <c r="J419" s="8" t="s">
        <v>117</v>
      </c>
      <c r="K419" s="8" t="s">
        <v>124</v>
      </c>
      <c r="L419" s="8" t="s">
        <v>288</v>
      </c>
      <c r="M419" s="16" t="str">
        <f ca="1">IFERROR(__xludf.DUMMYFUNCTION("JOIN("""",VLOOKUP(D419,'для артикула'!$A$2:$B$7,2,0),VLOOKUP(G419,'для артикула'!$A$13:$B$14,2,0),VLOOKUP(E419,'для артикула'!$A$9:$B$11,2,0),VLOOKUP(F419,'для артикула'!$A$17:$B$19,2,0),VLOOKUP(J419,'для артикула'!$A$22:$B$23,2,0),VLOOKUP(H419,'для артик"&amp;"ула'!$A$26:$B$30,2,0))"),"002-3515E50Q13-OK120")</f>
        <v>002-3515E50Q13-OK120</v>
      </c>
      <c r="N419" s="8" t="str">
        <f>IF(ISNUMBER(MATCH(C419, 'Реестр договоров'!$D$2:$D$900, 0)), "Продано", "В наличии")</f>
        <v>Продано</v>
      </c>
    </row>
    <row r="420" spans="1:14">
      <c r="A420" s="26">
        <v>45757.736998425928</v>
      </c>
      <c r="B420" s="26"/>
      <c r="C420" s="8" t="s">
        <v>43</v>
      </c>
      <c r="D420" s="8" t="s">
        <v>375</v>
      </c>
      <c r="E420" s="8">
        <v>50</v>
      </c>
      <c r="F420" s="8" t="s">
        <v>116</v>
      </c>
      <c r="G420" s="8" t="s">
        <v>116</v>
      </c>
      <c r="H420" s="8">
        <v>120</v>
      </c>
      <c r="I420" s="27">
        <v>45757</v>
      </c>
      <c r="J420" s="8" t="s">
        <v>117</v>
      </c>
      <c r="K420" s="8" t="s">
        <v>124</v>
      </c>
      <c r="L420" s="8" t="s">
        <v>288</v>
      </c>
      <c r="M420" s="16" t="str">
        <f ca="1">IFERROR(__xludf.DUMMYFUNCTION("JOIN("""",VLOOKUP(D420,'для артикула'!$A$2:$B$7,2,0),VLOOKUP(G420,'для артикула'!$A$13:$B$14,2,0),VLOOKUP(E420,'для артикула'!$A$9:$B$11,2,0),VLOOKUP(F420,'для артикула'!$A$17:$B$19,2,0),VLOOKUP(J420,'для артикула'!$A$22:$B$23,2,0),VLOOKUP(H420,'для артик"&amp;"ула'!$A$26:$B$30,2,0))"),"002-3515E50Q13-OK120")</f>
        <v>002-3515E50Q13-OK120</v>
      </c>
      <c r="N420" s="8" t="str">
        <f>IF(ISNUMBER(MATCH(C420, 'Реестр договоров'!$D$2:$D$900, 0)), "Продано", "В наличии")</f>
        <v>Продано</v>
      </c>
    </row>
    <row r="421" spans="1:14">
      <c r="A421" s="26">
        <v>45757.737398518519</v>
      </c>
      <c r="B421" s="26"/>
      <c r="C421" s="8" t="s">
        <v>42</v>
      </c>
      <c r="D421" s="8" t="s">
        <v>375</v>
      </c>
      <c r="E421" s="8">
        <v>50</v>
      </c>
      <c r="F421" s="8" t="s">
        <v>116</v>
      </c>
      <c r="G421" s="8" t="s">
        <v>116</v>
      </c>
      <c r="H421" s="8">
        <v>120</v>
      </c>
      <c r="I421" s="27">
        <v>45757</v>
      </c>
      <c r="J421" s="8" t="s">
        <v>117</v>
      </c>
      <c r="K421" s="8" t="s">
        <v>124</v>
      </c>
      <c r="L421" s="8" t="s">
        <v>288</v>
      </c>
      <c r="M421" s="16" t="str">
        <f ca="1">IFERROR(__xludf.DUMMYFUNCTION("JOIN("""",VLOOKUP(D421,'для артикула'!$A$2:$B$7,2,0),VLOOKUP(G421,'для артикула'!$A$13:$B$14,2,0),VLOOKUP(E421,'для артикула'!$A$9:$B$11,2,0),VLOOKUP(F421,'для артикула'!$A$17:$B$19,2,0),VLOOKUP(J421,'для артикула'!$A$22:$B$23,2,0),VLOOKUP(H421,'для артик"&amp;"ула'!$A$26:$B$30,2,0))"),"002-3515E50Q13-OK120")</f>
        <v>002-3515E50Q13-OK120</v>
      </c>
      <c r="N421" s="8" t="str">
        <f>IF(ISNUMBER(MATCH(C421, 'Реестр договоров'!$D$2:$D$900, 0)), "Продано", "В наличии")</f>
        <v>Продано</v>
      </c>
    </row>
    <row r="422" spans="1:14">
      <c r="A422" s="26">
        <v>45757.737867800926</v>
      </c>
      <c r="B422" s="26"/>
      <c r="C422" s="8" t="s">
        <v>44</v>
      </c>
      <c r="D422" s="8" t="s">
        <v>375</v>
      </c>
      <c r="E422" s="8">
        <v>50</v>
      </c>
      <c r="F422" s="8" t="s">
        <v>116</v>
      </c>
      <c r="G422" s="8" t="s">
        <v>116</v>
      </c>
      <c r="H422" s="8">
        <v>120</v>
      </c>
      <c r="I422" s="27">
        <v>45757</v>
      </c>
      <c r="J422" s="8" t="s">
        <v>117</v>
      </c>
      <c r="K422" s="8" t="s">
        <v>124</v>
      </c>
      <c r="L422" s="8" t="s">
        <v>288</v>
      </c>
      <c r="M422" s="16" t="str">
        <f ca="1">IFERROR(__xludf.DUMMYFUNCTION("JOIN("""",VLOOKUP(D422,'для артикула'!$A$2:$B$7,2,0),VLOOKUP(G422,'для артикула'!$A$13:$B$14,2,0),VLOOKUP(E422,'для артикула'!$A$9:$B$11,2,0),VLOOKUP(F422,'для артикула'!$A$17:$B$19,2,0),VLOOKUP(J422,'для артикула'!$A$22:$B$23,2,0),VLOOKUP(H422,'для артик"&amp;"ула'!$A$26:$B$30,2,0))"),"002-3515E50Q13-OK120")</f>
        <v>002-3515E50Q13-OK120</v>
      </c>
      <c r="N422" s="8" t="str">
        <f>IF(ISNUMBER(MATCH(C422, 'Реестр договоров'!$D$2:$D$900, 0)), "Продано", "В наличии")</f>
        <v>Продано</v>
      </c>
    </row>
    <row r="423" spans="1:14">
      <c r="A423" s="26">
        <v>45757.738903391204</v>
      </c>
      <c r="B423" s="26"/>
      <c r="C423" s="8" t="s">
        <v>41</v>
      </c>
      <c r="D423" s="8" t="s">
        <v>375</v>
      </c>
      <c r="E423" s="8">
        <v>50</v>
      </c>
      <c r="F423" s="8" t="s">
        <v>116</v>
      </c>
      <c r="G423" s="8" t="s">
        <v>116</v>
      </c>
      <c r="H423" s="8">
        <v>120</v>
      </c>
      <c r="I423" s="27">
        <v>45757</v>
      </c>
      <c r="J423" s="8" t="s">
        <v>117</v>
      </c>
      <c r="K423" s="8" t="s">
        <v>124</v>
      </c>
      <c r="L423" s="8" t="s">
        <v>288</v>
      </c>
      <c r="M423" s="16" t="str">
        <f ca="1">IFERROR(__xludf.DUMMYFUNCTION("JOIN("""",VLOOKUP(D423,'для артикула'!$A$2:$B$7,2,0),VLOOKUP(G423,'для артикула'!$A$13:$B$14,2,0),VLOOKUP(E423,'для артикула'!$A$9:$B$11,2,0),VLOOKUP(F423,'для артикула'!$A$17:$B$19,2,0),VLOOKUP(J423,'для артикула'!$A$22:$B$23,2,0),VLOOKUP(H423,'для артик"&amp;"ула'!$A$26:$B$30,2,0))"),"002-3515E50Q13-OK120")</f>
        <v>002-3515E50Q13-OK120</v>
      </c>
      <c r="N423" s="8" t="str">
        <f>IF(ISNUMBER(MATCH(C423, 'Реестр договоров'!$D$2:$D$900, 0)), "Продано", "В наличии")</f>
        <v>Продано</v>
      </c>
    </row>
    <row r="424" spans="1:14">
      <c r="A424" s="26">
        <v>45757.739360856482</v>
      </c>
      <c r="B424" s="26"/>
      <c r="C424" s="8" t="s">
        <v>46</v>
      </c>
      <c r="D424" s="8" t="s">
        <v>375</v>
      </c>
      <c r="E424" s="8">
        <v>50</v>
      </c>
      <c r="F424" s="8" t="s">
        <v>116</v>
      </c>
      <c r="G424" s="8" t="s">
        <v>116</v>
      </c>
      <c r="H424" s="8">
        <v>120</v>
      </c>
      <c r="I424" s="27">
        <v>45757</v>
      </c>
      <c r="J424" s="8" t="s">
        <v>117</v>
      </c>
      <c r="K424" s="8" t="s">
        <v>124</v>
      </c>
      <c r="L424" s="8" t="s">
        <v>288</v>
      </c>
      <c r="M424" s="16" t="str">
        <f ca="1">IFERROR(__xludf.DUMMYFUNCTION("JOIN("""",VLOOKUP(D424,'для артикула'!$A$2:$B$7,2,0),VLOOKUP(G424,'для артикула'!$A$13:$B$14,2,0),VLOOKUP(E424,'для артикула'!$A$9:$B$11,2,0),VLOOKUP(F424,'для артикула'!$A$17:$B$19,2,0),VLOOKUP(J424,'для артикула'!$A$22:$B$23,2,0),VLOOKUP(H424,'для артик"&amp;"ула'!$A$26:$B$30,2,0))"),"002-3515E50Q13-OK120")</f>
        <v>002-3515E50Q13-OK120</v>
      </c>
      <c r="N424" s="8" t="str">
        <f>IF(ISNUMBER(MATCH(C424, 'Реестр договоров'!$D$2:$D$900, 0)), "Продано", "В наличии")</f>
        <v>Продано</v>
      </c>
    </row>
    <row r="425" spans="1:14">
      <c r="A425" s="26">
        <v>45757.739827002311</v>
      </c>
      <c r="B425" s="26"/>
      <c r="C425" s="8" t="s">
        <v>50</v>
      </c>
      <c r="D425" s="8" t="s">
        <v>375</v>
      </c>
      <c r="E425" s="8">
        <v>50</v>
      </c>
      <c r="F425" s="8" t="s">
        <v>116</v>
      </c>
      <c r="G425" s="8" t="s">
        <v>116</v>
      </c>
      <c r="H425" s="8">
        <v>120</v>
      </c>
      <c r="I425" s="27">
        <v>45392</v>
      </c>
      <c r="J425" s="8" t="s">
        <v>117</v>
      </c>
      <c r="K425" s="8" t="s">
        <v>124</v>
      </c>
      <c r="L425" s="8" t="s">
        <v>288</v>
      </c>
      <c r="M425" s="16" t="str">
        <f ca="1">IFERROR(__xludf.DUMMYFUNCTION("JOIN("""",VLOOKUP(D425,'для артикула'!$A$2:$B$7,2,0),VLOOKUP(G425,'для артикула'!$A$13:$B$14,2,0),VLOOKUP(E425,'для артикула'!$A$9:$B$11,2,0),VLOOKUP(F425,'для артикула'!$A$17:$B$19,2,0),VLOOKUP(J425,'для артикула'!$A$22:$B$23,2,0),VLOOKUP(H425,'для артик"&amp;"ула'!$A$26:$B$30,2,0))"),"002-3515E50Q13-OK120")</f>
        <v>002-3515E50Q13-OK120</v>
      </c>
      <c r="N425" s="8" t="str">
        <f>IF(ISNUMBER(MATCH(C425, 'Реестр договоров'!$D$2:$D$900, 0)), "Продано", "В наличии")</f>
        <v>Продано</v>
      </c>
    </row>
    <row r="426" spans="1:14">
      <c r="A426" s="26">
        <v>45757.740258993057</v>
      </c>
      <c r="B426" s="26"/>
      <c r="C426" s="8" t="s">
        <v>48</v>
      </c>
      <c r="D426" s="8" t="s">
        <v>375</v>
      </c>
      <c r="E426" s="8">
        <v>50</v>
      </c>
      <c r="F426" s="8" t="s">
        <v>116</v>
      </c>
      <c r="G426" s="8" t="s">
        <v>116</v>
      </c>
      <c r="H426" s="8">
        <v>120</v>
      </c>
      <c r="I426" s="27">
        <v>45757</v>
      </c>
      <c r="J426" s="8" t="s">
        <v>117</v>
      </c>
      <c r="K426" s="8" t="s">
        <v>124</v>
      </c>
      <c r="L426" s="8" t="s">
        <v>288</v>
      </c>
      <c r="M426" s="16" t="str">
        <f ca="1">IFERROR(__xludf.DUMMYFUNCTION("JOIN("""",VLOOKUP(D426,'для артикула'!$A$2:$B$7,2,0),VLOOKUP(G426,'для артикула'!$A$13:$B$14,2,0),VLOOKUP(E426,'для артикула'!$A$9:$B$11,2,0),VLOOKUP(F426,'для артикула'!$A$17:$B$19,2,0),VLOOKUP(J426,'для артикула'!$A$22:$B$23,2,0),VLOOKUP(H426,'для артик"&amp;"ула'!$A$26:$B$30,2,0))"),"002-3515E50Q13-OK120")</f>
        <v>002-3515E50Q13-OK120</v>
      </c>
      <c r="N426" s="8" t="str">
        <f>IF(ISNUMBER(MATCH(C426, 'Реестр договоров'!$D$2:$D$900, 0)), "Продано", "В наличии")</f>
        <v>Продано</v>
      </c>
    </row>
    <row r="427" spans="1:14">
      <c r="A427" s="26">
        <v>45757.740644467594</v>
      </c>
      <c r="B427" s="26"/>
      <c r="C427" s="8" t="s">
        <v>47</v>
      </c>
      <c r="D427" s="8" t="s">
        <v>375</v>
      </c>
      <c r="E427" s="8">
        <v>50</v>
      </c>
      <c r="F427" s="8" t="s">
        <v>116</v>
      </c>
      <c r="G427" s="8" t="s">
        <v>116</v>
      </c>
      <c r="H427" s="8">
        <v>120</v>
      </c>
      <c r="I427" s="27">
        <v>45757</v>
      </c>
      <c r="J427" s="8" t="s">
        <v>117</v>
      </c>
      <c r="K427" s="8" t="s">
        <v>124</v>
      </c>
      <c r="L427" s="8" t="s">
        <v>288</v>
      </c>
      <c r="M427" s="16" t="str">
        <f ca="1">IFERROR(__xludf.DUMMYFUNCTION("JOIN("""",VLOOKUP(D427,'для артикула'!$A$2:$B$7,2,0),VLOOKUP(G427,'для артикула'!$A$13:$B$14,2,0),VLOOKUP(E427,'для артикула'!$A$9:$B$11,2,0),VLOOKUP(F427,'для артикула'!$A$17:$B$19,2,0),VLOOKUP(J427,'для артикула'!$A$22:$B$23,2,0),VLOOKUP(H427,'для артик"&amp;"ула'!$A$26:$B$30,2,0))"),"002-3515E50Q13-OK120")</f>
        <v>002-3515E50Q13-OK120</v>
      </c>
      <c r="N427" s="8" t="str">
        <f>IF(ISNUMBER(MATCH(C427, 'Реестр договоров'!$D$2:$D$900, 0)), "Продано", "В наличии")</f>
        <v>Продано</v>
      </c>
    </row>
    <row r="428" spans="1:14">
      <c r="A428" s="26">
        <v>45761.505456898143</v>
      </c>
      <c r="B428" s="26"/>
      <c r="C428" s="8" t="s">
        <v>534</v>
      </c>
      <c r="D428" s="8" t="s">
        <v>287</v>
      </c>
      <c r="E428" s="8">
        <v>30</v>
      </c>
      <c r="F428" s="8" t="s">
        <v>116</v>
      </c>
      <c r="G428" s="8" t="s">
        <v>116</v>
      </c>
      <c r="H428" s="8" t="s">
        <v>115</v>
      </c>
      <c r="I428" s="27">
        <v>45722</v>
      </c>
      <c r="J428" s="8" t="s">
        <v>117</v>
      </c>
      <c r="K428" s="8" t="s">
        <v>118</v>
      </c>
      <c r="L428" s="8" t="s">
        <v>119</v>
      </c>
      <c r="M428" s="16" t="str">
        <f ca="1">IFERROR(__xludf.DUMMYFUNCTION("JOIN("""",VLOOKUP(D428,'для артикула'!$A$2:$B$7,2,0),VLOOKUP(G428,'для артикула'!$A$13:$B$14,2,0),VLOOKUP(E428,'для артикула'!$A$9:$B$11,2,0),VLOOKUP(F428,'для артикула'!$A$17:$B$19,2,0),VLOOKUP(J428,'для артикула'!$A$22:$B$23,2,0),VLOOKUP(H428,'для артик"&amp;"ула'!$A$26:$B$30,2,0))"),"002-2513E30Q13-OK")</f>
        <v>002-2513E30Q13-OK</v>
      </c>
      <c r="N428" s="8" t="str">
        <f>IF(ISNUMBER(MATCH(C428, 'Реестр договоров'!$D$2:$D$900, 0)), "Продано", "В наличии")</f>
        <v>Продано</v>
      </c>
    </row>
    <row r="429" spans="1:14">
      <c r="A429" s="26">
        <v>45761.505891435183</v>
      </c>
      <c r="B429" s="26"/>
      <c r="C429" s="8" t="s">
        <v>535</v>
      </c>
      <c r="D429" s="8" t="s">
        <v>287</v>
      </c>
      <c r="E429" s="8">
        <v>30</v>
      </c>
      <c r="F429" s="8" t="s">
        <v>116</v>
      </c>
      <c r="G429" s="8" t="s">
        <v>116</v>
      </c>
      <c r="H429" s="8" t="s">
        <v>115</v>
      </c>
      <c r="I429" s="27">
        <v>45722</v>
      </c>
      <c r="J429" s="8" t="s">
        <v>117</v>
      </c>
      <c r="K429" s="8" t="s">
        <v>118</v>
      </c>
      <c r="L429" s="8" t="s">
        <v>119</v>
      </c>
      <c r="M429" s="16" t="str">
        <f ca="1">IFERROR(__xludf.DUMMYFUNCTION("JOIN("""",VLOOKUP(D429,'для артикула'!$A$2:$B$7,2,0),VLOOKUP(G429,'для артикула'!$A$13:$B$14,2,0),VLOOKUP(E429,'для артикула'!$A$9:$B$11,2,0),VLOOKUP(F429,'для артикула'!$A$17:$B$19,2,0),VLOOKUP(J429,'для артикула'!$A$22:$B$23,2,0),VLOOKUP(H429,'для артик"&amp;"ула'!$A$26:$B$30,2,0))"),"002-2513E30Q13-OK")</f>
        <v>002-2513E30Q13-OK</v>
      </c>
      <c r="N429" s="8" t="str">
        <f>IF(ISNUMBER(MATCH(C429, 'Реестр договоров'!$D$2:$D$900, 0)), "Продано", "В наличии")</f>
        <v>Продано</v>
      </c>
    </row>
    <row r="430" spans="1:14">
      <c r="A430" s="26">
        <v>45762.474387152775</v>
      </c>
      <c r="B430" s="26"/>
      <c r="C430" s="8" t="s">
        <v>536</v>
      </c>
      <c r="D430" s="8" t="s">
        <v>114</v>
      </c>
      <c r="E430" s="8">
        <v>30</v>
      </c>
      <c r="F430" s="8" t="s">
        <v>116</v>
      </c>
      <c r="G430" s="8" t="s">
        <v>116</v>
      </c>
      <c r="H430" s="8" t="s">
        <v>115</v>
      </c>
      <c r="I430" s="27">
        <v>45735</v>
      </c>
      <c r="J430" s="8" t="s">
        <v>117</v>
      </c>
      <c r="K430" s="8" t="s">
        <v>121</v>
      </c>
      <c r="L430" s="8" t="s">
        <v>119</v>
      </c>
      <c r="M430" s="16" t="str">
        <f ca="1">IFERROR(__xludf.DUMMYFUNCTION("JOIN("""",VLOOKUP(D430,'для артикула'!$A$2:$B$7,2,0),VLOOKUP(G430,'для артикула'!$A$13:$B$14,2,0),VLOOKUP(E430,'для артикула'!$A$9:$B$11,2,0),VLOOKUP(F430,'для артикула'!$A$17:$B$19,2,0),VLOOKUP(J430,'для артикула'!$A$22:$B$23,2,0),VLOOKUP(H430,'для артик"&amp;"ула'!$A$26:$B$30,2,0))"),"002-2013E30Q13-OK")</f>
        <v>002-2013E30Q13-OK</v>
      </c>
      <c r="N430" s="8" t="str">
        <f>IF(ISNUMBER(MATCH(C430, 'Реестр договоров'!$D$2:$D$900, 0)), "Продано", "В наличии")</f>
        <v>Продано</v>
      </c>
    </row>
    <row r="431" spans="1:14">
      <c r="A431" s="26">
        <v>45762.55997717593</v>
      </c>
      <c r="B431" s="26"/>
      <c r="C431" s="8" t="s">
        <v>537</v>
      </c>
      <c r="D431" s="8" t="s">
        <v>114</v>
      </c>
      <c r="E431" s="8">
        <v>50</v>
      </c>
      <c r="F431" s="8" t="s">
        <v>116</v>
      </c>
      <c r="G431" s="8" t="s">
        <v>116</v>
      </c>
      <c r="H431" s="8">
        <v>30</v>
      </c>
      <c r="I431" s="27">
        <v>45762</v>
      </c>
      <c r="J431" s="8" t="s">
        <v>117</v>
      </c>
      <c r="K431" s="8" t="s">
        <v>118</v>
      </c>
      <c r="L431" s="8" t="s">
        <v>119</v>
      </c>
      <c r="M431" s="16" t="str">
        <f ca="1">IFERROR(__xludf.DUMMYFUNCTION("JOIN("""",VLOOKUP(D431,'для артикула'!$A$2:$B$7,2,0),VLOOKUP(G431,'для артикула'!$A$13:$B$14,2,0),VLOOKUP(E431,'для артикула'!$A$9:$B$11,2,0),VLOOKUP(F431,'для артикула'!$A$17:$B$19,2,0),VLOOKUP(J431,'для артикула'!$A$22:$B$23,2,0),VLOOKUP(H431,'для артик"&amp;"ула'!$A$26:$B$30,2,0))"),"002-2013E50Q13-OK30")</f>
        <v>002-2013E50Q13-OK30</v>
      </c>
      <c r="N431" s="8" t="str">
        <f>IF(ISNUMBER(MATCH(C431, 'Реестр договоров'!$D$2:$D$900, 0)), "Продано", "В наличии")</f>
        <v>Продано</v>
      </c>
    </row>
    <row r="432" spans="1:14">
      <c r="A432" s="26">
        <v>45762.58216471065</v>
      </c>
      <c r="B432" s="26"/>
      <c r="C432" s="8" t="s">
        <v>538</v>
      </c>
      <c r="D432" s="8" t="s">
        <v>114</v>
      </c>
      <c r="E432" s="8">
        <v>50</v>
      </c>
      <c r="F432" s="8" t="s">
        <v>116</v>
      </c>
      <c r="G432" s="8" t="s">
        <v>116</v>
      </c>
      <c r="H432" s="8" t="s">
        <v>115</v>
      </c>
      <c r="I432" s="27">
        <v>45762</v>
      </c>
      <c r="J432" s="8" t="s">
        <v>117</v>
      </c>
      <c r="K432" s="8" t="s">
        <v>121</v>
      </c>
      <c r="L432" s="8" t="s">
        <v>119</v>
      </c>
      <c r="M432" s="16" t="str">
        <f ca="1">IFERROR(__xludf.DUMMYFUNCTION("JOIN("""",VLOOKUP(D432,'для артикула'!$A$2:$B$7,2,0),VLOOKUP(G432,'для артикула'!$A$13:$B$14,2,0),VLOOKUP(E432,'для артикула'!$A$9:$B$11,2,0),VLOOKUP(F432,'для артикула'!$A$17:$B$19,2,0),VLOOKUP(J432,'для артикула'!$A$22:$B$23,2,0),VLOOKUP(H432,'для артик"&amp;"ула'!$A$26:$B$30,2,0))"),"002-2013E50Q13-OK")</f>
        <v>002-2013E50Q13-OK</v>
      </c>
      <c r="N432" s="8" t="str">
        <f>IF(ISNUMBER(MATCH(C432, 'Реестр договоров'!$D$2:$D$900, 0)), "Продано", "В наличии")</f>
        <v>Продано</v>
      </c>
    </row>
    <row r="433" spans="1:15">
      <c r="A433" s="26">
        <v>45762.677770428243</v>
      </c>
      <c r="B433" s="26"/>
      <c r="C433" s="8" t="s">
        <v>539</v>
      </c>
      <c r="D433" s="8" t="s">
        <v>287</v>
      </c>
      <c r="E433" s="8">
        <v>50</v>
      </c>
      <c r="F433" s="8" t="s">
        <v>116</v>
      </c>
      <c r="G433" s="8" t="s">
        <v>116</v>
      </c>
      <c r="H433" s="8">
        <v>60</v>
      </c>
      <c r="I433" s="27">
        <v>45761</v>
      </c>
      <c r="J433" s="8" t="s">
        <v>117</v>
      </c>
      <c r="K433" s="8" t="s">
        <v>118</v>
      </c>
      <c r="L433" s="8" t="s">
        <v>119</v>
      </c>
      <c r="M433" s="16" t="str">
        <f ca="1">IFERROR(__xludf.DUMMYFUNCTION("JOIN("""",VLOOKUP(D433,'для артикула'!$A$2:$B$7,2,0),VLOOKUP(G433,'для артикула'!$A$13:$B$14,2,0),VLOOKUP(E433,'для артикула'!$A$9:$B$11,2,0),VLOOKUP(F433,'для артикула'!$A$17:$B$19,2,0),VLOOKUP(J433,'для артикула'!$A$22:$B$23,2,0),VLOOKUP(H433,'для артик"&amp;"ула'!$A$26:$B$30,2,0))"),"002-2513E50Q13-OK60")</f>
        <v>002-2513E50Q13-OK60</v>
      </c>
      <c r="N433" s="8" t="str">
        <f>IF(ISNUMBER(MATCH(C433, 'Реестр договоров'!$D$2:$D$900, 0)), "Продано", "В наличии")</f>
        <v>Продано</v>
      </c>
    </row>
    <row r="434" spans="1:15">
      <c r="A434" s="26">
        <v>45762.692933865736</v>
      </c>
      <c r="B434" s="26"/>
      <c r="C434" s="8" t="s">
        <v>540</v>
      </c>
      <c r="D434" s="8" t="s">
        <v>114</v>
      </c>
      <c r="E434" s="8">
        <v>50</v>
      </c>
      <c r="F434" s="8" t="s">
        <v>116</v>
      </c>
      <c r="G434" s="8" t="s">
        <v>116</v>
      </c>
      <c r="H434" s="8">
        <v>60</v>
      </c>
      <c r="I434" s="27">
        <v>45761</v>
      </c>
      <c r="J434" s="8" t="s">
        <v>117</v>
      </c>
      <c r="K434" s="8" t="s">
        <v>118</v>
      </c>
      <c r="L434" s="8" t="s">
        <v>119</v>
      </c>
      <c r="M434" s="16" t="str">
        <f ca="1">IFERROR(__xludf.DUMMYFUNCTION("JOIN("""",VLOOKUP(D434,'для артикула'!$A$2:$B$7,2,0),VLOOKUP(G434,'для артикула'!$A$13:$B$14,2,0),VLOOKUP(E434,'для артикула'!$A$9:$B$11,2,0),VLOOKUP(F434,'для артикула'!$A$17:$B$19,2,0),VLOOKUP(J434,'для артикула'!$A$22:$B$23,2,0),VLOOKUP(H434,'для артик"&amp;"ула'!$A$26:$B$30,2,0))"),"002-2013E50Q13-OK60")</f>
        <v>002-2013E50Q13-OK60</v>
      </c>
      <c r="N434" s="8" t="str">
        <f>IF(ISNUMBER(MATCH(C434, 'Реестр договоров'!$D$2:$D$900, 0)), "Продано", "В наличии")</f>
        <v>Продано</v>
      </c>
    </row>
    <row r="435" spans="1:15">
      <c r="A435" s="26">
        <v>45763.42282670139</v>
      </c>
      <c r="B435" s="26"/>
      <c r="C435" s="8" t="s">
        <v>541</v>
      </c>
      <c r="D435" s="8" t="s">
        <v>114</v>
      </c>
      <c r="E435" s="8">
        <v>50</v>
      </c>
      <c r="F435" s="8" t="s">
        <v>116</v>
      </c>
      <c r="G435" s="8" t="s">
        <v>116</v>
      </c>
      <c r="H435" s="8" t="s">
        <v>115</v>
      </c>
      <c r="I435" s="27">
        <v>45749</v>
      </c>
      <c r="J435" s="8" t="s">
        <v>117</v>
      </c>
      <c r="K435" s="8" t="s">
        <v>118</v>
      </c>
      <c r="L435" s="8" t="s">
        <v>119</v>
      </c>
      <c r="M435" s="16" t="str">
        <f ca="1">IFERROR(__xludf.DUMMYFUNCTION("JOIN("""",VLOOKUP(D435,'для артикула'!$A$2:$B$7,2,0),VLOOKUP(G435,'для артикула'!$A$13:$B$14,2,0),VLOOKUP(E435,'для артикула'!$A$9:$B$11,2,0),VLOOKUP(F435,'для артикула'!$A$17:$B$19,2,0),VLOOKUP(J435,'для артикула'!$A$22:$B$23,2,0),VLOOKUP(H435,'для артик"&amp;"ула'!$A$26:$B$30,2,0))"),"002-2013E50Q13-OK")</f>
        <v>002-2013E50Q13-OK</v>
      </c>
      <c r="N435" s="8" t="str">
        <f>IF(ISNUMBER(MATCH(C435, 'Реестр договоров'!$D$2:$D$900, 0)), "Продано", "В наличии")</f>
        <v>Продано</v>
      </c>
    </row>
    <row r="436" spans="1:15">
      <c r="A436" s="26">
        <v>45763.466340057872</v>
      </c>
      <c r="B436" s="26"/>
      <c r="C436" s="8" t="s">
        <v>542</v>
      </c>
      <c r="D436" s="8" t="s">
        <v>114</v>
      </c>
      <c r="E436" s="8">
        <v>50</v>
      </c>
      <c r="F436" s="8" t="s">
        <v>116</v>
      </c>
      <c r="G436" s="8" t="s">
        <v>116</v>
      </c>
      <c r="H436" s="8">
        <v>30</v>
      </c>
      <c r="I436" s="27">
        <v>45756</v>
      </c>
      <c r="J436" s="8" t="s">
        <v>117</v>
      </c>
      <c r="K436" s="8" t="s">
        <v>118</v>
      </c>
      <c r="L436" s="8" t="s">
        <v>119</v>
      </c>
      <c r="M436" s="16" t="str">
        <f ca="1">IFERROR(__xludf.DUMMYFUNCTION("JOIN("""",VLOOKUP(D436,'для артикула'!$A$2:$B$7,2,0),VLOOKUP(G436,'для артикула'!$A$13:$B$14,2,0),VLOOKUP(E436,'для артикула'!$A$9:$B$11,2,0),VLOOKUP(F436,'для артикула'!$A$17:$B$19,2,0),VLOOKUP(J436,'для артикула'!$A$22:$B$23,2,0),VLOOKUP(H436,'для артик"&amp;"ула'!$A$26:$B$30,2,0))"),"002-2013E50Q13-OK30")</f>
        <v>002-2013E50Q13-OK30</v>
      </c>
      <c r="N436" s="8" t="str">
        <f>IF(ISNUMBER(MATCH(C436, 'Реестр договоров'!$D$2:$D$900, 0)), "Продано", "В наличии")</f>
        <v>Продано</v>
      </c>
    </row>
    <row r="437" spans="1:15">
      <c r="A437" s="26">
        <v>45764.438454050927</v>
      </c>
      <c r="B437" s="26"/>
      <c r="C437" s="8" t="s">
        <v>543</v>
      </c>
      <c r="D437" s="8" t="s">
        <v>114</v>
      </c>
      <c r="E437" s="8">
        <v>50</v>
      </c>
      <c r="F437" s="8" t="s">
        <v>116</v>
      </c>
      <c r="G437" s="8" t="s">
        <v>116</v>
      </c>
      <c r="H437" s="8" t="s">
        <v>115</v>
      </c>
      <c r="I437" s="27">
        <v>45735</v>
      </c>
      <c r="J437" s="8" t="s">
        <v>117</v>
      </c>
      <c r="K437" s="8" t="s">
        <v>118</v>
      </c>
      <c r="L437" s="8" t="s">
        <v>119</v>
      </c>
      <c r="M437" s="16" t="str">
        <f ca="1">IFERROR(__xludf.DUMMYFUNCTION("JOIN("""",VLOOKUP(D437,'для артикула'!$A$2:$B$7,2,0),VLOOKUP(G437,'для артикула'!$A$13:$B$14,2,0),VLOOKUP(E437,'для артикула'!$A$9:$B$11,2,0),VLOOKUP(F437,'для артикула'!$A$17:$B$19,2,0),VLOOKUP(J437,'для артикула'!$A$22:$B$23,2,0),VLOOKUP(H437,'для артик"&amp;"ула'!$A$26:$B$30,2,0))"),"002-2013E50Q13-OK")</f>
        <v>002-2013E50Q13-OK</v>
      </c>
      <c r="N437" s="8" t="str">
        <f>IF(ISNUMBER(MATCH(C437, 'Реестр договоров'!$D$2:$D$900, 0)), "Продано", "В наличии")</f>
        <v>Продано</v>
      </c>
    </row>
    <row r="438" spans="1:15">
      <c r="A438" s="26">
        <v>45764.48842681713</v>
      </c>
      <c r="B438" s="26"/>
      <c r="C438" s="8" t="s">
        <v>544</v>
      </c>
      <c r="D438" s="8" t="s">
        <v>114</v>
      </c>
      <c r="E438" s="8" t="s">
        <v>115</v>
      </c>
      <c r="F438" s="8" t="s">
        <v>116</v>
      </c>
      <c r="G438" s="8" t="s">
        <v>116</v>
      </c>
      <c r="H438" s="8" t="s">
        <v>115</v>
      </c>
      <c r="I438" s="27">
        <v>45763</v>
      </c>
      <c r="J438" s="8" t="s">
        <v>117</v>
      </c>
      <c r="K438" s="8" t="s">
        <v>118</v>
      </c>
      <c r="L438" s="8" t="s">
        <v>119</v>
      </c>
      <c r="M438" s="16" t="str">
        <f ca="1">IFERROR(__xludf.DUMMYFUNCTION("JOIN("""",VLOOKUP(D438,'для артикула'!$A$2:$B$7,2,0),VLOOKUP(G438,'для артикула'!$A$13:$B$14,2,0),VLOOKUP(E438,'для артикула'!$A$9:$B$11,2,0),VLOOKUP(F438,'для артикула'!$A$17:$B$19,2,0),VLOOKUP(J438,'для артикула'!$A$22:$B$23,2,0),VLOOKUP(H438,'для артик"&amp;"ула'!$A$26:$B$30,2,0))"),"002-2013Q13-OK")</f>
        <v>002-2013Q13-OK</v>
      </c>
      <c r="N438" s="8" t="str">
        <f>IF(ISNUMBER(MATCH(C438, 'Реестр договоров'!$D$2:$D$900, 0)), "Продано", "В наличии")</f>
        <v>Продано</v>
      </c>
    </row>
    <row r="439" spans="1:15">
      <c r="A439" s="26">
        <v>45764.627792002313</v>
      </c>
      <c r="B439" s="26"/>
      <c r="C439" s="8" t="s">
        <v>545</v>
      </c>
      <c r="D439" s="8" t="s">
        <v>366</v>
      </c>
      <c r="E439" s="8">
        <v>30</v>
      </c>
      <c r="F439" s="8" t="s">
        <v>116</v>
      </c>
      <c r="G439" s="8" t="s">
        <v>116</v>
      </c>
      <c r="H439" s="8" t="s">
        <v>115</v>
      </c>
      <c r="I439" s="27">
        <v>45764</v>
      </c>
      <c r="J439" s="8" t="s">
        <v>117</v>
      </c>
      <c r="K439" s="8" t="s">
        <v>124</v>
      </c>
      <c r="L439" s="8" t="s">
        <v>288</v>
      </c>
      <c r="M439" s="16" t="str">
        <f ca="1">IFERROR(__xludf.DUMMYFUNCTION("JOIN("""",VLOOKUP(D439,'для артикула'!$A$2:$B$7,2,0),VLOOKUP(G439,'для артикула'!$A$13:$B$14,2,0),VLOOKUP(E439,'для артикула'!$A$9:$B$11,2,0),VLOOKUP(F439,'для артикула'!$A$17:$B$19,2,0),VLOOKUP(J439,'для артикула'!$A$22:$B$23,2,0),VLOOKUP(H439,'для артик"&amp;"ула'!$A$26:$B$30,2,0))"),"002-3015E30Q13-OK")</f>
        <v>002-3015E30Q13-OK</v>
      </c>
      <c r="N439" s="8" t="str">
        <f>IF(ISNUMBER(MATCH(C439, 'Реестр договоров'!$D$2:$D$900, 0)), "Продано", "В наличии")</f>
        <v>Продано</v>
      </c>
    </row>
    <row r="440" spans="1:15">
      <c r="A440" s="26">
        <v>45766.580086967588</v>
      </c>
      <c r="B440" s="26"/>
      <c r="C440" s="8" t="s">
        <v>546</v>
      </c>
      <c r="D440" s="8" t="s">
        <v>114</v>
      </c>
      <c r="E440" s="8">
        <v>30</v>
      </c>
      <c r="F440" s="8" t="s">
        <v>116</v>
      </c>
      <c r="G440" s="8" t="s">
        <v>116</v>
      </c>
      <c r="H440" s="8" t="s">
        <v>115</v>
      </c>
      <c r="I440" s="27">
        <v>45749</v>
      </c>
      <c r="J440" s="8" t="s">
        <v>115</v>
      </c>
      <c r="K440" s="8" t="s">
        <v>121</v>
      </c>
      <c r="L440" s="8" t="s">
        <v>119</v>
      </c>
      <c r="M440" s="16" t="str">
        <f ca="1">IFERROR(__xludf.DUMMYFUNCTION("JOIN("""",VLOOKUP(D440,'для артикула'!$A$2:$B$7,2,0),VLOOKUP(G440,'для артикула'!$A$13:$B$14,2,0),VLOOKUP(E440,'для артикула'!$A$9:$B$11,2,0),VLOOKUP(F440,'для артикула'!$A$17:$B$19,2,0),VLOOKUP(J440,'для артикула'!$A$22:$B$23,2,0),VLOOKUP(H440,'для артик"&amp;"ула'!$A$26:$B$30,2,0))"),"002-2013E30Q13")</f>
        <v>002-2013E30Q13</v>
      </c>
      <c r="N440" s="8" t="str">
        <f>IF(ISNUMBER(MATCH(C440, 'Реестр договоров'!$D$2:$D$900, 0)), "Продано", "В наличии")</f>
        <v>Продано</v>
      </c>
    </row>
    <row r="441" spans="1:15">
      <c r="A441" s="26">
        <v>45766.836688159718</v>
      </c>
      <c r="B441" s="26"/>
      <c r="C441" s="8" t="s">
        <v>547</v>
      </c>
      <c r="D441" s="8" t="s">
        <v>114</v>
      </c>
      <c r="E441" s="8">
        <v>50</v>
      </c>
      <c r="F441" s="8" t="s">
        <v>116</v>
      </c>
      <c r="G441" s="8" t="s">
        <v>116</v>
      </c>
      <c r="H441" s="8" t="s">
        <v>115</v>
      </c>
      <c r="I441" s="27">
        <v>45729</v>
      </c>
      <c r="J441" s="8" t="s">
        <v>117</v>
      </c>
      <c r="K441" s="8" t="s">
        <v>121</v>
      </c>
      <c r="L441" s="8" t="s">
        <v>119</v>
      </c>
      <c r="M441" s="16" t="str">
        <f ca="1">IFERROR(__xludf.DUMMYFUNCTION("JOIN("""",VLOOKUP(D441,'для артикула'!$A$2:$B$7,2,0),VLOOKUP(G441,'для артикула'!$A$13:$B$14,2,0),VLOOKUP(E441,'для артикула'!$A$9:$B$11,2,0),VLOOKUP(F441,'для артикула'!$A$17:$B$19,2,0),VLOOKUP(J441,'для артикула'!$A$22:$B$23,2,0),VLOOKUP(H441,'для артик"&amp;"ула'!$A$26:$B$30,2,0))"),"002-2013E50Q13-OK")</f>
        <v>002-2013E50Q13-OK</v>
      </c>
      <c r="N441" s="8" t="str">
        <f>IF(ISNUMBER(MATCH(C441, 'Реестр договоров'!$D$2:$D$900, 0)), "Продано", "В наличии")</f>
        <v>Продано</v>
      </c>
    </row>
    <row r="442" spans="1:15">
      <c r="A442" s="26">
        <v>45768.56167998843</v>
      </c>
      <c r="B442" s="26"/>
      <c r="C442" s="8" t="s">
        <v>548</v>
      </c>
      <c r="D442" s="8" t="s">
        <v>114</v>
      </c>
      <c r="E442" s="8">
        <v>50</v>
      </c>
      <c r="F442" s="8" t="s">
        <v>116</v>
      </c>
      <c r="G442" s="8" t="s">
        <v>116</v>
      </c>
      <c r="H442" s="8" t="s">
        <v>115</v>
      </c>
      <c r="I442" s="27">
        <v>45768</v>
      </c>
      <c r="J442" s="8" t="s">
        <v>117</v>
      </c>
      <c r="K442" s="8" t="s">
        <v>118</v>
      </c>
      <c r="L442" s="8" t="s">
        <v>119</v>
      </c>
      <c r="M442" s="16" t="str">
        <f ca="1">IFERROR(__xludf.DUMMYFUNCTION("JOIN("""",VLOOKUP(D442,'для артикула'!$A$2:$B$7,2,0),VLOOKUP(G442,'для артикула'!$A$13:$B$14,2,0),VLOOKUP(E442,'для артикула'!$A$9:$B$11,2,0),VLOOKUP(F442,'для артикула'!$A$17:$B$19,2,0),VLOOKUP(J442,'для артикула'!$A$22:$B$23,2,0),VLOOKUP(H442,'для артик"&amp;"ула'!$A$26:$B$30,2,0))"),"002-2013E50Q13-OK")</f>
        <v>002-2013E50Q13-OK</v>
      </c>
      <c r="N442" s="8" t="str">
        <f>IF(ISNUMBER(MATCH(C442, 'Реестр договоров'!$D$2:$D$900, 0)), "Продано", "В наличии")</f>
        <v>Продано</v>
      </c>
    </row>
    <row r="443" spans="1:15">
      <c r="A443" s="29">
        <v>45768.587190208331</v>
      </c>
      <c r="B443" s="29"/>
      <c r="C443" s="30" t="s">
        <v>549</v>
      </c>
      <c r="D443" s="30" t="s">
        <v>114</v>
      </c>
      <c r="E443" s="30">
        <v>50</v>
      </c>
      <c r="F443" s="30" t="s">
        <v>116</v>
      </c>
      <c r="G443" s="30" t="s">
        <v>116</v>
      </c>
      <c r="H443" s="30" t="s">
        <v>115</v>
      </c>
      <c r="I443" s="31">
        <v>45768</v>
      </c>
      <c r="J443" s="30" t="s">
        <v>117</v>
      </c>
      <c r="K443" s="30" t="s">
        <v>124</v>
      </c>
      <c r="L443" s="30" t="s">
        <v>119</v>
      </c>
      <c r="M443" s="32" t="str">
        <f ca="1">IFERROR(__xludf.DUMMYFUNCTION("JOIN("""",VLOOKUP(D443,'для артикула'!$A$2:$B$7,2,0),VLOOKUP(G443,'для артикула'!$A$13:$B$14,2,0),VLOOKUP(E443,'для артикула'!$A$9:$B$11,2,0),VLOOKUP(F443,'для артикула'!$A$17:$B$19,2,0),VLOOKUP(J443,'для артикула'!$A$22:$B$23,2,0),VLOOKUP(H443,'для артик"&amp;"ула'!$A$26:$B$30,2,0))"),"002-2013E50Q13-OK")</f>
        <v>002-2013E50Q13-OK</v>
      </c>
      <c r="N443" s="8" t="str">
        <f>IF(ISNUMBER(MATCH(C443, 'Реестр договоров'!$D$2:$D$900, 0)), "Продано", "В наличии")</f>
        <v>В наличии</v>
      </c>
      <c r="O443" s="32"/>
    </row>
    <row r="444" spans="1:15">
      <c r="A444" s="26">
        <v>45768.587772488427</v>
      </c>
      <c r="B444" s="26"/>
      <c r="C444" s="8" t="s">
        <v>550</v>
      </c>
      <c r="D444" s="8" t="s">
        <v>114</v>
      </c>
      <c r="E444" s="8">
        <v>50</v>
      </c>
      <c r="F444" s="8" t="s">
        <v>116</v>
      </c>
      <c r="G444" s="8" t="s">
        <v>116</v>
      </c>
      <c r="H444" s="8">
        <v>30</v>
      </c>
      <c r="I444" s="27">
        <v>45768</v>
      </c>
      <c r="J444" s="8" t="s">
        <v>117</v>
      </c>
      <c r="K444" s="8" t="s">
        <v>124</v>
      </c>
      <c r="L444" s="8" t="s">
        <v>119</v>
      </c>
      <c r="M444" s="16" t="str">
        <f ca="1">IFERROR(__xludf.DUMMYFUNCTION("JOIN("""",VLOOKUP(D444,'для артикула'!$A$2:$B$7,2,0),VLOOKUP(G444,'для артикула'!$A$13:$B$14,2,0),VLOOKUP(E444,'для артикула'!$A$9:$B$11,2,0),VLOOKUP(F444,'для артикула'!$A$17:$B$19,2,0),VLOOKUP(J444,'для артикула'!$A$22:$B$23,2,0),VLOOKUP(H444,'для артик"&amp;"ула'!$A$26:$B$30,2,0))"),"002-2013E50Q13-OK30")</f>
        <v>002-2013E50Q13-OK30</v>
      </c>
      <c r="N444" s="8" t="str">
        <f>IF(ISNUMBER(MATCH(C444, 'Реестр договоров'!$D$2:$D$900, 0)), "Продано", "В наличии")</f>
        <v>Продано</v>
      </c>
    </row>
    <row r="445" spans="1:15">
      <c r="A445" s="29">
        <v>45768.610081076389</v>
      </c>
      <c r="B445" s="29"/>
      <c r="C445" s="30" t="s">
        <v>551</v>
      </c>
      <c r="D445" s="30" t="s">
        <v>114</v>
      </c>
      <c r="E445" s="30">
        <v>50</v>
      </c>
      <c r="F445" s="30" t="s">
        <v>116</v>
      </c>
      <c r="G445" s="30" t="s">
        <v>116</v>
      </c>
      <c r="H445" s="30">
        <v>30</v>
      </c>
      <c r="I445" s="31">
        <v>45768</v>
      </c>
      <c r="J445" s="30" t="s">
        <v>117</v>
      </c>
      <c r="K445" s="30" t="s">
        <v>124</v>
      </c>
      <c r="L445" s="30" t="s">
        <v>119</v>
      </c>
      <c r="M445" s="32" t="str">
        <f ca="1">IFERROR(__xludf.DUMMYFUNCTION("JOIN("""",VLOOKUP(D445,'для артикула'!$A$2:$B$7,2,0),VLOOKUP(G445,'для артикула'!$A$13:$B$14,2,0),VLOOKUP(E445,'для артикула'!$A$9:$B$11,2,0),VLOOKUP(F445,'для артикула'!$A$17:$B$19,2,0),VLOOKUP(J445,'для артикула'!$A$22:$B$23,2,0),VLOOKUP(H445,'для артик"&amp;"ула'!$A$26:$B$30,2,0))"),"002-2013E50Q13-OK30")</f>
        <v>002-2013E50Q13-OK30</v>
      </c>
      <c r="N445" s="8" t="str">
        <f>IF(ISNUMBER(MATCH(C445, 'Реестр договоров'!$D$2:$D$900, 0)), "Продано", "В наличии")</f>
        <v>В наличии</v>
      </c>
      <c r="O445" s="32"/>
    </row>
    <row r="446" spans="1:15">
      <c r="A446" s="26">
        <v>45768.610522152783</v>
      </c>
      <c r="B446" s="26"/>
      <c r="C446" s="8" t="s">
        <v>552</v>
      </c>
      <c r="D446" s="8" t="s">
        <v>114</v>
      </c>
      <c r="E446" s="8">
        <v>50</v>
      </c>
      <c r="F446" s="8" t="s">
        <v>116</v>
      </c>
      <c r="G446" s="8" t="s">
        <v>116</v>
      </c>
      <c r="H446" s="8" t="s">
        <v>115</v>
      </c>
      <c r="I446" s="27">
        <v>45768</v>
      </c>
      <c r="J446" s="8" t="s">
        <v>117</v>
      </c>
      <c r="K446" s="8" t="s">
        <v>124</v>
      </c>
      <c r="L446" s="8" t="s">
        <v>119</v>
      </c>
      <c r="M446" s="16" t="str">
        <f ca="1">IFERROR(__xludf.DUMMYFUNCTION("JOIN("""",VLOOKUP(D446,'для артикула'!$A$2:$B$7,2,0),VLOOKUP(G446,'для артикула'!$A$13:$B$14,2,0),VLOOKUP(E446,'для артикула'!$A$9:$B$11,2,0),VLOOKUP(F446,'для артикула'!$A$17:$B$19,2,0),VLOOKUP(J446,'для артикула'!$A$22:$B$23,2,0),VLOOKUP(H446,'для артик"&amp;"ула'!$A$26:$B$30,2,0))"),"002-2013E50Q13-OK")</f>
        <v>002-2013E50Q13-OK</v>
      </c>
      <c r="N446" s="8" t="str">
        <f>IF(ISNUMBER(MATCH(C446, 'Реестр договоров'!$D$2:$D$900, 0)), "Продано", "В наличии")</f>
        <v>Продано</v>
      </c>
    </row>
    <row r="447" spans="1:15">
      <c r="A447" s="26">
        <v>45769.559616446757</v>
      </c>
      <c r="B447" s="26"/>
      <c r="C447" s="8" t="s">
        <v>553</v>
      </c>
      <c r="D447" s="8" t="s">
        <v>347</v>
      </c>
      <c r="E447" s="8">
        <v>30</v>
      </c>
      <c r="F447" s="8" t="s">
        <v>116</v>
      </c>
      <c r="G447" s="8" t="s">
        <v>116</v>
      </c>
      <c r="H447" s="8" t="s">
        <v>115</v>
      </c>
      <c r="I447" s="27">
        <v>45749</v>
      </c>
      <c r="J447" s="8" t="s">
        <v>117</v>
      </c>
      <c r="K447" s="8" t="s">
        <v>121</v>
      </c>
      <c r="L447" s="8" t="s">
        <v>119</v>
      </c>
      <c r="M447" s="16" t="str">
        <f ca="1">IFERROR(__xludf.DUMMYFUNCTION("JOIN("""",VLOOKUP(D447,'для артикула'!$A$2:$B$7,2,0),VLOOKUP(G447,'для артикула'!$A$13:$B$14,2,0),VLOOKUP(E447,'для артикула'!$A$9:$B$11,2,0),VLOOKUP(F447,'для артикула'!$A$17:$B$19,2,0),VLOOKUP(J447,'для артикула'!$A$22:$B$23,2,0),VLOOKUP(H447,'для артик"&amp;"ула'!$A$26:$B$30,2,0))"),"002-2515E30Q13-OK")</f>
        <v>002-2515E30Q13-OK</v>
      </c>
      <c r="N447" s="8" t="str">
        <f>IF(ISNUMBER(MATCH(C447, 'Реестр договоров'!$D$2:$D$900, 0)), "Продано", "В наличии")</f>
        <v>Продано</v>
      </c>
    </row>
    <row r="448" spans="1:15">
      <c r="A448" s="26">
        <v>45769.65375592593</v>
      </c>
      <c r="B448" s="26"/>
      <c r="C448" s="8" t="s">
        <v>554</v>
      </c>
      <c r="D448" s="8" t="s">
        <v>114</v>
      </c>
      <c r="E448" s="8">
        <v>30</v>
      </c>
      <c r="F448" s="8" t="s">
        <v>116</v>
      </c>
      <c r="G448" s="8" t="s">
        <v>116</v>
      </c>
      <c r="H448" s="8">
        <v>30</v>
      </c>
      <c r="I448" s="27">
        <v>45769</v>
      </c>
      <c r="J448" s="8" t="s">
        <v>117</v>
      </c>
      <c r="K448" s="8" t="s">
        <v>118</v>
      </c>
      <c r="L448" s="8" t="s">
        <v>119</v>
      </c>
      <c r="M448" s="16" t="str">
        <f ca="1">IFERROR(__xludf.DUMMYFUNCTION("JOIN("""",VLOOKUP(D448,'для артикула'!$A$2:$B$7,2,0),VLOOKUP(G448,'для артикула'!$A$13:$B$14,2,0),VLOOKUP(E448,'для артикула'!$A$9:$B$11,2,0),VLOOKUP(F448,'для артикула'!$A$17:$B$19,2,0),VLOOKUP(J448,'для артикула'!$A$22:$B$23,2,0),VLOOKUP(H448,'для артик"&amp;"ула'!$A$26:$B$30,2,0))"),"002-2013E30Q13-OK30")</f>
        <v>002-2013E30Q13-OK30</v>
      </c>
      <c r="N448" s="8" t="str">
        <f>IF(ISNUMBER(MATCH(C448, 'Реестр договоров'!$D$2:$D$900, 0)), "Продано", "В наличии")</f>
        <v>Продано</v>
      </c>
    </row>
    <row r="449" spans="1:14">
      <c r="A449" s="26">
        <v>45770.468803449075</v>
      </c>
      <c r="B449" s="26"/>
      <c r="C449" s="8" t="s">
        <v>555</v>
      </c>
      <c r="D449" s="8" t="s">
        <v>114</v>
      </c>
      <c r="E449" s="8">
        <v>50</v>
      </c>
      <c r="F449" s="8" t="s">
        <v>116</v>
      </c>
      <c r="G449" s="8" t="s">
        <v>116</v>
      </c>
      <c r="H449" s="8" t="s">
        <v>115</v>
      </c>
      <c r="I449" s="27">
        <v>45769</v>
      </c>
      <c r="J449" s="8" t="s">
        <v>117</v>
      </c>
      <c r="K449" s="8" t="s">
        <v>124</v>
      </c>
      <c r="L449" s="8" t="s">
        <v>119</v>
      </c>
      <c r="M449" s="16" t="str">
        <f ca="1">IFERROR(__xludf.DUMMYFUNCTION("JOIN("""",VLOOKUP(D449,'для артикула'!$A$2:$B$7,2,0),VLOOKUP(G449,'для артикула'!$A$13:$B$14,2,0),VLOOKUP(E449,'для артикула'!$A$9:$B$11,2,0),VLOOKUP(F449,'для артикула'!$A$17:$B$19,2,0),VLOOKUP(J449,'для артикула'!$A$22:$B$23,2,0),VLOOKUP(H449,'для артик"&amp;"ула'!$A$26:$B$30,2,0))"),"002-2013E50Q13-OK")</f>
        <v>002-2013E50Q13-OK</v>
      </c>
      <c r="N449" s="8" t="str">
        <f>IF(ISNUMBER(MATCH(C449, 'Реестр договоров'!$D$2:$D$900, 0)), "Продано", "В наличии")</f>
        <v>Продано</v>
      </c>
    </row>
    <row r="450" spans="1:14">
      <c r="A450" s="26">
        <v>45770.469225740744</v>
      </c>
      <c r="B450" s="26"/>
      <c r="C450" s="8" t="s">
        <v>556</v>
      </c>
      <c r="D450" s="8" t="s">
        <v>114</v>
      </c>
      <c r="E450" s="8">
        <v>30</v>
      </c>
      <c r="F450" s="8" t="s">
        <v>116</v>
      </c>
      <c r="G450" s="8" t="s">
        <v>116</v>
      </c>
      <c r="H450" s="8">
        <v>30</v>
      </c>
      <c r="I450" s="27">
        <v>45769</v>
      </c>
      <c r="J450" s="8" t="s">
        <v>117</v>
      </c>
      <c r="K450" s="8" t="s">
        <v>124</v>
      </c>
      <c r="L450" s="8" t="s">
        <v>119</v>
      </c>
      <c r="M450" s="16" t="str">
        <f ca="1">IFERROR(__xludf.DUMMYFUNCTION("JOIN("""",VLOOKUP(D450,'для артикула'!$A$2:$B$7,2,0),VLOOKUP(G450,'для артикула'!$A$13:$B$14,2,0),VLOOKUP(E450,'для артикула'!$A$9:$B$11,2,0),VLOOKUP(F450,'для артикула'!$A$17:$B$19,2,0),VLOOKUP(J450,'для артикула'!$A$22:$B$23,2,0),VLOOKUP(H450,'для артик"&amp;"ула'!$A$26:$B$30,2,0))"),"002-2013E30Q13-OK30")</f>
        <v>002-2013E30Q13-OK30</v>
      </c>
      <c r="N450" s="8" t="str">
        <f>IF(ISNUMBER(MATCH(C450, 'Реестр договоров'!$D$2:$D$900, 0)), "Продано", "В наличии")</f>
        <v>Продано</v>
      </c>
    </row>
    <row r="451" spans="1:14">
      <c r="A451" s="26">
        <v>45770.498310509254</v>
      </c>
      <c r="B451" s="26"/>
      <c r="C451" s="8" t="s">
        <v>557</v>
      </c>
      <c r="D451" s="8" t="s">
        <v>366</v>
      </c>
      <c r="E451" s="8">
        <v>50</v>
      </c>
      <c r="F451" s="8" t="s">
        <v>116</v>
      </c>
      <c r="G451" s="8" t="s">
        <v>116</v>
      </c>
      <c r="H451" s="8" t="s">
        <v>115</v>
      </c>
      <c r="I451" s="27">
        <v>45769</v>
      </c>
      <c r="J451" s="8" t="s">
        <v>117</v>
      </c>
      <c r="K451" s="8" t="s">
        <v>118</v>
      </c>
      <c r="L451" s="8" t="s">
        <v>288</v>
      </c>
      <c r="M451" s="16" t="str">
        <f ca="1">IFERROR(__xludf.DUMMYFUNCTION("JOIN("""",VLOOKUP(D451,'для артикула'!$A$2:$B$7,2,0),VLOOKUP(G451,'для артикула'!$A$13:$B$14,2,0),VLOOKUP(E451,'для артикула'!$A$9:$B$11,2,0),VLOOKUP(F451,'для артикула'!$A$17:$B$19,2,0),VLOOKUP(J451,'для артикула'!$A$22:$B$23,2,0),VLOOKUP(H451,'для артик"&amp;"ула'!$A$26:$B$30,2,0))"),"002-3015E50Q13-OK")</f>
        <v>002-3015E50Q13-OK</v>
      </c>
      <c r="N451" s="8" t="str">
        <f>IF(ISNUMBER(MATCH(C451, 'Реестр договоров'!$D$2:$D$900, 0)), "Продано", "В наличии")</f>
        <v>Продано</v>
      </c>
    </row>
    <row r="452" spans="1:14">
      <c r="A452" s="26">
        <v>45771.492513472222</v>
      </c>
      <c r="B452" s="26"/>
      <c r="C452" s="8" t="s">
        <v>558</v>
      </c>
      <c r="D452" s="8" t="s">
        <v>114</v>
      </c>
      <c r="E452" s="8">
        <v>50</v>
      </c>
      <c r="F452" s="8" t="s">
        <v>116</v>
      </c>
      <c r="G452" s="8" t="s">
        <v>116</v>
      </c>
      <c r="H452" s="8">
        <v>30</v>
      </c>
      <c r="I452" s="27">
        <v>45771</v>
      </c>
      <c r="J452" s="8" t="s">
        <v>117</v>
      </c>
      <c r="K452" s="8" t="s">
        <v>124</v>
      </c>
      <c r="L452" s="8" t="s">
        <v>119</v>
      </c>
      <c r="M452" s="16" t="str">
        <f ca="1">IFERROR(__xludf.DUMMYFUNCTION("JOIN("""",VLOOKUP(D452,'для артикула'!$A$2:$B$7,2,0),VLOOKUP(G452,'для артикула'!$A$13:$B$14,2,0),VLOOKUP(E452,'для артикула'!$A$9:$B$11,2,0),VLOOKUP(F452,'для артикула'!$A$17:$B$19,2,0),VLOOKUP(J452,'для артикула'!$A$22:$B$23,2,0),VLOOKUP(H452,'для артик"&amp;"ула'!$A$26:$B$30,2,0))"),"002-2013E50Q13-OK30")</f>
        <v>002-2013E50Q13-OK30</v>
      </c>
      <c r="N452" s="8" t="str">
        <f>IF(ISNUMBER(MATCH(C452, 'Реестр договоров'!$D$2:$D$900, 0)), "Продано", "В наличии")</f>
        <v>Продано</v>
      </c>
    </row>
    <row r="453" spans="1:14">
      <c r="A453" s="26">
        <v>45771.64817591435</v>
      </c>
      <c r="B453" s="26"/>
      <c r="C453" s="8" t="s">
        <v>559</v>
      </c>
      <c r="D453" s="8" t="s">
        <v>114</v>
      </c>
      <c r="E453" s="8">
        <v>30</v>
      </c>
      <c r="F453" s="8" t="s">
        <v>116</v>
      </c>
      <c r="G453" s="8" t="s">
        <v>116</v>
      </c>
      <c r="H453" s="8" t="s">
        <v>115</v>
      </c>
      <c r="I453" s="27">
        <v>45771</v>
      </c>
      <c r="J453" s="8" t="s">
        <v>117</v>
      </c>
      <c r="K453" s="8" t="s">
        <v>118</v>
      </c>
      <c r="L453" s="8" t="s">
        <v>119</v>
      </c>
      <c r="M453" s="16" t="str">
        <f ca="1">IFERROR(__xludf.DUMMYFUNCTION("JOIN("""",VLOOKUP(D453,'для артикула'!$A$2:$B$7,2,0),VLOOKUP(G453,'для артикула'!$A$13:$B$14,2,0),VLOOKUP(E453,'для артикула'!$A$9:$B$11,2,0),VLOOKUP(F453,'для артикула'!$A$17:$B$19,2,0),VLOOKUP(J453,'для артикула'!$A$22:$B$23,2,0),VLOOKUP(H453,'для артик"&amp;"ула'!$A$26:$B$30,2,0))"),"002-2013E30Q13-OK")</f>
        <v>002-2013E30Q13-OK</v>
      </c>
      <c r="N453" s="8" t="str">
        <f>IF(ISNUMBER(MATCH(C453, 'Реестр договоров'!$D$2:$D$900, 0)), "Продано", "В наличии")</f>
        <v>Продано</v>
      </c>
    </row>
    <row r="454" spans="1:14">
      <c r="A454" s="26">
        <v>45771.655151458333</v>
      </c>
      <c r="B454" s="26"/>
      <c r="C454" s="8" t="s">
        <v>560</v>
      </c>
      <c r="D454" s="8" t="s">
        <v>287</v>
      </c>
      <c r="E454" s="8">
        <v>30</v>
      </c>
      <c r="F454" s="8" t="s">
        <v>116</v>
      </c>
      <c r="G454" s="8" t="s">
        <v>116</v>
      </c>
      <c r="H454" s="8" t="s">
        <v>115</v>
      </c>
      <c r="I454" s="27">
        <v>45771</v>
      </c>
      <c r="J454" s="8" t="s">
        <v>117</v>
      </c>
      <c r="K454" s="8" t="s">
        <v>124</v>
      </c>
      <c r="L454" s="8" t="s">
        <v>119</v>
      </c>
      <c r="M454" s="16" t="str">
        <f ca="1">IFERROR(__xludf.DUMMYFUNCTION("JOIN("""",VLOOKUP(D454,'для артикула'!$A$2:$B$7,2,0),VLOOKUP(G454,'для артикула'!$A$13:$B$14,2,0),VLOOKUP(E454,'для артикула'!$A$9:$B$11,2,0),VLOOKUP(F454,'для артикула'!$A$17:$B$19,2,0),VLOOKUP(J454,'для артикула'!$A$22:$B$23,2,0),VLOOKUP(H454,'для артик"&amp;"ула'!$A$26:$B$30,2,0))"),"002-2513E30Q13-OK")</f>
        <v>002-2513E30Q13-OK</v>
      </c>
      <c r="N454" s="8" t="str">
        <f>IF(ISNUMBER(MATCH(C454, 'Реестр договоров'!$D$2:$D$900, 0)), "Продано", "В наличии")</f>
        <v>Продано</v>
      </c>
    </row>
    <row r="455" spans="1:14">
      <c r="A455" s="26">
        <v>45771.711081932866</v>
      </c>
      <c r="B455" s="26"/>
      <c r="C455" s="8" t="s">
        <v>561</v>
      </c>
      <c r="D455" s="8" t="s">
        <v>347</v>
      </c>
      <c r="E455" s="8" t="s">
        <v>115</v>
      </c>
      <c r="F455" s="8" t="s">
        <v>116</v>
      </c>
      <c r="G455" s="8" t="s">
        <v>116</v>
      </c>
      <c r="H455" s="8" t="s">
        <v>115</v>
      </c>
      <c r="I455" s="27">
        <v>45771</v>
      </c>
      <c r="J455" s="8" t="s">
        <v>117</v>
      </c>
      <c r="K455" s="8" t="s">
        <v>118</v>
      </c>
      <c r="L455" s="8" t="s">
        <v>288</v>
      </c>
      <c r="M455" s="16" t="str">
        <f ca="1">IFERROR(__xludf.DUMMYFUNCTION("JOIN("""",VLOOKUP(D455,'для артикула'!$A$2:$B$7,2,0),VLOOKUP(G455,'для артикула'!$A$13:$B$14,2,0),VLOOKUP(E455,'для артикула'!$A$9:$B$11,2,0),VLOOKUP(F455,'для артикула'!$A$17:$B$19,2,0),VLOOKUP(J455,'для артикула'!$A$22:$B$23,2,0),VLOOKUP(H455,'для артик"&amp;"ула'!$A$26:$B$30,2,0))"),"002-2515Q13-OK")</f>
        <v>002-2515Q13-OK</v>
      </c>
      <c r="N455" s="8" t="str">
        <f>IF(ISNUMBER(MATCH(C455, 'Реестр договоров'!$D$2:$D$900, 0)), "Продано", "В наличии")</f>
        <v>Продано</v>
      </c>
    </row>
    <row r="456" spans="1:14">
      <c r="A456" s="26">
        <v>45771.719013275462</v>
      </c>
      <c r="B456" s="26"/>
      <c r="C456" s="8" t="s">
        <v>562</v>
      </c>
      <c r="D456" s="8" t="s">
        <v>114</v>
      </c>
      <c r="E456" s="8">
        <v>50</v>
      </c>
      <c r="F456" s="8" t="s">
        <v>116</v>
      </c>
      <c r="G456" s="8" t="s">
        <v>116</v>
      </c>
      <c r="H456" s="8">
        <v>30</v>
      </c>
      <c r="I456" s="27">
        <v>45767</v>
      </c>
      <c r="J456" s="8" t="s">
        <v>117</v>
      </c>
      <c r="K456" s="8" t="s">
        <v>124</v>
      </c>
      <c r="L456" s="8" t="s">
        <v>119</v>
      </c>
      <c r="M456" s="16" t="str">
        <f ca="1">IFERROR(__xludf.DUMMYFUNCTION("JOIN("""",VLOOKUP(D456,'для артикула'!$A$2:$B$7,2,0),VLOOKUP(G456,'для артикула'!$A$13:$B$14,2,0),VLOOKUP(E456,'для артикула'!$A$9:$B$11,2,0),VLOOKUP(F456,'для артикула'!$A$17:$B$19,2,0),VLOOKUP(J456,'для артикула'!$A$22:$B$23,2,0),VLOOKUP(H456,'для артик"&amp;"ула'!$A$26:$B$30,2,0))"),"002-2013E50Q13-OK30")</f>
        <v>002-2013E50Q13-OK30</v>
      </c>
      <c r="N456" s="8" t="str">
        <f>IF(ISNUMBER(MATCH(C456, 'Реестр договоров'!$D$2:$D$900, 0)), "Продано", "В наличии")</f>
        <v>Продано</v>
      </c>
    </row>
    <row r="457" spans="1:14">
      <c r="A457" s="26">
        <v>45772.593345000001</v>
      </c>
      <c r="B457" s="26"/>
      <c r="C457" s="8" t="s">
        <v>563</v>
      </c>
      <c r="D457" s="8" t="s">
        <v>114</v>
      </c>
      <c r="E457" s="8">
        <v>50</v>
      </c>
      <c r="F457" s="8" t="s">
        <v>116</v>
      </c>
      <c r="G457" s="8" t="s">
        <v>116</v>
      </c>
      <c r="H457" s="8" t="s">
        <v>115</v>
      </c>
      <c r="I457" s="27">
        <v>45757</v>
      </c>
      <c r="J457" s="8" t="s">
        <v>117</v>
      </c>
      <c r="K457" s="8" t="s">
        <v>121</v>
      </c>
      <c r="L457" s="8" t="s">
        <v>119</v>
      </c>
      <c r="M457" s="16" t="str">
        <f ca="1">IFERROR(__xludf.DUMMYFUNCTION("JOIN("""",VLOOKUP(D457,'для артикула'!$A$2:$B$7,2,0),VLOOKUP(G457,'для артикула'!$A$13:$B$14,2,0),VLOOKUP(E457,'для артикула'!$A$9:$B$11,2,0),VLOOKUP(F457,'для артикула'!$A$17:$B$19,2,0),VLOOKUP(J457,'для артикула'!$A$22:$B$23,2,0),VLOOKUP(H457,'для артик"&amp;"ула'!$A$26:$B$30,2,0))"),"002-2013E50Q13-OK")</f>
        <v>002-2013E50Q13-OK</v>
      </c>
      <c r="N457" s="8" t="str">
        <f>IF(ISNUMBER(MATCH(C457, 'Реестр договоров'!$D$2:$D$900, 0)), "Продано", "В наличии")</f>
        <v>Продано</v>
      </c>
    </row>
    <row r="458" spans="1:14">
      <c r="A458" s="26">
        <v>45772.632957812501</v>
      </c>
      <c r="B458" s="26"/>
      <c r="C458" s="8" t="s">
        <v>564</v>
      </c>
      <c r="D458" s="8" t="s">
        <v>114</v>
      </c>
      <c r="E458" s="8">
        <v>50</v>
      </c>
      <c r="F458" s="8" t="s">
        <v>116</v>
      </c>
      <c r="G458" s="8" t="s">
        <v>116</v>
      </c>
      <c r="H458" s="8" t="s">
        <v>115</v>
      </c>
      <c r="I458" s="27">
        <v>45757</v>
      </c>
      <c r="J458" s="8" t="s">
        <v>117</v>
      </c>
      <c r="K458" s="8" t="s">
        <v>121</v>
      </c>
      <c r="L458" s="8" t="s">
        <v>119</v>
      </c>
      <c r="M458" s="16" t="str">
        <f ca="1">IFERROR(__xludf.DUMMYFUNCTION("JOIN("""",VLOOKUP(D458,'для артикула'!$A$2:$B$7,2,0),VLOOKUP(G458,'для артикула'!$A$13:$B$14,2,0),VLOOKUP(E458,'для артикула'!$A$9:$B$11,2,0),VLOOKUP(F458,'для артикула'!$A$17:$B$19,2,0),VLOOKUP(J458,'для артикула'!$A$22:$B$23,2,0),VLOOKUP(H458,'для артик"&amp;"ула'!$A$26:$B$30,2,0))"),"002-2013E50Q13-OK")</f>
        <v>002-2013E50Q13-OK</v>
      </c>
      <c r="N458" s="8" t="str">
        <f>IF(ISNUMBER(MATCH(C458, 'Реестр договоров'!$D$2:$D$900, 0)), "Продано", "В наличии")</f>
        <v>Продано</v>
      </c>
    </row>
    <row r="459" spans="1:14">
      <c r="A459" s="26">
        <v>45772.698405868054</v>
      </c>
      <c r="B459" s="26"/>
      <c r="C459" s="8" t="s">
        <v>565</v>
      </c>
      <c r="D459" s="8" t="s">
        <v>287</v>
      </c>
      <c r="E459" s="8">
        <v>50</v>
      </c>
      <c r="F459" s="8" t="s">
        <v>116</v>
      </c>
      <c r="G459" s="8" t="s">
        <v>116</v>
      </c>
      <c r="H459" s="8" t="s">
        <v>115</v>
      </c>
      <c r="I459" s="27">
        <v>45772</v>
      </c>
      <c r="J459" s="8" t="s">
        <v>117</v>
      </c>
      <c r="K459" s="8" t="s">
        <v>124</v>
      </c>
      <c r="L459" s="8" t="s">
        <v>119</v>
      </c>
      <c r="M459" s="16" t="str">
        <f ca="1">IFERROR(__xludf.DUMMYFUNCTION("JOIN("""",VLOOKUP(D459,'для артикула'!$A$2:$B$7,2,0),VLOOKUP(G459,'для артикула'!$A$13:$B$14,2,0),VLOOKUP(E459,'для артикула'!$A$9:$B$11,2,0),VLOOKUP(F459,'для артикула'!$A$17:$B$19,2,0),VLOOKUP(J459,'для артикула'!$A$22:$B$23,2,0),VLOOKUP(H459,'для артик"&amp;"ула'!$A$26:$B$30,2,0))"),"002-2513E50Q13-OK")</f>
        <v>002-2513E50Q13-OK</v>
      </c>
      <c r="N459" s="8" t="str">
        <f>IF(ISNUMBER(MATCH(C459, 'Реестр договоров'!$D$2:$D$900, 0)), "Продано", "В наличии")</f>
        <v>Продано</v>
      </c>
    </row>
    <row r="460" spans="1:14">
      <c r="A460" s="26">
        <v>45773.614786655089</v>
      </c>
      <c r="B460" s="26"/>
      <c r="C460" s="8" t="s">
        <v>566</v>
      </c>
      <c r="D460" s="8" t="s">
        <v>114</v>
      </c>
      <c r="E460" s="8">
        <v>50</v>
      </c>
      <c r="F460" s="8" t="s">
        <v>116</v>
      </c>
      <c r="G460" s="8" t="s">
        <v>116</v>
      </c>
      <c r="H460" s="8" t="s">
        <v>115</v>
      </c>
      <c r="I460" s="27">
        <v>45773</v>
      </c>
      <c r="J460" s="8" t="s">
        <v>117</v>
      </c>
      <c r="K460" s="8" t="s">
        <v>121</v>
      </c>
      <c r="L460" s="8" t="s">
        <v>119</v>
      </c>
      <c r="M460" s="16" t="str">
        <f ca="1">IFERROR(__xludf.DUMMYFUNCTION("JOIN("""",VLOOKUP(D460,'для артикула'!$A$2:$B$7,2,0),VLOOKUP(G460,'для артикула'!$A$13:$B$14,2,0),VLOOKUP(E460,'для артикула'!$A$9:$B$11,2,0),VLOOKUP(F460,'для артикула'!$A$17:$B$19,2,0),VLOOKUP(J460,'для артикула'!$A$22:$B$23,2,0),VLOOKUP(H460,'для артик"&amp;"ула'!$A$26:$B$30,2,0))"),"002-2013E50Q13-OK")</f>
        <v>002-2013E50Q13-OK</v>
      </c>
      <c r="N460" s="8" t="str">
        <f>IF(ISNUMBER(MATCH(C460, 'Реестр договоров'!$D$2:$D$900, 0)), "Продано", "В наличии")</f>
        <v>Продано</v>
      </c>
    </row>
    <row r="461" spans="1:14">
      <c r="A461" s="26">
        <v>45775.419336689811</v>
      </c>
      <c r="B461" s="26"/>
      <c r="C461" s="8" t="s">
        <v>567</v>
      </c>
      <c r="D461" s="8" t="s">
        <v>114</v>
      </c>
      <c r="E461" s="8">
        <v>30</v>
      </c>
      <c r="F461" s="8" t="s">
        <v>116</v>
      </c>
      <c r="G461" s="8" t="s">
        <v>116</v>
      </c>
      <c r="H461" s="8" t="s">
        <v>115</v>
      </c>
      <c r="I461" s="27">
        <v>45757</v>
      </c>
      <c r="J461" s="8" t="s">
        <v>117</v>
      </c>
      <c r="K461" s="8" t="s">
        <v>121</v>
      </c>
      <c r="L461" s="8" t="s">
        <v>119</v>
      </c>
      <c r="M461" s="16" t="str">
        <f ca="1">IFERROR(__xludf.DUMMYFUNCTION("JOIN("""",VLOOKUP(D461,'для артикула'!$A$2:$B$7,2,0),VLOOKUP(G461,'для артикула'!$A$13:$B$14,2,0),VLOOKUP(E461,'для артикула'!$A$9:$B$11,2,0),VLOOKUP(F461,'для артикула'!$A$17:$B$19,2,0),VLOOKUP(J461,'для артикула'!$A$22:$B$23,2,0),VLOOKUP(H461,'для артик"&amp;"ула'!$A$26:$B$30,2,0))"),"002-2013E30Q13-OK")</f>
        <v>002-2013E30Q13-OK</v>
      </c>
      <c r="N461" s="8" t="str">
        <f>IF(ISNUMBER(MATCH(C461, 'Реестр договоров'!$D$2:$D$900, 0)), "Продано", "В наличии")</f>
        <v>Продано</v>
      </c>
    </row>
    <row r="462" spans="1:14">
      <c r="A462" s="26">
        <v>45775.447591759264</v>
      </c>
      <c r="B462" s="26"/>
      <c r="C462" s="8" t="s">
        <v>568</v>
      </c>
      <c r="D462" s="8" t="s">
        <v>287</v>
      </c>
      <c r="E462" s="8">
        <v>50</v>
      </c>
      <c r="F462" s="8" t="s">
        <v>116</v>
      </c>
      <c r="G462" s="8" t="s">
        <v>116</v>
      </c>
      <c r="H462" s="8" t="s">
        <v>115</v>
      </c>
      <c r="I462" s="27">
        <v>45638</v>
      </c>
      <c r="J462" s="8" t="s">
        <v>117</v>
      </c>
      <c r="K462" s="8" t="s">
        <v>121</v>
      </c>
      <c r="L462" s="8" t="s">
        <v>119</v>
      </c>
      <c r="M462" s="16" t="str">
        <f ca="1">IFERROR(__xludf.DUMMYFUNCTION("JOIN("""",VLOOKUP(D462,'для артикула'!$A$2:$B$7,2,0),VLOOKUP(G462,'для артикула'!$A$13:$B$14,2,0),VLOOKUP(E462,'для артикула'!$A$9:$B$11,2,0),VLOOKUP(F462,'для артикула'!$A$17:$B$19,2,0),VLOOKUP(J462,'для артикула'!$A$22:$B$23,2,0),VLOOKUP(H462,'для артик"&amp;"ула'!$A$26:$B$30,2,0))"),"002-2513E50Q13-OK")</f>
        <v>002-2513E50Q13-OK</v>
      </c>
      <c r="N462" s="8" t="str">
        <f>IF(ISNUMBER(MATCH(C462, 'Реестр договоров'!$D$2:$D$900, 0)), "Продано", "В наличии")</f>
        <v>Продано</v>
      </c>
    </row>
    <row r="463" spans="1:14">
      <c r="A463" s="26">
        <v>45775.682603634261</v>
      </c>
      <c r="B463" s="26"/>
      <c r="C463" s="8" t="s">
        <v>569</v>
      </c>
      <c r="D463" s="8" t="s">
        <v>287</v>
      </c>
      <c r="E463" s="8">
        <v>30</v>
      </c>
      <c r="F463" s="8" t="s">
        <v>116</v>
      </c>
      <c r="G463" s="8" t="s">
        <v>116</v>
      </c>
      <c r="H463" s="8" t="s">
        <v>115</v>
      </c>
      <c r="I463" s="27">
        <v>45770</v>
      </c>
      <c r="J463" s="8" t="s">
        <v>117</v>
      </c>
      <c r="K463" s="8" t="s">
        <v>118</v>
      </c>
      <c r="L463" s="8" t="s">
        <v>119</v>
      </c>
      <c r="M463" s="16" t="str">
        <f ca="1">IFERROR(__xludf.DUMMYFUNCTION("JOIN("""",VLOOKUP(D463,'для артикула'!$A$2:$B$7,2,0),VLOOKUP(G463,'для артикула'!$A$13:$B$14,2,0),VLOOKUP(E463,'для артикула'!$A$9:$B$11,2,0),VLOOKUP(F463,'для артикула'!$A$17:$B$19,2,0),VLOOKUP(J463,'для артикула'!$A$22:$B$23,2,0),VLOOKUP(H463,'для артик"&amp;"ула'!$A$26:$B$30,2,0))"),"002-2513E30Q13-OK")</f>
        <v>002-2513E30Q13-OK</v>
      </c>
      <c r="N463" s="8" t="str">
        <f>IF(ISNUMBER(MATCH(C463, 'Реестр договоров'!$D$2:$D$900, 0)), "Продано", "В наличии")</f>
        <v>Продано</v>
      </c>
    </row>
    <row r="464" spans="1:14">
      <c r="A464" s="26">
        <v>45776.399739062501</v>
      </c>
      <c r="B464" s="26"/>
      <c r="C464" s="8" t="s">
        <v>570</v>
      </c>
      <c r="D464" s="8" t="s">
        <v>114</v>
      </c>
      <c r="E464" s="8">
        <v>50</v>
      </c>
      <c r="F464" s="8" t="s">
        <v>116</v>
      </c>
      <c r="G464" s="8" t="s">
        <v>116</v>
      </c>
      <c r="H464" s="8">
        <v>30</v>
      </c>
      <c r="I464" s="27">
        <v>45776</v>
      </c>
      <c r="J464" s="8" t="s">
        <v>117</v>
      </c>
      <c r="K464" s="8" t="s">
        <v>124</v>
      </c>
      <c r="L464" s="8" t="s">
        <v>119</v>
      </c>
      <c r="M464" s="16" t="str">
        <f ca="1">IFERROR(__xludf.DUMMYFUNCTION("JOIN("""",VLOOKUP(D464,'для артикула'!$A$2:$B$7,2,0),VLOOKUP(G464,'для артикула'!$A$13:$B$14,2,0),VLOOKUP(E464,'для артикула'!$A$9:$B$11,2,0),VLOOKUP(F464,'для артикула'!$A$17:$B$19,2,0),VLOOKUP(J464,'для артикула'!$A$22:$B$23,2,0),VLOOKUP(H464,'для артик"&amp;"ула'!$A$26:$B$30,2,0))"),"002-2013E50Q13-OK30")</f>
        <v>002-2013E50Q13-OK30</v>
      </c>
      <c r="N464" s="8" t="str">
        <f>IF(ISNUMBER(MATCH(C464, 'Реестр договоров'!$D$2:$D$900, 0)), "Продано", "В наличии")</f>
        <v>Продано</v>
      </c>
    </row>
    <row r="465" spans="1:14">
      <c r="A465" s="26">
        <v>45777.533377731481</v>
      </c>
      <c r="B465" s="26"/>
      <c r="C465" s="8" t="s">
        <v>571</v>
      </c>
      <c r="D465" s="8" t="s">
        <v>287</v>
      </c>
      <c r="E465" s="8">
        <v>50</v>
      </c>
      <c r="F465" s="8" t="s">
        <v>116</v>
      </c>
      <c r="G465" s="8" t="s">
        <v>116</v>
      </c>
      <c r="H465" s="8" t="s">
        <v>115</v>
      </c>
      <c r="I465" s="27">
        <v>45777</v>
      </c>
      <c r="J465" s="8" t="s">
        <v>117</v>
      </c>
      <c r="K465" s="8" t="s">
        <v>124</v>
      </c>
      <c r="L465" s="8" t="s">
        <v>119</v>
      </c>
      <c r="M465" s="16" t="str">
        <f ca="1">IFERROR(__xludf.DUMMYFUNCTION("JOIN("""",VLOOKUP(D465,'для артикула'!$A$2:$B$7,2,0),VLOOKUP(G465,'для артикула'!$A$13:$B$14,2,0),VLOOKUP(E465,'для артикула'!$A$9:$B$11,2,0),VLOOKUP(F465,'для артикула'!$A$17:$B$19,2,0),VLOOKUP(J465,'для артикула'!$A$22:$B$23,2,0),VLOOKUP(H465,'для артик"&amp;"ула'!$A$26:$B$30,2,0))"),"002-2513E50Q13-OK")</f>
        <v>002-2513E50Q13-OK</v>
      </c>
      <c r="N465" s="8" t="str">
        <f>IF(ISNUMBER(MATCH(C465, 'Реестр договоров'!$D$2:$D$900, 0)), "Продано", "В наличии")</f>
        <v>Продано</v>
      </c>
    </row>
    <row r="466" spans="1:14">
      <c r="A466" s="26">
        <v>45777.683247361114</v>
      </c>
      <c r="B466" s="26"/>
      <c r="C466" s="8" t="s">
        <v>572</v>
      </c>
      <c r="D466" s="8" t="s">
        <v>114</v>
      </c>
      <c r="E466" s="8">
        <v>30</v>
      </c>
      <c r="F466" s="8" t="s">
        <v>116</v>
      </c>
      <c r="G466" s="8" t="s">
        <v>116</v>
      </c>
      <c r="H466" s="8" t="s">
        <v>115</v>
      </c>
      <c r="I466" s="27">
        <v>45770</v>
      </c>
      <c r="J466" s="8" t="s">
        <v>117</v>
      </c>
      <c r="K466" s="8" t="s">
        <v>124</v>
      </c>
      <c r="L466" s="8" t="s">
        <v>119</v>
      </c>
      <c r="M466" s="16" t="str">
        <f ca="1">IFERROR(__xludf.DUMMYFUNCTION("JOIN("""",VLOOKUP(D466,'для артикула'!$A$2:$B$7,2,0),VLOOKUP(G466,'для артикула'!$A$13:$B$14,2,0),VLOOKUP(E466,'для артикула'!$A$9:$B$11,2,0),VLOOKUP(F466,'для артикула'!$A$17:$B$19,2,0),VLOOKUP(J466,'для артикула'!$A$22:$B$23,2,0),VLOOKUP(H466,'для артик"&amp;"ула'!$A$26:$B$30,2,0))"),"002-2013E30Q13-OK")</f>
        <v>002-2013E30Q13-OK</v>
      </c>
      <c r="N466" s="8" t="str">
        <f>IF(ISNUMBER(MATCH(C466, 'Реестр договоров'!$D$2:$D$900, 0)), "Продано", "В наличии")</f>
        <v>Продано</v>
      </c>
    </row>
    <row r="467" spans="1:14">
      <c r="A467" s="26">
        <v>45781.561227951388</v>
      </c>
      <c r="B467" s="26"/>
      <c r="C467" s="8" t="s">
        <v>573</v>
      </c>
      <c r="D467" s="8" t="s">
        <v>114</v>
      </c>
      <c r="E467" s="8">
        <v>30</v>
      </c>
      <c r="F467" s="8" t="s">
        <v>116</v>
      </c>
      <c r="G467" s="8" t="s">
        <v>116</v>
      </c>
      <c r="H467" s="8">
        <v>30</v>
      </c>
      <c r="I467" s="27">
        <v>45781</v>
      </c>
      <c r="J467" s="8" t="s">
        <v>117</v>
      </c>
      <c r="K467" s="8" t="s">
        <v>124</v>
      </c>
      <c r="L467" s="8" t="s">
        <v>119</v>
      </c>
      <c r="M467" s="16" t="str">
        <f ca="1">IFERROR(__xludf.DUMMYFUNCTION("JOIN("""",VLOOKUP(D467,'для артикула'!$A$2:$B$7,2,0),VLOOKUP(G467,'для артикула'!$A$13:$B$14,2,0),VLOOKUP(E467,'для артикула'!$A$9:$B$11,2,0),VLOOKUP(F467,'для артикула'!$A$17:$B$19,2,0),VLOOKUP(J467,'для артикула'!$A$22:$B$23,2,0),VLOOKUP(H467,'для артик"&amp;"ула'!$A$26:$B$30,2,0))"),"002-2013E30Q13-OK30")</f>
        <v>002-2013E30Q13-OK30</v>
      </c>
      <c r="N467" s="8" t="str">
        <f>IF(ISNUMBER(MATCH(C467, 'Реестр договоров'!$D$2:$D$900, 0)), "Продано", "В наличии")</f>
        <v>Продано</v>
      </c>
    </row>
    <row r="468" spans="1:14">
      <c r="A468" s="26">
        <v>45782.427656979169</v>
      </c>
      <c r="B468" s="26"/>
      <c r="C468" s="8" t="s">
        <v>574</v>
      </c>
      <c r="D468" s="8" t="s">
        <v>114</v>
      </c>
      <c r="E468" s="8">
        <v>50</v>
      </c>
      <c r="F468" s="8" t="s">
        <v>116</v>
      </c>
      <c r="G468" s="8" t="s">
        <v>116</v>
      </c>
      <c r="H468" s="8" t="s">
        <v>115</v>
      </c>
      <c r="I468" s="27">
        <v>45779</v>
      </c>
      <c r="J468" s="8" t="s">
        <v>117</v>
      </c>
      <c r="K468" s="8" t="s">
        <v>121</v>
      </c>
      <c r="L468" s="8" t="s">
        <v>119</v>
      </c>
      <c r="M468" s="16" t="str">
        <f ca="1">IFERROR(__xludf.DUMMYFUNCTION("JOIN("""",VLOOKUP(D468,'для артикула'!$A$2:$B$7,2,0),VLOOKUP(G468,'для артикула'!$A$13:$B$14,2,0),VLOOKUP(E468,'для артикула'!$A$9:$B$11,2,0),VLOOKUP(F468,'для артикула'!$A$17:$B$19,2,0),VLOOKUP(J468,'для артикула'!$A$22:$B$23,2,0),VLOOKUP(H468,'для артик"&amp;"ула'!$A$26:$B$30,2,0))"),"002-2013E50Q13-OK")</f>
        <v>002-2013E50Q13-OK</v>
      </c>
      <c r="N468" s="8" t="str">
        <f>IF(ISNUMBER(MATCH(C468, 'Реестр договоров'!$D$2:$D$900, 0)), "Продано", "В наличии")</f>
        <v>Продано</v>
      </c>
    </row>
    <row r="469" spans="1:14">
      <c r="A469" s="26">
        <v>45782.499367881945</v>
      </c>
      <c r="B469" s="26"/>
      <c r="C469" s="8" t="s">
        <v>575</v>
      </c>
      <c r="D469" s="8" t="s">
        <v>114</v>
      </c>
      <c r="E469" s="8">
        <v>50</v>
      </c>
      <c r="F469" s="8" t="s">
        <v>116</v>
      </c>
      <c r="G469" s="8" t="s">
        <v>116</v>
      </c>
      <c r="H469" s="8">
        <v>30</v>
      </c>
      <c r="I469" s="27">
        <v>45782</v>
      </c>
      <c r="J469" s="8" t="s">
        <v>117</v>
      </c>
      <c r="K469" s="8" t="s">
        <v>118</v>
      </c>
      <c r="L469" s="8" t="s">
        <v>119</v>
      </c>
      <c r="M469" s="16" t="str">
        <f ca="1">IFERROR(__xludf.DUMMYFUNCTION("JOIN("""",VLOOKUP(D469,'для артикула'!$A$2:$B$7,2,0),VLOOKUP(G469,'для артикула'!$A$13:$B$14,2,0),VLOOKUP(E469,'для артикула'!$A$9:$B$11,2,0),VLOOKUP(F469,'для артикула'!$A$17:$B$19,2,0),VLOOKUP(J469,'для артикула'!$A$22:$B$23,2,0),VLOOKUP(H469,'для артик"&amp;"ула'!$A$26:$B$30,2,0))"),"002-2013E50Q13-OK30")</f>
        <v>002-2013E50Q13-OK30</v>
      </c>
      <c r="N469" s="8" t="str">
        <f>IF(ISNUMBER(MATCH(C469, 'Реестр договоров'!$D$2:$D$900, 0)), "Продано", "В наличии")</f>
        <v>Продано</v>
      </c>
    </row>
    <row r="470" spans="1:14">
      <c r="A470" s="26">
        <v>45782.511049583336</v>
      </c>
      <c r="B470" s="26"/>
      <c r="C470" s="8" t="s">
        <v>576</v>
      </c>
      <c r="D470" s="8" t="s">
        <v>114</v>
      </c>
      <c r="E470" s="8">
        <v>30</v>
      </c>
      <c r="F470" s="8" t="s">
        <v>116</v>
      </c>
      <c r="G470" s="8" t="s">
        <v>116</v>
      </c>
      <c r="H470" s="8" t="s">
        <v>115</v>
      </c>
      <c r="I470" s="27">
        <v>45782</v>
      </c>
      <c r="J470" s="8" t="s">
        <v>117</v>
      </c>
      <c r="K470" s="8" t="s">
        <v>121</v>
      </c>
      <c r="L470" s="8" t="s">
        <v>119</v>
      </c>
      <c r="M470" s="16" t="str">
        <f ca="1">IFERROR(__xludf.DUMMYFUNCTION("JOIN("""",VLOOKUP(D470,'для артикула'!$A$2:$B$7,2,0),VLOOKUP(G470,'для артикула'!$A$13:$B$14,2,0),VLOOKUP(E470,'для артикула'!$A$9:$B$11,2,0),VLOOKUP(F470,'для артикула'!$A$17:$B$19,2,0),VLOOKUP(J470,'для артикула'!$A$22:$B$23,2,0),VLOOKUP(H470,'для артик"&amp;"ула'!$A$26:$B$30,2,0))"),"002-2013E30Q13-OK")</f>
        <v>002-2013E30Q13-OK</v>
      </c>
      <c r="N470" s="8" t="str">
        <f>IF(ISNUMBER(MATCH(C470, 'Реестр договоров'!$D$2:$D$900, 0)), "Продано", "В наличии")</f>
        <v>Продано</v>
      </c>
    </row>
    <row r="471" spans="1:14">
      <c r="A471" s="26">
        <v>45782.640383831022</v>
      </c>
      <c r="B471" s="26"/>
      <c r="C471" s="8" t="s">
        <v>577</v>
      </c>
      <c r="D471" s="8" t="s">
        <v>114</v>
      </c>
      <c r="E471" s="8">
        <v>30</v>
      </c>
      <c r="F471" s="8" t="s">
        <v>116</v>
      </c>
      <c r="G471" s="8" t="s">
        <v>116</v>
      </c>
      <c r="H471" s="8" t="s">
        <v>115</v>
      </c>
      <c r="I471" s="27">
        <v>45779</v>
      </c>
      <c r="J471" s="8" t="s">
        <v>117</v>
      </c>
      <c r="K471" s="8" t="s">
        <v>118</v>
      </c>
      <c r="L471" s="8" t="s">
        <v>119</v>
      </c>
      <c r="M471" s="16" t="str">
        <f ca="1">IFERROR(__xludf.DUMMYFUNCTION("JOIN("""",VLOOKUP(D471,'для артикула'!$A$2:$B$7,2,0),VLOOKUP(G471,'для артикула'!$A$13:$B$14,2,0),VLOOKUP(E471,'для артикула'!$A$9:$B$11,2,0),VLOOKUP(F471,'для артикула'!$A$17:$B$19,2,0),VLOOKUP(J471,'для артикула'!$A$22:$B$23,2,0),VLOOKUP(H471,'для артик"&amp;"ула'!$A$26:$B$30,2,0))"),"002-2013E30Q13-OK")</f>
        <v>002-2013E30Q13-OK</v>
      </c>
      <c r="N471" s="8" t="str">
        <f>IF(ISNUMBER(MATCH(C471, 'Реестр договоров'!$D$2:$D$900, 0)), "Продано", "В наличии")</f>
        <v>Продано</v>
      </c>
    </row>
    <row r="472" spans="1:14">
      <c r="A472" s="26">
        <v>45782.743668622687</v>
      </c>
      <c r="B472" s="26"/>
      <c r="C472" s="8" t="s">
        <v>578</v>
      </c>
      <c r="D472" s="8" t="s">
        <v>114</v>
      </c>
      <c r="E472" s="8">
        <v>50</v>
      </c>
      <c r="F472" s="8" t="s">
        <v>116</v>
      </c>
      <c r="G472" s="8" t="s">
        <v>116</v>
      </c>
      <c r="H472" s="8" t="s">
        <v>115</v>
      </c>
      <c r="I472" s="27">
        <v>45782</v>
      </c>
      <c r="J472" s="8" t="s">
        <v>117</v>
      </c>
      <c r="K472" s="8" t="s">
        <v>124</v>
      </c>
      <c r="L472" s="8" t="s">
        <v>119</v>
      </c>
      <c r="M472" s="16" t="str">
        <f ca="1">IFERROR(__xludf.DUMMYFUNCTION("JOIN("""",VLOOKUP(D472,'для артикула'!$A$2:$B$7,2,0),VLOOKUP(G472,'для артикула'!$A$13:$B$14,2,0),VLOOKUP(E472,'для артикула'!$A$9:$B$11,2,0),VLOOKUP(F472,'для артикула'!$A$17:$B$19,2,0),VLOOKUP(J472,'для артикула'!$A$22:$B$23,2,0),VLOOKUP(H472,'для артик"&amp;"ула'!$A$26:$B$30,2,0))"),"002-2013E50Q13-OK")</f>
        <v>002-2013E50Q13-OK</v>
      </c>
      <c r="N472" s="8" t="str">
        <f>IF(ISNUMBER(MATCH(C472, 'Реестр договоров'!$D$2:$D$900, 0)), "Продано", "В наличии")</f>
        <v>В наличии</v>
      </c>
    </row>
    <row r="473" spans="1:14">
      <c r="A473" s="26">
        <v>45782.744201180554</v>
      </c>
      <c r="B473" s="26"/>
      <c r="C473" s="8" t="s">
        <v>579</v>
      </c>
      <c r="D473" s="8" t="s">
        <v>347</v>
      </c>
      <c r="E473" s="8">
        <v>30</v>
      </c>
      <c r="F473" s="8" t="s">
        <v>116</v>
      </c>
      <c r="G473" s="8" t="s">
        <v>116</v>
      </c>
      <c r="H473" s="8">
        <v>120</v>
      </c>
      <c r="I473" s="27">
        <v>45782</v>
      </c>
      <c r="J473" s="8" t="s">
        <v>117</v>
      </c>
      <c r="K473" s="8" t="s">
        <v>124</v>
      </c>
      <c r="L473" s="8" t="s">
        <v>288</v>
      </c>
      <c r="M473" s="16" t="str">
        <f ca="1">IFERROR(__xludf.DUMMYFUNCTION("JOIN("""",VLOOKUP(D473,'для артикула'!$A$2:$B$7,2,0),VLOOKUP(G473,'для артикула'!$A$13:$B$14,2,0),VLOOKUP(E473,'для артикула'!$A$9:$B$11,2,0),VLOOKUP(F473,'для артикула'!$A$17:$B$19,2,0),VLOOKUP(J473,'для артикула'!$A$22:$B$23,2,0),VLOOKUP(H473,'для артик"&amp;"ула'!$A$26:$B$30,2,0))"),"002-2515E30Q13-OK120")</f>
        <v>002-2515E30Q13-OK120</v>
      </c>
      <c r="N473" s="8" t="str">
        <f>IF(ISNUMBER(MATCH(C473, 'Реестр договоров'!$D$2:$D$900, 0)), "Продано", "В наличии")</f>
        <v>Продано</v>
      </c>
    </row>
    <row r="474" spans="1:14">
      <c r="A474" s="26">
        <v>45782.745018865739</v>
      </c>
      <c r="B474" s="26"/>
      <c r="C474" s="8" t="s">
        <v>580</v>
      </c>
      <c r="D474" s="8" t="s">
        <v>287</v>
      </c>
      <c r="E474" s="8">
        <v>50</v>
      </c>
      <c r="F474" s="8" t="s">
        <v>116</v>
      </c>
      <c r="G474" s="8" t="s">
        <v>116</v>
      </c>
      <c r="H474" s="8" t="s">
        <v>115</v>
      </c>
      <c r="I474" s="27">
        <v>45782</v>
      </c>
      <c r="J474" s="8" t="s">
        <v>117</v>
      </c>
      <c r="K474" s="8" t="s">
        <v>124</v>
      </c>
      <c r="L474" s="8" t="s">
        <v>119</v>
      </c>
      <c r="M474" s="16" t="str">
        <f ca="1">IFERROR(__xludf.DUMMYFUNCTION("JOIN("""",VLOOKUP(D474,'для артикула'!$A$2:$B$7,2,0),VLOOKUP(G474,'для артикула'!$A$13:$B$14,2,0),VLOOKUP(E474,'для артикула'!$A$9:$B$11,2,0),VLOOKUP(F474,'для артикула'!$A$17:$B$19,2,0),VLOOKUP(J474,'для артикула'!$A$22:$B$23,2,0),VLOOKUP(H474,'для артик"&amp;"ула'!$A$26:$B$30,2,0))"),"002-2513E50Q13-OK")</f>
        <v>002-2513E50Q13-OK</v>
      </c>
      <c r="N474" s="8" t="str">
        <f>IF(ISNUMBER(MATCH(C474, 'Реестр договоров'!$D$2:$D$900, 0)), "Продано", "В наличии")</f>
        <v>Продано</v>
      </c>
    </row>
    <row r="475" spans="1:14">
      <c r="A475" s="26">
        <v>45782.745771192131</v>
      </c>
      <c r="B475" s="26"/>
      <c r="C475" s="8" t="s">
        <v>581</v>
      </c>
      <c r="D475" s="8" t="s">
        <v>114</v>
      </c>
      <c r="E475" s="8">
        <v>50</v>
      </c>
      <c r="F475" s="8" t="s">
        <v>116</v>
      </c>
      <c r="G475" s="8" t="s">
        <v>116</v>
      </c>
      <c r="H475" s="8" t="s">
        <v>115</v>
      </c>
      <c r="I475" s="27">
        <v>45782</v>
      </c>
      <c r="J475" s="8" t="s">
        <v>117</v>
      </c>
      <c r="K475" s="8" t="s">
        <v>124</v>
      </c>
      <c r="L475" s="8" t="s">
        <v>119</v>
      </c>
      <c r="M475" s="16" t="str">
        <f ca="1">IFERROR(__xludf.DUMMYFUNCTION("JOIN("""",VLOOKUP(D475,'для артикула'!$A$2:$B$7,2,0),VLOOKUP(G475,'для артикула'!$A$13:$B$14,2,0),VLOOKUP(E475,'для артикула'!$A$9:$B$11,2,0),VLOOKUP(F475,'для артикула'!$A$17:$B$19,2,0),VLOOKUP(J475,'для артикула'!$A$22:$B$23,2,0),VLOOKUP(H475,'для артик"&amp;"ула'!$A$26:$B$30,2,0))"),"002-2013E50Q13-OK")</f>
        <v>002-2013E50Q13-OK</v>
      </c>
      <c r="N475" s="8" t="str">
        <f>IF(ISNUMBER(MATCH(C475, 'Реестр договоров'!$D$2:$D$900, 0)), "Продано", "В наличии")</f>
        <v>Продано</v>
      </c>
    </row>
    <row r="476" spans="1:14">
      <c r="A476" s="26">
        <v>45782.746558229162</v>
      </c>
      <c r="B476" s="26"/>
      <c r="C476" s="8" t="s">
        <v>582</v>
      </c>
      <c r="D476" s="8" t="s">
        <v>287</v>
      </c>
      <c r="E476" s="8">
        <v>50</v>
      </c>
      <c r="F476" s="8" t="s">
        <v>116</v>
      </c>
      <c r="G476" s="8" t="s">
        <v>116</v>
      </c>
      <c r="H476" s="8" t="s">
        <v>115</v>
      </c>
      <c r="I476" s="27">
        <v>45782</v>
      </c>
      <c r="J476" s="8" t="s">
        <v>117</v>
      </c>
      <c r="K476" s="8" t="s">
        <v>124</v>
      </c>
      <c r="L476" s="8" t="s">
        <v>119</v>
      </c>
      <c r="M476" s="16" t="str">
        <f ca="1">IFERROR(__xludf.DUMMYFUNCTION("JOIN("""",VLOOKUP(D476,'для артикула'!$A$2:$B$7,2,0),VLOOKUP(G476,'для артикула'!$A$13:$B$14,2,0),VLOOKUP(E476,'для артикула'!$A$9:$B$11,2,0),VLOOKUP(F476,'для артикула'!$A$17:$B$19,2,0),VLOOKUP(J476,'для артикула'!$A$22:$B$23,2,0),VLOOKUP(H476,'для артик"&amp;"ула'!$A$26:$B$30,2,0))"),"002-2513E50Q13-OK")</f>
        <v>002-2513E50Q13-OK</v>
      </c>
      <c r="N476" s="8" t="str">
        <f>IF(ISNUMBER(MATCH(C476, 'Реестр договоров'!$D$2:$D$900, 0)), "Продано", "В наличии")</f>
        <v>Продано</v>
      </c>
    </row>
    <row r="477" spans="1:14">
      <c r="A477" s="26">
        <v>45782.747079976849</v>
      </c>
      <c r="B477" s="26"/>
      <c r="C477" s="8" t="s">
        <v>583</v>
      </c>
      <c r="D477" s="8" t="s">
        <v>287</v>
      </c>
      <c r="E477" s="8">
        <v>50</v>
      </c>
      <c r="F477" s="8" t="s">
        <v>116</v>
      </c>
      <c r="G477" s="8" t="s">
        <v>116</v>
      </c>
      <c r="H477" s="8">
        <v>120</v>
      </c>
      <c r="I477" s="27">
        <v>45782</v>
      </c>
      <c r="J477" s="8" t="s">
        <v>117</v>
      </c>
      <c r="K477" s="8" t="s">
        <v>124</v>
      </c>
      <c r="L477" s="8" t="s">
        <v>119</v>
      </c>
      <c r="M477" s="16" t="str">
        <f ca="1">IFERROR(__xludf.DUMMYFUNCTION("JOIN("""",VLOOKUP(D477,'для артикула'!$A$2:$B$7,2,0),VLOOKUP(G477,'для артикула'!$A$13:$B$14,2,0),VLOOKUP(E477,'для артикула'!$A$9:$B$11,2,0),VLOOKUP(F477,'для артикула'!$A$17:$B$19,2,0),VLOOKUP(J477,'для артикула'!$A$22:$B$23,2,0),VLOOKUP(H477,'для артик"&amp;"ула'!$A$26:$B$30,2,0))"),"002-2513E50Q13-OK120")</f>
        <v>002-2513E50Q13-OK120</v>
      </c>
      <c r="N477" s="8" t="str">
        <f>IF(ISNUMBER(MATCH(C477, 'Реестр договоров'!$D$2:$D$900, 0)), "Продано", "В наличии")</f>
        <v>Продано</v>
      </c>
    </row>
    <row r="478" spans="1:14">
      <c r="A478" s="26">
        <v>45783.44195168982</v>
      </c>
      <c r="B478" s="26"/>
      <c r="C478" s="8" t="s">
        <v>584</v>
      </c>
      <c r="D478" s="8" t="s">
        <v>287</v>
      </c>
      <c r="E478" s="8">
        <v>50</v>
      </c>
      <c r="F478" s="8" t="s">
        <v>116</v>
      </c>
      <c r="G478" s="8" t="s">
        <v>116</v>
      </c>
      <c r="H478" s="8">
        <v>30</v>
      </c>
      <c r="I478" s="27">
        <v>45638</v>
      </c>
      <c r="J478" s="8" t="s">
        <v>117</v>
      </c>
      <c r="K478" s="8" t="s">
        <v>118</v>
      </c>
      <c r="L478" s="8" t="s">
        <v>119</v>
      </c>
      <c r="M478" s="16" t="str">
        <f ca="1">IFERROR(__xludf.DUMMYFUNCTION("JOIN("""",VLOOKUP(D478,'для артикула'!$A$2:$B$7,2,0),VLOOKUP(G478,'для артикула'!$A$13:$B$14,2,0),VLOOKUP(E478,'для артикула'!$A$9:$B$11,2,0),VLOOKUP(F478,'для артикула'!$A$17:$B$19,2,0),VLOOKUP(J478,'для артикула'!$A$22:$B$23,2,0),VLOOKUP(H478,'для артик"&amp;"ула'!$A$26:$B$30,2,0))"),"002-2513E50Q13-OK30")</f>
        <v>002-2513E50Q13-OK30</v>
      </c>
      <c r="N478" s="8" t="str">
        <f>IF(ISNUMBER(MATCH(C478, 'Реестр договоров'!$D$2:$D$900, 0)), "Продано", "В наличии")</f>
        <v>Продано</v>
      </c>
    </row>
    <row r="479" spans="1:14">
      <c r="A479" s="26">
        <v>45783.454923657409</v>
      </c>
      <c r="B479" s="26"/>
      <c r="C479" s="8" t="s">
        <v>585</v>
      </c>
      <c r="D479" s="8" t="s">
        <v>114</v>
      </c>
      <c r="E479" s="8">
        <v>30</v>
      </c>
      <c r="F479" s="8" t="s">
        <v>116</v>
      </c>
      <c r="G479" s="8" t="s">
        <v>116</v>
      </c>
      <c r="H479" s="8" t="s">
        <v>115</v>
      </c>
      <c r="I479" s="27">
        <v>45783</v>
      </c>
      <c r="J479" s="8" t="s">
        <v>117</v>
      </c>
      <c r="K479" s="8" t="s">
        <v>121</v>
      </c>
      <c r="L479" s="8" t="s">
        <v>119</v>
      </c>
      <c r="M479" s="16" t="str">
        <f ca="1">IFERROR(__xludf.DUMMYFUNCTION("JOIN("""",VLOOKUP(D479,'для артикула'!$A$2:$B$7,2,0),VLOOKUP(G479,'для артикула'!$A$13:$B$14,2,0),VLOOKUP(E479,'для артикула'!$A$9:$B$11,2,0),VLOOKUP(F479,'для артикула'!$A$17:$B$19,2,0),VLOOKUP(J479,'для артикула'!$A$22:$B$23,2,0),VLOOKUP(H479,'для артик"&amp;"ула'!$A$26:$B$30,2,0))"),"002-2013E30Q13-OK")</f>
        <v>002-2013E30Q13-OK</v>
      </c>
      <c r="N479" s="8" t="str">
        <f>IF(ISNUMBER(MATCH(C479, 'Реестр договоров'!$D$2:$D$900, 0)), "Продано", "В наличии")</f>
        <v>Продано</v>
      </c>
    </row>
    <row r="480" spans="1:14">
      <c r="A480" s="26">
        <v>45783.672727951387</v>
      </c>
      <c r="B480" s="26"/>
      <c r="C480" s="8" t="s">
        <v>586</v>
      </c>
      <c r="D480" s="8" t="s">
        <v>287</v>
      </c>
      <c r="E480" s="8">
        <v>50</v>
      </c>
      <c r="F480" s="8" t="s">
        <v>116</v>
      </c>
      <c r="G480" s="8" t="s">
        <v>116</v>
      </c>
      <c r="H480" s="8" t="s">
        <v>115</v>
      </c>
      <c r="I480" s="27">
        <v>45783</v>
      </c>
      <c r="J480" s="8" t="s">
        <v>117</v>
      </c>
      <c r="K480" s="8" t="s">
        <v>118</v>
      </c>
      <c r="L480" s="8" t="s">
        <v>119</v>
      </c>
      <c r="M480" s="16" t="str">
        <f ca="1">IFERROR(__xludf.DUMMYFUNCTION("JOIN("""",VLOOKUP(D480,'для артикула'!$A$2:$B$7,2,0),VLOOKUP(G480,'для артикула'!$A$13:$B$14,2,0),VLOOKUP(E480,'для артикула'!$A$9:$B$11,2,0),VLOOKUP(F480,'для артикула'!$A$17:$B$19,2,0),VLOOKUP(J480,'для артикула'!$A$22:$B$23,2,0),VLOOKUP(H480,'для артик"&amp;"ула'!$A$26:$B$30,2,0))"),"002-2513E50Q13-OK")</f>
        <v>002-2513E50Q13-OK</v>
      </c>
      <c r="N480" s="8" t="str">
        <f>IF(ISNUMBER(MATCH(C480, 'Реестр договоров'!$D$2:$D$900, 0)), "Продано", "В наличии")</f>
        <v>Продано</v>
      </c>
    </row>
    <row r="481" spans="1:14">
      <c r="A481" s="26">
        <v>45783.75730626157</v>
      </c>
      <c r="B481" s="26"/>
      <c r="C481" s="8" t="s">
        <v>587</v>
      </c>
      <c r="D481" s="8" t="s">
        <v>114</v>
      </c>
      <c r="E481" s="8">
        <v>50</v>
      </c>
      <c r="F481" s="8" t="s">
        <v>116</v>
      </c>
      <c r="G481" s="8" t="s">
        <v>116</v>
      </c>
      <c r="H481" s="8" t="s">
        <v>115</v>
      </c>
      <c r="I481" s="27">
        <v>45783</v>
      </c>
      <c r="J481" s="8" t="s">
        <v>117</v>
      </c>
      <c r="K481" s="8" t="s">
        <v>118</v>
      </c>
      <c r="L481" s="8" t="s">
        <v>119</v>
      </c>
      <c r="M481" s="16" t="str">
        <f ca="1">IFERROR(__xludf.DUMMYFUNCTION("JOIN("""",VLOOKUP(D481,'для артикула'!$A$2:$B$7,2,0),VLOOKUP(G481,'для артикула'!$A$13:$B$14,2,0),VLOOKUP(E481,'для артикула'!$A$9:$B$11,2,0),VLOOKUP(F481,'для артикула'!$A$17:$B$19,2,0),VLOOKUP(J481,'для артикула'!$A$22:$B$23,2,0),VLOOKUP(H481,'для артик"&amp;"ула'!$A$26:$B$30,2,0))"),"002-2013E50Q13-OK")</f>
        <v>002-2013E50Q13-OK</v>
      </c>
      <c r="N481" s="8" t="str">
        <f>IF(ISNUMBER(MATCH(C481, 'Реестр договоров'!$D$2:$D$900, 0)), "Продано", "В наличии")</f>
        <v>Продано</v>
      </c>
    </row>
    <row r="482" spans="1:14">
      <c r="A482" s="26">
        <v>45789.63962574074</v>
      </c>
      <c r="B482" s="26"/>
      <c r="C482" s="8" t="s">
        <v>588</v>
      </c>
      <c r="D482" s="8" t="s">
        <v>114</v>
      </c>
      <c r="E482" s="8">
        <v>50</v>
      </c>
      <c r="F482" s="8" t="s">
        <v>116</v>
      </c>
      <c r="G482" s="8" t="s">
        <v>116</v>
      </c>
      <c r="H482" s="8" t="s">
        <v>115</v>
      </c>
      <c r="I482" s="27">
        <v>45757</v>
      </c>
      <c r="J482" s="8" t="s">
        <v>117</v>
      </c>
      <c r="K482" s="8" t="s">
        <v>121</v>
      </c>
      <c r="L482" s="8" t="s">
        <v>119</v>
      </c>
      <c r="M482" s="16" t="str">
        <f ca="1">IFERROR(__xludf.DUMMYFUNCTION("JOIN("""",VLOOKUP(D482,'для артикула'!$A$2:$B$7,2,0),VLOOKUP(G482,'для артикула'!$A$13:$B$14,2,0),VLOOKUP(E482,'для артикула'!$A$9:$B$11,2,0),VLOOKUP(F482,'для артикула'!$A$17:$B$19,2,0),VLOOKUP(J482,'для артикула'!$A$22:$B$23,2,0),VLOOKUP(H482,'для артик"&amp;"ула'!$A$26:$B$30,2,0))"),"002-2013E50Q13-OK")</f>
        <v>002-2013E50Q13-OK</v>
      </c>
      <c r="N482" s="8" t="str">
        <f>IF(ISNUMBER(MATCH(C482, 'Реестр договоров'!$D$2:$D$900, 0)), "Продано", "В наличии")</f>
        <v>Продано</v>
      </c>
    </row>
    <row r="483" spans="1:14">
      <c r="A483" s="26">
        <v>45789.759218530089</v>
      </c>
      <c r="B483" s="26"/>
      <c r="C483" s="8" t="s">
        <v>589</v>
      </c>
      <c r="D483" s="8" t="s">
        <v>114</v>
      </c>
      <c r="E483" s="8">
        <v>30</v>
      </c>
      <c r="F483" s="8" t="s">
        <v>116</v>
      </c>
      <c r="G483" s="8" t="s">
        <v>116</v>
      </c>
      <c r="H483" s="8" t="s">
        <v>115</v>
      </c>
      <c r="I483" s="27">
        <v>45789</v>
      </c>
      <c r="J483" s="8" t="s">
        <v>117</v>
      </c>
      <c r="K483" s="8" t="s">
        <v>118</v>
      </c>
      <c r="L483" s="8" t="s">
        <v>119</v>
      </c>
      <c r="M483" s="16" t="str">
        <f ca="1">IFERROR(__xludf.DUMMYFUNCTION("JOIN("""",VLOOKUP(D483,'для артикула'!$A$2:$B$7,2,0),VLOOKUP(G483,'для артикула'!$A$13:$B$14,2,0),VLOOKUP(E483,'для артикула'!$A$9:$B$11,2,0),VLOOKUP(F483,'для артикула'!$A$17:$B$19,2,0),VLOOKUP(J483,'для артикула'!$A$22:$B$23,2,0),VLOOKUP(H483,'для артик"&amp;"ула'!$A$26:$B$30,2,0))"),"002-2013E30Q13-OK")</f>
        <v>002-2013E30Q13-OK</v>
      </c>
      <c r="N483" s="8" t="str">
        <f>IF(ISNUMBER(MATCH(C483, 'Реестр договоров'!$D$2:$D$900, 0)), "Продано", "В наличии")</f>
        <v>Продано</v>
      </c>
    </row>
    <row r="484" spans="1:14">
      <c r="A484" s="26">
        <v>45790.617746388889</v>
      </c>
      <c r="B484" s="26"/>
      <c r="C484" s="8" t="s">
        <v>590</v>
      </c>
      <c r="D484" s="8" t="s">
        <v>114</v>
      </c>
      <c r="E484" s="8">
        <v>50</v>
      </c>
      <c r="F484" s="8" t="s">
        <v>116</v>
      </c>
      <c r="G484" s="8" t="s">
        <v>116</v>
      </c>
      <c r="H484" s="8" t="s">
        <v>115</v>
      </c>
      <c r="I484" s="27">
        <v>45790</v>
      </c>
      <c r="J484" s="8" t="s">
        <v>117</v>
      </c>
      <c r="K484" s="8" t="s">
        <v>121</v>
      </c>
      <c r="L484" s="8" t="s">
        <v>119</v>
      </c>
      <c r="M484" s="16" t="str">
        <f ca="1">IFERROR(__xludf.DUMMYFUNCTION("JOIN("""",VLOOKUP(D484,'для артикула'!$A$2:$B$7,2,0),VLOOKUP(G484,'для артикула'!$A$13:$B$14,2,0),VLOOKUP(E484,'для артикула'!$A$9:$B$11,2,0),VLOOKUP(F484,'для артикула'!$A$17:$B$19,2,0),VLOOKUP(J484,'для артикула'!$A$22:$B$23,2,0),VLOOKUP(H484,'для артик"&amp;"ула'!$A$26:$B$30,2,0))"),"002-2013E50Q13-OK")</f>
        <v>002-2013E50Q13-OK</v>
      </c>
      <c r="N484" s="8" t="str">
        <f>IF(ISNUMBER(MATCH(C484, 'Реестр договоров'!$D$2:$D$900, 0)), "Продано", "В наличии")</f>
        <v>Продано</v>
      </c>
    </row>
    <row r="485" spans="1:14">
      <c r="A485" s="26">
        <v>45790.638599675927</v>
      </c>
      <c r="B485" s="26"/>
      <c r="C485" s="8" t="s">
        <v>591</v>
      </c>
      <c r="D485" s="8" t="s">
        <v>114</v>
      </c>
      <c r="E485" s="8">
        <v>30</v>
      </c>
      <c r="F485" s="8" t="s">
        <v>116</v>
      </c>
      <c r="G485" s="8" t="s">
        <v>116</v>
      </c>
      <c r="H485" s="8" t="s">
        <v>115</v>
      </c>
      <c r="I485" s="27">
        <v>45790</v>
      </c>
      <c r="J485" s="8" t="s">
        <v>117</v>
      </c>
      <c r="K485" s="8" t="s">
        <v>118</v>
      </c>
      <c r="L485" s="8" t="s">
        <v>119</v>
      </c>
      <c r="M485" s="16" t="str">
        <f ca="1">IFERROR(__xludf.DUMMYFUNCTION("JOIN("""",VLOOKUP(D485,'для артикула'!$A$2:$B$7,2,0),VLOOKUP(G485,'для артикула'!$A$13:$B$14,2,0),VLOOKUP(E485,'для артикула'!$A$9:$B$11,2,0),VLOOKUP(F485,'для артикула'!$A$17:$B$19,2,0),VLOOKUP(J485,'для артикула'!$A$22:$B$23,2,0),VLOOKUP(H485,'для артик"&amp;"ула'!$A$26:$B$30,2,0))"),"002-2013E30Q13-OK")</f>
        <v>002-2013E30Q13-OK</v>
      </c>
      <c r="N485" s="8" t="str">
        <f>IF(ISNUMBER(MATCH(C485, 'Реестр договоров'!$D$2:$D$900, 0)), "Продано", "В наличии")</f>
        <v>Продано</v>
      </c>
    </row>
    <row r="486" spans="1:14">
      <c r="A486" s="26">
        <v>45791.569538240743</v>
      </c>
      <c r="B486" s="26"/>
      <c r="C486" s="8" t="s">
        <v>592</v>
      </c>
      <c r="D486" s="8" t="s">
        <v>114</v>
      </c>
      <c r="E486" s="8">
        <v>30</v>
      </c>
      <c r="F486" s="8" t="s">
        <v>116</v>
      </c>
      <c r="G486" s="8" t="s">
        <v>116</v>
      </c>
      <c r="H486" s="8">
        <v>30</v>
      </c>
      <c r="I486" s="27">
        <v>45791</v>
      </c>
      <c r="J486" s="8" t="s">
        <v>117</v>
      </c>
      <c r="K486" s="8" t="s">
        <v>124</v>
      </c>
      <c r="L486" s="8" t="s">
        <v>119</v>
      </c>
      <c r="M486" s="16" t="str">
        <f ca="1">IFERROR(__xludf.DUMMYFUNCTION("JOIN("""",VLOOKUP(D486,'для артикула'!$A$2:$B$7,2,0),VLOOKUP(G486,'для артикула'!$A$13:$B$14,2,0),VLOOKUP(E486,'для артикула'!$A$9:$B$11,2,0),VLOOKUP(F486,'для артикула'!$A$17:$B$19,2,0),VLOOKUP(J486,'для артикула'!$A$22:$B$23,2,0),VLOOKUP(H486,'для артик"&amp;"ула'!$A$26:$B$30,2,0))"),"002-2013E30Q13-OK30")</f>
        <v>002-2013E30Q13-OK30</v>
      </c>
      <c r="N486" s="8" t="str">
        <f>IF(ISNUMBER(MATCH(C486, 'Реестр договоров'!$D$2:$D$900, 0)), "Продано", "В наличии")</f>
        <v>Продано</v>
      </c>
    </row>
    <row r="487" spans="1:14">
      <c r="A487" s="26">
        <v>45791.572498888891</v>
      </c>
      <c r="B487" s="26"/>
      <c r="C487" s="8" t="s">
        <v>593</v>
      </c>
      <c r="D487" s="8" t="s">
        <v>114</v>
      </c>
      <c r="E487" s="8">
        <v>50</v>
      </c>
      <c r="F487" s="8" t="s">
        <v>116</v>
      </c>
      <c r="G487" s="8" t="s">
        <v>116</v>
      </c>
      <c r="H487" s="8">
        <v>60</v>
      </c>
      <c r="I487" s="27">
        <v>45996</v>
      </c>
      <c r="J487" s="8" t="s">
        <v>117</v>
      </c>
      <c r="K487" s="8" t="s">
        <v>124</v>
      </c>
      <c r="L487" s="8" t="s">
        <v>119</v>
      </c>
      <c r="M487" s="16" t="str">
        <f ca="1">IFERROR(__xludf.DUMMYFUNCTION("JOIN("""",VLOOKUP(D487,'для артикула'!$A$2:$B$7,2,0),VLOOKUP(G487,'для артикула'!$A$13:$B$14,2,0),VLOOKUP(E487,'для артикула'!$A$9:$B$11,2,0),VLOOKUP(F487,'для артикула'!$A$17:$B$19,2,0),VLOOKUP(J487,'для артикула'!$A$22:$B$23,2,0),VLOOKUP(H487,'для артик"&amp;"ула'!$A$26:$B$30,2,0))"),"002-2013E50Q13-OK60")</f>
        <v>002-2013E50Q13-OK60</v>
      </c>
      <c r="N487" s="8" t="str">
        <f>IF(ISNUMBER(MATCH(C487, 'Реестр договоров'!$D$2:$D$900, 0)), "Продано", "В наличии")</f>
        <v>Продано</v>
      </c>
    </row>
    <row r="488" spans="1:14">
      <c r="A488" s="26">
        <v>45791.574202523145</v>
      </c>
      <c r="B488" s="26"/>
      <c r="C488" s="8" t="s">
        <v>594</v>
      </c>
      <c r="D488" s="8" t="s">
        <v>114</v>
      </c>
      <c r="E488" s="8">
        <v>30</v>
      </c>
      <c r="F488" s="8" t="s">
        <v>116</v>
      </c>
      <c r="G488" s="8" t="s">
        <v>116</v>
      </c>
      <c r="H488" s="8">
        <v>30</v>
      </c>
      <c r="I488" s="27">
        <v>45791</v>
      </c>
      <c r="J488" s="8" t="s">
        <v>117</v>
      </c>
      <c r="K488" s="8" t="s">
        <v>124</v>
      </c>
      <c r="L488" s="8" t="s">
        <v>119</v>
      </c>
      <c r="M488" s="16" t="str">
        <f ca="1">IFERROR(__xludf.DUMMYFUNCTION("JOIN("""",VLOOKUP(D488,'для артикула'!$A$2:$B$7,2,0),VLOOKUP(G488,'для артикула'!$A$13:$B$14,2,0),VLOOKUP(E488,'для артикула'!$A$9:$B$11,2,0),VLOOKUP(F488,'для артикула'!$A$17:$B$19,2,0),VLOOKUP(J488,'для артикула'!$A$22:$B$23,2,0),VLOOKUP(H488,'для артик"&amp;"ула'!$A$26:$B$30,2,0))"),"002-2013E30Q13-OK30")</f>
        <v>002-2013E30Q13-OK30</v>
      </c>
      <c r="N488" s="8" t="str">
        <f>IF(ISNUMBER(MATCH(C488, 'Реестр договоров'!$D$2:$D$900, 0)), "Продано", "В наличии")</f>
        <v>Продано</v>
      </c>
    </row>
    <row r="489" spans="1:14">
      <c r="A489" s="26">
        <v>45791.574742662036</v>
      </c>
      <c r="B489" s="26"/>
      <c r="C489" s="8" t="s">
        <v>595</v>
      </c>
      <c r="D489" s="8" t="s">
        <v>114</v>
      </c>
      <c r="E489" s="8">
        <v>30</v>
      </c>
      <c r="F489" s="8" t="s">
        <v>116</v>
      </c>
      <c r="G489" s="8" t="s">
        <v>116</v>
      </c>
      <c r="H489" s="8" t="s">
        <v>115</v>
      </c>
      <c r="I489" s="27">
        <v>45791</v>
      </c>
      <c r="J489" s="8" t="s">
        <v>117</v>
      </c>
      <c r="K489" s="8" t="s">
        <v>124</v>
      </c>
      <c r="L489" s="8" t="s">
        <v>119</v>
      </c>
      <c r="M489" s="16" t="str">
        <f ca="1">IFERROR(__xludf.DUMMYFUNCTION("JOIN("""",VLOOKUP(D489,'для артикула'!$A$2:$B$7,2,0),VLOOKUP(G489,'для артикула'!$A$13:$B$14,2,0),VLOOKUP(E489,'для артикула'!$A$9:$B$11,2,0),VLOOKUP(F489,'для артикула'!$A$17:$B$19,2,0),VLOOKUP(J489,'для артикула'!$A$22:$B$23,2,0),VLOOKUP(H489,'для артик"&amp;"ула'!$A$26:$B$30,2,0))"),"002-2013E30Q13-OK")</f>
        <v>002-2013E30Q13-OK</v>
      </c>
      <c r="N489" s="8" t="str">
        <f>IF(ISNUMBER(MATCH(C489, 'Реестр договоров'!$D$2:$D$900, 0)), "Продано", "В наличии")</f>
        <v>Продано</v>
      </c>
    </row>
    <row r="490" spans="1:14">
      <c r="A490" s="26">
        <v>45791.575540891208</v>
      </c>
      <c r="B490" s="26"/>
      <c r="C490" s="8" t="s">
        <v>596</v>
      </c>
      <c r="D490" s="8" t="s">
        <v>114</v>
      </c>
      <c r="E490" s="8">
        <v>50</v>
      </c>
      <c r="F490" s="8" t="s">
        <v>116</v>
      </c>
      <c r="G490" s="8" t="s">
        <v>116</v>
      </c>
      <c r="H490" s="8" t="s">
        <v>115</v>
      </c>
      <c r="I490" s="27">
        <v>45791</v>
      </c>
      <c r="J490" s="8" t="s">
        <v>117</v>
      </c>
      <c r="K490" s="8" t="s">
        <v>124</v>
      </c>
      <c r="L490" s="8" t="s">
        <v>119</v>
      </c>
      <c r="M490" s="16" t="str">
        <f ca="1">IFERROR(__xludf.DUMMYFUNCTION("JOIN("""",VLOOKUP(D490,'для артикула'!$A$2:$B$7,2,0),VLOOKUP(G490,'для артикула'!$A$13:$B$14,2,0),VLOOKUP(E490,'для артикула'!$A$9:$B$11,2,0),VLOOKUP(F490,'для артикула'!$A$17:$B$19,2,0),VLOOKUP(J490,'для артикула'!$A$22:$B$23,2,0),VLOOKUP(H490,'для артик"&amp;"ула'!$A$26:$B$30,2,0))"),"002-2013E50Q13-OK")</f>
        <v>002-2013E50Q13-OK</v>
      </c>
      <c r="N490" s="8" t="str">
        <f>IF(ISNUMBER(MATCH(C490, 'Реестр договоров'!$D$2:$D$900, 0)), "Продано", "В наличии")</f>
        <v>Продано</v>
      </c>
    </row>
    <row r="491" spans="1:14">
      <c r="A491" s="26">
        <v>45791.738581377314</v>
      </c>
      <c r="B491" s="26"/>
      <c r="C491" s="8" t="s">
        <v>597</v>
      </c>
      <c r="D491" s="8" t="s">
        <v>114</v>
      </c>
      <c r="E491" s="8">
        <v>30</v>
      </c>
      <c r="F491" s="8" t="s">
        <v>116</v>
      </c>
      <c r="G491" s="8" t="s">
        <v>116</v>
      </c>
      <c r="H491" s="8" t="s">
        <v>115</v>
      </c>
      <c r="I491" s="27">
        <v>45791</v>
      </c>
      <c r="J491" s="8" t="s">
        <v>117</v>
      </c>
      <c r="K491" s="8" t="s">
        <v>118</v>
      </c>
      <c r="L491" s="8" t="s">
        <v>119</v>
      </c>
      <c r="M491" s="16" t="str">
        <f ca="1">IFERROR(__xludf.DUMMYFUNCTION("JOIN("""",VLOOKUP(D491,'для артикула'!$A$2:$B$7,2,0),VLOOKUP(G491,'для артикула'!$A$13:$B$14,2,0),VLOOKUP(E491,'для артикула'!$A$9:$B$11,2,0),VLOOKUP(F491,'для артикула'!$A$17:$B$19,2,0),VLOOKUP(J491,'для артикула'!$A$22:$B$23,2,0),VLOOKUP(H491,'для артик"&amp;"ула'!$A$26:$B$30,2,0))"),"002-2013E30Q13-OK")</f>
        <v>002-2013E30Q13-OK</v>
      </c>
      <c r="N491" s="8" t="str">
        <f>IF(ISNUMBER(MATCH(C491, 'Реестр договоров'!$D$2:$D$900, 0)), "Продано", "В наличии")</f>
        <v>Продано</v>
      </c>
    </row>
    <row r="492" spans="1:14">
      <c r="A492" s="26">
        <v>45792.669405185181</v>
      </c>
      <c r="B492" s="26"/>
      <c r="C492" s="8" t="s">
        <v>598</v>
      </c>
      <c r="D492" s="8" t="s">
        <v>114</v>
      </c>
      <c r="E492" s="8">
        <v>50</v>
      </c>
      <c r="F492" s="8" t="s">
        <v>116</v>
      </c>
      <c r="G492" s="8" t="s">
        <v>116</v>
      </c>
      <c r="H492" s="8" t="s">
        <v>115</v>
      </c>
      <c r="I492" s="27">
        <v>45792</v>
      </c>
      <c r="J492" s="8" t="s">
        <v>117</v>
      </c>
      <c r="K492" s="8" t="s">
        <v>121</v>
      </c>
      <c r="L492" s="8" t="s">
        <v>119</v>
      </c>
      <c r="M492" s="16" t="str">
        <f ca="1">IFERROR(__xludf.DUMMYFUNCTION("JOIN("""",VLOOKUP(D492,'для артикула'!$A$2:$B$7,2,0),VLOOKUP(G492,'для артикула'!$A$13:$B$14,2,0),VLOOKUP(E492,'для артикула'!$A$9:$B$11,2,0),VLOOKUP(F492,'для артикула'!$A$17:$B$19,2,0),VLOOKUP(J492,'для артикула'!$A$22:$B$23,2,0),VLOOKUP(H492,'для артик"&amp;"ула'!$A$26:$B$30,2,0))"),"002-2013E50Q13-OK")</f>
        <v>002-2013E50Q13-OK</v>
      </c>
      <c r="N492" s="8" t="str">
        <f>IF(ISNUMBER(MATCH(C492, 'Реестр договоров'!$D$2:$D$900, 0)), "Продано", "В наличии")</f>
        <v>Продано</v>
      </c>
    </row>
    <row r="493" spans="1:14">
      <c r="A493" s="26">
        <v>45793.769131307869</v>
      </c>
      <c r="B493" s="26"/>
      <c r="C493" s="8" t="s">
        <v>599</v>
      </c>
      <c r="D493" s="8" t="s">
        <v>375</v>
      </c>
      <c r="E493" s="8">
        <v>50</v>
      </c>
      <c r="F493" s="8" t="s">
        <v>116</v>
      </c>
      <c r="G493" s="8" t="s">
        <v>116</v>
      </c>
      <c r="H493" s="8" t="s">
        <v>115</v>
      </c>
      <c r="I493" s="27">
        <v>45793</v>
      </c>
      <c r="J493" s="8" t="s">
        <v>117</v>
      </c>
      <c r="K493" s="8" t="s">
        <v>124</v>
      </c>
      <c r="L493" s="8" t="s">
        <v>288</v>
      </c>
      <c r="M493" s="8" t="s">
        <v>600</v>
      </c>
      <c r="N493" s="8" t="str">
        <f>IF(ISNUMBER(MATCH(C493, 'Реестр договоров'!$D$2:$D$900, 0)), "Продано", "В наличии")</f>
        <v>Продано</v>
      </c>
    </row>
    <row r="494" spans="1:14">
      <c r="A494" s="26">
        <v>45794.405902511571</v>
      </c>
      <c r="B494" s="26"/>
      <c r="C494" s="8" t="s">
        <v>601</v>
      </c>
      <c r="D494" s="8" t="s">
        <v>114</v>
      </c>
      <c r="E494" s="8">
        <v>50</v>
      </c>
      <c r="F494" s="8" t="s">
        <v>116</v>
      </c>
      <c r="G494" s="8" t="s">
        <v>116</v>
      </c>
      <c r="H494" s="8" t="s">
        <v>115</v>
      </c>
      <c r="I494" s="27">
        <v>45794</v>
      </c>
      <c r="J494" s="8" t="s">
        <v>117</v>
      </c>
      <c r="K494" s="8" t="s">
        <v>121</v>
      </c>
      <c r="L494" s="8" t="s">
        <v>119</v>
      </c>
      <c r="M494" s="16" t="str">
        <f ca="1">IFERROR(__xludf.DUMMYFUNCTION("JOIN("""",VLOOKUP(D494,'для артикула'!$A$2:$B$7,2,0),VLOOKUP(G494,'для артикула'!$A$13:$B$14,2,0),VLOOKUP(E494,'для артикула'!$A$9:$B$11,2,0),VLOOKUP(F494,'для артикула'!$A$17:$B$19,2,0),VLOOKUP(J494,'для артикула'!$A$22:$B$23,2,0),VLOOKUP(H494,'для артик"&amp;"ула'!$A$26:$B$30,2,0))"),"002-2013E50Q13-OK")</f>
        <v>002-2013E50Q13-OK</v>
      </c>
      <c r="N494" s="8" t="str">
        <f>IF(ISNUMBER(MATCH(C494, 'Реестр договоров'!$D$2:$D$900, 0)), "Продано", "В наличии")</f>
        <v>Продано</v>
      </c>
    </row>
    <row r="495" spans="1:14">
      <c r="A495" s="26">
        <v>45794.597782476849</v>
      </c>
      <c r="B495" s="26"/>
      <c r="C495" s="8" t="s">
        <v>602</v>
      </c>
      <c r="D495" s="8" t="s">
        <v>114</v>
      </c>
      <c r="E495" s="8">
        <v>30</v>
      </c>
      <c r="F495" s="8" t="s">
        <v>116</v>
      </c>
      <c r="G495" s="8" t="s">
        <v>116</v>
      </c>
      <c r="H495" s="8" t="s">
        <v>115</v>
      </c>
      <c r="I495" s="27">
        <v>45794</v>
      </c>
      <c r="J495" s="8" t="s">
        <v>117</v>
      </c>
      <c r="K495" s="8" t="s">
        <v>118</v>
      </c>
      <c r="L495" s="8" t="s">
        <v>119</v>
      </c>
      <c r="M495" s="16" t="str">
        <f ca="1">IFERROR(__xludf.DUMMYFUNCTION("JOIN("""",VLOOKUP(D495,'для артикула'!$A$2:$B$7,2,0),VLOOKUP(G495,'для артикула'!$A$13:$B$14,2,0),VLOOKUP(E495,'для артикула'!$A$9:$B$11,2,0),VLOOKUP(F495,'для артикула'!$A$17:$B$19,2,0),VLOOKUP(J495,'для артикула'!$A$22:$B$23,2,0),VLOOKUP(H495,'для артик"&amp;"ула'!$A$26:$B$30,2,0))"),"002-2013E30Q13-OK")</f>
        <v>002-2013E30Q13-OK</v>
      </c>
      <c r="N495" s="8" t="str">
        <f>IF(ISNUMBER(MATCH(C495, 'Реестр договоров'!$D$2:$D$900, 0)), "Продано", "В наличии")</f>
        <v>Продано</v>
      </c>
    </row>
    <row r="496" spans="1:14">
      <c r="A496" s="26">
        <v>45796.436149664354</v>
      </c>
      <c r="B496" s="26"/>
      <c r="C496" s="8" t="s">
        <v>603</v>
      </c>
      <c r="D496" s="8" t="s">
        <v>114</v>
      </c>
      <c r="E496" s="8">
        <v>30</v>
      </c>
      <c r="F496" s="8" t="s">
        <v>116</v>
      </c>
      <c r="G496" s="8" t="s">
        <v>116</v>
      </c>
      <c r="H496" s="8" t="s">
        <v>115</v>
      </c>
      <c r="I496" s="27">
        <v>45796</v>
      </c>
      <c r="J496" s="8" t="s">
        <v>117</v>
      </c>
      <c r="K496" s="8" t="s">
        <v>124</v>
      </c>
      <c r="L496" s="8" t="s">
        <v>119</v>
      </c>
      <c r="M496" s="16" t="str">
        <f ca="1">IFERROR(__xludf.DUMMYFUNCTION("JOIN("""",VLOOKUP(D496,'для артикула'!$A$2:$B$7,2,0),VLOOKUP(G496,'для артикула'!$A$13:$B$14,2,0),VLOOKUP(E496,'для артикула'!$A$9:$B$11,2,0),VLOOKUP(F496,'для артикула'!$A$17:$B$19,2,0),VLOOKUP(J496,'для артикула'!$A$22:$B$23,2,0),VLOOKUP(H496,'для артик"&amp;"ула'!$A$26:$B$30,2,0))"),"002-2013E30Q13-OK")</f>
        <v>002-2013E30Q13-OK</v>
      </c>
      <c r="N496" s="8" t="str">
        <f>IF(ISNUMBER(MATCH(C496, 'Реестр договоров'!$D$2:$D$900, 0)), "Продано", "В наличии")</f>
        <v>Продано</v>
      </c>
    </row>
    <row r="497" spans="1:14">
      <c r="A497" s="26">
        <v>45796.508667395829</v>
      </c>
      <c r="B497" s="26"/>
      <c r="C497" s="8" t="s">
        <v>604</v>
      </c>
      <c r="D497" s="8" t="s">
        <v>114</v>
      </c>
      <c r="E497" s="8">
        <v>50</v>
      </c>
      <c r="F497" s="8" t="s">
        <v>116</v>
      </c>
      <c r="G497" s="8" t="s">
        <v>116</v>
      </c>
      <c r="H497" s="8" t="s">
        <v>115</v>
      </c>
      <c r="I497" s="27">
        <v>45796</v>
      </c>
      <c r="J497" s="8" t="s">
        <v>117</v>
      </c>
      <c r="K497" s="8" t="s">
        <v>118</v>
      </c>
      <c r="L497" s="8" t="s">
        <v>119</v>
      </c>
      <c r="M497" s="16" t="str">
        <f ca="1">IFERROR(__xludf.DUMMYFUNCTION("JOIN("""",VLOOKUP(D497,'для артикула'!$A$2:$B$7,2,0),VLOOKUP(G497,'для артикула'!$A$13:$B$14,2,0),VLOOKUP(E497,'для артикула'!$A$9:$B$11,2,0),VLOOKUP(F497,'для артикула'!$A$17:$B$19,2,0),VLOOKUP(J497,'для артикула'!$A$22:$B$23,2,0),VLOOKUP(H497,'для артик"&amp;"ула'!$A$26:$B$30,2,0))"),"002-2013E50Q13-OK")</f>
        <v>002-2013E50Q13-OK</v>
      </c>
      <c r="N497" s="8" t="str">
        <f>IF(ISNUMBER(MATCH(C497, 'Реестр договоров'!$D$2:$D$900, 0)), "Продано", "В наличии")</f>
        <v>Продано</v>
      </c>
    </row>
    <row r="498" spans="1:14">
      <c r="A498" s="26">
        <v>45796.526125682867</v>
      </c>
      <c r="B498" s="26"/>
      <c r="C498" s="8" t="s">
        <v>605</v>
      </c>
      <c r="D498" s="8" t="s">
        <v>366</v>
      </c>
      <c r="E498" s="8">
        <v>30</v>
      </c>
      <c r="F498" s="8" t="s">
        <v>116</v>
      </c>
      <c r="G498" s="8" t="s">
        <v>116</v>
      </c>
      <c r="H498" s="8">
        <v>120</v>
      </c>
      <c r="I498" s="27">
        <v>45782</v>
      </c>
      <c r="J498" s="8" t="s">
        <v>117</v>
      </c>
      <c r="K498" s="8" t="s">
        <v>121</v>
      </c>
      <c r="L498" s="8" t="s">
        <v>288</v>
      </c>
      <c r="M498" s="16" t="str">
        <f ca="1">IFERROR(__xludf.DUMMYFUNCTION("JOIN("""",VLOOKUP(D498,'для артикула'!$A$2:$B$7,2,0),VLOOKUP(G498,'для артикула'!$A$13:$B$14,2,0),VLOOKUP(E498,'для артикула'!$A$9:$B$11,2,0),VLOOKUP(F498,'для артикула'!$A$17:$B$19,2,0),VLOOKUP(J498,'для артикула'!$A$22:$B$23,2,0),VLOOKUP(H498,'для артик"&amp;"ула'!$A$26:$B$30,2,0))"),"002-3015E30Q13-OK120")</f>
        <v>002-3015E30Q13-OK120</v>
      </c>
      <c r="N498" s="8" t="str">
        <f>IF(ISNUMBER(MATCH(C498, 'Реестр договоров'!$D$2:$D$900, 0)), "Продано", "В наличии")</f>
        <v>Продано</v>
      </c>
    </row>
    <row r="499" spans="1:14">
      <c r="A499" s="26">
        <v>45796.617124710647</v>
      </c>
      <c r="B499" s="26"/>
      <c r="C499" s="8" t="s">
        <v>606</v>
      </c>
      <c r="D499" s="8" t="s">
        <v>114</v>
      </c>
      <c r="E499" s="8">
        <v>50</v>
      </c>
      <c r="F499" s="8" t="s">
        <v>116</v>
      </c>
      <c r="G499" s="8" t="s">
        <v>116</v>
      </c>
      <c r="H499" s="8">
        <v>30</v>
      </c>
      <c r="I499" s="27">
        <v>45796</v>
      </c>
      <c r="J499" s="8" t="s">
        <v>117</v>
      </c>
      <c r="K499" s="8" t="s">
        <v>124</v>
      </c>
      <c r="L499" s="8" t="s">
        <v>119</v>
      </c>
      <c r="M499" s="16" t="str">
        <f ca="1">IFERROR(__xludf.DUMMYFUNCTION("JOIN("""",VLOOKUP(D499,'для артикула'!$A$2:$B$7,2,0),VLOOKUP(G499,'для артикула'!$A$13:$B$14,2,0),VLOOKUP(E499,'для артикула'!$A$9:$B$11,2,0),VLOOKUP(F499,'для артикула'!$A$17:$B$19,2,0),VLOOKUP(J499,'для артикула'!$A$22:$B$23,2,0),VLOOKUP(H499,'для артик"&amp;"ула'!$A$26:$B$30,2,0))"),"002-2013E50Q13-OK30")</f>
        <v>002-2013E50Q13-OK30</v>
      </c>
      <c r="N499" s="8" t="str">
        <f>IF(ISNUMBER(MATCH(C499, 'Реестр договоров'!$D$2:$D$900, 0)), "Продано", "В наличии")</f>
        <v>Продано</v>
      </c>
    </row>
    <row r="500" spans="1:14">
      <c r="A500" s="26">
        <v>45796.688618553242</v>
      </c>
      <c r="B500" s="26"/>
      <c r="C500" s="8" t="s">
        <v>607</v>
      </c>
      <c r="D500" s="8" t="s">
        <v>114</v>
      </c>
      <c r="E500" s="8">
        <v>30</v>
      </c>
      <c r="F500" s="8" t="s">
        <v>116</v>
      </c>
      <c r="G500" s="8" t="s">
        <v>116</v>
      </c>
      <c r="H500" s="8" t="s">
        <v>115</v>
      </c>
      <c r="I500" s="27">
        <v>45792</v>
      </c>
      <c r="J500" s="8" t="s">
        <v>117</v>
      </c>
      <c r="K500" s="8" t="s">
        <v>121</v>
      </c>
      <c r="L500" s="8" t="s">
        <v>119</v>
      </c>
      <c r="M500" s="16" t="str">
        <f ca="1">IFERROR(__xludf.DUMMYFUNCTION("JOIN("""",VLOOKUP(D500,'для артикула'!$A$2:$B$7,2,0),VLOOKUP(G500,'для артикула'!$A$13:$B$14,2,0),VLOOKUP(E500,'для артикула'!$A$9:$B$11,2,0),VLOOKUP(F500,'для артикула'!$A$17:$B$19,2,0),VLOOKUP(J500,'для артикула'!$A$22:$B$23,2,0),VLOOKUP(H500,'для артик"&amp;"ула'!$A$26:$B$30,2,0))"),"002-2013E30Q13-OK")</f>
        <v>002-2013E30Q13-OK</v>
      </c>
      <c r="N500" s="8" t="str">
        <f>IF(ISNUMBER(MATCH(C500, 'Реестр договоров'!$D$2:$D$900, 0)), "Продано", "В наличии")</f>
        <v>Продано</v>
      </c>
    </row>
    <row r="501" spans="1:14">
      <c r="A501" s="26">
        <v>45796.707955729165</v>
      </c>
      <c r="B501" s="26"/>
      <c r="C501" s="8" t="s">
        <v>608</v>
      </c>
      <c r="D501" s="8" t="s">
        <v>114</v>
      </c>
      <c r="E501" s="8">
        <v>50</v>
      </c>
      <c r="F501" s="8" t="s">
        <v>116</v>
      </c>
      <c r="G501" s="8" t="s">
        <v>116</v>
      </c>
      <c r="H501" s="8">
        <v>30</v>
      </c>
      <c r="I501" s="27">
        <v>45796</v>
      </c>
      <c r="J501" s="8" t="s">
        <v>117</v>
      </c>
      <c r="K501" s="8" t="s">
        <v>124</v>
      </c>
      <c r="L501" s="8" t="s">
        <v>119</v>
      </c>
      <c r="M501" s="16" t="str">
        <f ca="1">IFERROR(__xludf.DUMMYFUNCTION("JOIN("""",VLOOKUP(D501,'для артикула'!$A$2:$B$7,2,0),VLOOKUP(G501,'для артикула'!$A$13:$B$14,2,0),VLOOKUP(E501,'для артикула'!$A$9:$B$11,2,0),VLOOKUP(F501,'для артикула'!$A$17:$B$19,2,0),VLOOKUP(J501,'для артикула'!$A$22:$B$23,2,0),VLOOKUP(H501,'для артик"&amp;"ула'!$A$26:$B$30,2,0))"),"002-2013E50Q13-OK30")</f>
        <v>002-2013E50Q13-OK30</v>
      </c>
      <c r="N501" s="8" t="str">
        <f>IF(ISNUMBER(MATCH(C501, 'Реестр договоров'!$D$2:$D$900, 0)), "Продано", "В наличии")</f>
        <v>Продано</v>
      </c>
    </row>
    <row r="502" spans="1:14">
      <c r="A502" s="26">
        <v>45796.708364293983</v>
      </c>
      <c r="B502" s="26"/>
      <c r="C502" s="8" t="s">
        <v>609</v>
      </c>
      <c r="D502" s="8" t="s">
        <v>114</v>
      </c>
      <c r="E502" s="8">
        <v>50</v>
      </c>
      <c r="F502" s="8" t="s">
        <v>116</v>
      </c>
      <c r="G502" s="8" t="s">
        <v>116</v>
      </c>
      <c r="H502" s="8">
        <v>30</v>
      </c>
      <c r="I502" s="27">
        <v>45796</v>
      </c>
      <c r="J502" s="8" t="s">
        <v>117</v>
      </c>
      <c r="K502" s="8" t="s">
        <v>124</v>
      </c>
      <c r="L502" s="8" t="s">
        <v>119</v>
      </c>
      <c r="M502" s="16" t="str">
        <f ca="1">IFERROR(__xludf.DUMMYFUNCTION("JOIN("""",VLOOKUP(D502,'для артикула'!$A$2:$B$7,2,0),VLOOKUP(G502,'для артикула'!$A$13:$B$14,2,0),VLOOKUP(E502,'для артикула'!$A$9:$B$11,2,0),VLOOKUP(F502,'для артикула'!$A$17:$B$19,2,0),VLOOKUP(J502,'для артикула'!$A$22:$B$23,2,0),VLOOKUP(H502,'для артик"&amp;"ула'!$A$26:$B$30,2,0))"),"002-2013E50Q13-OK30")</f>
        <v>002-2013E50Q13-OK30</v>
      </c>
      <c r="N502" s="8" t="str">
        <f>IF(ISNUMBER(MATCH(C502, 'Реестр договоров'!$D$2:$D$900, 0)), "Продано", "В наличии")</f>
        <v>Продано</v>
      </c>
    </row>
    <row r="503" spans="1:14">
      <c r="A503" s="26">
        <v>45796.708828391202</v>
      </c>
      <c r="B503" s="26"/>
      <c r="C503" s="8" t="s">
        <v>610</v>
      </c>
      <c r="D503" s="8" t="s">
        <v>366</v>
      </c>
      <c r="E503" s="8" t="s">
        <v>115</v>
      </c>
      <c r="F503" s="8" t="s">
        <v>116</v>
      </c>
      <c r="G503" s="8" t="s">
        <v>116</v>
      </c>
      <c r="H503" s="8" t="s">
        <v>115</v>
      </c>
      <c r="I503" s="27">
        <v>45796</v>
      </c>
      <c r="J503" s="8" t="s">
        <v>117</v>
      </c>
      <c r="K503" s="8" t="s">
        <v>124</v>
      </c>
      <c r="L503" s="8" t="s">
        <v>119</v>
      </c>
      <c r="M503" s="16" t="str">
        <f ca="1">IFERROR(__xludf.DUMMYFUNCTION("JOIN("""",VLOOKUP(D503,'для артикула'!$A$2:$B$7,2,0),VLOOKUP(G503,'для артикула'!$A$13:$B$14,2,0),VLOOKUP(E503,'для артикула'!$A$9:$B$11,2,0),VLOOKUP(F503,'для артикула'!$A$17:$B$19,2,0),VLOOKUP(J503,'для артикула'!$A$22:$B$23,2,0),VLOOKUP(H503,'для артик"&amp;"ула'!$A$26:$B$30,2,0))"),"002-3015Q13-OK")</f>
        <v>002-3015Q13-OK</v>
      </c>
      <c r="N503" s="8" t="str">
        <f>IF(ISNUMBER(MATCH(C503, 'Реестр договоров'!$D$2:$D$900, 0)), "Продано", "В наличии")</f>
        <v>В наличии</v>
      </c>
    </row>
    <row r="504" spans="1:14">
      <c r="A504" s="26">
        <v>45796.709551874999</v>
      </c>
      <c r="B504" s="26"/>
      <c r="C504" s="8" t="s">
        <v>70</v>
      </c>
      <c r="D504" s="8" t="s">
        <v>366</v>
      </c>
      <c r="E504" s="8">
        <v>30</v>
      </c>
      <c r="F504" s="8" t="s">
        <v>116</v>
      </c>
      <c r="G504" s="8" t="s">
        <v>116</v>
      </c>
      <c r="H504" s="8" t="s">
        <v>115</v>
      </c>
      <c r="I504" s="27">
        <v>45796</v>
      </c>
      <c r="J504" s="8" t="s">
        <v>117</v>
      </c>
      <c r="K504" s="8" t="s">
        <v>124</v>
      </c>
      <c r="L504" s="8" t="s">
        <v>288</v>
      </c>
      <c r="M504" s="16" t="str">
        <f ca="1">IFERROR(__xludf.DUMMYFUNCTION("JOIN("""",VLOOKUP(D504,'для артикула'!$A$2:$B$7,2,0),VLOOKUP(G504,'для артикула'!$A$13:$B$14,2,0),VLOOKUP(E504,'для артикула'!$A$9:$B$11,2,0),VLOOKUP(F504,'для артикула'!$A$17:$B$19,2,0),VLOOKUP(J504,'для артикула'!$A$22:$B$23,2,0),VLOOKUP(H504,'для артик"&amp;"ула'!$A$26:$B$30,2,0))"),"002-3015E30Q13-OK")</f>
        <v>002-3015E30Q13-OK</v>
      </c>
      <c r="N504" s="8" t="str">
        <f>IF(ISNUMBER(MATCH(C504, 'Реестр договоров'!$D$2:$D$900, 0)), "Продано", "В наличии")</f>
        <v>Продано</v>
      </c>
    </row>
    <row r="505" spans="1:14">
      <c r="A505" s="26">
        <v>45796.710001157408</v>
      </c>
      <c r="B505" s="26"/>
      <c r="C505" s="8" t="s">
        <v>611</v>
      </c>
      <c r="D505" s="8" t="s">
        <v>347</v>
      </c>
      <c r="E505" s="8">
        <v>30</v>
      </c>
      <c r="F505" s="8" t="s">
        <v>116</v>
      </c>
      <c r="G505" s="8" t="s">
        <v>116</v>
      </c>
      <c r="H505" s="8" t="s">
        <v>115</v>
      </c>
      <c r="I505" s="27">
        <v>45796</v>
      </c>
      <c r="J505" s="8" t="s">
        <v>117</v>
      </c>
      <c r="K505" s="8" t="s">
        <v>124</v>
      </c>
      <c r="L505" s="8" t="s">
        <v>119</v>
      </c>
      <c r="M505" s="16" t="str">
        <f ca="1">IFERROR(__xludf.DUMMYFUNCTION("JOIN("""",VLOOKUP(D505,'для артикула'!$A$2:$B$7,2,0),VLOOKUP(G505,'для артикула'!$A$13:$B$14,2,0),VLOOKUP(E505,'для артикула'!$A$9:$B$11,2,0),VLOOKUP(F505,'для артикула'!$A$17:$B$19,2,0),VLOOKUP(J505,'для артикула'!$A$22:$B$23,2,0),VLOOKUP(H505,'для артик"&amp;"ула'!$A$26:$B$30,2,0))"),"002-2515E30Q13-OK")</f>
        <v>002-2515E30Q13-OK</v>
      </c>
      <c r="N505" s="8" t="str">
        <f>IF(ISNUMBER(MATCH(C505, 'Реестр договоров'!$D$2:$D$900, 0)), "Продано", "В наличии")</f>
        <v>В наличии</v>
      </c>
    </row>
    <row r="506" spans="1:14">
      <c r="A506" s="26">
        <v>45796.71042768519</v>
      </c>
      <c r="B506" s="26"/>
      <c r="C506" s="8" t="s">
        <v>612</v>
      </c>
      <c r="D506" s="8" t="s">
        <v>347</v>
      </c>
      <c r="E506" s="8">
        <v>50</v>
      </c>
      <c r="F506" s="8" t="s">
        <v>116</v>
      </c>
      <c r="G506" s="8" t="s">
        <v>116</v>
      </c>
      <c r="H506" s="8" t="s">
        <v>115</v>
      </c>
      <c r="I506" s="27">
        <v>45796</v>
      </c>
      <c r="J506" s="8" t="s">
        <v>117</v>
      </c>
      <c r="K506" s="8" t="s">
        <v>124</v>
      </c>
      <c r="L506" s="8" t="s">
        <v>119</v>
      </c>
      <c r="M506" s="16" t="str">
        <f ca="1">IFERROR(__xludf.DUMMYFUNCTION("JOIN("""",VLOOKUP(D506,'для артикула'!$A$2:$B$7,2,0),VLOOKUP(G506,'для артикула'!$A$13:$B$14,2,0),VLOOKUP(E506,'для артикула'!$A$9:$B$11,2,0),VLOOKUP(F506,'для артикула'!$A$17:$B$19,2,0),VLOOKUP(J506,'для артикула'!$A$22:$B$23,2,0),VLOOKUP(H506,'для артик"&amp;"ула'!$A$26:$B$30,2,0))"),"002-2515E50Q13-OK")</f>
        <v>002-2515E50Q13-OK</v>
      </c>
      <c r="N506" s="8" t="str">
        <f>IF(ISNUMBER(MATCH(C506, 'Реестр договоров'!$D$2:$D$900, 0)), "Продано", "В наличии")</f>
        <v>Продано</v>
      </c>
    </row>
    <row r="507" spans="1:14">
      <c r="A507" s="26">
        <v>45797.582486712963</v>
      </c>
      <c r="B507" s="26"/>
      <c r="C507" s="8" t="s">
        <v>613</v>
      </c>
      <c r="D507" s="8" t="s">
        <v>114</v>
      </c>
      <c r="E507" s="8">
        <v>50</v>
      </c>
      <c r="F507" s="8" t="s">
        <v>116</v>
      </c>
      <c r="G507" s="8" t="s">
        <v>116</v>
      </c>
      <c r="H507" s="8">
        <v>30</v>
      </c>
      <c r="I507" s="27">
        <v>45797</v>
      </c>
      <c r="J507" s="8" t="s">
        <v>117</v>
      </c>
      <c r="K507" s="8" t="s">
        <v>118</v>
      </c>
      <c r="L507" s="8" t="s">
        <v>119</v>
      </c>
      <c r="M507" s="16" t="str">
        <f ca="1">IFERROR(__xludf.DUMMYFUNCTION("JOIN("""",VLOOKUP(D507,'для артикула'!$A$2:$B$7,2,0),VLOOKUP(G507,'для артикула'!$A$13:$B$14,2,0),VLOOKUP(E507,'для артикула'!$A$9:$B$11,2,0),VLOOKUP(F507,'для артикула'!$A$17:$B$19,2,0),VLOOKUP(J507,'для артикула'!$A$22:$B$23,2,0),VLOOKUP(H507,'для артик"&amp;"ула'!$A$26:$B$30,2,0))"),"002-2013E50Q13-OK30")</f>
        <v>002-2013E50Q13-OK30</v>
      </c>
      <c r="N507" s="8" t="str">
        <f>IF(ISNUMBER(MATCH(C507, 'Реестр договоров'!$D$2:$D$900, 0)), "Продано", "В наличии")</f>
        <v>Продано</v>
      </c>
    </row>
    <row r="508" spans="1:14">
      <c r="A508" s="26">
        <v>45798.513191944439</v>
      </c>
      <c r="B508" s="26"/>
      <c r="C508" s="8" t="s">
        <v>614</v>
      </c>
      <c r="D508" s="8" t="s">
        <v>114</v>
      </c>
      <c r="E508" s="8">
        <v>50</v>
      </c>
      <c r="F508" s="8" t="s">
        <v>116</v>
      </c>
      <c r="G508" s="8" t="s">
        <v>116</v>
      </c>
      <c r="H508" s="8" t="s">
        <v>115</v>
      </c>
      <c r="I508" s="27">
        <v>45798</v>
      </c>
      <c r="J508" s="8" t="s">
        <v>117</v>
      </c>
      <c r="K508" s="8" t="s">
        <v>118</v>
      </c>
      <c r="L508" s="8" t="s">
        <v>119</v>
      </c>
      <c r="M508" s="16" t="str">
        <f ca="1">IFERROR(__xludf.DUMMYFUNCTION("JOIN("""",VLOOKUP(D508,'для артикула'!$A$2:$B$7,2,0),VLOOKUP(G508,'для артикула'!$A$13:$B$14,2,0),VLOOKUP(E508,'для артикула'!$A$9:$B$11,2,0),VLOOKUP(F508,'для артикула'!$A$17:$B$19,2,0),VLOOKUP(J508,'для артикула'!$A$22:$B$23,2,0),VLOOKUP(H508,'для артик"&amp;"ула'!$A$26:$B$30,2,0))"),"002-2013E50Q13-OK")</f>
        <v>002-2013E50Q13-OK</v>
      </c>
      <c r="N508" s="8" t="str">
        <f>IF(ISNUMBER(MATCH(C508, 'Реестр договоров'!$D$2:$D$900, 0)), "Продано", "В наличии")</f>
        <v>Продано</v>
      </c>
    </row>
    <row r="509" spans="1:14">
      <c r="A509" s="26">
        <v>45798.743667777773</v>
      </c>
      <c r="B509" s="26"/>
      <c r="C509" s="8" t="s">
        <v>615</v>
      </c>
      <c r="D509" s="8" t="s">
        <v>114</v>
      </c>
      <c r="E509" s="8">
        <v>50</v>
      </c>
      <c r="F509" s="8" t="s">
        <v>116</v>
      </c>
      <c r="G509" s="8" t="s">
        <v>116</v>
      </c>
      <c r="H509" s="8">
        <v>60</v>
      </c>
      <c r="I509" s="27">
        <v>45798</v>
      </c>
      <c r="J509" s="8" t="s">
        <v>117</v>
      </c>
      <c r="K509" s="8" t="s">
        <v>118</v>
      </c>
      <c r="L509" s="8" t="s">
        <v>119</v>
      </c>
      <c r="M509" s="16" t="str">
        <f ca="1">IFERROR(__xludf.DUMMYFUNCTION("JOIN("""",VLOOKUP(D509,'для артикула'!$A$2:$B$7,2,0),VLOOKUP(G509,'для артикула'!$A$13:$B$14,2,0),VLOOKUP(E509,'для артикула'!$A$9:$B$11,2,0),VLOOKUP(F509,'для артикула'!$A$17:$B$19,2,0),VLOOKUP(J509,'для артикула'!$A$22:$B$23,2,0),VLOOKUP(H509,'для артик"&amp;"ула'!$A$26:$B$30,2,0))"),"002-2013E50Q13-OK60")</f>
        <v>002-2013E50Q13-OK60</v>
      </c>
      <c r="N509" s="8" t="str">
        <f>IF(ISNUMBER(MATCH(C509, 'Реестр договоров'!$D$2:$D$900, 0)), "Продано", "В наличии")</f>
        <v>Продано</v>
      </c>
    </row>
    <row r="510" spans="1:14">
      <c r="A510" s="26">
        <v>45799.584854236113</v>
      </c>
      <c r="B510" s="26"/>
      <c r="C510" s="8" t="s">
        <v>60</v>
      </c>
      <c r="D510" s="8" t="s">
        <v>347</v>
      </c>
      <c r="E510" s="8">
        <v>30</v>
      </c>
      <c r="F510" s="8" t="s">
        <v>116</v>
      </c>
      <c r="G510" s="8" t="s">
        <v>116</v>
      </c>
      <c r="H510" s="8">
        <v>120</v>
      </c>
      <c r="I510" s="27">
        <v>45799</v>
      </c>
      <c r="J510" s="8" t="s">
        <v>117</v>
      </c>
      <c r="K510" s="8" t="s">
        <v>124</v>
      </c>
      <c r="L510" s="8" t="s">
        <v>288</v>
      </c>
      <c r="M510" s="16" t="str">
        <f ca="1">IFERROR(__xludf.DUMMYFUNCTION("JOIN("""",VLOOKUP(D510,'для артикула'!$A$2:$B$7,2,0),VLOOKUP(G510,'для артикула'!$A$13:$B$14,2,0),VLOOKUP(E510,'для артикула'!$A$9:$B$11,2,0),VLOOKUP(F510,'для артикула'!$A$17:$B$19,2,0),VLOOKUP(J510,'для артикула'!$A$22:$B$23,2,0),VLOOKUP(H510,'для артик"&amp;"ула'!$A$26:$B$30,2,0))"),"002-2515E30Q13-OK120")</f>
        <v>002-2515E30Q13-OK120</v>
      </c>
      <c r="N510" s="8" t="str">
        <f>IF(ISNUMBER(MATCH(C510, 'Реестр договоров'!$D$2:$D$900, 0)), "Продано", "В наличии")</f>
        <v>Продано</v>
      </c>
    </row>
    <row r="511" spans="1:14">
      <c r="A511" s="26">
        <v>45799.585591354167</v>
      </c>
      <c r="B511" s="26"/>
      <c r="C511" s="8" t="s">
        <v>616</v>
      </c>
      <c r="D511" s="8" t="s">
        <v>114</v>
      </c>
      <c r="E511" s="8">
        <v>50</v>
      </c>
      <c r="F511" s="8" t="s">
        <v>116</v>
      </c>
      <c r="G511" s="8" t="s">
        <v>116</v>
      </c>
      <c r="H511" s="8">
        <v>30</v>
      </c>
      <c r="I511" s="27">
        <v>45799</v>
      </c>
      <c r="J511" s="8" t="s">
        <v>117</v>
      </c>
      <c r="K511" s="8" t="s">
        <v>124</v>
      </c>
      <c r="L511" s="8" t="s">
        <v>119</v>
      </c>
      <c r="M511" s="16" t="str">
        <f ca="1">IFERROR(__xludf.DUMMYFUNCTION("JOIN("""",VLOOKUP(D511,'для артикула'!$A$2:$B$7,2,0),VLOOKUP(G511,'для артикула'!$A$13:$B$14,2,0),VLOOKUP(E511,'для артикула'!$A$9:$B$11,2,0),VLOOKUP(F511,'для артикула'!$A$17:$B$19,2,0),VLOOKUP(J511,'для артикула'!$A$22:$B$23,2,0),VLOOKUP(H511,'для артик"&amp;"ула'!$A$26:$B$30,2,0))"),"002-2013E50Q13-OK30")</f>
        <v>002-2013E50Q13-OK30</v>
      </c>
      <c r="N511" s="8" t="str">
        <f>IF(ISNUMBER(MATCH(C511, 'Реестр договоров'!$D$2:$D$900, 0)), "Продано", "В наличии")</f>
        <v>Продано</v>
      </c>
    </row>
    <row r="512" spans="1:14">
      <c r="A512" s="26">
        <v>45800.561159791665</v>
      </c>
      <c r="B512" s="26"/>
      <c r="C512" s="8" t="s">
        <v>617</v>
      </c>
      <c r="D512" s="8" t="s">
        <v>114</v>
      </c>
      <c r="E512" s="8">
        <v>50</v>
      </c>
      <c r="F512" s="8" t="s">
        <v>116</v>
      </c>
      <c r="G512" s="8" t="s">
        <v>116</v>
      </c>
      <c r="H512" s="8">
        <v>30</v>
      </c>
      <c r="I512" s="27">
        <v>45800</v>
      </c>
      <c r="J512" s="8" t="s">
        <v>117</v>
      </c>
      <c r="K512" s="8" t="s">
        <v>124</v>
      </c>
      <c r="L512" s="8" t="s">
        <v>119</v>
      </c>
      <c r="M512" s="16" t="str">
        <f ca="1">IFERROR(__xludf.DUMMYFUNCTION("JOIN("""",VLOOKUP(D512,'для артикула'!$A$2:$B$7,2,0),VLOOKUP(G512,'для артикула'!$A$13:$B$14,2,0),VLOOKUP(E512,'для артикула'!$A$9:$B$11,2,0),VLOOKUP(F512,'для артикула'!$A$17:$B$19,2,0),VLOOKUP(J512,'для артикула'!$A$22:$B$23,2,0),VLOOKUP(H512,'для артик"&amp;"ула'!$A$26:$B$30,2,0))"),"002-2013E50Q13-OK30")</f>
        <v>002-2013E50Q13-OK30</v>
      </c>
      <c r="N512" s="8" t="str">
        <f>IF(ISNUMBER(MATCH(C512, 'Реестр договоров'!$D$2:$D$900, 0)), "Продано", "В наличии")</f>
        <v>Продано</v>
      </c>
    </row>
    <row r="513" spans="1:14">
      <c r="A513" s="26">
        <v>45800.562770312499</v>
      </c>
      <c r="B513" s="26"/>
      <c r="C513" s="8" t="s">
        <v>618</v>
      </c>
      <c r="D513" s="8" t="s">
        <v>114</v>
      </c>
      <c r="E513" s="8">
        <v>50</v>
      </c>
      <c r="F513" s="8" t="s">
        <v>116</v>
      </c>
      <c r="G513" s="8" t="s">
        <v>116</v>
      </c>
      <c r="H513" s="8">
        <v>30</v>
      </c>
      <c r="I513" s="27">
        <v>45800</v>
      </c>
      <c r="J513" s="8" t="s">
        <v>117</v>
      </c>
      <c r="K513" s="8" t="s">
        <v>124</v>
      </c>
      <c r="L513" s="8" t="s">
        <v>119</v>
      </c>
      <c r="M513" s="16" t="str">
        <f ca="1">IFERROR(__xludf.DUMMYFUNCTION("JOIN("""",VLOOKUP(D513,'для артикула'!$A$2:$B$7,2,0),VLOOKUP(G513,'для артикула'!$A$13:$B$14,2,0),VLOOKUP(E513,'для артикула'!$A$9:$B$11,2,0),VLOOKUP(F513,'для артикула'!$A$17:$B$19,2,0),VLOOKUP(J513,'для артикула'!$A$22:$B$23,2,0),VLOOKUP(H513,'для артик"&amp;"ула'!$A$26:$B$30,2,0))"),"002-2013E50Q13-OK30")</f>
        <v>002-2013E50Q13-OK30</v>
      </c>
      <c r="N513" s="8" t="str">
        <f>IF(ISNUMBER(MATCH(C513, 'Реестр договоров'!$D$2:$D$900, 0)), "Продано", "В наличии")</f>
        <v>Продано</v>
      </c>
    </row>
    <row r="514" spans="1:14">
      <c r="A514" s="26">
        <v>45800.587262939815</v>
      </c>
      <c r="B514" s="26"/>
      <c r="C514" s="8" t="s">
        <v>619</v>
      </c>
      <c r="D514" s="8" t="s">
        <v>287</v>
      </c>
      <c r="E514" s="8">
        <v>50</v>
      </c>
      <c r="F514" s="8" t="s">
        <v>116</v>
      </c>
      <c r="G514" s="8" t="s">
        <v>116</v>
      </c>
      <c r="H514" s="8">
        <v>60</v>
      </c>
      <c r="I514" s="27">
        <v>45800</v>
      </c>
      <c r="J514" s="8" t="s">
        <v>117</v>
      </c>
      <c r="K514" s="8" t="s">
        <v>118</v>
      </c>
      <c r="L514" s="8" t="s">
        <v>119</v>
      </c>
      <c r="M514" s="16" t="str">
        <f ca="1">IFERROR(__xludf.DUMMYFUNCTION("JOIN("""",VLOOKUP(D514,'для артикула'!$A$2:$B$7,2,0),VLOOKUP(G514,'для артикула'!$A$13:$B$14,2,0),VLOOKUP(E514,'для артикула'!$A$9:$B$11,2,0),VLOOKUP(F514,'для артикула'!$A$17:$B$19,2,0),VLOOKUP(J514,'для артикула'!$A$22:$B$23,2,0),VLOOKUP(H514,'для артик"&amp;"ула'!$A$26:$B$30,2,0))"),"002-2513E50Q13-OK60")</f>
        <v>002-2513E50Q13-OK60</v>
      </c>
      <c r="N514" s="8" t="str">
        <f>IF(ISNUMBER(MATCH(C514, 'Реестр договоров'!$D$2:$D$900, 0)), "Продано", "В наличии")</f>
        <v>Продано</v>
      </c>
    </row>
    <row r="515" spans="1:14">
      <c r="A515" s="26">
        <v>45800.657927916662</v>
      </c>
      <c r="B515" s="26"/>
      <c r="C515" s="8" t="s">
        <v>620</v>
      </c>
      <c r="D515" s="8" t="s">
        <v>114</v>
      </c>
      <c r="E515" s="8">
        <v>50</v>
      </c>
      <c r="F515" s="8" t="s">
        <v>116</v>
      </c>
      <c r="G515" s="8" t="s">
        <v>116</v>
      </c>
      <c r="H515" s="8">
        <v>30</v>
      </c>
      <c r="I515" s="27">
        <v>45800</v>
      </c>
      <c r="J515" s="8" t="s">
        <v>117</v>
      </c>
      <c r="K515" s="8" t="s">
        <v>118</v>
      </c>
      <c r="L515" s="8" t="s">
        <v>119</v>
      </c>
      <c r="M515" s="16" t="str">
        <f ca="1">IFERROR(__xludf.DUMMYFUNCTION("JOIN("""",VLOOKUP(D515,'для артикула'!$A$2:$B$7,2,0),VLOOKUP(G515,'для артикула'!$A$13:$B$14,2,0),VLOOKUP(E515,'для артикула'!$A$9:$B$11,2,0),VLOOKUP(F515,'для артикула'!$A$17:$B$19,2,0),VLOOKUP(J515,'для артикула'!$A$22:$B$23,2,0),VLOOKUP(H515,'для артик"&amp;"ула'!$A$26:$B$30,2,0))"),"002-2013E50Q13-OK30")</f>
        <v>002-2013E50Q13-OK30</v>
      </c>
      <c r="N515" s="8" t="str">
        <f>IF(ISNUMBER(MATCH(C515, 'Реестр договоров'!$D$2:$D$900, 0)), "Продано", "В наличии")</f>
        <v>Продано</v>
      </c>
    </row>
    <row r="516" spans="1:14">
      <c r="A516" s="26">
        <v>45801.677694421298</v>
      </c>
      <c r="B516" s="26"/>
      <c r="C516" s="8" t="s">
        <v>621</v>
      </c>
      <c r="D516" s="8" t="s">
        <v>114</v>
      </c>
      <c r="E516" s="8">
        <v>50</v>
      </c>
      <c r="F516" s="8" t="s">
        <v>116</v>
      </c>
      <c r="G516" s="8" t="s">
        <v>116</v>
      </c>
      <c r="H516" s="8">
        <v>30</v>
      </c>
      <c r="I516" s="27">
        <v>45801</v>
      </c>
      <c r="J516" s="8" t="s">
        <v>117</v>
      </c>
      <c r="K516" s="8" t="s">
        <v>124</v>
      </c>
      <c r="L516" s="8" t="s">
        <v>119</v>
      </c>
      <c r="M516" s="16" t="str">
        <f ca="1">IFERROR(__xludf.DUMMYFUNCTION("JOIN("""",VLOOKUP(D516,'для артикула'!$A$2:$B$7,2,0),VLOOKUP(G516,'для артикула'!$A$13:$B$14,2,0),VLOOKUP(E516,'для артикула'!$A$9:$B$11,2,0),VLOOKUP(F516,'для артикула'!$A$17:$B$19,2,0),VLOOKUP(J516,'для артикула'!$A$22:$B$23,2,0),VLOOKUP(H516,'для артик"&amp;"ула'!$A$26:$B$30,2,0))"),"002-2013E50Q13-OK30")</f>
        <v>002-2013E50Q13-OK30</v>
      </c>
      <c r="N516" s="8" t="str">
        <f>IF(ISNUMBER(MATCH(C516, 'Реестр договоров'!$D$2:$D$900, 0)), "Продано", "В наличии")</f>
        <v>Продано</v>
      </c>
    </row>
    <row r="517" spans="1:14">
      <c r="A517" s="26">
        <v>45803.551668321757</v>
      </c>
      <c r="B517" s="26"/>
      <c r="C517" s="8" t="s">
        <v>622</v>
      </c>
      <c r="D517" s="8" t="s">
        <v>287</v>
      </c>
      <c r="E517" s="8">
        <v>30</v>
      </c>
      <c r="F517" s="8" t="s">
        <v>116</v>
      </c>
      <c r="G517" s="8" t="s">
        <v>116</v>
      </c>
      <c r="H517" s="8" t="s">
        <v>115</v>
      </c>
      <c r="I517" s="27">
        <v>45790</v>
      </c>
      <c r="J517" s="8" t="s">
        <v>117</v>
      </c>
      <c r="K517" s="8" t="s">
        <v>121</v>
      </c>
      <c r="L517" s="8" t="s">
        <v>119</v>
      </c>
      <c r="M517" s="16" t="str">
        <f ca="1">IFERROR(__xludf.DUMMYFUNCTION("JOIN("""",VLOOKUP(D517,'для артикула'!$A$2:$B$7,2,0),VLOOKUP(G517,'для артикула'!$A$13:$B$14,2,0),VLOOKUP(E517,'для артикула'!$A$9:$B$11,2,0),VLOOKUP(F517,'для артикула'!$A$17:$B$19,2,0),VLOOKUP(J517,'для артикула'!$A$22:$B$23,2,0),VLOOKUP(H517,'для артик"&amp;"ула'!$A$26:$B$30,2,0))"),"002-2513E30Q13-OK")</f>
        <v>002-2513E30Q13-OK</v>
      </c>
      <c r="N517" s="8" t="str">
        <f>IF(ISNUMBER(MATCH(C517, 'Реестр договоров'!$D$2:$D$900, 0)), "Продано", "В наличии")</f>
        <v>Продано</v>
      </c>
    </row>
    <row r="518" spans="1:14">
      <c r="A518" s="26">
        <v>45803.642283587964</v>
      </c>
      <c r="B518" s="26"/>
      <c r="C518" s="8" t="s">
        <v>623</v>
      </c>
      <c r="D518" s="8" t="s">
        <v>347</v>
      </c>
      <c r="E518" s="8">
        <v>30</v>
      </c>
      <c r="F518" s="8" t="s">
        <v>116</v>
      </c>
      <c r="G518" s="8" t="s">
        <v>116</v>
      </c>
      <c r="H518" s="8" t="s">
        <v>115</v>
      </c>
      <c r="I518" s="27">
        <v>45803</v>
      </c>
      <c r="J518" s="8" t="s">
        <v>117</v>
      </c>
      <c r="K518" s="8" t="s">
        <v>118</v>
      </c>
      <c r="L518" s="8" t="s">
        <v>288</v>
      </c>
      <c r="M518" s="16" t="str">
        <f ca="1">IFERROR(__xludf.DUMMYFUNCTION("JOIN("""",VLOOKUP(D518,'для артикула'!$A$2:$B$7,2,0),VLOOKUP(G518,'для артикула'!$A$13:$B$14,2,0),VLOOKUP(E518,'для артикула'!$A$9:$B$11,2,0),VLOOKUP(F518,'для артикула'!$A$17:$B$19,2,0),VLOOKUP(J518,'для артикула'!$A$22:$B$23,2,0),VLOOKUP(H518,'для артик"&amp;"ула'!$A$26:$B$30,2,0))"),"002-2515E30Q13-OK")</f>
        <v>002-2515E30Q13-OK</v>
      </c>
      <c r="N518" s="8" t="str">
        <f>IF(ISNUMBER(MATCH(C518, 'Реестр договоров'!$D$2:$D$900, 0)), "Продано", "В наличии")</f>
        <v>Продано</v>
      </c>
    </row>
    <row r="519" spans="1:14">
      <c r="A519" s="26">
        <v>45803.695463009259</v>
      </c>
      <c r="B519" s="26"/>
      <c r="C519" s="8" t="s">
        <v>624</v>
      </c>
      <c r="D519" s="8" t="s">
        <v>114</v>
      </c>
      <c r="E519" s="8">
        <v>50</v>
      </c>
      <c r="F519" s="8" t="s">
        <v>116</v>
      </c>
      <c r="G519" s="8" t="s">
        <v>116</v>
      </c>
      <c r="H519" s="8" t="s">
        <v>115</v>
      </c>
      <c r="I519" s="27">
        <v>45799</v>
      </c>
      <c r="J519" s="8" t="s">
        <v>117</v>
      </c>
      <c r="K519" s="8" t="s">
        <v>121</v>
      </c>
      <c r="L519" s="8" t="s">
        <v>119</v>
      </c>
      <c r="M519" s="16" t="str">
        <f ca="1">IFERROR(__xludf.DUMMYFUNCTION("JOIN("""",VLOOKUP(D519,'для артикула'!$A$2:$B$7,2,0),VLOOKUP(G519,'для артикула'!$A$13:$B$14,2,0),VLOOKUP(E519,'для артикула'!$A$9:$B$11,2,0),VLOOKUP(F519,'для артикула'!$A$17:$B$19,2,0),VLOOKUP(J519,'для артикула'!$A$22:$B$23,2,0),VLOOKUP(H519,'для артик"&amp;"ула'!$A$26:$B$30,2,0))"),"002-2013E50Q13-OK")</f>
        <v>002-2013E50Q13-OK</v>
      </c>
      <c r="N519" s="8" t="str">
        <f>IF(ISNUMBER(MATCH(C519, 'Реестр договоров'!$D$2:$D$900, 0)), "Продано", "В наличии")</f>
        <v>Продано</v>
      </c>
    </row>
    <row r="520" spans="1:14">
      <c r="A520" s="26">
        <v>45804.417230775463</v>
      </c>
      <c r="B520" s="26"/>
      <c r="C520" s="8" t="s">
        <v>625</v>
      </c>
      <c r="D520" s="8" t="s">
        <v>287</v>
      </c>
      <c r="E520" s="8">
        <v>50</v>
      </c>
      <c r="F520" s="8" t="s">
        <v>116</v>
      </c>
      <c r="G520" s="8" t="s">
        <v>116</v>
      </c>
      <c r="H520" s="8" t="s">
        <v>115</v>
      </c>
      <c r="I520" s="27">
        <v>45804</v>
      </c>
      <c r="J520" s="8" t="s">
        <v>117</v>
      </c>
      <c r="K520" s="8" t="s">
        <v>124</v>
      </c>
      <c r="L520" s="8" t="s">
        <v>119</v>
      </c>
      <c r="M520" s="16" t="str">
        <f ca="1">IFERROR(__xludf.DUMMYFUNCTION("JOIN("""",VLOOKUP(D520,'для артикула'!$A$2:$B$7,2,0),VLOOKUP(G520,'для артикула'!$A$13:$B$14,2,0),VLOOKUP(E520,'для артикула'!$A$9:$B$11,2,0),VLOOKUP(F520,'для артикула'!$A$17:$B$19,2,0),VLOOKUP(J520,'для артикула'!$A$22:$B$23,2,0),VLOOKUP(H520,'для артик"&amp;"ула'!$A$26:$B$30,2,0))"),"002-2513E50Q13-OK")</f>
        <v>002-2513E50Q13-OK</v>
      </c>
      <c r="N520" s="8" t="str">
        <f>IF(ISNUMBER(MATCH(C520, 'Реестр договоров'!$D$2:$D$900, 0)), "Продано", "В наличии")</f>
        <v>Продано</v>
      </c>
    </row>
    <row r="521" spans="1:14">
      <c r="A521" s="26">
        <v>45804.429704780094</v>
      </c>
      <c r="B521" s="26"/>
      <c r="C521" s="8" t="s">
        <v>626</v>
      </c>
      <c r="D521" s="8" t="s">
        <v>375</v>
      </c>
      <c r="E521" s="8">
        <v>30</v>
      </c>
      <c r="F521" s="8" t="s">
        <v>116</v>
      </c>
      <c r="G521" s="8" t="s">
        <v>116</v>
      </c>
      <c r="H521" s="8" t="s">
        <v>115</v>
      </c>
      <c r="I521" s="27">
        <v>45797</v>
      </c>
      <c r="J521" s="8" t="s">
        <v>117</v>
      </c>
      <c r="K521" s="8" t="s">
        <v>121</v>
      </c>
      <c r="L521" s="8" t="s">
        <v>288</v>
      </c>
      <c r="M521" s="16" t="str">
        <f ca="1">IFERROR(__xludf.DUMMYFUNCTION("JOIN("""",VLOOKUP(D521,'для артикула'!$A$2:$B$7,2,0),VLOOKUP(G521,'для артикула'!$A$13:$B$14,2,0),VLOOKUP(E521,'для артикула'!$A$9:$B$11,2,0),VLOOKUP(F521,'для артикула'!$A$17:$B$19,2,0),VLOOKUP(J521,'для артикула'!$A$22:$B$23,2,0),VLOOKUP(H521,'для артик"&amp;"ула'!$A$26:$B$30,2,0))"),"002-3515E30Q13-OK")</f>
        <v>002-3515E30Q13-OK</v>
      </c>
      <c r="N521" s="8" t="str">
        <f>IF(ISNUMBER(MATCH(C521, 'Реестр договоров'!$D$2:$D$900, 0)), "Продано", "В наличии")</f>
        <v>Продано</v>
      </c>
    </row>
    <row r="522" spans="1:14">
      <c r="A522" s="26">
        <v>45804.47012849537</v>
      </c>
      <c r="B522" s="26"/>
      <c r="C522" s="8" t="s">
        <v>61</v>
      </c>
      <c r="D522" s="8" t="s">
        <v>287</v>
      </c>
      <c r="E522" s="8">
        <v>30</v>
      </c>
      <c r="F522" s="8" t="s">
        <v>116</v>
      </c>
      <c r="G522" s="8" t="s">
        <v>116</v>
      </c>
      <c r="H522" s="8" t="s">
        <v>115</v>
      </c>
      <c r="I522" s="27">
        <v>45804</v>
      </c>
      <c r="J522" s="8" t="s">
        <v>117</v>
      </c>
      <c r="K522" s="8" t="s">
        <v>124</v>
      </c>
      <c r="L522" s="8" t="s">
        <v>119</v>
      </c>
      <c r="M522" s="16" t="str">
        <f ca="1">IFERROR(__xludf.DUMMYFUNCTION("JOIN("""",VLOOKUP(D522,'для артикула'!$A$2:$B$7,2,0),VLOOKUP(G522,'для артикула'!$A$13:$B$14,2,0),VLOOKUP(E522,'для артикула'!$A$9:$B$11,2,0),VLOOKUP(F522,'для артикула'!$A$17:$B$19,2,0),VLOOKUP(J522,'для артикула'!$A$22:$B$23,2,0),VLOOKUP(H522,'для артик"&amp;"ула'!$A$26:$B$30,2,0))"),"002-2513E30Q13-OK")</f>
        <v>002-2513E30Q13-OK</v>
      </c>
      <c r="N522" s="8" t="str">
        <f>IF(ISNUMBER(MATCH(C522, 'Реестр договоров'!$D$2:$D$900, 0)), "Продано", "В наличии")</f>
        <v>Продано</v>
      </c>
    </row>
    <row r="523" spans="1:14">
      <c r="A523" s="26">
        <v>45804.534797731481</v>
      </c>
      <c r="B523" s="26"/>
      <c r="C523" s="8" t="s">
        <v>627</v>
      </c>
      <c r="D523" s="8" t="s">
        <v>114</v>
      </c>
      <c r="E523" s="8">
        <v>30</v>
      </c>
      <c r="F523" s="8" t="s">
        <v>116</v>
      </c>
      <c r="G523" s="8" t="s">
        <v>116</v>
      </c>
      <c r="H523" s="8" t="s">
        <v>115</v>
      </c>
      <c r="I523" s="27">
        <v>45789</v>
      </c>
      <c r="J523" s="8" t="s">
        <v>117</v>
      </c>
      <c r="K523" s="8" t="s">
        <v>121</v>
      </c>
      <c r="L523" s="8" t="s">
        <v>119</v>
      </c>
      <c r="M523" s="16" t="str">
        <f ca="1">IFERROR(__xludf.DUMMYFUNCTION("JOIN("""",VLOOKUP(D523,'для артикула'!$A$2:$B$7,2,0),VLOOKUP(G523,'для артикула'!$A$13:$B$14,2,0),VLOOKUP(E523,'для артикула'!$A$9:$B$11,2,0),VLOOKUP(F523,'для артикула'!$A$17:$B$19,2,0),VLOOKUP(J523,'для артикула'!$A$22:$B$23,2,0),VLOOKUP(H523,'для артик"&amp;"ула'!$A$26:$B$30,2,0))"),"002-2013E30Q13-OK")</f>
        <v>002-2013E30Q13-OK</v>
      </c>
      <c r="N523" s="8" t="str">
        <f>IF(ISNUMBER(MATCH(C523, 'Реестр договоров'!$D$2:$D$900, 0)), "Продано", "В наличии")</f>
        <v>Продано</v>
      </c>
    </row>
    <row r="524" spans="1:14">
      <c r="A524" s="26">
        <v>45804.655395856476</v>
      </c>
      <c r="B524" s="26"/>
      <c r="C524" s="8" t="s">
        <v>628</v>
      </c>
      <c r="D524" s="8" t="s">
        <v>287</v>
      </c>
      <c r="E524" s="8">
        <v>50</v>
      </c>
      <c r="F524" s="8" t="s">
        <v>116</v>
      </c>
      <c r="G524" s="8" t="s">
        <v>116</v>
      </c>
      <c r="H524" s="8" t="s">
        <v>115</v>
      </c>
      <c r="I524" s="27">
        <v>45790</v>
      </c>
      <c r="J524" s="8" t="s">
        <v>117</v>
      </c>
      <c r="K524" s="8" t="s">
        <v>121</v>
      </c>
      <c r="L524" s="8" t="s">
        <v>119</v>
      </c>
      <c r="M524" s="16" t="str">
        <f ca="1">IFERROR(__xludf.DUMMYFUNCTION("JOIN("""",VLOOKUP(D524,'для артикула'!$A$2:$B$7,2,0),VLOOKUP(G524,'для артикула'!$A$13:$B$14,2,0),VLOOKUP(E524,'для артикула'!$A$9:$B$11,2,0),VLOOKUP(F524,'для артикула'!$A$17:$B$19,2,0),VLOOKUP(J524,'для артикула'!$A$22:$B$23,2,0),VLOOKUP(H524,'для артик"&amp;"ула'!$A$26:$B$30,2,0))"),"002-2513E50Q13-OK")</f>
        <v>002-2513E50Q13-OK</v>
      </c>
      <c r="N524" s="8" t="str">
        <f>IF(ISNUMBER(MATCH(C524, 'Реестр договоров'!$D$2:$D$900, 0)), "Продано", "В наличии")</f>
        <v>Продано</v>
      </c>
    </row>
    <row r="525" spans="1:14">
      <c r="A525" s="26">
        <v>45804.709307893514</v>
      </c>
      <c r="B525" s="26"/>
      <c r="C525" s="8" t="s">
        <v>629</v>
      </c>
      <c r="D525" s="8" t="s">
        <v>114</v>
      </c>
      <c r="E525" s="8">
        <v>30</v>
      </c>
      <c r="F525" s="8" t="s">
        <v>116</v>
      </c>
      <c r="G525" s="8" t="s">
        <v>116</v>
      </c>
      <c r="H525" s="8" t="s">
        <v>115</v>
      </c>
      <c r="I525" s="27">
        <v>45804</v>
      </c>
      <c r="J525" s="8" t="s">
        <v>117</v>
      </c>
      <c r="K525" s="8" t="s">
        <v>121</v>
      </c>
      <c r="L525" s="8" t="s">
        <v>119</v>
      </c>
      <c r="M525" s="16" t="str">
        <f ca="1">IFERROR(__xludf.DUMMYFUNCTION("JOIN("""",VLOOKUP(D525,'для артикула'!$A$2:$B$7,2,0),VLOOKUP(G525,'для артикула'!$A$13:$B$14,2,0),VLOOKUP(E525,'для артикула'!$A$9:$B$11,2,0),VLOOKUP(F525,'для артикула'!$A$17:$B$19,2,0),VLOOKUP(J525,'для артикула'!$A$22:$B$23,2,0),VLOOKUP(H525,'для артик"&amp;"ула'!$A$26:$B$30,2,0))"),"002-2013E30Q13-OK")</f>
        <v>002-2013E30Q13-OK</v>
      </c>
      <c r="N525" s="8" t="str">
        <f>IF(ISNUMBER(MATCH(C525, 'Реестр договоров'!$D$2:$D$900, 0)), "Продано", "В наличии")</f>
        <v>Продано</v>
      </c>
    </row>
    <row r="526" spans="1:14">
      <c r="A526" s="26">
        <v>45805.448058437498</v>
      </c>
      <c r="B526" s="26"/>
      <c r="C526" s="8" t="s">
        <v>630</v>
      </c>
      <c r="D526" s="8" t="s">
        <v>287</v>
      </c>
      <c r="E526" s="8">
        <v>50</v>
      </c>
      <c r="F526" s="8" t="s">
        <v>116</v>
      </c>
      <c r="G526" s="8" t="s">
        <v>116</v>
      </c>
      <c r="H526" s="8" t="s">
        <v>115</v>
      </c>
      <c r="I526" s="27">
        <v>45798</v>
      </c>
      <c r="J526" s="8" t="s">
        <v>117</v>
      </c>
      <c r="K526" s="8" t="s">
        <v>118</v>
      </c>
      <c r="L526" s="8" t="s">
        <v>119</v>
      </c>
      <c r="M526" s="16" t="str">
        <f ca="1">IFERROR(__xludf.DUMMYFUNCTION("JOIN("""",VLOOKUP(D526,'для артикула'!$A$2:$B$7,2,0),VLOOKUP(G526,'для артикула'!$A$13:$B$14,2,0),VLOOKUP(E526,'для артикула'!$A$9:$B$11,2,0),VLOOKUP(F526,'для артикула'!$A$17:$B$19,2,0),VLOOKUP(J526,'для артикула'!$A$22:$B$23,2,0),VLOOKUP(H526,'для артик"&amp;"ула'!$A$26:$B$30,2,0))"),"002-2513E50Q13-OK")</f>
        <v>002-2513E50Q13-OK</v>
      </c>
      <c r="N526" s="8" t="str">
        <f>IF(ISNUMBER(MATCH(C526, 'Реестр договоров'!$D$2:$D$900, 0)), "Продано", "В наличии")</f>
        <v>Продано</v>
      </c>
    </row>
    <row r="527" spans="1:14">
      <c r="A527" s="26">
        <v>45806.565231145833</v>
      </c>
      <c r="B527" s="26"/>
      <c r="C527" s="8" t="s">
        <v>631</v>
      </c>
      <c r="D527" s="8" t="s">
        <v>114</v>
      </c>
      <c r="E527" s="8">
        <v>50</v>
      </c>
      <c r="F527" s="8" t="s">
        <v>116</v>
      </c>
      <c r="G527" s="8" t="s">
        <v>116</v>
      </c>
      <c r="H527" s="8">
        <v>90</v>
      </c>
      <c r="I527" s="27">
        <v>45806</v>
      </c>
      <c r="J527" s="8" t="s">
        <v>117</v>
      </c>
      <c r="K527" s="8" t="s">
        <v>118</v>
      </c>
      <c r="L527" s="8" t="s">
        <v>119</v>
      </c>
      <c r="M527" s="16" t="str">
        <f ca="1">IFERROR(__xludf.DUMMYFUNCTION("JOIN("""",VLOOKUP(D527,'для артикула'!$A$2:$B$7,2,0),VLOOKUP(G527,'для артикула'!$A$13:$B$14,2,0),VLOOKUP(E527,'для артикула'!$A$9:$B$11,2,0),VLOOKUP(F527,'для артикула'!$A$17:$B$19,2,0),VLOOKUP(J527,'для артикула'!$A$22:$B$23,2,0),VLOOKUP(H527,'для артик"&amp;"ула'!$A$26:$B$30,2,0))"),"002-2013E50Q13-OK90")</f>
        <v>002-2013E50Q13-OK90</v>
      </c>
      <c r="N527" s="8" t="str">
        <f>IF(ISNUMBER(MATCH(C527, 'Реестр договоров'!$D$2:$D$900, 0)), "Продано", "В наличии")</f>
        <v>Продано</v>
      </c>
    </row>
    <row r="528" spans="1:14">
      <c r="A528" s="26">
        <v>45806.616403391206</v>
      </c>
      <c r="B528" s="26"/>
      <c r="C528" s="8" t="s">
        <v>632</v>
      </c>
      <c r="D528" s="8" t="s">
        <v>287</v>
      </c>
      <c r="E528" s="8">
        <v>50</v>
      </c>
      <c r="F528" s="8" t="s">
        <v>116</v>
      </c>
      <c r="G528" s="8" t="s">
        <v>116</v>
      </c>
      <c r="H528" s="8" t="s">
        <v>115</v>
      </c>
      <c r="I528" s="27">
        <v>45806</v>
      </c>
      <c r="J528" s="8" t="s">
        <v>117</v>
      </c>
      <c r="K528" s="8" t="s">
        <v>124</v>
      </c>
      <c r="L528" s="8" t="s">
        <v>119</v>
      </c>
      <c r="M528" s="16" t="str">
        <f ca="1">IFERROR(__xludf.DUMMYFUNCTION("JOIN("""",VLOOKUP(D528,'для артикула'!$A$2:$B$7,2,0),VLOOKUP(G528,'для артикула'!$A$13:$B$14,2,0),VLOOKUP(E528,'для артикула'!$A$9:$B$11,2,0),VLOOKUP(F528,'для артикула'!$A$17:$B$19,2,0),VLOOKUP(J528,'для артикула'!$A$22:$B$23,2,0),VLOOKUP(H528,'для артик"&amp;"ула'!$A$26:$B$30,2,0))"),"002-2513E50Q13-OK")</f>
        <v>002-2513E50Q13-OK</v>
      </c>
      <c r="N528" s="8" t="str">
        <f>IF(ISNUMBER(MATCH(C528, 'Реестр договоров'!$D$2:$D$900, 0)), "Продано", "В наличии")</f>
        <v>Продано</v>
      </c>
    </row>
    <row r="529" spans="1:14">
      <c r="A529" s="26">
        <v>45807.477820983797</v>
      </c>
      <c r="B529" s="26"/>
      <c r="C529" s="8" t="s">
        <v>633</v>
      </c>
      <c r="D529" s="8" t="s">
        <v>114</v>
      </c>
      <c r="E529" s="8">
        <v>50</v>
      </c>
      <c r="F529" s="8" t="s">
        <v>116</v>
      </c>
      <c r="G529" s="8" t="s">
        <v>116</v>
      </c>
      <c r="H529" s="8">
        <v>30</v>
      </c>
      <c r="I529" s="27">
        <v>45807</v>
      </c>
      <c r="J529" s="8" t="s">
        <v>117</v>
      </c>
      <c r="K529" s="8" t="s">
        <v>118</v>
      </c>
      <c r="L529" s="8" t="s">
        <v>119</v>
      </c>
      <c r="M529" s="16" t="str">
        <f ca="1">IFERROR(__xludf.DUMMYFUNCTION("JOIN("""",VLOOKUP(D529,'для артикула'!$A$2:$B$7,2,0),VLOOKUP(G529,'для артикула'!$A$13:$B$14,2,0),VLOOKUP(E529,'для артикула'!$A$9:$B$11,2,0),VLOOKUP(F529,'для артикула'!$A$17:$B$19,2,0),VLOOKUP(J529,'для артикула'!$A$22:$B$23,2,0),VLOOKUP(H529,'для артик"&amp;"ула'!$A$26:$B$30,2,0))"),"002-2013E50Q13-OK30")</f>
        <v>002-2013E50Q13-OK30</v>
      </c>
      <c r="N529" s="8" t="str">
        <f>IF(ISNUMBER(MATCH(C529, 'Реестр договоров'!$D$2:$D$900, 0)), "Продано", "В наличии")</f>
        <v>Продано</v>
      </c>
    </row>
    <row r="530" spans="1:14">
      <c r="A530" s="26">
        <v>45807.570037453705</v>
      </c>
      <c r="B530" s="26"/>
      <c r="C530" s="8" t="s">
        <v>634</v>
      </c>
      <c r="D530" s="8" t="s">
        <v>114</v>
      </c>
      <c r="E530" s="8">
        <v>50</v>
      </c>
      <c r="F530" s="8" t="s">
        <v>116</v>
      </c>
      <c r="G530" s="8" t="s">
        <v>116</v>
      </c>
      <c r="H530" s="8">
        <v>30</v>
      </c>
      <c r="I530" s="27">
        <v>45807</v>
      </c>
      <c r="J530" s="8" t="s">
        <v>117</v>
      </c>
      <c r="K530" s="8" t="s">
        <v>124</v>
      </c>
      <c r="L530" s="8" t="s">
        <v>119</v>
      </c>
      <c r="M530" s="16" t="str">
        <f ca="1">IFERROR(__xludf.DUMMYFUNCTION("JOIN("""",VLOOKUP(D530,'для артикула'!$A$2:$B$7,2,0),VLOOKUP(G530,'для артикула'!$A$13:$B$14,2,0),VLOOKUP(E530,'для артикула'!$A$9:$B$11,2,0),VLOOKUP(F530,'для артикула'!$A$17:$B$19,2,0),VLOOKUP(J530,'для артикула'!$A$22:$B$23,2,0),VLOOKUP(H530,'для артик"&amp;"ула'!$A$26:$B$30,2,0))"),"002-2013E50Q13-OK30")</f>
        <v>002-2013E50Q13-OK30</v>
      </c>
      <c r="N530" s="8" t="str">
        <f>IF(ISNUMBER(MATCH(C530, 'Реестр договоров'!$D$2:$D$900, 0)), "Продано", "В наличии")</f>
        <v>Продано</v>
      </c>
    </row>
    <row r="531" spans="1:14">
      <c r="A531" s="26">
        <v>45807.573216932869</v>
      </c>
      <c r="B531" s="26"/>
      <c r="C531" s="8" t="s">
        <v>635</v>
      </c>
      <c r="D531" s="8" t="s">
        <v>114</v>
      </c>
      <c r="E531" s="8">
        <v>30</v>
      </c>
      <c r="F531" s="8" t="s">
        <v>116</v>
      </c>
      <c r="G531" s="8" t="s">
        <v>116</v>
      </c>
      <c r="H531" s="8" t="s">
        <v>115</v>
      </c>
      <c r="I531" s="27">
        <v>45807</v>
      </c>
      <c r="J531" s="8" t="s">
        <v>117</v>
      </c>
      <c r="K531" s="8" t="s">
        <v>118</v>
      </c>
      <c r="L531" s="8" t="s">
        <v>119</v>
      </c>
      <c r="M531" s="16" t="str">
        <f ca="1">IFERROR(__xludf.DUMMYFUNCTION("JOIN("""",VLOOKUP(D531,'для артикула'!$A$2:$B$7,2,0),VLOOKUP(G531,'для артикула'!$A$13:$B$14,2,0),VLOOKUP(E531,'для артикула'!$A$9:$B$11,2,0),VLOOKUP(F531,'для артикула'!$A$17:$B$19,2,0),VLOOKUP(J531,'для артикула'!$A$22:$B$23,2,0),VLOOKUP(H531,'для артик"&amp;"ула'!$A$26:$B$30,2,0))"),"002-2013E30Q13-OK")</f>
        <v>002-2013E30Q13-OK</v>
      </c>
      <c r="N531" s="8" t="str">
        <f>IF(ISNUMBER(MATCH(C531, 'Реестр договоров'!$D$2:$D$900, 0)), "Продано", "В наличии")</f>
        <v>Продано</v>
      </c>
    </row>
    <row r="532" spans="1:14">
      <c r="A532" s="26">
        <v>45807.610494490742</v>
      </c>
      <c r="B532" s="26"/>
      <c r="C532" s="8" t="s">
        <v>636</v>
      </c>
      <c r="D532" s="8" t="s">
        <v>114</v>
      </c>
      <c r="E532" s="8">
        <v>50</v>
      </c>
      <c r="F532" s="8" t="s">
        <v>116</v>
      </c>
      <c r="G532" s="8" t="s">
        <v>116</v>
      </c>
      <c r="H532" s="8" t="s">
        <v>115</v>
      </c>
      <c r="I532" s="27">
        <v>45807</v>
      </c>
      <c r="J532" s="8" t="s">
        <v>117</v>
      </c>
      <c r="K532" s="8" t="s">
        <v>121</v>
      </c>
      <c r="L532" s="8" t="s">
        <v>119</v>
      </c>
      <c r="M532" s="16" t="str">
        <f ca="1">IFERROR(__xludf.DUMMYFUNCTION("JOIN("""",VLOOKUP(D532,'для артикула'!$A$2:$B$7,2,0),VLOOKUP(G532,'для артикула'!$A$13:$B$14,2,0),VLOOKUP(E532,'для артикула'!$A$9:$B$11,2,0),VLOOKUP(F532,'для артикула'!$A$17:$B$19,2,0),VLOOKUP(J532,'для артикула'!$A$22:$B$23,2,0),VLOOKUP(H532,'для артик"&amp;"ула'!$A$26:$B$30,2,0))"),"002-2013E50Q13-OK")</f>
        <v>002-2013E50Q13-OK</v>
      </c>
      <c r="N532" s="8" t="str">
        <f>IF(ISNUMBER(MATCH(C532, 'Реестр договоров'!$D$2:$D$900, 0)), "Продано", "В наличии")</f>
        <v>Продано</v>
      </c>
    </row>
    <row r="533" spans="1:14">
      <c r="A533" s="26">
        <v>45810.519529756944</v>
      </c>
      <c r="B533" s="26"/>
      <c r="C533" s="8" t="s">
        <v>637</v>
      </c>
      <c r="D533" s="8" t="s">
        <v>114</v>
      </c>
      <c r="E533" s="8">
        <v>30</v>
      </c>
      <c r="F533" s="8" t="s">
        <v>116</v>
      </c>
      <c r="G533" s="8" t="s">
        <v>116</v>
      </c>
      <c r="H533" s="8" t="s">
        <v>115</v>
      </c>
      <c r="I533" s="27">
        <v>45810</v>
      </c>
      <c r="J533" s="8" t="s">
        <v>117</v>
      </c>
      <c r="K533" s="8" t="s">
        <v>124</v>
      </c>
      <c r="L533" s="8" t="s">
        <v>119</v>
      </c>
      <c r="M533" s="16" t="str">
        <f ca="1">IFERROR(__xludf.DUMMYFUNCTION("JOIN("""",VLOOKUP(D533,'для артикула'!$A$2:$B$7,2,0),VLOOKUP(G533,'для артикула'!$A$13:$B$14,2,0),VLOOKUP(E533,'для артикула'!$A$9:$B$11,2,0),VLOOKUP(F533,'для артикула'!$A$17:$B$19,2,0),VLOOKUP(J533,'для артикула'!$A$22:$B$23,2,0),VLOOKUP(H533,'для артик"&amp;"ула'!$A$26:$B$30,2,0))"),"002-2013E30Q13-OK")</f>
        <v>002-2013E30Q13-OK</v>
      </c>
      <c r="N533" s="8" t="str">
        <f>IF(ISNUMBER(MATCH(C533, 'Реестр договоров'!$D$2:$D$900, 0)), "Продано", "В наличии")</f>
        <v>Продано</v>
      </c>
    </row>
    <row r="534" spans="1:14">
      <c r="A534" s="26">
        <v>45810.520366412034</v>
      </c>
      <c r="B534" s="26"/>
      <c r="C534" s="8" t="s">
        <v>638</v>
      </c>
      <c r="D534" s="8" t="s">
        <v>114</v>
      </c>
      <c r="E534" s="8">
        <v>30</v>
      </c>
      <c r="F534" s="8" t="s">
        <v>116</v>
      </c>
      <c r="G534" s="8" t="s">
        <v>116</v>
      </c>
      <c r="H534" s="8" t="s">
        <v>115</v>
      </c>
      <c r="I534" s="27">
        <v>45810</v>
      </c>
      <c r="J534" s="8" t="s">
        <v>117</v>
      </c>
      <c r="K534" s="8" t="s">
        <v>124</v>
      </c>
      <c r="L534" s="8" t="s">
        <v>119</v>
      </c>
      <c r="M534" s="16" t="str">
        <f ca="1">IFERROR(__xludf.DUMMYFUNCTION("JOIN("""",VLOOKUP(D534,'для артикула'!$A$2:$B$7,2,0),VLOOKUP(G534,'для артикула'!$A$13:$B$14,2,0),VLOOKUP(E534,'для артикула'!$A$9:$B$11,2,0),VLOOKUP(F534,'для артикула'!$A$17:$B$19,2,0),VLOOKUP(J534,'для артикула'!$A$22:$B$23,2,0),VLOOKUP(H534,'для артик"&amp;"ула'!$A$26:$B$30,2,0))"),"002-2013E30Q13-OK")</f>
        <v>002-2013E30Q13-OK</v>
      </c>
      <c r="N534" s="8" t="str">
        <f>IF(ISNUMBER(MATCH(C534, 'Реестр договоров'!$D$2:$D$900, 0)), "Продано", "В наличии")</f>
        <v>Продано</v>
      </c>
    </row>
    <row r="535" spans="1:14">
      <c r="A535" s="26">
        <v>45810.520802453699</v>
      </c>
      <c r="B535" s="26"/>
      <c r="C535" s="8" t="s">
        <v>639</v>
      </c>
      <c r="D535" s="8" t="s">
        <v>114</v>
      </c>
      <c r="E535" s="8">
        <v>30</v>
      </c>
      <c r="F535" s="8" t="s">
        <v>116</v>
      </c>
      <c r="G535" s="8" t="s">
        <v>116</v>
      </c>
      <c r="H535" s="8" t="s">
        <v>115</v>
      </c>
      <c r="I535" s="27">
        <v>45810</v>
      </c>
      <c r="J535" s="8" t="s">
        <v>117</v>
      </c>
      <c r="K535" s="8" t="s">
        <v>124</v>
      </c>
      <c r="L535" s="8" t="s">
        <v>119</v>
      </c>
      <c r="M535" s="16" t="str">
        <f ca="1">IFERROR(__xludf.DUMMYFUNCTION("JOIN("""",VLOOKUP(D535,'для артикула'!$A$2:$B$7,2,0),VLOOKUP(G535,'для артикула'!$A$13:$B$14,2,0),VLOOKUP(E535,'для артикула'!$A$9:$B$11,2,0),VLOOKUP(F535,'для артикула'!$A$17:$B$19,2,0),VLOOKUP(J535,'для артикула'!$A$22:$B$23,2,0),VLOOKUP(H535,'для артик"&amp;"ула'!$A$26:$B$30,2,0))"),"002-2013E30Q13-OK")</f>
        <v>002-2013E30Q13-OK</v>
      </c>
      <c r="N535" s="8" t="str">
        <f>IF(ISNUMBER(MATCH(C535, 'Реестр договоров'!$D$2:$D$900, 0)), "Продано", "В наличии")</f>
        <v>Продано</v>
      </c>
    </row>
    <row r="536" spans="1:14">
      <c r="A536" s="26">
        <v>45810.653256805555</v>
      </c>
      <c r="B536" s="26"/>
      <c r="C536" s="8" t="s">
        <v>640</v>
      </c>
      <c r="D536" s="8" t="s">
        <v>287</v>
      </c>
      <c r="E536" s="8">
        <v>50</v>
      </c>
      <c r="F536" s="8" t="s">
        <v>116</v>
      </c>
      <c r="G536" s="8" t="s">
        <v>116</v>
      </c>
      <c r="H536" s="8">
        <v>30</v>
      </c>
      <c r="I536" s="27">
        <v>45810</v>
      </c>
      <c r="J536" s="8" t="s">
        <v>117</v>
      </c>
      <c r="K536" s="8" t="s">
        <v>118</v>
      </c>
      <c r="L536" s="8" t="s">
        <v>119</v>
      </c>
      <c r="M536" s="16" t="str">
        <f ca="1">IFERROR(__xludf.DUMMYFUNCTION("JOIN("""",VLOOKUP(D536,'для артикула'!$A$2:$B$7,2,0),VLOOKUP(G536,'для артикула'!$A$13:$B$14,2,0),VLOOKUP(E536,'для артикула'!$A$9:$B$11,2,0),VLOOKUP(F536,'для артикула'!$A$17:$B$19,2,0),VLOOKUP(J536,'для артикула'!$A$22:$B$23,2,0),VLOOKUP(H536,'для артик"&amp;"ула'!$A$26:$B$30,2,0))"),"002-2513E50Q13-OK30")</f>
        <v>002-2513E50Q13-OK30</v>
      </c>
      <c r="N536" s="8" t="str">
        <f>IF(ISNUMBER(MATCH(C536, 'Реестр договоров'!$D$2:$D$900, 0)), "Продано", "В наличии")</f>
        <v>Продано</v>
      </c>
    </row>
    <row r="537" spans="1:14">
      <c r="A537" s="26">
        <v>45810.676337962963</v>
      </c>
      <c r="B537" s="26"/>
      <c r="C537" s="8" t="s">
        <v>641</v>
      </c>
      <c r="D537" s="8" t="s">
        <v>375</v>
      </c>
      <c r="E537" s="8">
        <v>30</v>
      </c>
      <c r="F537" s="8" t="s">
        <v>116</v>
      </c>
      <c r="G537" s="8" t="s">
        <v>116</v>
      </c>
      <c r="H537" s="8" t="s">
        <v>115</v>
      </c>
      <c r="I537" s="27">
        <v>45810</v>
      </c>
      <c r="J537" s="8" t="s">
        <v>117</v>
      </c>
      <c r="K537" s="8" t="s">
        <v>121</v>
      </c>
      <c r="L537" s="8" t="s">
        <v>288</v>
      </c>
      <c r="M537" s="16" t="str">
        <f ca="1">IFERROR(__xludf.DUMMYFUNCTION("JOIN("""",VLOOKUP(D537,'для артикула'!$A$2:$B$7,2,0),VLOOKUP(G537,'для артикула'!$A$13:$B$14,2,0),VLOOKUP(E537,'для артикула'!$A$9:$B$11,2,0),VLOOKUP(F537,'для артикула'!$A$17:$B$19,2,0),VLOOKUP(J537,'для артикула'!$A$22:$B$23,2,0),VLOOKUP(H537,'для артик"&amp;"ула'!$A$26:$B$30,2,0))"),"002-3515E30Q13-OK")</f>
        <v>002-3515E30Q13-OK</v>
      </c>
      <c r="N537" s="8" t="str">
        <f>IF(ISNUMBER(MATCH(C537, 'Реестр договоров'!$D$2:$D$900, 0)), "Продано", "В наличии")</f>
        <v>Продано</v>
      </c>
    </row>
    <row r="538" spans="1:14">
      <c r="A538" s="26">
        <v>45811.448070115744</v>
      </c>
      <c r="B538" s="26"/>
      <c r="C538" s="8" t="s">
        <v>642</v>
      </c>
      <c r="D538" s="8" t="s">
        <v>114</v>
      </c>
      <c r="E538" s="8">
        <v>50</v>
      </c>
      <c r="F538" s="8" t="s">
        <v>116</v>
      </c>
      <c r="G538" s="8" t="s">
        <v>116</v>
      </c>
      <c r="H538" s="8" t="s">
        <v>115</v>
      </c>
      <c r="I538" s="27">
        <v>45811</v>
      </c>
      <c r="J538" s="8" t="s">
        <v>117</v>
      </c>
      <c r="K538" s="8" t="s">
        <v>124</v>
      </c>
      <c r="L538" s="8" t="s">
        <v>119</v>
      </c>
      <c r="M538" s="16" t="str">
        <f ca="1">IFERROR(__xludf.DUMMYFUNCTION("JOIN("""",VLOOKUP(D538,'для артикула'!$A$2:$B$7,2,0),VLOOKUP(G538,'для артикула'!$A$13:$B$14,2,0),VLOOKUP(E538,'для артикула'!$A$9:$B$11,2,0),VLOOKUP(F538,'для артикула'!$A$17:$B$19,2,0),VLOOKUP(J538,'для артикула'!$A$22:$B$23,2,0),VLOOKUP(H538,'для артик"&amp;"ула'!$A$26:$B$30,2,0))"),"002-2013E50Q13-OK")</f>
        <v>002-2013E50Q13-OK</v>
      </c>
      <c r="N538" s="8" t="str">
        <f>IF(ISNUMBER(MATCH(C538, 'Реестр договоров'!$D$2:$D$900, 0)), "Продано", "В наличии")</f>
        <v>Продано</v>
      </c>
    </row>
    <row r="539" spans="1:14">
      <c r="A539" s="26">
        <v>45811.522608449071</v>
      </c>
      <c r="B539" s="26"/>
      <c r="C539" s="8" t="s">
        <v>643</v>
      </c>
      <c r="D539" s="8" t="s">
        <v>114</v>
      </c>
      <c r="E539" s="8">
        <v>30</v>
      </c>
      <c r="F539" s="8" t="s">
        <v>116</v>
      </c>
      <c r="G539" s="8" t="s">
        <v>116</v>
      </c>
      <c r="H539" s="8" t="s">
        <v>115</v>
      </c>
      <c r="I539" s="27">
        <v>45811</v>
      </c>
      <c r="J539" s="8" t="s">
        <v>117</v>
      </c>
      <c r="K539" s="8" t="s">
        <v>121</v>
      </c>
      <c r="L539" s="8" t="s">
        <v>119</v>
      </c>
      <c r="M539" s="16" t="str">
        <f ca="1">IFERROR(__xludf.DUMMYFUNCTION("JOIN("""",VLOOKUP(D539,'для артикула'!$A$2:$B$7,2,0),VLOOKUP(G539,'для артикула'!$A$13:$B$14,2,0),VLOOKUP(E539,'для артикула'!$A$9:$B$11,2,0),VLOOKUP(F539,'для артикула'!$A$17:$B$19,2,0),VLOOKUP(J539,'для артикула'!$A$22:$B$23,2,0),VLOOKUP(H539,'для артик"&amp;"ула'!$A$26:$B$30,2,0))"),"002-2013E30Q13-OK")</f>
        <v>002-2013E30Q13-OK</v>
      </c>
      <c r="N539" s="8" t="str">
        <f>IF(ISNUMBER(MATCH(C539, 'Реестр договоров'!$D$2:$D$900, 0)), "Продано", "В наличии")</f>
        <v>Продано</v>
      </c>
    </row>
    <row r="540" spans="1:14">
      <c r="A540" s="26">
        <v>45811.737445949075</v>
      </c>
      <c r="B540" s="26"/>
      <c r="C540" s="8" t="s">
        <v>644</v>
      </c>
      <c r="D540" s="8" t="s">
        <v>287</v>
      </c>
      <c r="E540" s="8">
        <v>30</v>
      </c>
      <c r="F540" s="8" t="s">
        <v>116</v>
      </c>
      <c r="G540" s="8" t="s">
        <v>116</v>
      </c>
      <c r="H540" s="8" t="s">
        <v>115</v>
      </c>
      <c r="I540" s="27">
        <v>45811</v>
      </c>
      <c r="J540" s="8" t="s">
        <v>117</v>
      </c>
      <c r="K540" s="8" t="s">
        <v>118</v>
      </c>
      <c r="L540" s="8" t="s">
        <v>119</v>
      </c>
      <c r="M540" s="16" t="str">
        <f ca="1">IFERROR(__xludf.DUMMYFUNCTION("JOIN("""",VLOOKUP(D540,'для артикула'!$A$2:$B$7,2,0),VLOOKUP(G540,'для артикула'!$A$13:$B$14,2,0),VLOOKUP(E540,'для артикула'!$A$9:$B$11,2,0),VLOOKUP(F540,'для артикула'!$A$17:$B$19,2,0),VLOOKUP(J540,'для артикула'!$A$22:$B$23,2,0),VLOOKUP(H540,'для артик"&amp;"ула'!$A$26:$B$30,2,0))"),"002-2513E30Q13-OK")</f>
        <v>002-2513E30Q13-OK</v>
      </c>
      <c r="N540" s="8" t="str">
        <f>IF(ISNUMBER(MATCH(C540, 'Реестр договоров'!$D$2:$D$900, 0)), "Продано", "В наличии")</f>
        <v>Продано</v>
      </c>
    </row>
    <row r="541" spans="1:14">
      <c r="A541" s="26">
        <v>45813.45564028935</v>
      </c>
      <c r="B541" s="26"/>
      <c r="C541" s="8" t="s">
        <v>645</v>
      </c>
      <c r="D541" s="8" t="s">
        <v>114</v>
      </c>
      <c r="E541" s="8">
        <v>30</v>
      </c>
      <c r="F541" s="8" t="s">
        <v>116</v>
      </c>
      <c r="G541" s="8" t="s">
        <v>116</v>
      </c>
      <c r="H541" s="8" t="s">
        <v>115</v>
      </c>
      <c r="I541" s="27">
        <v>45813</v>
      </c>
      <c r="J541" s="8" t="s">
        <v>117</v>
      </c>
      <c r="K541" s="8" t="s">
        <v>118</v>
      </c>
      <c r="L541" s="8" t="s">
        <v>119</v>
      </c>
      <c r="M541" s="16" t="str">
        <f ca="1">IFERROR(__xludf.DUMMYFUNCTION("JOIN("""",VLOOKUP(D541,'для артикула'!$A$2:$B$7,2,0),VLOOKUP(G541,'для артикула'!$A$13:$B$14,2,0),VLOOKUP(E541,'для артикула'!$A$9:$B$11,2,0),VLOOKUP(F541,'для артикула'!$A$17:$B$19,2,0),VLOOKUP(J541,'для артикула'!$A$22:$B$23,2,0),VLOOKUP(H541,'для артик"&amp;"ула'!$A$26:$B$30,2,0))"),"002-2013E30Q13-OK")</f>
        <v>002-2013E30Q13-OK</v>
      </c>
      <c r="N541" s="8" t="str">
        <f>IF(ISNUMBER(MATCH(C541, 'Реестр договоров'!$D$2:$D$900, 0)), "Продано", "В наличии")</f>
        <v>Продано</v>
      </c>
    </row>
    <row r="542" spans="1:14">
      <c r="A542" s="26">
        <v>45813.484731319448</v>
      </c>
      <c r="B542" s="26"/>
      <c r="C542" s="8" t="s">
        <v>646</v>
      </c>
      <c r="D542" s="8" t="s">
        <v>114</v>
      </c>
      <c r="E542" s="8">
        <v>50</v>
      </c>
      <c r="F542" s="8" t="s">
        <v>116</v>
      </c>
      <c r="G542" s="8" t="s">
        <v>116</v>
      </c>
      <c r="H542" s="8" t="s">
        <v>115</v>
      </c>
      <c r="I542" s="27">
        <v>45813</v>
      </c>
      <c r="J542" s="8" t="s">
        <v>117</v>
      </c>
      <c r="K542" s="8" t="s">
        <v>121</v>
      </c>
      <c r="L542" s="8" t="s">
        <v>119</v>
      </c>
      <c r="M542" s="16" t="str">
        <f ca="1">IFERROR(__xludf.DUMMYFUNCTION("JOIN("""",VLOOKUP(D542,'для артикула'!$A$2:$B$7,2,0),VLOOKUP(G542,'для артикула'!$A$13:$B$14,2,0),VLOOKUP(E542,'для артикула'!$A$9:$B$11,2,0),VLOOKUP(F542,'для артикула'!$A$17:$B$19,2,0),VLOOKUP(J542,'для артикула'!$A$22:$B$23,2,0),VLOOKUP(H542,'для артик"&amp;"ула'!$A$26:$B$30,2,0))"),"002-2013E50Q13-OK")</f>
        <v>002-2013E50Q13-OK</v>
      </c>
      <c r="N542" s="8" t="str">
        <f>IF(ISNUMBER(MATCH(C542, 'Реестр договоров'!$D$2:$D$900, 0)), "Продано", "В наличии")</f>
        <v>Продано</v>
      </c>
    </row>
    <row r="543" spans="1:14">
      <c r="A543" s="26">
        <v>45813.646554305553</v>
      </c>
      <c r="B543" s="26"/>
      <c r="C543" s="8" t="s">
        <v>647</v>
      </c>
      <c r="D543" s="8" t="s">
        <v>114</v>
      </c>
      <c r="E543" s="8">
        <v>30</v>
      </c>
      <c r="F543" s="8" t="s">
        <v>116</v>
      </c>
      <c r="G543" s="8" t="s">
        <v>116</v>
      </c>
      <c r="H543" s="8" t="s">
        <v>115</v>
      </c>
      <c r="I543" s="27">
        <v>45813</v>
      </c>
      <c r="J543" s="8" t="s">
        <v>117</v>
      </c>
      <c r="K543" s="8" t="s">
        <v>118</v>
      </c>
      <c r="L543" s="8" t="s">
        <v>119</v>
      </c>
      <c r="M543" s="16" t="str">
        <f ca="1">IFERROR(__xludf.DUMMYFUNCTION("JOIN("""",VLOOKUP(D543,'для артикула'!$A$2:$B$7,2,0),VLOOKUP(G543,'для артикула'!$A$13:$B$14,2,0),VLOOKUP(E543,'для артикула'!$A$9:$B$11,2,0),VLOOKUP(F543,'для артикула'!$A$17:$B$19,2,0),VLOOKUP(J543,'для артикула'!$A$22:$B$23,2,0),VLOOKUP(H543,'для артик"&amp;"ула'!$A$26:$B$30,2,0))"),"002-2013E30Q13-OK")</f>
        <v>002-2013E30Q13-OK</v>
      </c>
      <c r="N543" s="8" t="str">
        <f>IF(ISNUMBER(MATCH(C543, 'Реестр договоров'!$D$2:$D$900, 0)), "Продано", "В наличии")</f>
        <v>Продано</v>
      </c>
    </row>
    <row r="544" spans="1:14">
      <c r="A544" s="26">
        <v>45814.591874930557</v>
      </c>
      <c r="B544" s="26"/>
      <c r="C544" s="8" t="s">
        <v>648</v>
      </c>
      <c r="D544" s="8" t="s">
        <v>114</v>
      </c>
      <c r="E544" s="8">
        <v>50</v>
      </c>
      <c r="F544" s="8" t="s">
        <v>116</v>
      </c>
      <c r="G544" s="8" t="s">
        <v>116</v>
      </c>
      <c r="H544" s="8" t="s">
        <v>115</v>
      </c>
      <c r="I544" s="27">
        <v>45814</v>
      </c>
      <c r="J544" s="8" t="s">
        <v>117</v>
      </c>
      <c r="K544" s="8" t="s">
        <v>121</v>
      </c>
      <c r="L544" s="8" t="s">
        <v>119</v>
      </c>
      <c r="M544" s="16" t="str">
        <f ca="1">IFERROR(__xludf.DUMMYFUNCTION("JOIN("""",VLOOKUP(D544,'для артикула'!$A$2:$B$7,2,0),VLOOKUP(G544,'для артикула'!$A$13:$B$14,2,0),VLOOKUP(E544,'для артикула'!$A$9:$B$11,2,0),VLOOKUP(F544,'для артикула'!$A$17:$B$19,2,0),VLOOKUP(J544,'для артикула'!$A$22:$B$23,2,0),VLOOKUP(H544,'для артик"&amp;"ула'!$A$26:$B$30,2,0))"),"002-2013E50Q13-OK")</f>
        <v>002-2013E50Q13-OK</v>
      </c>
      <c r="N544" s="8" t="str">
        <f>IF(ISNUMBER(MATCH(C544, 'Реестр договоров'!$D$2:$D$900, 0)), "Продано", "В наличии")</f>
        <v>Продано</v>
      </c>
    </row>
    <row r="545" spans="1:14">
      <c r="A545" s="26">
        <v>45814.604357986114</v>
      </c>
      <c r="B545" s="26"/>
      <c r="C545" s="8" t="s">
        <v>649</v>
      </c>
      <c r="D545" s="8" t="s">
        <v>114</v>
      </c>
      <c r="E545" s="8">
        <v>50</v>
      </c>
      <c r="F545" s="8" t="s">
        <v>116</v>
      </c>
      <c r="G545" s="8" t="s">
        <v>116</v>
      </c>
      <c r="H545" s="8" t="s">
        <v>115</v>
      </c>
      <c r="I545" s="27">
        <v>45814</v>
      </c>
      <c r="J545" s="8" t="s">
        <v>117</v>
      </c>
      <c r="K545" s="8" t="s">
        <v>121</v>
      </c>
      <c r="L545" s="8" t="s">
        <v>119</v>
      </c>
      <c r="M545" s="16" t="str">
        <f ca="1">IFERROR(__xludf.DUMMYFUNCTION("JOIN("""",VLOOKUP(D545,'для артикула'!$A$2:$B$7,2,0),VLOOKUP(G545,'для артикула'!$A$13:$B$14,2,0),VLOOKUP(E545,'для артикула'!$A$9:$B$11,2,0),VLOOKUP(F545,'для артикула'!$A$17:$B$19,2,0),VLOOKUP(J545,'для артикула'!$A$22:$B$23,2,0),VLOOKUP(H545,'для артик"&amp;"ула'!$A$26:$B$30,2,0))"),"002-2013E50Q13-OK")</f>
        <v>002-2013E50Q13-OK</v>
      </c>
      <c r="N545" s="8" t="str">
        <f>IF(ISNUMBER(MATCH(C545, 'Реестр договоров'!$D$2:$D$900, 0)), "Продано", "В наличии")</f>
        <v>Продано</v>
      </c>
    </row>
    <row r="546" spans="1:14">
      <c r="A546" s="26">
        <v>45818.411139155098</v>
      </c>
      <c r="B546" s="26"/>
      <c r="C546" s="8" t="s">
        <v>650</v>
      </c>
      <c r="D546" s="8" t="s">
        <v>114</v>
      </c>
      <c r="E546" s="8">
        <v>30</v>
      </c>
      <c r="F546" s="8" t="s">
        <v>116</v>
      </c>
      <c r="G546" s="8" t="s">
        <v>116</v>
      </c>
      <c r="H546" s="8" t="s">
        <v>115</v>
      </c>
      <c r="I546" s="27">
        <v>45791</v>
      </c>
      <c r="J546" s="8" t="s">
        <v>117</v>
      </c>
      <c r="K546" s="8" t="s">
        <v>121</v>
      </c>
      <c r="L546" s="8" t="s">
        <v>119</v>
      </c>
      <c r="M546" s="16" t="str">
        <f ca="1">IFERROR(__xludf.DUMMYFUNCTION("JOIN("""",VLOOKUP(D546,'для артикула'!$A$2:$B$7,2,0),VLOOKUP(G546,'для артикула'!$A$13:$B$14,2,0),VLOOKUP(E546,'для артикула'!$A$9:$B$11,2,0),VLOOKUP(F546,'для артикула'!$A$17:$B$19,2,0),VLOOKUP(J546,'для артикула'!$A$22:$B$23,2,0),VLOOKUP(H546,'для артик"&amp;"ула'!$A$26:$B$30,2,0))"),"002-2013E30Q13-OK")</f>
        <v>002-2013E30Q13-OK</v>
      </c>
      <c r="N546" s="8" t="str">
        <f>IF(ISNUMBER(MATCH(C546, 'Реестр договоров'!$D$2:$D$900, 0)), "Продано", "В наличии")</f>
        <v>Продано</v>
      </c>
    </row>
    <row r="547" spans="1:14">
      <c r="A547" s="26">
        <v>45818.60421049768</v>
      </c>
      <c r="B547" s="26"/>
      <c r="C547" s="8" t="s">
        <v>651</v>
      </c>
      <c r="D547" s="8" t="s">
        <v>114</v>
      </c>
      <c r="E547" s="8">
        <v>30</v>
      </c>
      <c r="F547" s="8" t="s">
        <v>116</v>
      </c>
      <c r="G547" s="8" t="s">
        <v>116</v>
      </c>
      <c r="H547" s="8" t="s">
        <v>115</v>
      </c>
      <c r="I547" s="27">
        <v>45799</v>
      </c>
      <c r="J547" s="8" t="s">
        <v>117</v>
      </c>
      <c r="K547" s="8" t="s">
        <v>121</v>
      </c>
      <c r="L547" s="8" t="s">
        <v>119</v>
      </c>
      <c r="M547" s="16" t="str">
        <f ca="1">IFERROR(__xludf.DUMMYFUNCTION("JOIN("""",VLOOKUP(D547,'для артикула'!$A$2:$B$7,2,0),VLOOKUP(G547,'для артикула'!$A$13:$B$14,2,0),VLOOKUP(E547,'для артикула'!$A$9:$B$11,2,0),VLOOKUP(F547,'для артикула'!$A$17:$B$19,2,0),VLOOKUP(J547,'для артикула'!$A$22:$B$23,2,0),VLOOKUP(H547,'для артик"&amp;"ула'!$A$26:$B$30,2,0))"),"002-2013E30Q13-OK")</f>
        <v>002-2013E30Q13-OK</v>
      </c>
      <c r="N547" s="8" t="str">
        <f>IF(ISNUMBER(MATCH(C547, 'Реестр договоров'!$D$2:$D$900, 0)), "Продано", "В наличии")</f>
        <v>Продано</v>
      </c>
    </row>
    <row r="548" spans="1:14">
      <c r="A548" s="26">
        <v>45819.445380590274</v>
      </c>
      <c r="B548" s="26"/>
      <c r="C548" s="8" t="s">
        <v>652</v>
      </c>
      <c r="D548" s="8" t="s">
        <v>366</v>
      </c>
      <c r="E548" s="8">
        <v>50</v>
      </c>
      <c r="F548" s="8" t="s">
        <v>116</v>
      </c>
      <c r="G548" s="8" t="s">
        <v>116</v>
      </c>
      <c r="H548" s="8">
        <v>120</v>
      </c>
      <c r="I548" s="27">
        <v>45819</v>
      </c>
      <c r="J548" s="8" t="s">
        <v>117</v>
      </c>
      <c r="K548" s="8" t="s">
        <v>118</v>
      </c>
      <c r="L548" s="8" t="s">
        <v>119</v>
      </c>
      <c r="M548" s="16" t="str">
        <f ca="1">IFERROR(__xludf.DUMMYFUNCTION("JOIN("""",VLOOKUP(D548,'для артикула'!$A$2:$B$7,2,0),VLOOKUP(G548,'для артикула'!$A$13:$B$14,2,0),VLOOKUP(E548,'для артикула'!$A$9:$B$11,2,0),VLOOKUP(F548,'для артикула'!$A$17:$B$19,2,0),VLOOKUP(J548,'для артикула'!$A$22:$B$23,2,0),VLOOKUP(H548,'для артик"&amp;"ула'!$A$26:$B$30,2,0))"),"002-3015E50Q13-OK120")</f>
        <v>002-3015E50Q13-OK120</v>
      </c>
      <c r="N548" s="8" t="str">
        <f>IF(ISNUMBER(MATCH(C548, 'Реестр договоров'!$D$2:$D$900, 0)), "Продано", "В наличии")</f>
        <v>Продано</v>
      </c>
    </row>
    <row r="549" spans="1:14">
      <c r="A549" s="26">
        <v>45819.70639900463</v>
      </c>
      <c r="B549" s="26"/>
      <c r="C549" s="8" t="s">
        <v>653</v>
      </c>
      <c r="D549" s="8" t="s">
        <v>114</v>
      </c>
      <c r="E549" s="8">
        <v>50</v>
      </c>
      <c r="F549" s="8" t="s">
        <v>116</v>
      </c>
      <c r="G549" s="8" t="s">
        <v>116</v>
      </c>
      <c r="H549" s="8">
        <v>30</v>
      </c>
      <c r="I549" s="27">
        <v>45819</v>
      </c>
      <c r="J549" s="8" t="s">
        <v>117</v>
      </c>
      <c r="K549" s="8" t="s">
        <v>124</v>
      </c>
      <c r="L549" s="8" t="s">
        <v>119</v>
      </c>
      <c r="M549" s="16" t="str">
        <f ca="1">IFERROR(__xludf.DUMMYFUNCTION("JOIN("""",VLOOKUP(D549,'для артикула'!$A$2:$B$7,2,0),VLOOKUP(G549,'для артикула'!$A$13:$B$14,2,0),VLOOKUP(E549,'для артикула'!$A$9:$B$11,2,0),VLOOKUP(F549,'для артикула'!$A$17:$B$19,2,0),VLOOKUP(J549,'для артикула'!$A$22:$B$23,2,0),VLOOKUP(H549,'для артик"&amp;"ула'!$A$26:$B$30,2,0))"),"002-2013E50Q13-OK30")</f>
        <v>002-2013E50Q13-OK30</v>
      </c>
      <c r="N549" s="8" t="str">
        <f>IF(ISNUMBER(MATCH(C549, 'Реестр договоров'!$D$2:$D$900, 0)), "Продано", "В наличии")</f>
        <v>Продано</v>
      </c>
    </row>
    <row r="550" spans="1:14">
      <c r="A550" s="26">
        <v>45819.732605497687</v>
      </c>
      <c r="B550" s="26"/>
      <c r="C550" s="8" t="s">
        <v>654</v>
      </c>
      <c r="D550" s="8" t="s">
        <v>287</v>
      </c>
      <c r="E550" s="8">
        <v>30</v>
      </c>
      <c r="F550" s="8" t="s">
        <v>116</v>
      </c>
      <c r="G550" s="8" t="s">
        <v>116</v>
      </c>
      <c r="H550" s="8">
        <v>60</v>
      </c>
      <c r="I550" s="27">
        <v>45818</v>
      </c>
      <c r="J550" s="8" t="s">
        <v>117</v>
      </c>
      <c r="K550" s="8" t="s">
        <v>118</v>
      </c>
      <c r="L550" s="8" t="s">
        <v>119</v>
      </c>
      <c r="M550" s="16" t="str">
        <f ca="1">IFERROR(__xludf.DUMMYFUNCTION("JOIN("""",VLOOKUP(D550,'для артикула'!$A$2:$B$7,2,0),VLOOKUP(G550,'для артикула'!$A$13:$B$14,2,0),VLOOKUP(E550,'для артикула'!$A$9:$B$11,2,0),VLOOKUP(F550,'для артикула'!$A$17:$B$19,2,0),VLOOKUP(J550,'для артикула'!$A$22:$B$23,2,0),VLOOKUP(H550,'для артик"&amp;"ула'!$A$26:$B$30,2,0))"),"002-2513E30Q13-OK60")</f>
        <v>002-2513E30Q13-OK60</v>
      </c>
      <c r="N550" s="8" t="str">
        <f>IF(ISNUMBER(MATCH(C550, 'Реестр договоров'!$D$2:$D$900, 0)), "Продано", "В наличии")</f>
        <v>Продано</v>
      </c>
    </row>
    <row r="551" spans="1:14">
      <c r="A551" s="26">
        <v>45821.654197719909</v>
      </c>
      <c r="B551" s="26"/>
      <c r="C551" s="8" t="s">
        <v>655</v>
      </c>
      <c r="D551" s="8" t="s">
        <v>114</v>
      </c>
      <c r="E551" s="8">
        <v>50</v>
      </c>
      <c r="F551" s="8" t="s">
        <v>116</v>
      </c>
      <c r="G551" s="8" t="s">
        <v>116</v>
      </c>
      <c r="H551" s="8">
        <v>30</v>
      </c>
      <c r="I551" s="27">
        <v>45820</v>
      </c>
      <c r="J551" s="8" t="s">
        <v>117</v>
      </c>
      <c r="K551" s="8" t="s">
        <v>124</v>
      </c>
      <c r="L551" s="8" t="s">
        <v>119</v>
      </c>
      <c r="M551" s="16" t="str">
        <f ca="1">IFERROR(__xludf.DUMMYFUNCTION("JOIN("""",VLOOKUP(D551,'для артикула'!$A$2:$B$7,2,0),VLOOKUP(G551,'для артикула'!$A$13:$B$14,2,0),VLOOKUP(E551,'для артикула'!$A$9:$B$11,2,0),VLOOKUP(F551,'для артикула'!$A$17:$B$19,2,0),VLOOKUP(J551,'для артикула'!$A$22:$B$23,2,0),VLOOKUP(H551,'для артик"&amp;"ула'!$A$26:$B$30,2,0))"),"002-2013E50Q13-OK30")</f>
        <v>002-2013E50Q13-OK30</v>
      </c>
      <c r="N551" s="8" t="str">
        <f>IF(ISNUMBER(MATCH(C551, 'Реестр договоров'!$D$2:$D$900, 0)), "Продано", "В наличии")</f>
        <v>Продано</v>
      </c>
    </row>
    <row r="552" spans="1:14">
      <c r="A552" s="26">
        <v>45823.538543506947</v>
      </c>
      <c r="B552" s="26"/>
      <c r="C552" s="8" t="s">
        <v>656</v>
      </c>
      <c r="D552" s="8" t="s">
        <v>287</v>
      </c>
      <c r="E552" s="8">
        <v>30</v>
      </c>
      <c r="F552" s="8" t="s">
        <v>116</v>
      </c>
      <c r="G552" s="8" t="s">
        <v>116</v>
      </c>
      <c r="H552" s="8">
        <v>60</v>
      </c>
      <c r="I552" s="27">
        <v>45823</v>
      </c>
      <c r="J552" s="8" t="s">
        <v>117</v>
      </c>
      <c r="K552" s="8" t="s">
        <v>124</v>
      </c>
      <c r="L552" s="8" t="s">
        <v>119</v>
      </c>
      <c r="M552" s="16" t="str">
        <f ca="1">IFERROR(__xludf.DUMMYFUNCTION("JOIN("""",VLOOKUP(D552,'для артикула'!$A$2:$B$7,2,0),VLOOKUP(G552,'для артикула'!$A$13:$B$14,2,0),VLOOKUP(E552,'для артикула'!$A$9:$B$11,2,0),VLOOKUP(F552,'для артикула'!$A$17:$B$19,2,0),VLOOKUP(J552,'для артикула'!$A$22:$B$23,2,0),VLOOKUP(H552,'для артик"&amp;"ула'!$A$26:$B$30,2,0))"),"002-2513E30Q13-OK60")</f>
        <v>002-2513E30Q13-OK60</v>
      </c>
      <c r="N552" s="8" t="str">
        <f>IF(ISNUMBER(MATCH(C552, 'Реестр договоров'!$D$2:$D$900, 0)), "Продано", "В наличии")</f>
        <v>Продано</v>
      </c>
    </row>
    <row r="553" spans="1:14">
      <c r="A553" s="26">
        <v>45823.539013217596</v>
      </c>
      <c r="B553" s="26"/>
      <c r="C553" s="8" t="s">
        <v>657</v>
      </c>
      <c r="D553" s="8" t="s">
        <v>287</v>
      </c>
      <c r="E553" s="8">
        <v>30</v>
      </c>
      <c r="F553" s="8" t="s">
        <v>116</v>
      </c>
      <c r="G553" s="8" t="s">
        <v>116</v>
      </c>
      <c r="H553" s="8" t="s">
        <v>115</v>
      </c>
      <c r="I553" s="27">
        <v>45823</v>
      </c>
      <c r="J553" s="8" t="s">
        <v>117</v>
      </c>
      <c r="K553" s="8" t="s">
        <v>124</v>
      </c>
      <c r="L553" s="8" t="s">
        <v>119</v>
      </c>
      <c r="M553" s="16" t="str">
        <f ca="1">IFERROR(__xludf.DUMMYFUNCTION("JOIN("""",VLOOKUP(D553,'для артикула'!$A$2:$B$7,2,0),VLOOKUP(G553,'для артикула'!$A$13:$B$14,2,0),VLOOKUP(E553,'для артикула'!$A$9:$B$11,2,0),VLOOKUP(F553,'для артикула'!$A$17:$B$19,2,0),VLOOKUP(J553,'для артикула'!$A$22:$B$23,2,0),VLOOKUP(H553,'для артик"&amp;"ула'!$A$26:$B$30,2,0))"),"002-2513E30Q13-OK")</f>
        <v>002-2513E30Q13-OK</v>
      </c>
      <c r="N553" s="8" t="str">
        <f>IF(ISNUMBER(MATCH(C553, 'Реестр договоров'!$D$2:$D$900, 0)), "Продано", "В наличии")</f>
        <v>В наличии</v>
      </c>
    </row>
    <row r="554" spans="1:14">
      <c r="A554" s="26">
        <v>45823.539419328707</v>
      </c>
      <c r="B554" s="26"/>
      <c r="C554" s="8" t="s">
        <v>658</v>
      </c>
      <c r="D554" s="8" t="s">
        <v>287</v>
      </c>
      <c r="E554" s="8">
        <v>50</v>
      </c>
      <c r="F554" s="8" t="s">
        <v>116</v>
      </c>
      <c r="G554" s="8" t="s">
        <v>116</v>
      </c>
      <c r="H554" s="8" t="s">
        <v>115</v>
      </c>
      <c r="I554" s="27">
        <v>45823</v>
      </c>
      <c r="J554" s="8" t="s">
        <v>117</v>
      </c>
      <c r="K554" s="8" t="s">
        <v>124</v>
      </c>
      <c r="L554" s="8" t="s">
        <v>119</v>
      </c>
      <c r="M554" s="16" t="str">
        <f ca="1">IFERROR(__xludf.DUMMYFUNCTION("JOIN("""",VLOOKUP(D554,'для артикула'!$A$2:$B$7,2,0),VLOOKUP(G554,'для артикула'!$A$13:$B$14,2,0),VLOOKUP(E554,'для артикула'!$A$9:$B$11,2,0),VLOOKUP(F554,'для артикула'!$A$17:$B$19,2,0),VLOOKUP(J554,'для артикула'!$A$22:$B$23,2,0),VLOOKUP(H554,'для артик"&amp;"ула'!$A$26:$B$30,2,0))"),"002-2513E50Q13-OK")</f>
        <v>002-2513E50Q13-OK</v>
      </c>
      <c r="N554" s="8" t="str">
        <f>IF(ISNUMBER(MATCH(C554, 'Реестр договоров'!$D$2:$D$900, 0)), "Продано", "В наличии")</f>
        <v>Продано</v>
      </c>
    </row>
    <row r="555" spans="1:14">
      <c r="A555" s="26">
        <v>45824.420652673609</v>
      </c>
      <c r="B555" s="26"/>
      <c r="C555" s="8" t="s">
        <v>659</v>
      </c>
      <c r="D555" s="8" t="s">
        <v>114</v>
      </c>
      <c r="E555" s="8">
        <v>30</v>
      </c>
      <c r="F555" s="8" t="s">
        <v>116</v>
      </c>
      <c r="G555" s="8" t="s">
        <v>116</v>
      </c>
      <c r="H555" s="8" t="s">
        <v>115</v>
      </c>
      <c r="I555" s="27">
        <v>45813</v>
      </c>
      <c r="J555" s="8" t="s">
        <v>117</v>
      </c>
      <c r="K555" s="8" t="s">
        <v>121</v>
      </c>
      <c r="L555" s="8" t="s">
        <v>119</v>
      </c>
      <c r="M555" s="16" t="str">
        <f ca="1">IFERROR(__xludf.DUMMYFUNCTION("JOIN("""",VLOOKUP(D555,'для артикула'!$A$2:$B$7,2,0),VLOOKUP(G555,'для артикула'!$A$13:$B$14,2,0),VLOOKUP(E555,'для артикула'!$A$9:$B$11,2,0),VLOOKUP(F555,'для артикула'!$A$17:$B$19,2,0),VLOOKUP(J555,'для артикула'!$A$22:$B$23,2,0),VLOOKUP(H555,'для артик"&amp;"ула'!$A$26:$B$30,2,0))"),"002-2013E30Q13-OK")</f>
        <v>002-2013E30Q13-OK</v>
      </c>
      <c r="N555" s="8" t="str">
        <f>IF(ISNUMBER(MATCH(C555, 'Реестр договоров'!$D$2:$D$900, 0)), "Продано", "В наличии")</f>
        <v>Продано</v>
      </c>
    </row>
    <row r="556" spans="1:14">
      <c r="A556" s="26">
        <v>45824.745333738421</v>
      </c>
      <c r="B556" s="26"/>
      <c r="C556" s="8" t="s">
        <v>660</v>
      </c>
      <c r="D556" s="8" t="s">
        <v>114</v>
      </c>
      <c r="E556" s="8">
        <v>50</v>
      </c>
      <c r="F556" s="8" t="s">
        <v>116</v>
      </c>
      <c r="G556" s="8" t="s">
        <v>116</v>
      </c>
      <c r="H556" s="8" t="s">
        <v>115</v>
      </c>
      <c r="I556" s="27">
        <v>45824</v>
      </c>
      <c r="J556" s="8" t="s">
        <v>117</v>
      </c>
      <c r="K556" s="8" t="s">
        <v>118</v>
      </c>
      <c r="L556" s="8" t="s">
        <v>119</v>
      </c>
      <c r="M556" s="16" t="str">
        <f ca="1">IFERROR(__xludf.DUMMYFUNCTION("JOIN("""",VLOOKUP(D556,'для артикула'!$A$2:$B$7,2,0),VLOOKUP(G556,'для артикула'!$A$13:$B$14,2,0),VLOOKUP(E556,'для артикула'!$A$9:$B$11,2,0),VLOOKUP(F556,'для артикула'!$A$17:$B$19,2,0),VLOOKUP(J556,'для артикула'!$A$22:$B$23,2,0),VLOOKUP(H556,'для артик"&amp;"ула'!$A$26:$B$30,2,0))"),"002-2013E50Q13-OK")</f>
        <v>002-2013E50Q13-OK</v>
      </c>
      <c r="N556" s="8" t="str">
        <f>IF(ISNUMBER(MATCH(C556, 'Реестр договоров'!$D$2:$D$900, 0)), "Продано", "В наличии")</f>
        <v>Продано</v>
      </c>
    </row>
    <row r="557" spans="1:14">
      <c r="A557" s="26">
        <v>45825.708275798606</v>
      </c>
      <c r="B557" s="26"/>
      <c r="C557" s="8" t="s">
        <v>661</v>
      </c>
      <c r="D557" s="8" t="s">
        <v>287</v>
      </c>
      <c r="E557" s="8">
        <v>50</v>
      </c>
      <c r="F557" s="8" t="s">
        <v>116</v>
      </c>
      <c r="G557" s="8" t="s">
        <v>116</v>
      </c>
      <c r="H557" s="8">
        <v>60</v>
      </c>
      <c r="I557" s="27">
        <v>45825</v>
      </c>
      <c r="J557" s="8" t="s">
        <v>117</v>
      </c>
      <c r="K557" s="8" t="s">
        <v>118</v>
      </c>
      <c r="L557" s="8" t="s">
        <v>119</v>
      </c>
      <c r="M557" s="16" t="str">
        <f ca="1">IFERROR(__xludf.DUMMYFUNCTION("JOIN("""",VLOOKUP(D557,'для артикула'!$A$2:$B$7,2,0),VLOOKUP(G557,'для артикула'!$A$13:$B$14,2,0),VLOOKUP(E557,'для артикула'!$A$9:$B$11,2,0),VLOOKUP(F557,'для артикула'!$A$17:$B$19,2,0),VLOOKUP(J557,'для артикула'!$A$22:$B$23,2,0),VLOOKUP(H557,'для артик"&amp;"ула'!$A$26:$B$30,2,0))"),"002-2513E50Q13-OK60")</f>
        <v>002-2513E50Q13-OK60</v>
      </c>
      <c r="N557" s="8" t="str">
        <f>IF(ISNUMBER(MATCH(C557, 'Реестр договоров'!$D$2:$D$900, 0)), "Продано", "В наличии")</f>
        <v>Продано</v>
      </c>
    </row>
    <row r="558" spans="1:14">
      <c r="A558" s="26">
        <v>45826.472077418977</v>
      </c>
      <c r="B558" s="26"/>
      <c r="C558" s="8" t="s">
        <v>662</v>
      </c>
      <c r="D558" s="8" t="s">
        <v>114</v>
      </c>
      <c r="E558" s="8">
        <v>50</v>
      </c>
      <c r="F558" s="8" t="s">
        <v>116</v>
      </c>
      <c r="G558" s="8" t="s">
        <v>116</v>
      </c>
      <c r="H558" s="8" t="s">
        <v>115</v>
      </c>
      <c r="I558" s="27">
        <v>45817</v>
      </c>
      <c r="J558" s="8" t="s">
        <v>117</v>
      </c>
      <c r="K558" s="8" t="s">
        <v>121</v>
      </c>
      <c r="L558" s="8" t="s">
        <v>119</v>
      </c>
      <c r="M558" s="16" t="str">
        <f ca="1">IFERROR(__xludf.DUMMYFUNCTION("JOIN("""",VLOOKUP(D558,'для артикула'!$A$2:$B$7,2,0),VLOOKUP(G558,'для артикула'!$A$13:$B$14,2,0),VLOOKUP(E558,'для артикула'!$A$9:$B$11,2,0),VLOOKUP(F558,'для артикула'!$A$17:$B$19,2,0),VLOOKUP(J558,'для артикула'!$A$22:$B$23,2,0),VLOOKUP(H558,'для артик"&amp;"ула'!$A$26:$B$30,2,0))"),"002-2013E50Q13-OK")</f>
        <v>002-2013E50Q13-OK</v>
      </c>
      <c r="N558" s="8" t="str">
        <f>IF(ISNUMBER(MATCH(C558, 'Реестр договоров'!$D$2:$D$900, 0)), "Продано", "В наличии")</f>
        <v>Продано</v>
      </c>
    </row>
    <row r="559" spans="1:14">
      <c r="A559" s="26">
        <v>45826.707944814814</v>
      </c>
      <c r="B559" s="26"/>
      <c r="C559" s="8" t="s">
        <v>663</v>
      </c>
      <c r="D559" s="8" t="s">
        <v>287</v>
      </c>
      <c r="E559" s="8">
        <v>50</v>
      </c>
      <c r="F559" s="8" t="s">
        <v>116</v>
      </c>
      <c r="G559" s="8" t="s">
        <v>116</v>
      </c>
      <c r="H559" s="8" t="s">
        <v>115</v>
      </c>
      <c r="I559" s="27">
        <v>45819</v>
      </c>
      <c r="J559" s="8" t="s">
        <v>117</v>
      </c>
      <c r="K559" s="8" t="s">
        <v>121</v>
      </c>
      <c r="L559" s="8" t="s">
        <v>119</v>
      </c>
      <c r="M559" s="16" t="str">
        <f ca="1">IFERROR(__xludf.DUMMYFUNCTION("JOIN("""",VLOOKUP(D559,'для артикула'!$A$2:$B$7,2,0),VLOOKUP(G559,'для артикула'!$A$13:$B$14,2,0),VLOOKUP(E559,'для артикула'!$A$9:$B$11,2,0),VLOOKUP(F559,'для артикула'!$A$17:$B$19,2,0),VLOOKUP(J559,'для артикула'!$A$22:$B$23,2,0),VLOOKUP(H559,'для артик"&amp;"ула'!$A$26:$B$30,2,0))"),"002-2513E50Q13-OK")</f>
        <v>002-2513E50Q13-OK</v>
      </c>
      <c r="N559" s="8" t="str">
        <f>IF(ISNUMBER(MATCH(C559, 'Реестр договоров'!$D$2:$D$900, 0)), "Продано", "В наличии")</f>
        <v>Продано</v>
      </c>
    </row>
    <row r="560" spans="1:14">
      <c r="A560" s="26">
        <v>45827.428584363428</v>
      </c>
      <c r="B560" s="26"/>
      <c r="C560" s="8" t="s">
        <v>664</v>
      </c>
      <c r="D560" s="8" t="s">
        <v>114</v>
      </c>
      <c r="E560" s="8">
        <v>30</v>
      </c>
      <c r="F560" s="8" t="s">
        <v>116</v>
      </c>
      <c r="G560" s="8" t="s">
        <v>116</v>
      </c>
      <c r="H560" s="8">
        <v>30</v>
      </c>
      <c r="I560" s="27">
        <v>45826</v>
      </c>
      <c r="J560" s="8" t="s">
        <v>117</v>
      </c>
      <c r="K560" s="8" t="s">
        <v>118</v>
      </c>
      <c r="L560" s="8" t="s">
        <v>119</v>
      </c>
      <c r="M560" s="16" t="str">
        <f ca="1">IFERROR(__xludf.DUMMYFUNCTION("JOIN("""",VLOOKUP(D560,'для артикула'!$A$2:$B$7,2,0),VLOOKUP(G560,'для артикула'!$A$13:$B$14,2,0),VLOOKUP(E560,'для артикула'!$A$9:$B$11,2,0),VLOOKUP(F560,'для артикула'!$A$17:$B$19,2,0),VLOOKUP(J560,'для артикула'!$A$22:$B$23,2,0),VLOOKUP(H560,'для артик"&amp;"ула'!$A$26:$B$30,2,0))"),"002-2013E30Q13-OK30")</f>
        <v>002-2013E30Q13-OK30</v>
      </c>
      <c r="N560" s="8" t="str">
        <f>IF(ISNUMBER(MATCH(C560, 'Реестр договоров'!$D$2:$D$900, 0)), "Продано", "В наличии")</f>
        <v>Продано</v>
      </c>
    </row>
    <row r="561" spans="1:14">
      <c r="A561" s="26">
        <v>45828.706914884257</v>
      </c>
      <c r="B561" s="26"/>
      <c r="C561" s="8" t="s">
        <v>665</v>
      </c>
      <c r="D561" s="8" t="s">
        <v>287</v>
      </c>
      <c r="E561" s="8">
        <v>50</v>
      </c>
      <c r="F561" s="8" t="s">
        <v>116</v>
      </c>
      <c r="G561" s="8" t="s">
        <v>116</v>
      </c>
      <c r="H561" s="8">
        <v>90</v>
      </c>
      <c r="I561" s="27">
        <v>45828</v>
      </c>
      <c r="J561" s="8" t="s">
        <v>117</v>
      </c>
      <c r="K561" s="8" t="s">
        <v>118</v>
      </c>
      <c r="L561" s="8" t="s">
        <v>119</v>
      </c>
      <c r="M561" s="16" t="str">
        <f ca="1">IFERROR(__xludf.DUMMYFUNCTION("JOIN("""",VLOOKUP(D561,'для артикула'!$A$2:$B$7,2,0),VLOOKUP(G561,'для артикула'!$A$13:$B$14,2,0),VLOOKUP(E561,'для артикула'!$A$9:$B$11,2,0),VLOOKUP(F561,'для артикула'!$A$17:$B$19,2,0),VLOOKUP(J561,'для артикула'!$A$22:$B$23,2,0),VLOOKUP(H561,'для артик"&amp;"ула'!$A$26:$B$30,2,0))"),"002-2513E50Q13-OK90")</f>
        <v>002-2513E50Q13-OK90</v>
      </c>
      <c r="N561" s="8" t="str">
        <f>IF(ISNUMBER(MATCH(C561, 'Реестр договоров'!$D$2:$D$900, 0)), "Продано", "В наличии")</f>
        <v>Продано</v>
      </c>
    </row>
    <row r="562" spans="1:14">
      <c r="A562" s="26">
        <v>45829.514521701392</v>
      </c>
      <c r="B562" s="26"/>
      <c r="C562" s="8" t="s">
        <v>666</v>
      </c>
      <c r="D562" s="8" t="s">
        <v>114</v>
      </c>
      <c r="E562" s="8">
        <v>50</v>
      </c>
      <c r="F562" s="8" t="s">
        <v>116</v>
      </c>
      <c r="G562" s="8" t="s">
        <v>116</v>
      </c>
      <c r="H562" s="8" t="s">
        <v>115</v>
      </c>
      <c r="I562" s="27">
        <v>45818</v>
      </c>
      <c r="J562" s="8" t="s">
        <v>117</v>
      </c>
      <c r="K562" s="8" t="s">
        <v>121</v>
      </c>
      <c r="L562" s="8" t="s">
        <v>119</v>
      </c>
      <c r="M562" s="16" t="str">
        <f ca="1">IFERROR(__xludf.DUMMYFUNCTION("JOIN("""",VLOOKUP(D562,'для артикула'!$A$2:$B$7,2,0),VLOOKUP(G562,'для артикула'!$A$13:$B$14,2,0),VLOOKUP(E562,'для артикула'!$A$9:$B$11,2,0),VLOOKUP(F562,'для артикула'!$A$17:$B$19,2,0),VLOOKUP(J562,'для артикула'!$A$22:$B$23,2,0),VLOOKUP(H562,'для артик"&amp;"ула'!$A$26:$B$30,2,0))"),"002-2013E50Q13-OK")</f>
        <v>002-2013E50Q13-OK</v>
      </c>
      <c r="N562" s="8" t="str">
        <f>IF(ISNUMBER(MATCH(C562, 'Реестр договоров'!$D$2:$D$900, 0)), "Продано", "В наличии")</f>
        <v>Продано</v>
      </c>
    </row>
    <row r="563" spans="1:14">
      <c r="A563" s="26">
        <v>45829.543612893518</v>
      </c>
      <c r="B563" s="26"/>
      <c r="C563" s="8" t="s">
        <v>667</v>
      </c>
      <c r="D563" s="8" t="s">
        <v>287</v>
      </c>
      <c r="E563" s="8">
        <v>50</v>
      </c>
      <c r="F563" s="8" t="s">
        <v>116</v>
      </c>
      <c r="G563" s="8" t="s">
        <v>116</v>
      </c>
      <c r="H563" s="8">
        <v>60</v>
      </c>
      <c r="I563" s="27">
        <v>45829</v>
      </c>
      <c r="J563" s="8" t="s">
        <v>117</v>
      </c>
      <c r="K563" s="8" t="s">
        <v>124</v>
      </c>
      <c r="L563" s="8" t="s">
        <v>119</v>
      </c>
      <c r="M563" s="16" t="str">
        <f ca="1">IFERROR(__xludf.DUMMYFUNCTION("JOIN("""",VLOOKUP(D563,'для артикула'!$A$2:$B$7,2,0),VLOOKUP(G563,'для артикула'!$A$13:$B$14,2,0),VLOOKUP(E563,'для артикула'!$A$9:$B$11,2,0),VLOOKUP(F563,'для артикула'!$A$17:$B$19,2,0),VLOOKUP(J563,'для артикула'!$A$22:$B$23,2,0),VLOOKUP(H563,'для артик"&amp;"ула'!$A$26:$B$30,2,0))"),"002-2513E50Q13-OK60")</f>
        <v>002-2513E50Q13-OK60</v>
      </c>
      <c r="N563" s="8" t="str">
        <f>IF(ISNUMBER(MATCH(C563, 'Реестр договоров'!$D$2:$D$900, 0)), "Продано", "В наличии")</f>
        <v>Продано</v>
      </c>
    </row>
    <row r="564" spans="1:14">
      <c r="A564" s="26">
        <v>45830.442324710646</v>
      </c>
      <c r="B564" s="26"/>
      <c r="C564" s="8" t="s">
        <v>668</v>
      </c>
      <c r="D564" s="8" t="s">
        <v>114</v>
      </c>
      <c r="E564" s="8">
        <v>50</v>
      </c>
      <c r="F564" s="8" t="s">
        <v>116</v>
      </c>
      <c r="G564" s="8" t="s">
        <v>116</v>
      </c>
      <c r="H564" s="8" t="s">
        <v>115</v>
      </c>
      <c r="I564" s="27">
        <v>45830</v>
      </c>
      <c r="J564" s="8" t="s">
        <v>117</v>
      </c>
      <c r="K564" s="8" t="s">
        <v>124</v>
      </c>
      <c r="L564" s="8" t="s">
        <v>119</v>
      </c>
      <c r="M564" s="16" t="str">
        <f ca="1">IFERROR(__xludf.DUMMYFUNCTION("JOIN("""",VLOOKUP(D564,'для артикула'!$A$2:$B$7,2,0),VLOOKUP(G564,'для артикула'!$A$13:$B$14,2,0),VLOOKUP(E564,'для артикула'!$A$9:$B$11,2,0),VLOOKUP(F564,'для артикула'!$A$17:$B$19,2,0),VLOOKUP(J564,'для артикула'!$A$22:$B$23,2,0),VLOOKUP(H564,'для артик"&amp;"ула'!$A$26:$B$30,2,0))"),"002-2013E50Q13-OK")</f>
        <v>002-2013E50Q13-OK</v>
      </c>
      <c r="N564" s="8" t="str">
        <f>IF(ISNUMBER(MATCH(C564, 'Реестр договоров'!$D$2:$D$900, 0)), "Продано", "В наличии")</f>
        <v>Продано</v>
      </c>
    </row>
    <row r="565" spans="1:14">
      <c r="A565" s="26">
        <v>45831.46719221065</v>
      </c>
      <c r="B565" s="26"/>
      <c r="C565" s="8" t="s">
        <v>669</v>
      </c>
      <c r="D565" s="8" t="s">
        <v>114</v>
      </c>
      <c r="E565" s="8">
        <v>50</v>
      </c>
      <c r="F565" s="8" t="s">
        <v>116</v>
      </c>
      <c r="G565" s="8" t="s">
        <v>116</v>
      </c>
      <c r="H565" s="8" t="s">
        <v>115</v>
      </c>
      <c r="I565" s="27">
        <v>45831</v>
      </c>
      <c r="J565" s="8" t="s">
        <v>117</v>
      </c>
      <c r="K565" s="8" t="s">
        <v>124</v>
      </c>
      <c r="L565" s="8" t="s">
        <v>119</v>
      </c>
      <c r="M565" s="16" t="str">
        <f ca="1">IFERROR(__xludf.DUMMYFUNCTION("JOIN("""",VLOOKUP(D565,'для артикула'!$A$2:$B$7,2,0),VLOOKUP(G565,'для артикула'!$A$13:$B$14,2,0),VLOOKUP(E565,'для артикула'!$A$9:$B$11,2,0),VLOOKUP(F565,'для артикула'!$A$17:$B$19,2,0),VLOOKUP(J565,'для артикула'!$A$22:$B$23,2,0),VLOOKUP(H565,'для артик"&amp;"ула'!$A$26:$B$30,2,0))"),"002-2013E50Q13-OK")</f>
        <v>002-2013E50Q13-OK</v>
      </c>
      <c r="N565" s="8" t="str">
        <f>IF(ISNUMBER(MATCH(C565, 'Реестр договоров'!$D$2:$D$900, 0)), "Продано", "В наличии")</f>
        <v>Продано</v>
      </c>
    </row>
    <row r="566" spans="1:14">
      <c r="A566" s="26">
        <v>45831.468259814814</v>
      </c>
      <c r="B566" s="26"/>
      <c r="C566" s="8" t="s">
        <v>670</v>
      </c>
      <c r="D566" s="8" t="s">
        <v>287</v>
      </c>
      <c r="E566" s="8">
        <v>30</v>
      </c>
      <c r="F566" s="8" t="s">
        <v>116</v>
      </c>
      <c r="G566" s="8" t="s">
        <v>116</v>
      </c>
      <c r="H566" s="8" t="s">
        <v>115</v>
      </c>
      <c r="I566" s="27">
        <v>45831</v>
      </c>
      <c r="J566" s="8" t="s">
        <v>117</v>
      </c>
      <c r="K566" s="8" t="s">
        <v>124</v>
      </c>
      <c r="L566" s="8" t="s">
        <v>119</v>
      </c>
      <c r="M566" s="16" t="str">
        <f ca="1">IFERROR(__xludf.DUMMYFUNCTION("JOIN("""",VLOOKUP(D566,'для артикула'!$A$2:$B$7,2,0),VLOOKUP(G566,'для артикула'!$A$13:$B$14,2,0),VLOOKUP(E566,'для артикула'!$A$9:$B$11,2,0),VLOOKUP(F566,'для артикула'!$A$17:$B$19,2,0),VLOOKUP(J566,'для артикула'!$A$22:$B$23,2,0),VLOOKUP(H566,'для артик"&amp;"ула'!$A$26:$B$30,2,0))"),"002-2513E30Q13-OK")</f>
        <v>002-2513E30Q13-OK</v>
      </c>
      <c r="N566" s="8" t="str">
        <f>IF(ISNUMBER(MATCH(C566, 'Реестр договоров'!$D$2:$D$900, 0)), "Продано", "В наличии")</f>
        <v>Продано</v>
      </c>
    </row>
    <row r="567" spans="1:14">
      <c r="A567" s="26">
        <v>45831.494067511579</v>
      </c>
      <c r="B567" s="26"/>
      <c r="C567" s="8" t="s">
        <v>671</v>
      </c>
      <c r="D567" s="8" t="s">
        <v>114</v>
      </c>
      <c r="E567" s="8">
        <v>50</v>
      </c>
      <c r="F567" s="8" t="s">
        <v>116</v>
      </c>
      <c r="G567" s="8" t="s">
        <v>116</v>
      </c>
      <c r="H567" s="8" t="s">
        <v>115</v>
      </c>
      <c r="I567" s="27">
        <v>45826</v>
      </c>
      <c r="J567" s="8" t="s">
        <v>117</v>
      </c>
      <c r="K567" s="8" t="s">
        <v>118</v>
      </c>
      <c r="L567" s="8" t="s">
        <v>119</v>
      </c>
      <c r="M567" s="16" t="str">
        <f ca="1">IFERROR(__xludf.DUMMYFUNCTION("JOIN("""",VLOOKUP(D567,'для артикула'!$A$2:$B$7,2,0),VLOOKUP(G567,'для артикула'!$A$13:$B$14,2,0),VLOOKUP(E567,'для артикула'!$A$9:$B$11,2,0),VLOOKUP(F567,'для артикула'!$A$17:$B$19,2,0),VLOOKUP(J567,'для артикула'!$A$22:$B$23,2,0),VLOOKUP(H567,'для артик"&amp;"ула'!$A$26:$B$30,2,0))"),"002-2013E50Q13-OK")</f>
        <v>002-2013E50Q13-OK</v>
      </c>
      <c r="N567" s="8" t="str">
        <f>IF(ISNUMBER(MATCH(C567, 'Реестр договоров'!$D$2:$D$900, 0)), "Продано", "В наличии")</f>
        <v>Продано</v>
      </c>
    </row>
    <row r="568" spans="1:14">
      <c r="A568" s="26">
        <v>45831.56917959491</v>
      </c>
      <c r="B568" s="26"/>
      <c r="C568" s="8" t="s">
        <v>672</v>
      </c>
      <c r="D568" s="8" t="s">
        <v>114</v>
      </c>
      <c r="E568" s="8">
        <v>50</v>
      </c>
      <c r="F568" s="8" t="s">
        <v>116</v>
      </c>
      <c r="G568" s="8" t="s">
        <v>116</v>
      </c>
      <c r="H568" s="8" t="s">
        <v>115</v>
      </c>
      <c r="I568" s="27">
        <v>45827</v>
      </c>
      <c r="J568" s="8" t="s">
        <v>115</v>
      </c>
      <c r="K568" s="8" t="s">
        <v>121</v>
      </c>
      <c r="L568" s="8" t="s">
        <v>119</v>
      </c>
      <c r="M568" s="16" t="str">
        <f ca="1">IFERROR(__xludf.DUMMYFUNCTION("JOIN("""",VLOOKUP(D568,'для артикула'!$A$2:$B$7,2,0),VLOOKUP(G568,'для артикула'!$A$13:$B$14,2,0),VLOOKUP(E568,'для артикула'!$A$9:$B$11,2,0),VLOOKUP(F568,'для артикула'!$A$17:$B$19,2,0),VLOOKUP(J568,'для артикула'!$A$22:$B$23,2,0),VLOOKUP(H568,'для артик"&amp;"ула'!$A$26:$B$30,2,0))"),"002-2013E50Q13")</f>
        <v>002-2013E50Q13</v>
      </c>
      <c r="N568" s="8" t="str">
        <f>IF(ISNUMBER(MATCH(C568, 'Реестр договоров'!$D$2:$D$900, 0)), "Продано", "В наличии")</f>
        <v>Продано</v>
      </c>
    </row>
    <row r="569" spans="1:14">
      <c r="A569" s="26">
        <v>45831.642917303237</v>
      </c>
      <c r="B569" s="26"/>
      <c r="C569" s="8" t="s">
        <v>673</v>
      </c>
      <c r="D569" s="8" t="s">
        <v>114</v>
      </c>
      <c r="E569" s="8">
        <v>50</v>
      </c>
      <c r="F569" s="8" t="s">
        <v>116</v>
      </c>
      <c r="G569" s="8" t="s">
        <v>116</v>
      </c>
      <c r="H569" s="8" t="s">
        <v>115</v>
      </c>
      <c r="I569" s="27">
        <v>45820</v>
      </c>
      <c r="J569" s="8" t="s">
        <v>117</v>
      </c>
      <c r="K569" s="8" t="s">
        <v>118</v>
      </c>
      <c r="L569" s="8" t="s">
        <v>119</v>
      </c>
      <c r="M569" s="16" t="str">
        <f ca="1">IFERROR(__xludf.DUMMYFUNCTION("JOIN("""",VLOOKUP(D569,'для артикула'!$A$2:$B$7,2,0),VLOOKUP(G569,'для артикула'!$A$13:$B$14,2,0),VLOOKUP(E569,'для артикула'!$A$9:$B$11,2,0),VLOOKUP(F569,'для артикула'!$A$17:$B$19,2,0),VLOOKUP(J569,'для артикула'!$A$22:$B$23,2,0),VLOOKUP(H569,'для артик"&amp;"ула'!$A$26:$B$30,2,0))"),"002-2013E50Q13-OK")</f>
        <v>002-2013E50Q13-OK</v>
      </c>
      <c r="N569" s="8" t="str">
        <f>IF(ISNUMBER(MATCH(C569, 'Реестр договоров'!$D$2:$D$900, 0)), "Продано", "В наличии")</f>
        <v>Продано</v>
      </c>
    </row>
    <row r="570" spans="1:14">
      <c r="A570" s="26">
        <v>45831.661794131942</v>
      </c>
      <c r="B570" s="26"/>
      <c r="C570" s="8" t="s">
        <v>674</v>
      </c>
      <c r="D570" s="8" t="s">
        <v>114</v>
      </c>
      <c r="E570" s="8">
        <v>50</v>
      </c>
      <c r="F570" s="8" t="s">
        <v>116</v>
      </c>
      <c r="G570" s="8" t="s">
        <v>116</v>
      </c>
      <c r="H570" s="8" t="s">
        <v>115</v>
      </c>
      <c r="I570" s="27">
        <v>45831</v>
      </c>
      <c r="J570" s="8" t="s">
        <v>117</v>
      </c>
      <c r="K570" s="8" t="s">
        <v>124</v>
      </c>
      <c r="L570" s="8" t="s">
        <v>119</v>
      </c>
      <c r="M570" s="16" t="str">
        <f ca="1">IFERROR(__xludf.DUMMYFUNCTION("JOIN("""",VLOOKUP(D570,'для артикула'!$A$2:$B$7,2,0),VLOOKUP(G570,'для артикула'!$A$13:$B$14,2,0),VLOOKUP(E570,'для артикула'!$A$9:$B$11,2,0),VLOOKUP(F570,'для артикула'!$A$17:$B$19,2,0),VLOOKUP(J570,'для артикула'!$A$22:$B$23,2,0),VLOOKUP(H570,'для артик"&amp;"ула'!$A$26:$B$30,2,0))"),"002-2013E50Q13-OK")</f>
        <v>002-2013E50Q13-OK</v>
      </c>
      <c r="N570" s="8" t="str">
        <f>IF(ISNUMBER(MATCH(C570, 'Реестр договоров'!$D$2:$D$900, 0)), "Продано", "В наличии")</f>
        <v>Продано</v>
      </c>
    </row>
    <row r="571" spans="1:14">
      <c r="A571" s="26">
        <v>45831.702885752311</v>
      </c>
      <c r="B571" s="26"/>
      <c r="C571" s="8" t="s">
        <v>675</v>
      </c>
      <c r="D571" s="8" t="s">
        <v>287</v>
      </c>
      <c r="E571" s="8">
        <v>50</v>
      </c>
      <c r="F571" s="8" t="s">
        <v>116</v>
      </c>
      <c r="G571" s="8" t="s">
        <v>116</v>
      </c>
      <c r="H571" s="8" t="s">
        <v>115</v>
      </c>
      <c r="I571" s="27">
        <v>45831</v>
      </c>
      <c r="J571" s="8" t="s">
        <v>117</v>
      </c>
      <c r="K571" s="8" t="s">
        <v>124</v>
      </c>
      <c r="L571" s="8" t="s">
        <v>119</v>
      </c>
      <c r="M571" s="16" t="str">
        <f ca="1">IFERROR(__xludf.DUMMYFUNCTION("JOIN("""",VLOOKUP(D571,'для артикула'!$A$2:$B$7,2,0),VLOOKUP(G571,'для артикула'!$A$13:$B$14,2,0),VLOOKUP(E571,'для артикула'!$A$9:$B$11,2,0),VLOOKUP(F571,'для артикула'!$A$17:$B$19,2,0),VLOOKUP(J571,'для артикула'!$A$22:$B$23,2,0),VLOOKUP(H571,'для артик"&amp;"ула'!$A$26:$B$30,2,0))"),"002-2513E50Q13-OK")</f>
        <v>002-2513E50Q13-OK</v>
      </c>
      <c r="N571" s="8" t="str">
        <f>IF(ISNUMBER(MATCH(C571, 'Реестр договоров'!$D$2:$D$900, 0)), "Продано", "В наличии")</f>
        <v>Продано</v>
      </c>
    </row>
    <row r="572" spans="1:14">
      <c r="A572" s="26">
        <v>45832.585781180554</v>
      </c>
      <c r="B572" s="26"/>
      <c r="C572" s="8" t="s">
        <v>676</v>
      </c>
      <c r="D572" s="8" t="s">
        <v>347</v>
      </c>
      <c r="E572" s="8">
        <v>50</v>
      </c>
      <c r="F572" s="8" t="s">
        <v>116</v>
      </c>
      <c r="G572" s="8" t="s">
        <v>116</v>
      </c>
      <c r="H572" s="8" t="s">
        <v>115</v>
      </c>
      <c r="I572" s="27">
        <v>45801</v>
      </c>
      <c r="J572" s="8" t="s">
        <v>117</v>
      </c>
      <c r="K572" s="8" t="s">
        <v>124</v>
      </c>
      <c r="L572" s="8" t="s">
        <v>288</v>
      </c>
      <c r="M572" s="16" t="str">
        <f ca="1">IFERROR(__xludf.DUMMYFUNCTION("JOIN("""",VLOOKUP(D572,'для артикула'!$A$2:$B$7,2,0),VLOOKUP(G572,'для артикула'!$A$13:$B$14,2,0),VLOOKUP(E572,'для артикула'!$A$9:$B$11,2,0),VLOOKUP(F572,'для артикула'!$A$17:$B$19,2,0),VLOOKUP(J572,'для артикула'!$A$22:$B$23,2,0),VLOOKUP(H572,'для артик"&amp;"ула'!$A$26:$B$30,2,0))"),"002-2515E50Q13-OK")</f>
        <v>002-2515E50Q13-OK</v>
      </c>
      <c r="N572" s="8" t="str">
        <f>IF(ISNUMBER(MATCH(C572, 'Реестр договоров'!$D$2:$D$900, 0)), "Продано", "В наличии")</f>
        <v>Продано</v>
      </c>
    </row>
    <row r="573" spans="1:14">
      <c r="A573" s="26">
        <v>45832.623700127311</v>
      </c>
      <c r="B573" s="26"/>
      <c r="C573" s="8" t="s">
        <v>677</v>
      </c>
      <c r="D573" s="8" t="s">
        <v>366</v>
      </c>
      <c r="E573" s="8">
        <v>50</v>
      </c>
      <c r="F573" s="8" t="s">
        <v>116</v>
      </c>
      <c r="G573" s="8" t="s">
        <v>116</v>
      </c>
      <c r="H573" s="8" t="s">
        <v>115</v>
      </c>
      <c r="I573" s="27">
        <v>45820</v>
      </c>
      <c r="J573" s="8" t="s">
        <v>117</v>
      </c>
      <c r="K573" s="8" t="s">
        <v>121</v>
      </c>
      <c r="L573" s="8" t="s">
        <v>119</v>
      </c>
      <c r="M573" s="16" t="str">
        <f ca="1">IFERROR(__xludf.DUMMYFUNCTION("JOIN("""",VLOOKUP(D573,'для артикула'!$A$2:$B$7,2,0),VLOOKUP(G573,'для артикула'!$A$13:$B$14,2,0),VLOOKUP(E573,'для артикула'!$A$9:$B$11,2,0),VLOOKUP(F573,'для артикула'!$A$17:$B$19,2,0),VLOOKUP(J573,'для артикула'!$A$22:$B$23,2,0),VLOOKUP(H573,'для артик"&amp;"ула'!$A$26:$B$30,2,0))"),"002-3015E50Q13-OK")</f>
        <v>002-3015E50Q13-OK</v>
      </c>
      <c r="N573" s="8" t="str">
        <f>IF(ISNUMBER(MATCH(C573, 'Реестр договоров'!$D$2:$D$900, 0)), "Продано", "В наличии")</f>
        <v>Продано</v>
      </c>
    </row>
    <row r="574" spans="1:14">
      <c r="A574" s="26">
        <v>45832.636486296295</v>
      </c>
      <c r="B574" s="26"/>
      <c r="C574" s="8" t="s">
        <v>678</v>
      </c>
      <c r="D574" s="8" t="s">
        <v>287</v>
      </c>
      <c r="E574" s="8">
        <v>30</v>
      </c>
      <c r="F574" s="8" t="s">
        <v>116</v>
      </c>
      <c r="G574" s="8" t="s">
        <v>116</v>
      </c>
      <c r="H574" s="8" t="s">
        <v>115</v>
      </c>
      <c r="I574" s="27">
        <v>45832</v>
      </c>
      <c r="J574" s="8" t="s">
        <v>117</v>
      </c>
      <c r="K574" s="8" t="s">
        <v>118</v>
      </c>
      <c r="L574" s="8" t="s">
        <v>119</v>
      </c>
      <c r="M574" s="16" t="str">
        <f ca="1">IFERROR(__xludf.DUMMYFUNCTION("JOIN("""",VLOOKUP(D574,'для артикула'!$A$2:$B$7,2,0),VLOOKUP(G574,'для артикула'!$A$13:$B$14,2,0),VLOOKUP(E574,'для артикула'!$A$9:$B$11,2,0),VLOOKUP(F574,'для артикула'!$A$17:$B$19,2,0),VLOOKUP(J574,'для артикула'!$A$22:$B$23,2,0),VLOOKUP(H574,'для артик"&amp;"ула'!$A$26:$B$30,2,0))"),"002-2513E30Q13-OK")</f>
        <v>002-2513E30Q13-OK</v>
      </c>
      <c r="N574" s="8" t="str">
        <f>IF(ISNUMBER(MATCH(C574, 'Реестр договоров'!$D$2:$D$900, 0)), "Продано", "В наличии")</f>
        <v>Продано</v>
      </c>
    </row>
    <row r="575" spans="1:14">
      <c r="A575" s="26">
        <v>45832.743427893518</v>
      </c>
      <c r="B575" s="26"/>
      <c r="C575" s="8" t="s">
        <v>679</v>
      </c>
      <c r="D575" s="8" t="s">
        <v>287</v>
      </c>
      <c r="E575" s="8">
        <v>50</v>
      </c>
      <c r="F575" s="8" t="s">
        <v>116</v>
      </c>
      <c r="G575" s="8" t="s">
        <v>116</v>
      </c>
      <c r="H575" s="8" t="s">
        <v>115</v>
      </c>
      <c r="I575" s="27">
        <v>45832</v>
      </c>
      <c r="J575" s="8" t="s">
        <v>117</v>
      </c>
      <c r="K575" s="8" t="s">
        <v>124</v>
      </c>
      <c r="L575" s="8" t="s">
        <v>119</v>
      </c>
      <c r="M575" s="16" t="str">
        <f ca="1">IFERROR(__xludf.DUMMYFUNCTION("JOIN("""",VLOOKUP(D575,'для артикула'!$A$2:$B$7,2,0),VLOOKUP(G575,'для артикула'!$A$13:$B$14,2,0),VLOOKUP(E575,'для артикула'!$A$9:$B$11,2,0),VLOOKUP(F575,'для артикула'!$A$17:$B$19,2,0),VLOOKUP(J575,'для артикула'!$A$22:$B$23,2,0),VLOOKUP(H575,'для артик"&amp;"ула'!$A$26:$B$30,2,0))"),"002-2513E50Q13-OK")</f>
        <v>002-2513E50Q13-OK</v>
      </c>
      <c r="N575" s="8" t="str">
        <f>IF(ISNUMBER(MATCH(C575, 'Реестр договоров'!$D$2:$D$900, 0)), "Продано", "В наличии")</f>
        <v>Продано</v>
      </c>
    </row>
    <row r="576" spans="1:14">
      <c r="A576" s="26">
        <v>45833.508945729161</v>
      </c>
      <c r="B576" s="26"/>
      <c r="C576" s="8" t="s">
        <v>680</v>
      </c>
      <c r="D576" s="8" t="s">
        <v>287</v>
      </c>
      <c r="E576" s="8">
        <v>50</v>
      </c>
      <c r="F576" s="8" t="s">
        <v>116</v>
      </c>
      <c r="G576" s="8" t="s">
        <v>116</v>
      </c>
      <c r="H576" s="8" t="s">
        <v>115</v>
      </c>
      <c r="I576" s="27">
        <v>45833</v>
      </c>
      <c r="J576" s="8" t="s">
        <v>117</v>
      </c>
      <c r="K576" s="8" t="s">
        <v>121</v>
      </c>
      <c r="L576" s="8" t="s">
        <v>119</v>
      </c>
      <c r="M576" s="16" t="str">
        <f ca="1">IFERROR(__xludf.DUMMYFUNCTION("JOIN("""",VLOOKUP(D576,'для артикула'!$A$2:$B$7,2,0),VLOOKUP(G576,'для артикула'!$A$13:$B$14,2,0),VLOOKUP(E576,'для артикула'!$A$9:$B$11,2,0),VLOOKUP(F576,'для артикула'!$A$17:$B$19,2,0),VLOOKUP(J576,'для артикула'!$A$22:$B$23,2,0),VLOOKUP(H576,'для артик"&amp;"ула'!$A$26:$B$30,2,0))"),"002-2513E50Q13-OK")</f>
        <v>002-2513E50Q13-OK</v>
      </c>
      <c r="N576" s="8" t="str">
        <f>IF(ISNUMBER(MATCH(C576, 'Реестр договоров'!$D$2:$D$900, 0)), "Продано", "В наличии")</f>
        <v>Продано</v>
      </c>
    </row>
    <row r="577" spans="1:14">
      <c r="A577" s="26">
        <v>45833.677100624998</v>
      </c>
      <c r="B577" s="26"/>
      <c r="C577" s="8" t="s">
        <v>681</v>
      </c>
      <c r="D577" s="8" t="s">
        <v>114</v>
      </c>
      <c r="E577" s="8">
        <v>30</v>
      </c>
      <c r="F577" s="8" t="s">
        <v>116</v>
      </c>
      <c r="G577" s="8" t="s">
        <v>116</v>
      </c>
      <c r="H577" s="8">
        <v>60</v>
      </c>
      <c r="I577" s="27">
        <v>45833</v>
      </c>
      <c r="J577" s="8" t="s">
        <v>117</v>
      </c>
      <c r="K577" s="8" t="s">
        <v>124</v>
      </c>
      <c r="L577" s="8" t="s">
        <v>119</v>
      </c>
      <c r="M577" s="16" t="str">
        <f ca="1">IFERROR(__xludf.DUMMYFUNCTION("JOIN("""",VLOOKUP(D577,'для артикула'!$A$2:$B$7,2,0),VLOOKUP(G577,'для артикула'!$A$13:$B$14,2,0),VLOOKUP(E577,'для артикула'!$A$9:$B$11,2,0),VLOOKUP(F577,'для артикула'!$A$17:$B$19,2,0),VLOOKUP(J577,'для артикула'!$A$22:$B$23,2,0),VLOOKUP(H577,'для артик"&amp;"ула'!$A$26:$B$30,2,0))"),"002-2013E30Q13-OK60")</f>
        <v>002-2013E30Q13-OK60</v>
      </c>
      <c r="N577" s="8" t="str">
        <f>IF(ISNUMBER(MATCH(C577, 'Реестр договоров'!$D$2:$D$900, 0)), "Продано", "В наличии")</f>
        <v>Продано</v>
      </c>
    </row>
    <row r="578" spans="1:14">
      <c r="A578" s="26">
        <v>45835.415879594904</v>
      </c>
      <c r="B578" s="26"/>
      <c r="C578" s="8" t="s">
        <v>682</v>
      </c>
      <c r="D578" s="8" t="s">
        <v>114</v>
      </c>
      <c r="E578" s="8">
        <v>50</v>
      </c>
      <c r="F578" s="8" t="s">
        <v>116</v>
      </c>
      <c r="G578" s="8" t="s">
        <v>116</v>
      </c>
      <c r="H578" s="8" t="s">
        <v>115</v>
      </c>
      <c r="I578" s="27">
        <v>45835</v>
      </c>
      <c r="J578" s="8" t="s">
        <v>117</v>
      </c>
      <c r="K578" s="8" t="s">
        <v>121</v>
      </c>
      <c r="L578" s="8" t="s">
        <v>119</v>
      </c>
      <c r="M578" s="16" t="str">
        <f ca="1">IFERROR(__xludf.DUMMYFUNCTION("JOIN("""",VLOOKUP(D578,'для артикула'!$A$2:$B$7,2,0),VLOOKUP(G578,'для артикула'!$A$13:$B$14,2,0),VLOOKUP(E578,'для артикула'!$A$9:$B$11,2,0),VLOOKUP(F578,'для артикула'!$A$17:$B$19,2,0),VLOOKUP(J578,'для артикула'!$A$22:$B$23,2,0),VLOOKUP(H578,'для артик"&amp;"ула'!$A$26:$B$30,2,0))"),"002-2013E50Q13-OK")</f>
        <v>002-2013E50Q13-OK</v>
      </c>
      <c r="N578" s="8" t="str">
        <f>IF(ISNUMBER(MATCH(C578, 'Реестр договоров'!$D$2:$D$900, 0)), "Продано", "В наличии")</f>
        <v>Продано</v>
      </c>
    </row>
    <row r="579" spans="1:14">
      <c r="A579" s="26">
        <v>45838.441483263887</v>
      </c>
      <c r="B579" s="26"/>
      <c r="C579" s="8" t="s">
        <v>683</v>
      </c>
      <c r="D579" s="8" t="s">
        <v>287</v>
      </c>
      <c r="E579" s="8">
        <v>50</v>
      </c>
      <c r="F579" s="8" t="s">
        <v>116</v>
      </c>
      <c r="G579" s="8" t="s">
        <v>116</v>
      </c>
      <c r="H579" s="8" t="s">
        <v>115</v>
      </c>
      <c r="I579" s="27">
        <v>45838</v>
      </c>
      <c r="J579" s="8" t="s">
        <v>117</v>
      </c>
      <c r="K579" s="8" t="s">
        <v>124</v>
      </c>
      <c r="L579" s="8" t="s">
        <v>119</v>
      </c>
      <c r="M579" s="16" t="str">
        <f ca="1">IFERROR(__xludf.DUMMYFUNCTION("JOIN("""",VLOOKUP(D579,'для артикула'!$A$2:$B$7,2,0),VLOOKUP(G579,'для артикула'!$A$13:$B$14,2,0),VLOOKUP(E579,'для артикула'!$A$9:$B$11,2,0),VLOOKUP(F579,'для артикула'!$A$17:$B$19,2,0),VLOOKUP(J579,'для артикула'!$A$22:$B$23,2,0),VLOOKUP(H579,'для артик"&amp;"ула'!$A$26:$B$30,2,0))"),"002-2513E50Q13-OK")</f>
        <v>002-2513E50Q13-OK</v>
      </c>
      <c r="N579" s="8" t="str">
        <f>IF(ISNUMBER(MATCH(C579, 'Реестр договоров'!$D$2:$D$900, 0)), "Продано", "В наличии")</f>
        <v>Продано</v>
      </c>
    </row>
    <row r="580" spans="1:14">
      <c r="A580" s="26">
        <v>45839.427127129631</v>
      </c>
      <c r="B580" s="26"/>
      <c r="C580" s="8" t="s">
        <v>684</v>
      </c>
      <c r="D580" s="8" t="s">
        <v>114</v>
      </c>
      <c r="E580" s="8">
        <v>30</v>
      </c>
      <c r="F580" s="8" t="s">
        <v>116</v>
      </c>
      <c r="G580" s="8" t="s">
        <v>116</v>
      </c>
      <c r="H580" s="8" t="s">
        <v>115</v>
      </c>
      <c r="I580" s="27">
        <v>45799</v>
      </c>
      <c r="J580" s="8" t="s">
        <v>117</v>
      </c>
      <c r="K580" s="8" t="s">
        <v>121</v>
      </c>
      <c r="L580" s="8" t="s">
        <v>119</v>
      </c>
      <c r="M580" s="16" t="str">
        <f ca="1">IFERROR(__xludf.DUMMYFUNCTION("JOIN("""",VLOOKUP(D580,'для артикула'!$A$2:$B$7,2,0),VLOOKUP(G580,'для артикула'!$A$13:$B$14,2,0),VLOOKUP(E580,'для артикула'!$A$9:$B$11,2,0),VLOOKUP(F580,'для артикула'!$A$17:$B$19,2,0),VLOOKUP(J580,'для артикула'!$A$22:$B$23,2,0),VLOOKUP(H580,'для артик"&amp;"ула'!$A$26:$B$30,2,0))"),"002-2013E30Q13-OK")</f>
        <v>002-2013E30Q13-OK</v>
      </c>
      <c r="N580" s="8" t="str">
        <f>IF(ISNUMBER(MATCH(C580, 'Реестр договоров'!$D$2:$D$900, 0)), "Продано", "В наличии")</f>
        <v>Продано</v>
      </c>
    </row>
    <row r="581" spans="1:14">
      <c r="A581" s="26">
        <v>45839.562224918976</v>
      </c>
      <c r="B581" s="26"/>
      <c r="C581" s="8" t="s">
        <v>685</v>
      </c>
      <c r="D581" s="8" t="s">
        <v>114</v>
      </c>
      <c r="E581" s="8">
        <v>50</v>
      </c>
      <c r="F581" s="8" t="s">
        <v>116</v>
      </c>
      <c r="G581" s="8" t="s">
        <v>116</v>
      </c>
      <c r="H581" s="8" t="s">
        <v>115</v>
      </c>
      <c r="I581" s="27">
        <v>45827</v>
      </c>
      <c r="J581" s="8" t="s">
        <v>117</v>
      </c>
      <c r="K581" s="8" t="s">
        <v>121</v>
      </c>
      <c r="L581" s="8" t="s">
        <v>119</v>
      </c>
      <c r="M581" s="16" t="str">
        <f ca="1">IFERROR(__xludf.DUMMYFUNCTION("JOIN("""",VLOOKUP(D581,'для артикула'!$A$2:$B$7,2,0),VLOOKUP(G581,'для артикула'!$A$13:$B$14,2,0),VLOOKUP(E581,'для артикула'!$A$9:$B$11,2,0),VLOOKUP(F581,'для артикула'!$A$17:$B$19,2,0),VLOOKUP(J581,'для артикула'!$A$22:$B$23,2,0),VLOOKUP(H581,'для артик"&amp;"ула'!$A$26:$B$30,2,0))"),"002-2013E50Q13-OK")</f>
        <v>002-2013E50Q13-OK</v>
      </c>
      <c r="N581" s="8" t="str">
        <f>IF(ISNUMBER(MATCH(C581, 'Реестр договоров'!$D$2:$D$900, 0)), "Продано", "В наличии")</f>
        <v>Продано</v>
      </c>
    </row>
    <row r="582" spans="1:14">
      <c r="A582" s="26">
        <v>45839.616633796293</v>
      </c>
      <c r="B582" s="26"/>
      <c r="C582" s="8" t="s">
        <v>686</v>
      </c>
      <c r="D582" s="8" t="s">
        <v>114</v>
      </c>
      <c r="E582" s="8">
        <v>30</v>
      </c>
      <c r="F582" s="8" t="s">
        <v>116</v>
      </c>
      <c r="G582" s="8" t="s">
        <v>116</v>
      </c>
      <c r="H582" s="8" t="s">
        <v>115</v>
      </c>
      <c r="I582" s="27">
        <v>45833</v>
      </c>
      <c r="J582" s="8" t="s">
        <v>117</v>
      </c>
      <c r="K582" s="8" t="s">
        <v>121</v>
      </c>
      <c r="L582" s="8" t="s">
        <v>119</v>
      </c>
      <c r="M582" s="16" t="str">
        <f ca="1">IFERROR(__xludf.DUMMYFUNCTION("JOIN("""",VLOOKUP(D582,'для артикула'!$A$2:$B$7,2,0),VLOOKUP(G582,'для артикула'!$A$13:$B$14,2,0),VLOOKUP(E582,'для артикула'!$A$9:$B$11,2,0),VLOOKUP(F582,'для артикула'!$A$17:$B$19,2,0),VLOOKUP(J582,'для артикула'!$A$22:$B$23,2,0),VLOOKUP(H582,'для артик"&amp;"ула'!$A$26:$B$30,2,0))"),"002-2013E30Q13-OK")</f>
        <v>002-2013E30Q13-OK</v>
      </c>
      <c r="N582" s="8" t="str">
        <f>IF(ISNUMBER(MATCH(C582, 'Реестр договоров'!$D$2:$D$900, 0)), "Продано", "В наличии")</f>
        <v>Продано</v>
      </c>
    </row>
    <row r="583" spans="1:14">
      <c r="A583" s="26">
        <v>45840.592989560188</v>
      </c>
      <c r="B583" s="26"/>
      <c r="C583" s="8" t="s">
        <v>687</v>
      </c>
      <c r="D583" s="8" t="s">
        <v>287</v>
      </c>
      <c r="E583" s="8">
        <v>50</v>
      </c>
      <c r="F583" s="8" t="s">
        <v>116</v>
      </c>
      <c r="G583" s="8" t="s">
        <v>116</v>
      </c>
      <c r="H583" s="8">
        <v>90</v>
      </c>
      <c r="I583" s="27">
        <v>45840</v>
      </c>
      <c r="J583" s="8" t="s">
        <v>117</v>
      </c>
      <c r="K583" s="8" t="s">
        <v>124</v>
      </c>
      <c r="L583" s="8" t="s">
        <v>119</v>
      </c>
      <c r="M583" s="16" t="str">
        <f ca="1">IFERROR(__xludf.DUMMYFUNCTION("JOIN("""",VLOOKUP(D583,'для артикула'!$A$2:$B$7,2,0),VLOOKUP(G583,'для артикула'!$A$13:$B$14,2,0),VLOOKUP(E583,'для артикула'!$A$9:$B$11,2,0),VLOOKUP(F583,'для артикула'!$A$17:$B$19,2,0),VLOOKUP(J583,'для артикула'!$A$22:$B$23,2,0),VLOOKUP(H583,'для артик"&amp;"ула'!$A$26:$B$30,2,0))"),"002-2513E50Q13-OK90")</f>
        <v>002-2513E50Q13-OK90</v>
      </c>
      <c r="N583" s="8" t="str">
        <f>IF(ISNUMBER(MATCH(C583, 'Реестр договоров'!$D$2:$D$900, 0)), "Продано", "В наличии")</f>
        <v>Продано</v>
      </c>
    </row>
    <row r="584" spans="1:14">
      <c r="A584" s="26">
        <v>45840.674051423615</v>
      </c>
      <c r="B584" s="26"/>
      <c r="C584" s="8" t="s">
        <v>688</v>
      </c>
      <c r="D584" s="8" t="s">
        <v>114</v>
      </c>
      <c r="E584" s="8">
        <v>30</v>
      </c>
      <c r="F584" s="8" t="s">
        <v>116</v>
      </c>
      <c r="G584" s="8" t="s">
        <v>116</v>
      </c>
      <c r="H584" s="8" t="s">
        <v>115</v>
      </c>
      <c r="I584" s="27">
        <v>45840</v>
      </c>
      <c r="J584" s="8" t="s">
        <v>117</v>
      </c>
      <c r="K584" s="8" t="s">
        <v>118</v>
      </c>
      <c r="L584" s="8" t="s">
        <v>119</v>
      </c>
      <c r="M584" s="16" t="str">
        <f ca="1">IFERROR(__xludf.DUMMYFUNCTION("JOIN("""",VLOOKUP(D584,'для артикула'!$A$2:$B$7,2,0),VLOOKUP(G584,'для артикула'!$A$13:$B$14,2,0),VLOOKUP(E584,'для артикула'!$A$9:$B$11,2,0),VLOOKUP(F584,'для артикула'!$A$17:$B$19,2,0),VLOOKUP(J584,'для артикула'!$A$22:$B$23,2,0),VLOOKUP(H584,'для артик"&amp;"ула'!$A$26:$B$30,2,0))"),"002-2013E30Q13-OK")</f>
        <v>002-2013E30Q13-OK</v>
      </c>
      <c r="N584" s="8" t="str">
        <f>IF(ISNUMBER(MATCH(C584, 'Реестр договоров'!$D$2:$D$900, 0)), "Продано", "В наличии")</f>
        <v>Продано</v>
      </c>
    </row>
    <row r="585" spans="1:14">
      <c r="A585" s="26">
        <v>45842.475478217588</v>
      </c>
      <c r="B585" s="26"/>
      <c r="C585" s="8" t="s">
        <v>689</v>
      </c>
      <c r="D585" s="8" t="s">
        <v>114</v>
      </c>
      <c r="E585" s="8">
        <v>50</v>
      </c>
      <c r="F585" s="8" t="s">
        <v>116</v>
      </c>
      <c r="G585" s="8" t="s">
        <v>116</v>
      </c>
      <c r="H585" s="8" t="s">
        <v>115</v>
      </c>
      <c r="I585" s="27">
        <v>45842</v>
      </c>
      <c r="J585" s="8" t="s">
        <v>117</v>
      </c>
      <c r="K585" s="8" t="s">
        <v>118</v>
      </c>
      <c r="L585" s="8" t="s">
        <v>119</v>
      </c>
      <c r="M585" s="16" t="str">
        <f ca="1">IFERROR(__xludf.DUMMYFUNCTION("JOIN("""",VLOOKUP(D585,'для артикула'!$A$2:$B$7,2,0),VLOOKUP(G585,'для артикула'!$A$13:$B$14,2,0),VLOOKUP(E585,'для артикула'!$A$9:$B$11,2,0),VLOOKUP(F585,'для артикула'!$A$17:$B$19,2,0),VLOOKUP(J585,'для артикула'!$A$22:$B$23,2,0),VLOOKUP(H585,'для артик"&amp;"ула'!$A$26:$B$30,2,0))"),"002-2013E50Q13-OK")</f>
        <v>002-2013E50Q13-OK</v>
      </c>
      <c r="N585" s="8" t="str">
        <f>IF(ISNUMBER(MATCH(C585, 'Реестр договоров'!$D$2:$D$900, 0)), "Продано", "В наличии")</f>
        <v>Продано</v>
      </c>
    </row>
    <row r="586" spans="1:14">
      <c r="A586" s="26">
        <v>45842.646765324069</v>
      </c>
      <c r="B586" s="26"/>
      <c r="C586" s="8" t="s">
        <v>690</v>
      </c>
      <c r="D586" s="8" t="s">
        <v>114</v>
      </c>
      <c r="E586" s="8">
        <v>50</v>
      </c>
      <c r="F586" s="8" t="s">
        <v>116</v>
      </c>
      <c r="G586" s="8" t="s">
        <v>116</v>
      </c>
      <c r="H586" s="8" t="s">
        <v>115</v>
      </c>
      <c r="I586" s="27">
        <v>45840</v>
      </c>
      <c r="J586" s="8" t="s">
        <v>117</v>
      </c>
      <c r="K586" s="8" t="s">
        <v>121</v>
      </c>
      <c r="L586" s="8" t="s">
        <v>119</v>
      </c>
      <c r="M586" s="16" t="str">
        <f ca="1">IFERROR(__xludf.DUMMYFUNCTION("JOIN("""",VLOOKUP(D586,'для артикула'!$A$2:$B$7,2,0),VLOOKUP(G586,'для артикула'!$A$13:$B$14,2,0),VLOOKUP(E586,'для артикула'!$A$9:$B$11,2,0),VLOOKUP(F586,'для артикула'!$A$17:$B$19,2,0),VLOOKUP(J586,'для артикула'!$A$22:$B$23,2,0),VLOOKUP(H586,'для артик"&amp;"ула'!$A$26:$B$30,2,0))"),"002-2013E50Q13-OK")</f>
        <v>002-2013E50Q13-OK</v>
      </c>
      <c r="N586" s="8" t="str">
        <f>IF(ISNUMBER(MATCH(C586, 'Реестр договоров'!$D$2:$D$900, 0)), "Продано", "В наличии")</f>
        <v>Продано</v>
      </c>
    </row>
    <row r="587" spans="1:14">
      <c r="A587" s="26">
        <v>45843.431183344903</v>
      </c>
      <c r="B587" s="26"/>
      <c r="C587" s="8" t="s">
        <v>691</v>
      </c>
      <c r="D587" s="8" t="s">
        <v>114</v>
      </c>
      <c r="E587" s="8">
        <v>50</v>
      </c>
      <c r="F587" s="8" t="s">
        <v>116</v>
      </c>
      <c r="G587" s="8" t="s">
        <v>116</v>
      </c>
      <c r="H587" s="8" t="s">
        <v>115</v>
      </c>
      <c r="I587" s="27">
        <v>45843</v>
      </c>
      <c r="J587" s="8" t="s">
        <v>117</v>
      </c>
      <c r="K587" s="8" t="s">
        <v>124</v>
      </c>
      <c r="L587" s="8" t="s">
        <v>119</v>
      </c>
      <c r="M587" s="16" t="str">
        <f ca="1">IFERROR(__xludf.DUMMYFUNCTION("JOIN("""",VLOOKUP(D587,'для артикула'!$A$2:$B$7,2,0),VLOOKUP(G587,'для артикула'!$A$13:$B$14,2,0),VLOOKUP(E587,'для артикула'!$A$9:$B$11,2,0),VLOOKUP(F587,'для артикула'!$A$17:$B$19,2,0),VLOOKUP(J587,'для артикула'!$A$22:$B$23,2,0),VLOOKUP(H587,'для артик"&amp;"ула'!$A$26:$B$30,2,0))"),"002-2013E50Q13-OK")</f>
        <v>002-2013E50Q13-OK</v>
      </c>
      <c r="N587" s="8" t="str">
        <f>IF(ISNUMBER(MATCH(C587, 'Реестр договоров'!$D$2:$D$900, 0)), "Продано", "В наличии")</f>
        <v>Продано</v>
      </c>
    </row>
    <row r="588" spans="1:14">
      <c r="A588" s="26">
        <v>45846.744513912039</v>
      </c>
      <c r="B588" s="26"/>
      <c r="C588" s="8" t="s">
        <v>692</v>
      </c>
      <c r="D588" s="8" t="s">
        <v>287</v>
      </c>
      <c r="E588" s="8">
        <v>50</v>
      </c>
      <c r="F588" s="8" t="s">
        <v>116</v>
      </c>
      <c r="G588" s="8" t="s">
        <v>116</v>
      </c>
      <c r="H588" s="8" t="s">
        <v>115</v>
      </c>
      <c r="I588" s="27">
        <v>45846</v>
      </c>
      <c r="J588" s="8" t="s">
        <v>117</v>
      </c>
      <c r="K588" s="8" t="s">
        <v>118</v>
      </c>
      <c r="L588" s="8" t="s">
        <v>119</v>
      </c>
      <c r="M588" s="16" t="str">
        <f ca="1">IFERROR(__xludf.DUMMYFUNCTION("JOIN("""",VLOOKUP(D588,'для артикула'!$A$2:$B$7,2,0),VLOOKUP(G588,'для артикула'!$A$13:$B$14,2,0),VLOOKUP(E588,'для артикула'!$A$9:$B$11,2,0),VLOOKUP(F588,'для артикула'!$A$17:$B$19,2,0),VLOOKUP(J588,'для артикула'!$A$22:$B$23,2,0),VLOOKUP(H588,'для артик"&amp;"ула'!$A$26:$B$30,2,0))"),"002-2513E50Q13-OK")</f>
        <v>002-2513E50Q13-OK</v>
      </c>
      <c r="N588" s="8" t="str">
        <f>IF(ISNUMBER(MATCH(C588, 'Реестр договоров'!$D$2:$D$900, 0)), "Продано", "В наличии")</f>
        <v>Продано</v>
      </c>
    </row>
    <row r="589" spans="1:14">
      <c r="A589" s="26">
        <v>45848.620141307867</v>
      </c>
      <c r="B589" s="26"/>
      <c r="C589" s="8" t="s">
        <v>693</v>
      </c>
      <c r="D589" s="8" t="s">
        <v>114</v>
      </c>
      <c r="E589" s="8">
        <v>50</v>
      </c>
      <c r="F589" s="8" t="s">
        <v>116</v>
      </c>
      <c r="G589" s="8" t="s">
        <v>116</v>
      </c>
      <c r="H589" s="8" t="s">
        <v>115</v>
      </c>
      <c r="I589" s="27">
        <v>45838</v>
      </c>
      <c r="J589" s="8" t="s">
        <v>117</v>
      </c>
      <c r="K589" s="8" t="s">
        <v>121</v>
      </c>
      <c r="L589" s="8" t="s">
        <v>119</v>
      </c>
      <c r="M589" s="16" t="str">
        <f ca="1">IFERROR(__xludf.DUMMYFUNCTION("JOIN("""",VLOOKUP(D589,'для артикула'!$A$2:$B$7,2,0),VLOOKUP(G589,'для артикула'!$A$13:$B$14,2,0),VLOOKUP(E589,'для артикула'!$A$9:$B$11,2,0),VLOOKUP(F589,'для артикула'!$A$17:$B$19,2,0),VLOOKUP(J589,'для артикула'!$A$22:$B$23,2,0),VLOOKUP(H589,'для артик"&amp;"ула'!$A$26:$B$30,2,0))"),"002-2013E50Q13-OK")</f>
        <v>002-2013E50Q13-OK</v>
      </c>
      <c r="N589" s="8" t="str">
        <f>IF(ISNUMBER(MATCH(C589, 'Реестр договоров'!$D$2:$D$900, 0)), "Продано", "В наличии")</f>
        <v>Продано</v>
      </c>
    </row>
    <row r="590" spans="1:14">
      <c r="A590" s="26">
        <v>45848.709211203706</v>
      </c>
      <c r="B590" s="26"/>
      <c r="C590" s="8" t="s">
        <v>694</v>
      </c>
      <c r="D590" s="8" t="s">
        <v>114</v>
      </c>
      <c r="E590" s="8">
        <v>50</v>
      </c>
      <c r="F590" s="8" t="s">
        <v>116</v>
      </c>
      <c r="G590" s="8" t="s">
        <v>116</v>
      </c>
      <c r="H590" s="8" t="s">
        <v>115</v>
      </c>
      <c r="I590" s="27">
        <v>45838</v>
      </c>
      <c r="J590" s="8" t="s">
        <v>117</v>
      </c>
      <c r="K590" s="8" t="s">
        <v>121</v>
      </c>
      <c r="L590" s="8" t="s">
        <v>119</v>
      </c>
      <c r="M590" s="16" t="str">
        <f ca="1">IFERROR(__xludf.DUMMYFUNCTION("JOIN("""",VLOOKUP(D590,'для артикула'!$A$2:$B$7,2,0),VLOOKUP(G590,'для артикула'!$A$13:$B$14,2,0),VLOOKUP(E590,'для артикула'!$A$9:$B$11,2,0),VLOOKUP(F590,'для артикула'!$A$17:$B$19,2,0),VLOOKUP(J590,'для артикула'!$A$22:$B$23,2,0),VLOOKUP(H590,'для артик"&amp;"ула'!$A$26:$B$30,2,0))"),"002-2013E50Q13-OK")</f>
        <v>002-2013E50Q13-OK</v>
      </c>
      <c r="N590" s="8" t="str">
        <f>IF(ISNUMBER(MATCH(C590, 'Реестр договоров'!$D$2:$D$900, 0)), "Продано", "В наличии")</f>
        <v>Продано</v>
      </c>
    </row>
    <row r="591" spans="1:14">
      <c r="A591" s="26">
        <v>45849.424872037038</v>
      </c>
      <c r="B591" s="26"/>
      <c r="C591" s="8" t="s">
        <v>695</v>
      </c>
      <c r="D591" s="8" t="s">
        <v>114</v>
      </c>
      <c r="E591" s="8">
        <v>30</v>
      </c>
      <c r="F591" s="8" t="s">
        <v>116</v>
      </c>
      <c r="G591" s="8" t="s">
        <v>116</v>
      </c>
      <c r="H591" s="8" t="s">
        <v>115</v>
      </c>
      <c r="I591" s="27">
        <v>45848</v>
      </c>
      <c r="J591" s="8" t="s">
        <v>115</v>
      </c>
      <c r="K591" s="8" t="s">
        <v>118</v>
      </c>
      <c r="L591" s="8" t="s">
        <v>119</v>
      </c>
      <c r="M591" s="16" t="str">
        <f ca="1">IFERROR(__xludf.DUMMYFUNCTION("JOIN("""",VLOOKUP(D591,'для артикула'!$A$2:$B$7,2,0),VLOOKUP(G591,'для артикула'!$A$13:$B$14,2,0),VLOOKUP(E591,'для артикула'!$A$9:$B$11,2,0),VLOOKUP(F591,'для артикула'!$A$17:$B$19,2,0),VLOOKUP(J591,'для артикула'!$A$22:$B$23,2,0),VLOOKUP(H591,'для артик"&amp;"ула'!$A$26:$B$30,2,0))"),"002-2013E30Q13")</f>
        <v>002-2013E30Q13</v>
      </c>
      <c r="N591" s="8" t="str">
        <f>IF(ISNUMBER(MATCH(C591, 'Реестр договоров'!$D$2:$D$900, 0)), "Продано", "В наличии")</f>
        <v>Продано</v>
      </c>
    </row>
    <row r="592" spans="1:14">
      <c r="A592" s="26">
        <v>45849.467966493059</v>
      </c>
      <c r="B592" s="26"/>
      <c r="C592" s="8" t="s">
        <v>696</v>
      </c>
      <c r="D592" s="8" t="s">
        <v>114</v>
      </c>
      <c r="E592" s="8">
        <v>50</v>
      </c>
      <c r="F592" s="8" t="s">
        <v>116</v>
      </c>
      <c r="G592" s="8" t="s">
        <v>116</v>
      </c>
      <c r="H592" s="8" t="s">
        <v>115</v>
      </c>
      <c r="I592" s="27">
        <v>45847</v>
      </c>
      <c r="J592" s="8" t="s">
        <v>117</v>
      </c>
      <c r="K592" s="8" t="s">
        <v>121</v>
      </c>
      <c r="L592" s="8" t="s">
        <v>119</v>
      </c>
      <c r="M592" s="16" t="str">
        <f ca="1">IFERROR(__xludf.DUMMYFUNCTION("JOIN("""",VLOOKUP(D592,'для артикула'!$A$2:$B$7,2,0),VLOOKUP(G592,'для артикула'!$A$13:$B$14,2,0),VLOOKUP(E592,'для артикула'!$A$9:$B$11,2,0),VLOOKUP(F592,'для артикула'!$A$17:$B$19,2,0),VLOOKUP(J592,'для артикула'!$A$22:$B$23,2,0),VLOOKUP(H592,'для артик"&amp;"ула'!$A$26:$B$30,2,0))"),"002-2013E50Q13-OK")</f>
        <v>002-2013E50Q13-OK</v>
      </c>
      <c r="N592" s="8" t="str">
        <f>IF(ISNUMBER(MATCH(C592, 'Реестр договоров'!$D$2:$D$900, 0)), "Продано", "В наличии")</f>
        <v>Продано</v>
      </c>
    </row>
    <row r="593" spans="1:14">
      <c r="A593" s="26">
        <v>45852.511285868051</v>
      </c>
      <c r="B593" s="26"/>
      <c r="C593" s="8" t="s">
        <v>697</v>
      </c>
      <c r="D593" s="8" t="s">
        <v>114</v>
      </c>
      <c r="E593" s="8">
        <v>50</v>
      </c>
      <c r="F593" s="8" t="s">
        <v>116</v>
      </c>
      <c r="G593" s="8" t="s">
        <v>116</v>
      </c>
      <c r="H593" s="8">
        <v>30</v>
      </c>
      <c r="I593" s="27">
        <v>45852</v>
      </c>
      <c r="J593" s="8" t="s">
        <v>117</v>
      </c>
      <c r="K593" s="8" t="s">
        <v>124</v>
      </c>
      <c r="L593" s="8" t="s">
        <v>119</v>
      </c>
      <c r="M593" s="16" t="str">
        <f ca="1">IFERROR(__xludf.DUMMYFUNCTION("JOIN("""",VLOOKUP(D593,'для артикула'!$A$2:$B$7,2,0),VLOOKUP(G593,'для артикула'!$A$13:$B$14,2,0),VLOOKUP(E593,'для артикула'!$A$9:$B$11,2,0),VLOOKUP(F593,'для артикула'!$A$17:$B$19,2,0),VLOOKUP(J593,'для артикула'!$A$22:$B$23,2,0),VLOOKUP(H593,'для артик"&amp;"ула'!$A$26:$B$30,2,0))"),"002-2013E50Q13-OK30")</f>
        <v>002-2013E50Q13-OK30</v>
      </c>
      <c r="N593" s="8" t="str">
        <f>IF(ISNUMBER(MATCH(C593, 'Реестр договоров'!$D$2:$D$900, 0)), "Продано", "В наличии")</f>
        <v>Продано</v>
      </c>
    </row>
    <row r="594" spans="1:14">
      <c r="A594" s="26">
        <v>45852.512815219903</v>
      </c>
      <c r="B594" s="26"/>
      <c r="C594" s="8" t="s">
        <v>698</v>
      </c>
      <c r="D594" s="8" t="s">
        <v>114</v>
      </c>
      <c r="E594" s="8">
        <v>30</v>
      </c>
      <c r="F594" s="8" t="s">
        <v>116</v>
      </c>
      <c r="G594" s="8" t="s">
        <v>116</v>
      </c>
      <c r="H594" s="8" t="s">
        <v>115</v>
      </c>
      <c r="I594" s="27">
        <v>45852</v>
      </c>
      <c r="J594" s="8" t="s">
        <v>117</v>
      </c>
      <c r="K594" s="8" t="s">
        <v>124</v>
      </c>
      <c r="L594" s="8" t="s">
        <v>119</v>
      </c>
      <c r="M594" s="16" t="str">
        <f ca="1">IFERROR(__xludf.DUMMYFUNCTION("JOIN("""",VLOOKUP(D594,'для артикула'!$A$2:$B$7,2,0),VLOOKUP(G594,'для артикула'!$A$13:$B$14,2,0),VLOOKUP(E594,'для артикула'!$A$9:$B$11,2,0),VLOOKUP(F594,'для артикула'!$A$17:$B$19,2,0),VLOOKUP(J594,'для артикула'!$A$22:$B$23,2,0),VLOOKUP(H594,'для артик"&amp;"ула'!$A$26:$B$30,2,0))"),"002-2013E30Q13-OK")</f>
        <v>002-2013E30Q13-OK</v>
      </c>
      <c r="N594" s="8" t="str">
        <f>IF(ISNUMBER(MATCH(C594, 'Реестр договоров'!$D$2:$D$900, 0)), "Продано", "В наличии")</f>
        <v>Продано</v>
      </c>
    </row>
    <row r="595" spans="1:14">
      <c r="A595" s="26">
        <v>45852.514141979162</v>
      </c>
      <c r="B595" s="26"/>
      <c r="C595" s="8" t="s">
        <v>699</v>
      </c>
      <c r="D595" s="8" t="s">
        <v>287</v>
      </c>
      <c r="E595" s="8">
        <v>50</v>
      </c>
      <c r="F595" s="8" t="s">
        <v>116</v>
      </c>
      <c r="G595" s="8" t="s">
        <v>116</v>
      </c>
      <c r="H595" s="8" t="s">
        <v>115</v>
      </c>
      <c r="I595" s="27">
        <v>45852</v>
      </c>
      <c r="J595" s="8" t="s">
        <v>117</v>
      </c>
      <c r="K595" s="8" t="s">
        <v>124</v>
      </c>
      <c r="L595" s="8" t="s">
        <v>119</v>
      </c>
      <c r="M595" s="16" t="str">
        <f ca="1">IFERROR(__xludf.DUMMYFUNCTION("JOIN("""",VLOOKUP(D595,'для артикула'!$A$2:$B$7,2,0),VLOOKUP(G595,'для артикула'!$A$13:$B$14,2,0),VLOOKUP(E595,'для артикула'!$A$9:$B$11,2,0),VLOOKUP(F595,'для артикула'!$A$17:$B$19,2,0),VLOOKUP(J595,'для артикула'!$A$22:$B$23,2,0),VLOOKUP(H595,'для артик"&amp;"ула'!$A$26:$B$30,2,0))"),"002-2513E50Q13-OK")</f>
        <v>002-2513E50Q13-OK</v>
      </c>
      <c r="N595" s="8" t="str">
        <f>IF(ISNUMBER(MATCH(C595, 'Реестр договоров'!$D$2:$D$900, 0)), "Продано", "В наличии")</f>
        <v>Продано</v>
      </c>
    </row>
    <row r="596" spans="1:14">
      <c r="A596" s="26">
        <v>45852.51487875</v>
      </c>
      <c r="B596" s="26"/>
      <c r="C596" s="8" t="s">
        <v>79</v>
      </c>
      <c r="D596" s="8" t="s">
        <v>114</v>
      </c>
      <c r="E596" s="8">
        <v>50</v>
      </c>
      <c r="F596" s="8" t="s">
        <v>116</v>
      </c>
      <c r="G596" s="8" t="s">
        <v>116</v>
      </c>
      <c r="H596" s="8" t="s">
        <v>115</v>
      </c>
      <c r="I596" s="27">
        <v>45852</v>
      </c>
      <c r="J596" s="8" t="s">
        <v>117</v>
      </c>
      <c r="K596" s="8" t="s">
        <v>124</v>
      </c>
      <c r="L596" s="8" t="s">
        <v>119</v>
      </c>
      <c r="M596" s="16" t="str">
        <f ca="1">IFERROR(__xludf.DUMMYFUNCTION("JOIN("""",VLOOKUP(D596,'для артикула'!$A$2:$B$7,2,0),VLOOKUP(G596,'для артикула'!$A$13:$B$14,2,0),VLOOKUP(E596,'для артикула'!$A$9:$B$11,2,0),VLOOKUP(F596,'для артикула'!$A$17:$B$19,2,0),VLOOKUP(J596,'для артикула'!$A$22:$B$23,2,0),VLOOKUP(H596,'для артик"&amp;"ула'!$A$26:$B$30,2,0))"),"002-2013E50Q13-OK")</f>
        <v>002-2013E50Q13-OK</v>
      </c>
      <c r="N596" s="8" t="str">
        <f>IF(ISNUMBER(MATCH(C596, 'Реестр договоров'!$D$2:$D$900, 0)), "Продано", "В наличии")</f>
        <v>Продано</v>
      </c>
    </row>
    <row r="597" spans="1:14">
      <c r="A597" s="26">
        <v>45852.515447673606</v>
      </c>
      <c r="B597" s="26"/>
      <c r="C597" s="8" t="s">
        <v>700</v>
      </c>
      <c r="D597" s="8" t="s">
        <v>287</v>
      </c>
      <c r="E597" s="8">
        <v>30</v>
      </c>
      <c r="F597" s="8" t="s">
        <v>116</v>
      </c>
      <c r="G597" s="8" t="s">
        <v>116</v>
      </c>
      <c r="H597" s="8" t="s">
        <v>115</v>
      </c>
      <c r="I597" s="27">
        <v>45852</v>
      </c>
      <c r="J597" s="8" t="s">
        <v>117</v>
      </c>
      <c r="K597" s="8" t="s">
        <v>124</v>
      </c>
      <c r="L597" s="8" t="s">
        <v>119</v>
      </c>
      <c r="M597" s="16" t="str">
        <f ca="1">IFERROR(__xludf.DUMMYFUNCTION("JOIN("""",VLOOKUP(D597,'для артикула'!$A$2:$B$7,2,0),VLOOKUP(G597,'для артикула'!$A$13:$B$14,2,0),VLOOKUP(E597,'для артикула'!$A$9:$B$11,2,0),VLOOKUP(F597,'для артикула'!$A$17:$B$19,2,0),VLOOKUP(J597,'для артикула'!$A$22:$B$23,2,0),VLOOKUP(H597,'для артик"&amp;"ула'!$A$26:$B$30,2,0))"),"002-2513E30Q13-OK")</f>
        <v>002-2513E30Q13-OK</v>
      </c>
      <c r="N597" s="8" t="str">
        <f>IF(ISNUMBER(MATCH(C597, 'Реестр договоров'!$D$2:$D$900, 0)), "Продано", "В наличии")</f>
        <v>В наличии</v>
      </c>
    </row>
    <row r="598" spans="1:14">
      <c r="A598" s="26">
        <v>45852.637714594908</v>
      </c>
      <c r="B598" s="26"/>
      <c r="C598" s="8" t="s">
        <v>701</v>
      </c>
      <c r="D598" s="8" t="s">
        <v>114</v>
      </c>
      <c r="E598" s="8">
        <v>50</v>
      </c>
      <c r="F598" s="8" t="s">
        <v>116</v>
      </c>
      <c r="G598" s="8" t="s">
        <v>116</v>
      </c>
      <c r="H598" s="8" t="s">
        <v>115</v>
      </c>
      <c r="I598" s="27">
        <v>45842</v>
      </c>
      <c r="J598" s="8" t="s">
        <v>117</v>
      </c>
      <c r="K598" s="8" t="s">
        <v>121</v>
      </c>
      <c r="L598" s="8" t="s">
        <v>119</v>
      </c>
      <c r="M598" s="16" t="str">
        <f ca="1">IFERROR(__xludf.DUMMYFUNCTION("JOIN("""",VLOOKUP(D598,'для артикула'!$A$2:$B$7,2,0),VLOOKUP(G598,'для артикула'!$A$13:$B$14,2,0),VLOOKUP(E598,'для артикула'!$A$9:$B$11,2,0),VLOOKUP(F598,'для артикула'!$A$17:$B$19,2,0),VLOOKUP(J598,'для артикула'!$A$22:$B$23,2,0),VLOOKUP(H598,'для артик"&amp;"ула'!$A$26:$B$30,2,0))"),"002-2013E50Q13-OK")</f>
        <v>002-2013E50Q13-OK</v>
      </c>
      <c r="N598" s="8" t="str">
        <f>IF(ISNUMBER(MATCH(C598, 'Реестр договоров'!$D$2:$D$900, 0)), "Продано", "В наличии")</f>
        <v>Продано</v>
      </c>
    </row>
    <row r="599" spans="1:14">
      <c r="A599" s="26">
        <v>45853.546880694441</v>
      </c>
      <c r="B599" s="26"/>
      <c r="C599" s="8" t="s">
        <v>702</v>
      </c>
      <c r="D599" s="8" t="s">
        <v>114</v>
      </c>
      <c r="E599" s="8">
        <v>30</v>
      </c>
      <c r="F599" s="8" t="s">
        <v>116</v>
      </c>
      <c r="G599" s="8" t="s">
        <v>116</v>
      </c>
      <c r="H599" s="8" t="s">
        <v>115</v>
      </c>
      <c r="I599" s="27">
        <v>45853</v>
      </c>
      <c r="J599" s="8" t="s">
        <v>117</v>
      </c>
      <c r="K599" s="8" t="s">
        <v>124</v>
      </c>
      <c r="L599" s="8" t="s">
        <v>119</v>
      </c>
      <c r="M599" s="16" t="str">
        <f ca="1">IFERROR(__xludf.DUMMYFUNCTION("JOIN("""",VLOOKUP(D599,'для артикула'!$A$2:$B$7,2,0),VLOOKUP(G599,'для артикула'!$A$13:$B$14,2,0),VLOOKUP(E599,'для артикула'!$A$9:$B$11,2,0),VLOOKUP(F599,'для артикула'!$A$17:$B$19,2,0),VLOOKUP(J599,'для артикула'!$A$22:$B$23,2,0),VLOOKUP(H599,'для артик"&amp;"ула'!$A$26:$B$30,2,0))"),"002-2013E30Q13-OK")</f>
        <v>002-2013E30Q13-OK</v>
      </c>
      <c r="N599" s="8" t="str">
        <f>IF(ISNUMBER(MATCH(C599, 'Реестр договоров'!$D$2:$D$900, 0)), "Продано", "В наличии")</f>
        <v>Продано</v>
      </c>
    </row>
    <row r="600" spans="1:14">
      <c r="A600" s="26">
        <v>45853.547670057873</v>
      </c>
      <c r="B600" s="26"/>
      <c r="C600" s="8" t="s">
        <v>703</v>
      </c>
      <c r="D600" s="8" t="s">
        <v>114</v>
      </c>
      <c r="E600" s="8">
        <v>50</v>
      </c>
      <c r="F600" s="8" t="s">
        <v>116</v>
      </c>
      <c r="G600" s="8" t="s">
        <v>116</v>
      </c>
      <c r="H600" s="8">
        <v>30</v>
      </c>
      <c r="I600" s="27">
        <v>45853</v>
      </c>
      <c r="J600" s="8" t="s">
        <v>117</v>
      </c>
      <c r="K600" s="8" t="s">
        <v>124</v>
      </c>
      <c r="L600" s="8" t="s">
        <v>119</v>
      </c>
      <c r="M600" s="16" t="str">
        <f ca="1">IFERROR(__xludf.DUMMYFUNCTION("JOIN("""",VLOOKUP(D600,'для артикула'!$A$2:$B$7,2,0),VLOOKUP(G600,'для артикула'!$A$13:$B$14,2,0),VLOOKUP(E600,'для артикула'!$A$9:$B$11,2,0),VLOOKUP(F600,'для артикула'!$A$17:$B$19,2,0),VLOOKUP(J600,'для артикула'!$A$22:$B$23,2,0),VLOOKUP(H600,'для артик"&amp;"ула'!$A$26:$B$30,2,0))"),"002-2013E50Q13-OK30")</f>
        <v>002-2013E50Q13-OK30</v>
      </c>
      <c r="N600" s="8" t="str">
        <f>IF(ISNUMBER(MATCH(C600, 'Реестр договоров'!$D$2:$D$900, 0)), "Продано", "В наличии")</f>
        <v>Продано</v>
      </c>
    </row>
    <row r="601" spans="1:14">
      <c r="A601" s="26">
        <v>45854.640855891208</v>
      </c>
      <c r="B601" s="26"/>
      <c r="C601" s="8" t="s">
        <v>704</v>
      </c>
      <c r="D601" s="8" t="s">
        <v>287</v>
      </c>
      <c r="E601" s="8">
        <v>50</v>
      </c>
      <c r="F601" s="8" t="s">
        <v>116</v>
      </c>
      <c r="G601" s="8" t="s">
        <v>116</v>
      </c>
      <c r="H601" s="8">
        <v>90</v>
      </c>
      <c r="I601" s="27">
        <v>45849</v>
      </c>
      <c r="J601" s="8" t="s">
        <v>117</v>
      </c>
      <c r="K601" s="8" t="s">
        <v>118</v>
      </c>
      <c r="L601" s="8" t="s">
        <v>119</v>
      </c>
      <c r="M601" s="16" t="str">
        <f ca="1">IFERROR(__xludf.DUMMYFUNCTION("JOIN("""",VLOOKUP(D601,'для артикула'!$A$2:$B$7,2,0),VLOOKUP(G601,'для артикула'!$A$13:$B$14,2,0),VLOOKUP(E601,'для артикула'!$A$9:$B$11,2,0),VLOOKUP(F601,'для артикула'!$A$17:$B$19,2,0),VLOOKUP(J601,'для артикула'!$A$22:$B$23,2,0),VLOOKUP(H601,'для артик"&amp;"ула'!$A$26:$B$30,2,0))"),"002-2513E50Q13-OK90")</f>
        <v>002-2513E50Q13-OK90</v>
      </c>
      <c r="N601" s="8" t="str">
        <f>IF(ISNUMBER(MATCH(C601, 'Реестр договоров'!$D$2:$D$900, 0)), "Продано", "В наличии")</f>
        <v>Продано</v>
      </c>
    </row>
    <row r="602" spans="1:14">
      <c r="A602" s="26">
        <v>45854.69699030093</v>
      </c>
      <c r="B602" s="26"/>
      <c r="C602" s="8" t="s">
        <v>705</v>
      </c>
      <c r="D602" s="8" t="s">
        <v>114</v>
      </c>
      <c r="E602" s="8">
        <v>50</v>
      </c>
      <c r="F602" s="8" t="s">
        <v>116</v>
      </c>
      <c r="G602" s="8" t="s">
        <v>116</v>
      </c>
      <c r="H602" s="8" t="s">
        <v>115</v>
      </c>
      <c r="I602" s="27">
        <v>45854</v>
      </c>
      <c r="J602" s="8" t="s">
        <v>117</v>
      </c>
      <c r="K602" s="8" t="s">
        <v>124</v>
      </c>
      <c r="L602" s="8" t="s">
        <v>119</v>
      </c>
      <c r="M602" s="16" t="str">
        <f ca="1">IFERROR(__xludf.DUMMYFUNCTION("JOIN("""",VLOOKUP(D602,'для артикула'!$A$2:$B$7,2,0),VLOOKUP(G602,'для артикула'!$A$13:$B$14,2,0),VLOOKUP(E602,'для артикула'!$A$9:$B$11,2,0),VLOOKUP(F602,'для артикула'!$A$17:$B$19,2,0),VLOOKUP(J602,'для артикула'!$A$22:$B$23,2,0),VLOOKUP(H602,'для артик"&amp;"ула'!$A$26:$B$30,2,0))"),"002-2013E50Q13-OK")</f>
        <v>002-2013E50Q13-OK</v>
      </c>
      <c r="N602" s="8" t="str">
        <f>IF(ISNUMBER(MATCH(C602, 'Реестр договоров'!$D$2:$D$900, 0)), "Продано", "В наличии")</f>
        <v>Продано</v>
      </c>
    </row>
    <row r="603" spans="1:14">
      <c r="A603" s="26">
        <v>45854.697647766203</v>
      </c>
      <c r="B603" s="26"/>
      <c r="C603" s="8" t="s">
        <v>706</v>
      </c>
      <c r="D603" s="8" t="s">
        <v>114</v>
      </c>
      <c r="E603" s="8">
        <v>50</v>
      </c>
      <c r="F603" s="8" t="s">
        <v>116</v>
      </c>
      <c r="G603" s="8" t="s">
        <v>116</v>
      </c>
      <c r="H603" s="8" t="s">
        <v>115</v>
      </c>
      <c r="I603" s="27">
        <v>45854</v>
      </c>
      <c r="J603" s="8" t="s">
        <v>117</v>
      </c>
      <c r="K603" s="8" t="s">
        <v>124</v>
      </c>
      <c r="L603" s="8" t="s">
        <v>119</v>
      </c>
      <c r="M603" s="16" t="str">
        <f ca="1">IFERROR(__xludf.DUMMYFUNCTION("JOIN("""",VLOOKUP(D603,'для артикула'!$A$2:$B$7,2,0),VLOOKUP(G603,'для артикула'!$A$13:$B$14,2,0),VLOOKUP(E603,'для артикула'!$A$9:$B$11,2,0),VLOOKUP(F603,'для артикула'!$A$17:$B$19,2,0),VLOOKUP(J603,'для артикула'!$A$22:$B$23,2,0),VLOOKUP(H603,'для артик"&amp;"ула'!$A$26:$B$30,2,0))"),"002-2013E50Q13-OK")</f>
        <v>002-2013E50Q13-OK</v>
      </c>
      <c r="N603" s="8" t="str">
        <f>IF(ISNUMBER(MATCH(C603, 'Реестр договоров'!$D$2:$D$900, 0)), "Продано", "В наличии")</f>
        <v>Продано</v>
      </c>
    </row>
    <row r="604" spans="1:14">
      <c r="A604" s="26">
        <v>45855.46230540509</v>
      </c>
      <c r="B604" s="26"/>
      <c r="C604" s="8" t="s">
        <v>707</v>
      </c>
      <c r="D604" s="8" t="s">
        <v>114</v>
      </c>
      <c r="E604" s="8">
        <v>50</v>
      </c>
      <c r="F604" s="8" t="s">
        <v>116</v>
      </c>
      <c r="G604" s="8" t="s">
        <v>116</v>
      </c>
      <c r="H604" s="8" t="s">
        <v>115</v>
      </c>
      <c r="I604" s="27">
        <v>45854</v>
      </c>
      <c r="J604" s="8" t="s">
        <v>117</v>
      </c>
      <c r="K604" s="8" t="s">
        <v>121</v>
      </c>
      <c r="L604" s="8" t="s">
        <v>119</v>
      </c>
      <c r="M604" s="16" t="str">
        <f ca="1">IFERROR(__xludf.DUMMYFUNCTION("JOIN("""",VLOOKUP(D604,'для артикула'!$A$2:$B$7,2,0),VLOOKUP(G604,'для артикула'!$A$13:$B$14,2,0),VLOOKUP(E604,'для артикула'!$A$9:$B$11,2,0),VLOOKUP(F604,'для артикула'!$A$17:$B$19,2,0),VLOOKUP(J604,'для артикула'!$A$22:$B$23,2,0),VLOOKUP(H604,'для артик"&amp;"ула'!$A$26:$B$30,2,0))"),"002-2013E50Q13-OK")</f>
        <v>002-2013E50Q13-OK</v>
      </c>
      <c r="N604" s="8" t="str">
        <f>IF(ISNUMBER(MATCH(C604, 'Реестр договоров'!$D$2:$D$900, 0)), "Продано", "В наличии")</f>
        <v>В наличии</v>
      </c>
    </row>
    <row r="605" spans="1:14">
      <c r="A605" s="26">
        <v>45855.500163379635</v>
      </c>
      <c r="B605" s="26"/>
      <c r="C605" s="8" t="s">
        <v>708</v>
      </c>
      <c r="D605" s="8" t="s">
        <v>347</v>
      </c>
      <c r="E605" s="8">
        <v>30</v>
      </c>
      <c r="F605" s="8" t="s">
        <v>116</v>
      </c>
      <c r="G605" s="8" t="s">
        <v>116</v>
      </c>
      <c r="H605" s="8" t="s">
        <v>115</v>
      </c>
      <c r="I605" s="27">
        <v>45841</v>
      </c>
      <c r="J605" s="8" t="s">
        <v>117</v>
      </c>
      <c r="K605" s="8" t="s">
        <v>121</v>
      </c>
      <c r="L605" s="8" t="s">
        <v>119</v>
      </c>
      <c r="M605" s="16" t="str">
        <f ca="1">IFERROR(__xludf.DUMMYFUNCTION("JOIN("""",VLOOKUP(D605,'для артикула'!$A$2:$B$7,2,0),VLOOKUP(G605,'для артикула'!$A$13:$B$14,2,0),VLOOKUP(E605,'для артикула'!$A$9:$B$11,2,0),VLOOKUP(F605,'для артикула'!$A$17:$B$19,2,0),VLOOKUP(J605,'для артикула'!$A$22:$B$23,2,0),VLOOKUP(H605,'для артик"&amp;"ула'!$A$26:$B$30,2,0))"),"002-2515E30Q13-OK")</f>
        <v>002-2515E30Q13-OK</v>
      </c>
      <c r="N605" s="8" t="str">
        <f>IF(ISNUMBER(MATCH(C605, 'Реестр договоров'!$D$2:$D$900, 0)), "Продано", "В наличии")</f>
        <v>Продано</v>
      </c>
    </row>
    <row r="606" spans="1:14">
      <c r="A606" s="26">
        <v>45855.684371620373</v>
      </c>
      <c r="B606" s="26"/>
      <c r="C606" s="8" t="s">
        <v>709</v>
      </c>
      <c r="D606" s="8" t="s">
        <v>114</v>
      </c>
      <c r="E606" s="8">
        <v>50</v>
      </c>
      <c r="F606" s="8" t="s">
        <v>116</v>
      </c>
      <c r="G606" s="8" t="s">
        <v>116</v>
      </c>
      <c r="H606" s="8" t="s">
        <v>115</v>
      </c>
      <c r="I606" s="27">
        <v>45853</v>
      </c>
      <c r="J606" s="8" t="s">
        <v>117</v>
      </c>
      <c r="K606" s="8" t="s">
        <v>121</v>
      </c>
      <c r="L606" s="8" t="s">
        <v>119</v>
      </c>
      <c r="M606" s="16" t="str">
        <f ca="1">IFERROR(__xludf.DUMMYFUNCTION("JOIN("""",VLOOKUP(D606,'для артикула'!$A$2:$B$7,2,0),VLOOKUP(G606,'для артикула'!$A$13:$B$14,2,0),VLOOKUP(E606,'для артикула'!$A$9:$B$11,2,0),VLOOKUP(F606,'для артикула'!$A$17:$B$19,2,0),VLOOKUP(J606,'для артикула'!$A$22:$B$23,2,0),VLOOKUP(H606,'для артик"&amp;"ула'!$A$26:$B$30,2,0))"),"002-2013E50Q13-OK")</f>
        <v>002-2013E50Q13-OK</v>
      </c>
      <c r="N606" s="8" t="str">
        <f>IF(ISNUMBER(MATCH(C606, 'Реестр договоров'!$D$2:$D$900, 0)), "Продано", "В наличии")</f>
        <v>В наличии</v>
      </c>
    </row>
    <row r="607" spans="1:14">
      <c r="A607" s="26">
        <v>45855.702895902781</v>
      </c>
      <c r="B607" s="26"/>
      <c r="C607" s="8" t="s">
        <v>710</v>
      </c>
      <c r="D607" s="8" t="s">
        <v>287</v>
      </c>
      <c r="E607" s="8">
        <v>50</v>
      </c>
      <c r="F607" s="8" t="s">
        <v>116</v>
      </c>
      <c r="G607" s="8" t="s">
        <v>116</v>
      </c>
      <c r="H607" s="8">
        <v>90</v>
      </c>
      <c r="I607" s="27">
        <v>45855</v>
      </c>
      <c r="J607" s="8" t="s">
        <v>117</v>
      </c>
      <c r="K607" s="8" t="s">
        <v>124</v>
      </c>
      <c r="L607" s="8" t="s">
        <v>119</v>
      </c>
      <c r="M607" s="16" t="str">
        <f ca="1">IFERROR(__xludf.DUMMYFUNCTION("JOIN("""",VLOOKUP(D607,'для артикула'!$A$2:$B$7,2,0),VLOOKUP(G607,'для артикула'!$A$13:$B$14,2,0),VLOOKUP(E607,'для артикула'!$A$9:$B$11,2,0),VLOOKUP(F607,'для артикула'!$A$17:$B$19,2,0),VLOOKUP(J607,'для артикула'!$A$22:$B$23,2,0),VLOOKUP(H607,'для артик"&amp;"ула'!$A$26:$B$30,2,0))"),"002-2513E50Q13-OK90")</f>
        <v>002-2513E50Q13-OK90</v>
      </c>
      <c r="N607" s="8" t="str">
        <f>IF(ISNUMBER(MATCH(C607, 'Реестр договоров'!$D$2:$D$900, 0)), "Продано", "В наличии")</f>
        <v>Продано</v>
      </c>
    </row>
    <row r="608" spans="1:14">
      <c r="A608" s="26">
        <v>45856.564028530091</v>
      </c>
      <c r="B608" s="26"/>
      <c r="C608" s="8" t="s">
        <v>711</v>
      </c>
      <c r="D608" s="8" t="s">
        <v>114</v>
      </c>
      <c r="E608" s="8">
        <v>50</v>
      </c>
      <c r="F608" s="8" t="s">
        <v>116</v>
      </c>
      <c r="G608" s="8" t="s">
        <v>116</v>
      </c>
      <c r="H608" s="8" t="s">
        <v>115</v>
      </c>
      <c r="I608" s="27">
        <v>45854</v>
      </c>
      <c r="J608" s="8" t="s">
        <v>117</v>
      </c>
      <c r="K608" s="8" t="s">
        <v>121</v>
      </c>
      <c r="L608" s="8" t="s">
        <v>119</v>
      </c>
      <c r="M608" s="16" t="str">
        <f ca="1">IFERROR(__xludf.DUMMYFUNCTION("JOIN("""",VLOOKUP(D608,'для артикула'!$A$2:$B$7,2,0),VLOOKUP(G608,'для артикула'!$A$13:$B$14,2,0),VLOOKUP(E608,'для артикула'!$A$9:$B$11,2,0),VLOOKUP(F608,'для артикула'!$A$17:$B$19,2,0),VLOOKUP(J608,'для артикула'!$A$22:$B$23,2,0),VLOOKUP(H608,'для артик"&amp;"ула'!$A$26:$B$30,2,0))"),"002-2013E50Q13-OK")</f>
        <v>002-2013E50Q13-OK</v>
      </c>
      <c r="N608" s="8" t="str">
        <f>IF(ISNUMBER(MATCH(C608, 'Реестр договоров'!$D$2:$D$900, 0)), "Продано", "В наличии")</f>
        <v>Продано</v>
      </c>
    </row>
    <row r="609" spans="1:14">
      <c r="A609" s="26">
        <v>45856.637194467592</v>
      </c>
      <c r="B609" s="26"/>
      <c r="C609" s="8" t="s">
        <v>712</v>
      </c>
      <c r="D609" s="8" t="s">
        <v>114</v>
      </c>
      <c r="E609" s="8">
        <v>30</v>
      </c>
      <c r="F609" s="8" t="s">
        <v>116</v>
      </c>
      <c r="G609" s="8" t="s">
        <v>116</v>
      </c>
      <c r="H609" s="8" t="s">
        <v>115</v>
      </c>
      <c r="I609" s="27">
        <v>45854</v>
      </c>
      <c r="J609" s="8" t="s">
        <v>117</v>
      </c>
      <c r="K609" s="8" t="s">
        <v>121</v>
      </c>
      <c r="L609" s="8" t="s">
        <v>119</v>
      </c>
      <c r="M609" s="16" t="str">
        <f ca="1">IFERROR(__xludf.DUMMYFUNCTION("JOIN("""",VLOOKUP(D609,'для артикула'!$A$2:$B$7,2,0),VLOOKUP(G609,'для артикула'!$A$13:$B$14,2,0),VLOOKUP(E609,'для артикула'!$A$9:$B$11,2,0),VLOOKUP(F609,'для артикула'!$A$17:$B$19,2,0),VLOOKUP(J609,'для артикула'!$A$22:$B$23,2,0),VLOOKUP(H609,'для артик"&amp;"ула'!$A$26:$B$30,2,0))"),"002-2013E30Q13-OK")</f>
        <v>002-2013E30Q13-OK</v>
      </c>
      <c r="N609" s="8" t="str">
        <f>IF(ISNUMBER(MATCH(C609, 'Реестр договоров'!$D$2:$D$900, 0)), "Продано", "В наличии")</f>
        <v>Продано</v>
      </c>
    </row>
    <row r="610" spans="1:14">
      <c r="A610" s="26">
        <v>45859.451638969906</v>
      </c>
      <c r="B610" s="26"/>
      <c r="C610" s="8" t="s">
        <v>713</v>
      </c>
      <c r="D610" s="8" t="s">
        <v>347</v>
      </c>
      <c r="E610" s="8">
        <v>30</v>
      </c>
      <c r="F610" s="8" t="s">
        <v>116</v>
      </c>
      <c r="G610" s="8" t="s">
        <v>116</v>
      </c>
      <c r="H610" s="8" t="s">
        <v>115</v>
      </c>
      <c r="I610" s="27">
        <v>45855</v>
      </c>
      <c r="J610" s="8" t="s">
        <v>117</v>
      </c>
      <c r="K610" s="8" t="s">
        <v>118</v>
      </c>
      <c r="L610" s="8" t="s">
        <v>288</v>
      </c>
      <c r="M610" s="16" t="str">
        <f ca="1">IFERROR(__xludf.DUMMYFUNCTION("JOIN("""",VLOOKUP(D610,'для артикула'!$A$2:$B$7,2,0),VLOOKUP(G610,'для артикула'!$A$13:$B$14,2,0),VLOOKUP(E610,'для артикула'!$A$9:$B$11,2,0),VLOOKUP(F610,'для артикула'!$A$17:$B$19,2,0),VLOOKUP(J610,'для артикула'!$A$22:$B$23,2,0),VLOOKUP(H610,'для артик"&amp;"ула'!$A$26:$B$30,2,0))"),"002-2515E30Q13-OK")</f>
        <v>002-2515E30Q13-OK</v>
      </c>
      <c r="N610" s="8" t="str">
        <f>IF(ISNUMBER(MATCH(C610, 'Реестр договоров'!$D$2:$D$900, 0)), "Продано", "В наличии")</f>
        <v>Продано</v>
      </c>
    </row>
    <row r="611" spans="1:14">
      <c r="A611" s="26">
        <v>45862.565629953708</v>
      </c>
      <c r="B611" s="26"/>
      <c r="C611" s="8" t="s">
        <v>714</v>
      </c>
      <c r="D611" s="8" t="s">
        <v>114</v>
      </c>
      <c r="E611" s="8">
        <v>30</v>
      </c>
      <c r="F611" s="8" t="s">
        <v>116</v>
      </c>
      <c r="G611" s="8" t="s">
        <v>116</v>
      </c>
      <c r="H611" s="8" t="s">
        <v>115</v>
      </c>
      <c r="I611" s="27">
        <v>45854</v>
      </c>
      <c r="J611" s="8" t="s">
        <v>117</v>
      </c>
      <c r="K611" s="8" t="s">
        <v>121</v>
      </c>
      <c r="L611" s="8" t="s">
        <v>119</v>
      </c>
      <c r="M611" s="16" t="str">
        <f ca="1">IFERROR(__xludf.DUMMYFUNCTION("JOIN("""",VLOOKUP(D611,'для артикула'!$A$2:$B$7,2,0),VLOOKUP(G611,'для артикула'!$A$13:$B$14,2,0),VLOOKUP(E611,'для артикула'!$A$9:$B$11,2,0),VLOOKUP(F611,'для артикула'!$A$17:$B$19,2,0),VLOOKUP(J611,'для артикула'!$A$22:$B$23,2,0),VLOOKUP(H611,'для артик"&amp;"ула'!$A$26:$B$30,2,0))"),"002-2013E30Q13-OK")</f>
        <v>002-2013E30Q13-OK</v>
      </c>
      <c r="N611" s="8" t="str">
        <f>IF(ISNUMBER(MATCH(C611, 'Реестр договоров'!$D$2:$D$900, 0)), "Продано", "В наличии")</f>
        <v>Продано</v>
      </c>
    </row>
    <row r="612" spans="1:14">
      <c r="A612" s="26">
        <v>45862.689318310186</v>
      </c>
      <c r="B612" s="26"/>
      <c r="C612" s="8" t="s">
        <v>715</v>
      </c>
      <c r="D612" s="8" t="s">
        <v>287</v>
      </c>
      <c r="E612" s="8">
        <v>50</v>
      </c>
      <c r="F612" s="8" t="s">
        <v>116</v>
      </c>
      <c r="G612" s="8" t="s">
        <v>116</v>
      </c>
      <c r="H612" s="8" t="s">
        <v>115</v>
      </c>
      <c r="I612" s="27">
        <v>45862</v>
      </c>
      <c r="J612" s="8" t="s">
        <v>117</v>
      </c>
      <c r="K612" s="8" t="s">
        <v>124</v>
      </c>
      <c r="L612" s="8" t="s">
        <v>119</v>
      </c>
      <c r="M612" s="16" t="str">
        <f ca="1">IFERROR(__xludf.DUMMYFUNCTION("JOIN("""",VLOOKUP(D612,'для артикула'!$A$2:$B$7,2,0),VLOOKUP(G612,'для артикула'!$A$13:$B$14,2,0),VLOOKUP(E612,'для артикула'!$A$9:$B$11,2,0),VLOOKUP(F612,'для артикула'!$A$17:$B$19,2,0),VLOOKUP(J612,'для артикула'!$A$22:$B$23,2,0),VLOOKUP(H612,'для артик"&amp;"ула'!$A$26:$B$30,2,0))"),"002-2513E50Q13-OK")</f>
        <v>002-2513E50Q13-OK</v>
      </c>
      <c r="N612" s="8" t="str">
        <f>IF(ISNUMBER(MATCH(C612, 'Реестр договоров'!$D$2:$D$900, 0)), "Продано", "В наличии")</f>
        <v>Продано</v>
      </c>
    </row>
    <row r="613" spans="1:14">
      <c r="A613" s="26">
        <v>45867.620726099536</v>
      </c>
      <c r="B613" s="26"/>
      <c r="C613" s="8" t="s">
        <v>83</v>
      </c>
      <c r="D613" s="8" t="s">
        <v>347</v>
      </c>
      <c r="E613" s="8">
        <v>50</v>
      </c>
      <c r="F613" s="8" t="s">
        <v>116</v>
      </c>
      <c r="G613" s="8" t="s">
        <v>116</v>
      </c>
      <c r="H613" s="8">
        <v>90</v>
      </c>
      <c r="I613" s="27">
        <v>45867</v>
      </c>
      <c r="J613" s="8" t="s">
        <v>117</v>
      </c>
      <c r="K613" s="8" t="s">
        <v>124</v>
      </c>
      <c r="L613" s="8" t="s">
        <v>288</v>
      </c>
      <c r="M613" s="16" t="str">
        <f ca="1">IFERROR(__xludf.DUMMYFUNCTION("JOIN("""",VLOOKUP(D613,'для артикула'!$A$2:$B$7,2,0),VLOOKUP(G613,'для артикула'!$A$13:$B$14,2,0),VLOOKUP(E613,'для артикула'!$A$9:$B$11,2,0),VLOOKUP(F613,'для артикула'!$A$17:$B$19,2,0),VLOOKUP(J613,'для артикула'!$A$22:$B$23,2,0),VLOOKUP(H613,'для артик"&amp;"ула'!$A$26:$B$30,2,0))"),"002-2515E50Q13-OK90")</f>
        <v>002-2515E50Q13-OK90</v>
      </c>
      <c r="N613" s="8" t="str">
        <f>IF(ISNUMBER(MATCH(C613, 'Реестр договоров'!$D$2:$D$900, 0)), "Продано", "В наличии")</f>
        <v>Продано</v>
      </c>
    </row>
    <row r="614" spans="1:14">
      <c r="A614" s="26">
        <v>45867.621275879632</v>
      </c>
      <c r="B614" s="26"/>
      <c r="C614" s="8" t="s">
        <v>716</v>
      </c>
      <c r="D614" s="8" t="s">
        <v>347</v>
      </c>
      <c r="E614" s="8">
        <v>50</v>
      </c>
      <c r="F614" s="8" t="s">
        <v>116</v>
      </c>
      <c r="G614" s="8" t="s">
        <v>116</v>
      </c>
      <c r="H614" s="8" t="s">
        <v>115</v>
      </c>
      <c r="I614" s="27">
        <v>45867</v>
      </c>
      <c r="J614" s="8" t="s">
        <v>117</v>
      </c>
      <c r="K614" s="8" t="s">
        <v>124</v>
      </c>
      <c r="L614" s="8" t="s">
        <v>288</v>
      </c>
      <c r="M614" s="8" t="s">
        <v>356</v>
      </c>
      <c r="N614" s="8" t="str">
        <f>IF(ISNUMBER(MATCH(C614, 'Реестр договоров'!$D$2:$D$900, 0)), "Продано", "В наличии")</f>
        <v>Продано</v>
      </c>
    </row>
    <row r="615" spans="1:14">
      <c r="A615" s="26">
        <v>45867.622272465276</v>
      </c>
      <c r="B615" s="26"/>
      <c r="C615" s="8" t="s">
        <v>717</v>
      </c>
      <c r="D615" s="8" t="s">
        <v>114</v>
      </c>
      <c r="E615" s="8">
        <v>50</v>
      </c>
      <c r="F615" s="8" t="s">
        <v>116</v>
      </c>
      <c r="G615" s="8" t="s">
        <v>116</v>
      </c>
      <c r="H615" s="8" t="s">
        <v>115</v>
      </c>
      <c r="I615" s="27">
        <v>45867</v>
      </c>
      <c r="J615" s="8" t="s">
        <v>117</v>
      </c>
      <c r="K615" s="8" t="s">
        <v>124</v>
      </c>
      <c r="L615" s="8" t="s">
        <v>119</v>
      </c>
      <c r="M615" s="16" t="str">
        <f ca="1">IFERROR(__xludf.DUMMYFUNCTION("JOIN("""",VLOOKUP(D615,'для артикула'!$A$2:$B$7,2,0),VLOOKUP(G615,'для артикула'!$A$13:$B$14,2,0),VLOOKUP(E615,'для артикула'!$A$9:$B$11,2,0),VLOOKUP(F615,'для артикула'!$A$17:$B$19,2,0),VLOOKUP(J615,'для артикула'!$A$22:$B$23,2,0),VLOOKUP(H615,'для артик"&amp;"ула'!$A$26:$B$30,2,0))"),"002-2013E50Q13-OK")</f>
        <v>002-2013E50Q13-OK</v>
      </c>
      <c r="N615" s="8" t="str">
        <f>IF(ISNUMBER(MATCH(C615, 'Реестр договоров'!$D$2:$D$900, 0)), "Продано", "В наличии")</f>
        <v>Продано</v>
      </c>
    </row>
    <row r="616" spans="1:14">
      <c r="A616" s="26">
        <v>45868.413089594906</v>
      </c>
      <c r="B616" s="26"/>
      <c r="C616" s="8" t="s">
        <v>718</v>
      </c>
      <c r="D616" s="8" t="s">
        <v>114</v>
      </c>
      <c r="E616" s="8">
        <v>50</v>
      </c>
      <c r="F616" s="8" t="s">
        <v>116</v>
      </c>
      <c r="G616" s="8" t="s">
        <v>116</v>
      </c>
      <c r="H616" s="8" t="s">
        <v>115</v>
      </c>
      <c r="I616" s="27">
        <v>45868</v>
      </c>
      <c r="J616" s="8" t="s">
        <v>117</v>
      </c>
      <c r="K616" s="8" t="s">
        <v>124</v>
      </c>
      <c r="L616" s="8" t="s">
        <v>119</v>
      </c>
      <c r="M616" s="16" t="str">
        <f ca="1">IFERROR(__xludf.DUMMYFUNCTION("JOIN("""",VLOOKUP(D616,'для артикула'!$A$2:$B$7,2,0),VLOOKUP(G616,'для артикула'!$A$13:$B$14,2,0),VLOOKUP(E616,'для артикула'!$A$9:$B$11,2,0),VLOOKUP(F616,'для артикула'!$A$17:$B$19,2,0),VLOOKUP(J616,'для артикула'!$A$22:$B$23,2,0),VLOOKUP(H616,'для артик"&amp;"ула'!$A$26:$B$30,2,0))"),"002-2013E50Q13-OK")</f>
        <v>002-2013E50Q13-OK</v>
      </c>
      <c r="N616" s="8" t="str">
        <f>IF(ISNUMBER(MATCH(C616, 'Реестр договоров'!$D$2:$D$900, 0)), "Продано", "В наличии")</f>
        <v>Продано</v>
      </c>
    </row>
    <row r="617" spans="1:14">
      <c r="A617" s="26">
        <v>45868.413559548615</v>
      </c>
      <c r="B617" s="26"/>
      <c r="C617" s="8" t="s">
        <v>719</v>
      </c>
      <c r="D617" s="8" t="s">
        <v>114</v>
      </c>
      <c r="E617" s="8">
        <v>50</v>
      </c>
      <c r="F617" s="8" t="s">
        <v>116</v>
      </c>
      <c r="G617" s="8" t="s">
        <v>116</v>
      </c>
      <c r="H617" s="8" t="s">
        <v>115</v>
      </c>
      <c r="I617" s="27">
        <v>45868</v>
      </c>
      <c r="J617" s="8" t="s">
        <v>117</v>
      </c>
      <c r="K617" s="8" t="s">
        <v>124</v>
      </c>
      <c r="L617" s="8" t="s">
        <v>119</v>
      </c>
      <c r="M617" s="16" t="str">
        <f ca="1">IFERROR(__xludf.DUMMYFUNCTION("JOIN("""",VLOOKUP(D617,'для артикула'!$A$2:$B$7,2,0),VLOOKUP(G617,'для артикула'!$A$13:$B$14,2,0),VLOOKUP(E617,'для артикула'!$A$9:$B$11,2,0),VLOOKUP(F617,'для артикула'!$A$17:$B$19,2,0),VLOOKUP(J617,'для артикула'!$A$22:$B$23,2,0),VLOOKUP(H617,'для артик"&amp;"ула'!$A$26:$B$30,2,0))"),"002-2013E50Q13-OK")</f>
        <v>002-2013E50Q13-OK</v>
      </c>
      <c r="N617" s="8" t="str">
        <f>IF(ISNUMBER(MATCH(C617, 'Реестр договоров'!$D$2:$D$900, 0)), "Продано", "В наличии")</f>
        <v>Продано</v>
      </c>
    </row>
    <row r="618" spans="1:14">
      <c r="A618" s="26">
        <v>45868.771755428243</v>
      </c>
      <c r="B618" s="26"/>
      <c r="C618" s="8" t="s">
        <v>720</v>
      </c>
      <c r="D618" s="8" t="s">
        <v>114</v>
      </c>
      <c r="E618" s="8">
        <v>30</v>
      </c>
      <c r="F618" s="8" t="s">
        <v>116</v>
      </c>
      <c r="G618" s="8" t="s">
        <v>116</v>
      </c>
      <c r="H618" s="8">
        <v>30</v>
      </c>
      <c r="I618" s="27">
        <v>45868</v>
      </c>
      <c r="J618" s="8" t="s">
        <v>117</v>
      </c>
      <c r="K618" s="8" t="s">
        <v>124</v>
      </c>
      <c r="L618" s="8" t="s">
        <v>119</v>
      </c>
      <c r="M618" s="16" t="str">
        <f ca="1">IFERROR(__xludf.DUMMYFUNCTION("JOIN("""",VLOOKUP(D618,'для артикула'!$A$2:$B$7,2,0),VLOOKUP(G618,'для артикула'!$A$13:$B$14,2,0),VLOOKUP(E618,'для артикула'!$A$9:$B$11,2,0),VLOOKUP(F618,'для артикула'!$A$17:$B$19,2,0),VLOOKUP(J618,'для артикула'!$A$22:$B$23,2,0),VLOOKUP(H618,'для артик"&amp;"ула'!$A$26:$B$30,2,0))"),"002-2013E30Q13-OK30")</f>
        <v>002-2013E30Q13-OK30</v>
      </c>
      <c r="N618" s="8" t="str">
        <f>IF(ISNUMBER(MATCH(C618, 'Реестр договоров'!$D$2:$D$900, 0)), "Продано", "В наличии")</f>
        <v>Продано</v>
      </c>
    </row>
    <row r="619" spans="1:14">
      <c r="A619" s="26">
        <v>45868.77214789352</v>
      </c>
      <c r="B619" s="26"/>
      <c r="C619" s="8" t="s">
        <v>721</v>
      </c>
      <c r="D619" s="8" t="s">
        <v>114</v>
      </c>
      <c r="E619" s="8">
        <v>30</v>
      </c>
      <c r="F619" s="8" t="s">
        <v>116</v>
      </c>
      <c r="G619" s="8" t="s">
        <v>116</v>
      </c>
      <c r="H619" s="8" t="s">
        <v>115</v>
      </c>
      <c r="I619" s="27">
        <v>45868</v>
      </c>
      <c r="J619" s="8" t="s">
        <v>117</v>
      </c>
      <c r="K619" s="8" t="s">
        <v>124</v>
      </c>
      <c r="L619" s="8" t="s">
        <v>119</v>
      </c>
      <c r="M619" s="16" t="str">
        <f ca="1">IFERROR(__xludf.DUMMYFUNCTION("JOIN("""",VLOOKUP(D619,'для артикула'!$A$2:$B$7,2,0),VLOOKUP(G619,'для артикула'!$A$13:$B$14,2,0),VLOOKUP(E619,'для артикула'!$A$9:$B$11,2,0),VLOOKUP(F619,'для артикула'!$A$17:$B$19,2,0),VLOOKUP(J619,'для артикула'!$A$22:$B$23,2,0),VLOOKUP(H619,'для артик"&amp;"ула'!$A$26:$B$30,2,0))"),"002-2013E30Q13-OK")</f>
        <v>002-2013E30Q13-OK</v>
      </c>
      <c r="N619" s="8" t="str">
        <f>IF(ISNUMBER(MATCH(C619, 'Реестр договоров'!$D$2:$D$900, 0)), "Продано", "В наличии")</f>
        <v>Продано</v>
      </c>
    </row>
    <row r="620" spans="1:14">
      <c r="A620" s="26">
        <v>45868.772554710653</v>
      </c>
      <c r="B620" s="26"/>
      <c r="C620" s="8" t="s">
        <v>722</v>
      </c>
      <c r="D620" s="8" t="s">
        <v>114</v>
      </c>
      <c r="E620" s="8">
        <v>30</v>
      </c>
      <c r="F620" s="8" t="s">
        <v>116</v>
      </c>
      <c r="G620" s="8" t="s">
        <v>116</v>
      </c>
      <c r="H620" s="8" t="s">
        <v>115</v>
      </c>
      <c r="I620" s="27">
        <v>45868</v>
      </c>
      <c r="J620" s="8" t="s">
        <v>117</v>
      </c>
      <c r="K620" s="8" t="s">
        <v>124</v>
      </c>
      <c r="L620" s="8" t="s">
        <v>119</v>
      </c>
      <c r="M620" s="16" t="str">
        <f ca="1">IFERROR(__xludf.DUMMYFUNCTION("JOIN("""",VLOOKUP(D620,'для артикула'!$A$2:$B$7,2,0),VLOOKUP(G620,'для артикула'!$A$13:$B$14,2,0),VLOOKUP(E620,'для артикула'!$A$9:$B$11,2,0),VLOOKUP(F620,'для артикула'!$A$17:$B$19,2,0),VLOOKUP(J620,'для артикула'!$A$22:$B$23,2,0),VLOOKUP(H620,'для артик"&amp;"ула'!$A$26:$B$30,2,0))"),"002-2013E30Q13-OK")</f>
        <v>002-2013E30Q13-OK</v>
      </c>
      <c r="N620" s="8" t="str">
        <f>IF(ISNUMBER(MATCH(C620, 'Реестр договоров'!$D$2:$D$900, 0)), "Продано", "В наличии")</f>
        <v>Продано</v>
      </c>
    </row>
    <row r="621" spans="1:14">
      <c r="A621" s="26">
        <v>45868.773041087959</v>
      </c>
      <c r="B621" s="26"/>
      <c r="C621" s="8" t="s">
        <v>723</v>
      </c>
      <c r="D621" s="8" t="s">
        <v>287</v>
      </c>
      <c r="E621" s="8">
        <v>50</v>
      </c>
      <c r="F621" s="8" t="s">
        <v>116</v>
      </c>
      <c r="G621" s="8" t="s">
        <v>116</v>
      </c>
      <c r="H621" s="8" t="s">
        <v>115</v>
      </c>
      <c r="I621" s="27">
        <v>45868</v>
      </c>
      <c r="J621" s="8" t="s">
        <v>117</v>
      </c>
      <c r="K621" s="8" t="s">
        <v>124</v>
      </c>
      <c r="L621" s="8" t="s">
        <v>119</v>
      </c>
      <c r="M621" s="16" t="str">
        <f ca="1">IFERROR(__xludf.DUMMYFUNCTION("JOIN("""",VLOOKUP(D621,'для артикула'!$A$2:$B$7,2,0),VLOOKUP(G621,'для артикула'!$A$13:$B$14,2,0),VLOOKUP(E621,'для артикула'!$A$9:$B$11,2,0),VLOOKUP(F621,'для артикула'!$A$17:$B$19,2,0),VLOOKUP(J621,'для артикула'!$A$22:$B$23,2,0),VLOOKUP(H621,'для артик"&amp;"ула'!$A$26:$B$30,2,0))"),"002-2513E50Q13-OK")</f>
        <v>002-2513E50Q13-OK</v>
      </c>
      <c r="N621" s="8" t="str">
        <f>IF(ISNUMBER(MATCH(C621, 'Реестр договоров'!$D$2:$D$900, 0)), "Продано", "В наличии")</f>
        <v>Продано</v>
      </c>
    </row>
    <row r="622" spans="1:14">
      <c r="A622" s="26">
        <v>45869.420224050926</v>
      </c>
      <c r="B622" s="26"/>
      <c r="C622" s="8" t="s">
        <v>724</v>
      </c>
      <c r="D622" s="8" t="s">
        <v>114</v>
      </c>
      <c r="E622" s="8">
        <v>50</v>
      </c>
      <c r="F622" s="8" t="s">
        <v>116</v>
      </c>
      <c r="G622" s="8" t="s">
        <v>116</v>
      </c>
      <c r="H622" s="8" t="s">
        <v>115</v>
      </c>
      <c r="I622" s="27">
        <v>45869</v>
      </c>
      <c r="J622" s="8" t="s">
        <v>117</v>
      </c>
      <c r="K622" s="8" t="s">
        <v>121</v>
      </c>
      <c r="L622" s="8" t="s">
        <v>119</v>
      </c>
      <c r="M622" s="16" t="str">
        <f ca="1">IFERROR(__xludf.DUMMYFUNCTION("JOIN("""",VLOOKUP(D622,'для артикула'!$A$2:$B$7,2,0),VLOOKUP(G622,'для артикула'!$A$13:$B$14,2,0),VLOOKUP(E622,'для артикула'!$A$9:$B$11,2,0),VLOOKUP(F622,'для артикула'!$A$17:$B$19,2,0),VLOOKUP(J622,'для артикула'!$A$22:$B$23,2,0),VLOOKUP(H622,'для артик"&amp;"ула'!$A$26:$B$30,2,0))"),"002-2013E50Q13-OK")</f>
        <v>002-2013E50Q13-OK</v>
      </c>
      <c r="N622" s="8" t="str">
        <f>IF(ISNUMBER(MATCH(C622, 'Реестр договоров'!$D$2:$D$900, 0)), "Продано", "В наличии")</f>
        <v>Продано</v>
      </c>
    </row>
    <row r="623" spans="1:14">
      <c r="A623" s="26">
        <v>45869.420839722225</v>
      </c>
      <c r="B623" s="26"/>
      <c r="C623" s="8" t="s">
        <v>725</v>
      </c>
      <c r="D623" s="8" t="s">
        <v>114</v>
      </c>
      <c r="E623" s="8">
        <v>50</v>
      </c>
      <c r="F623" s="8" t="s">
        <v>116</v>
      </c>
      <c r="G623" s="8" t="s">
        <v>116</v>
      </c>
      <c r="H623" s="8" t="s">
        <v>115</v>
      </c>
      <c r="I623" s="27">
        <v>45869</v>
      </c>
      <c r="J623" s="8" t="s">
        <v>117</v>
      </c>
      <c r="K623" s="8" t="s">
        <v>121</v>
      </c>
      <c r="L623" s="8" t="s">
        <v>119</v>
      </c>
      <c r="M623" s="16" t="str">
        <f ca="1">IFERROR(__xludf.DUMMYFUNCTION("JOIN("""",VLOOKUP(D623,'для артикула'!$A$2:$B$7,2,0),VLOOKUP(G623,'для артикула'!$A$13:$B$14,2,0),VLOOKUP(E623,'для артикула'!$A$9:$B$11,2,0),VLOOKUP(F623,'для артикула'!$A$17:$B$19,2,0),VLOOKUP(J623,'для артикула'!$A$22:$B$23,2,0),VLOOKUP(H623,'для артик"&amp;"ула'!$A$26:$B$30,2,0))"),"002-2013E50Q13-OK")</f>
        <v>002-2013E50Q13-OK</v>
      </c>
      <c r="N623" s="8" t="str">
        <f>IF(ISNUMBER(MATCH(C623, 'Реестр договоров'!$D$2:$D$900, 0)), "Продано", "В наличии")</f>
        <v>Продано</v>
      </c>
    </row>
    <row r="624" spans="1:14">
      <c r="A624" s="26">
        <v>45869.421343819442</v>
      </c>
      <c r="B624" s="26"/>
      <c r="C624" s="8" t="s">
        <v>726</v>
      </c>
      <c r="D624" s="8" t="s">
        <v>114</v>
      </c>
      <c r="E624" s="8">
        <v>50</v>
      </c>
      <c r="F624" s="8" t="s">
        <v>116</v>
      </c>
      <c r="G624" s="8" t="s">
        <v>116</v>
      </c>
      <c r="H624" s="8">
        <v>60</v>
      </c>
      <c r="I624" s="27">
        <v>45869</v>
      </c>
      <c r="J624" s="8" t="s">
        <v>117</v>
      </c>
      <c r="K624" s="8" t="s">
        <v>121</v>
      </c>
      <c r="L624" s="8" t="s">
        <v>119</v>
      </c>
      <c r="M624" s="16" t="str">
        <f ca="1">IFERROR(__xludf.DUMMYFUNCTION("JOIN("""",VLOOKUP(D624,'для артикула'!$A$2:$B$7,2,0),VLOOKUP(G624,'для артикула'!$A$13:$B$14,2,0),VLOOKUP(E624,'для артикула'!$A$9:$B$11,2,0),VLOOKUP(F624,'для артикула'!$A$17:$B$19,2,0),VLOOKUP(J624,'для артикула'!$A$22:$B$23,2,0),VLOOKUP(H624,'для артик"&amp;"ула'!$A$26:$B$30,2,0))"),"002-2013E50Q13-OK60")</f>
        <v>002-2013E50Q13-OK60</v>
      </c>
      <c r="N624" s="8" t="str">
        <f>IF(ISNUMBER(MATCH(C624, 'Реестр договоров'!$D$2:$D$900, 0)), "Продано", "В наличии")</f>
        <v>Продано</v>
      </c>
    </row>
    <row r="625" spans="1:14">
      <c r="A625" s="26">
        <v>45869.422195289357</v>
      </c>
      <c r="B625" s="26"/>
      <c r="C625" s="8" t="s">
        <v>727</v>
      </c>
      <c r="D625" s="8" t="s">
        <v>114</v>
      </c>
      <c r="E625" s="8">
        <v>50</v>
      </c>
      <c r="F625" s="8" t="s">
        <v>116</v>
      </c>
      <c r="G625" s="8" t="s">
        <v>116</v>
      </c>
      <c r="H625" s="8" t="s">
        <v>115</v>
      </c>
      <c r="I625" s="27">
        <v>45869</v>
      </c>
      <c r="J625" s="8" t="s">
        <v>117</v>
      </c>
      <c r="K625" s="8" t="s">
        <v>121</v>
      </c>
      <c r="L625" s="8" t="s">
        <v>119</v>
      </c>
      <c r="M625" s="16" t="str">
        <f ca="1">IFERROR(__xludf.DUMMYFUNCTION("JOIN("""",VLOOKUP(D625,'для артикула'!$A$2:$B$7,2,0),VLOOKUP(G625,'для артикула'!$A$13:$B$14,2,0),VLOOKUP(E625,'для артикула'!$A$9:$B$11,2,0),VLOOKUP(F625,'для артикула'!$A$17:$B$19,2,0),VLOOKUP(J625,'для артикула'!$A$22:$B$23,2,0),VLOOKUP(H625,'для артик"&amp;"ула'!$A$26:$B$30,2,0))"),"002-2013E50Q13-OK")</f>
        <v>002-2013E50Q13-OK</v>
      </c>
      <c r="N625" s="8" t="str">
        <f>IF(ISNUMBER(MATCH(C625, 'Реестр договоров'!$D$2:$D$900, 0)), "Продано", "В наличии")</f>
        <v>Продано</v>
      </c>
    </row>
    <row r="626" spans="1:14">
      <c r="A626" s="26">
        <v>45869.422765208335</v>
      </c>
      <c r="B626" s="26"/>
      <c r="C626" s="8" t="s">
        <v>728</v>
      </c>
      <c r="D626" s="8" t="s">
        <v>114</v>
      </c>
      <c r="E626" s="8">
        <v>50</v>
      </c>
      <c r="F626" s="8" t="s">
        <v>116</v>
      </c>
      <c r="G626" s="8" t="s">
        <v>116</v>
      </c>
      <c r="H626" s="8" t="s">
        <v>115</v>
      </c>
      <c r="I626" s="27">
        <v>45869</v>
      </c>
      <c r="J626" s="8" t="s">
        <v>117</v>
      </c>
      <c r="K626" s="8" t="s">
        <v>121</v>
      </c>
      <c r="L626" s="8" t="s">
        <v>119</v>
      </c>
      <c r="M626" s="16" t="str">
        <f ca="1">IFERROR(__xludf.DUMMYFUNCTION("JOIN("""",VLOOKUP(D626,'для артикула'!$A$2:$B$7,2,0),VLOOKUP(G626,'для артикула'!$A$13:$B$14,2,0),VLOOKUP(E626,'для артикула'!$A$9:$B$11,2,0),VLOOKUP(F626,'для артикула'!$A$17:$B$19,2,0),VLOOKUP(J626,'для артикула'!$A$22:$B$23,2,0),VLOOKUP(H626,'для артик"&amp;"ула'!$A$26:$B$30,2,0))"),"002-2013E50Q13-OK")</f>
        <v>002-2013E50Q13-OK</v>
      </c>
      <c r="N626" s="8" t="str">
        <f>IF(ISNUMBER(MATCH(C626, 'Реестр договоров'!$D$2:$D$900, 0)), "Продано", "В наличии")</f>
        <v>Продано</v>
      </c>
    </row>
    <row r="627" spans="1:14">
      <c r="A627" s="26">
        <v>45869.423258587965</v>
      </c>
      <c r="B627" s="26"/>
      <c r="C627" s="8" t="s">
        <v>729</v>
      </c>
      <c r="D627" s="8" t="s">
        <v>114</v>
      </c>
      <c r="E627" s="8">
        <v>50</v>
      </c>
      <c r="F627" s="8" t="s">
        <v>116</v>
      </c>
      <c r="G627" s="8" t="s">
        <v>116</v>
      </c>
      <c r="H627" s="8" t="s">
        <v>115</v>
      </c>
      <c r="I627" s="27">
        <v>45869</v>
      </c>
      <c r="J627" s="8" t="s">
        <v>117</v>
      </c>
      <c r="K627" s="8" t="s">
        <v>121</v>
      </c>
      <c r="L627" s="8" t="s">
        <v>119</v>
      </c>
      <c r="M627" s="16" t="str">
        <f ca="1">IFERROR(__xludf.DUMMYFUNCTION("JOIN("""",VLOOKUP(D627,'для артикула'!$A$2:$B$7,2,0),VLOOKUP(G627,'для артикула'!$A$13:$B$14,2,0),VLOOKUP(E627,'для артикула'!$A$9:$B$11,2,0),VLOOKUP(F627,'для артикула'!$A$17:$B$19,2,0),VLOOKUP(J627,'для артикула'!$A$22:$B$23,2,0),VLOOKUP(H627,'для артик"&amp;"ула'!$A$26:$B$30,2,0))"),"002-2013E50Q13-OK")</f>
        <v>002-2013E50Q13-OK</v>
      </c>
      <c r="N627" s="8" t="str">
        <f>IF(ISNUMBER(MATCH(C627, 'Реестр договоров'!$D$2:$D$900, 0)), "Продано", "В наличии")</f>
        <v>Продано</v>
      </c>
    </row>
    <row r="628" spans="1:14">
      <c r="A628" s="26">
        <v>45869.423823472222</v>
      </c>
      <c r="B628" s="26"/>
      <c r="C628" s="8" t="s">
        <v>730</v>
      </c>
      <c r="D628" s="8" t="s">
        <v>287</v>
      </c>
      <c r="E628" s="8">
        <v>50</v>
      </c>
      <c r="F628" s="8" t="s">
        <v>116</v>
      </c>
      <c r="G628" s="8" t="s">
        <v>116</v>
      </c>
      <c r="H628" s="8" t="s">
        <v>115</v>
      </c>
      <c r="I628" s="27">
        <v>45869</v>
      </c>
      <c r="J628" s="8" t="s">
        <v>117</v>
      </c>
      <c r="K628" s="8" t="s">
        <v>121</v>
      </c>
      <c r="L628" s="8" t="s">
        <v>119</v>
      </c>
      <c r="M628" s="16" t="str">
        <f ca="1">IFERROR(__xludf.DUMMYFUNCTION("JOIN("""",VLOOKUP(D628,'для артикула'!$A$2:$B$7,2,0),VLOOKUP(G628,'для артикула'!$A$13:$B$14,2,0),VLOOKUP(E628,'для артикула'!$A$9:$B$11,2,0),VLOOKUP(F628,'для артикула'!$A$17:$B$19,2,0),VLOOKUP(J628,'для артикула'!$A$22:$B$23,2,0),VLOOKUP(H628,'для артик"&amp;"ула'!$A$26:$B$30,2,0))"),"002-2513E50Q13-OK")</f>
        <v>002-2513E50Q13-OK</v>
      </c>
      <c r="N628" s="8" t="str">
        <f>IF(ISNUMBER(MATCH(C628, 'Реестр договоров'!$D$2:$D$900, 0)), "Продано", "В наличии")</f>
        <v>Продано</v>
      </c>
    </row>
    <row r="629" spans="1:14">
      <c r="A629" s="26">
        <v>45869.425165023145</v>
      </c>
      <c r="B629" s="26"/>
      <c r="C629" s="8" t="s">
        <v>731</v>
      </c>
      <c r="D629" s="8" t="s">
        <v>287</v>
      </c>
      <c r="E629" s="8">
        <v>50</v>
      </c>
      <c r="F629" s="8" t="s">
        <v>116</v>
      </c>
      <c r="G629" s="8" t="s">
        <v>116</v>
      </c>
      <c r="H629" s="8" t="s">
        <v>115</v>
      </c>
      <c r="I629" s="27">
        <v>45869</v>
      </c>
      <c r="J629" s="8" t="s">
        <v>117</v>
      </c>
      <c r="K629" s="8" t="s">
        <v>121</v>
      </c>
      <c r="L629" s="8" t="s">
        <v>119</v>
      </c>
      <c r="M629" s="16" t="str">
        <f ca="1">IFERROR(__xludf.DUMMYFUNCTION("JOIN("""",VLOOKUP(D629,'для артикула'!$A$2:$B$7,2,0),VLOOKUP(G629,'для артикула'!$A$13:$B$14,2,0),VLOOKUP(E629,'для артикула'!$A$9:$B$11,2,0),VLOOKUP(F629,'для артикула'!$A$17:$B$19,2,0),VLOOKUP(J629,'для артикула'!$A$22:$B$23,2,0),VLOOKUP(H629,'для артик"&amp;"ула'!$A$26:$B$30,2,0))"),"002-2513E50Q13-OK")</f>
        <v>002-2513E50Q13-OK</v>
      </c>
      <c r="N629" s="8" t="str">
        <f>IF(ISNUMBER(MATCH(C629, 'Реестр договоров'!$D$2:$D$900, 0)), "Продано", "В наличии")</f>
        <v>Продано</v>
      </c>
    </row>
    <row r="630" spans="1:14">
      <c r="A630" s="26">
        <v>45869.425910636579</v>
      </c>
      <c r="B630" s="26"/>
      <c r="C630" s="8" t="s">
        <v>732</v>
      </c>
      <c r="D630" s="8" t="s">
        <v>287</v>
      </c>
      <c r="E630" s="8">
        <v>30</v>
      </c>
      <c r="F630" s="8" t="s">
        <v>116</v>
      </c>
      <c r="G630" s="8" t="s">
        <v>116</v>
      </c>
      <c r="H630" s="8" t="s">
        <v>115</v>
      </c>
      <c r="I630" s="27">
        <v>45869</v>
      </c>
      <c r="J630" s="8" t="s">
        <v>117</v>
      </c>
      <c r="K630" s="8" t="s">
        <v>121</v>
      </c>
      <c r="L630" s="8" t="s">
        <v>119</v>
      </c>
      <c r="M630" s="16" t="str">
        <f ca="1">IFERROR(__xludf.DUMMYFUNCTION("JOIN("""",VLOOKUP(D630,'для артикула'!$A$2:$B$7,2,0),VLOOKUP(G630,'для артикула'!$A$13:$B$14,2,0),VLOOKUP(E630,'для артикула'!$A$9:$B$11,2,0),VLOOKUP(F630,'для артикула'!$A$17:$B$19,2,0),VLOOKUP(J630,'для артикула'!$A$22:$B$23,2,0),VLOOKUP(H630,'для артик"&amp;"ула'!$A$26:$B$30,2,0))"),"002-2513E30Q13-OK")</f>
        <v>002-2513E30Q13-OK</v>
      </c>
      <c r="N630" s="8" t="str">
        <f>IF(ISNUMBER(MATCH(C630, 'Реестр договоров'!$D$2:$D$900, 0)), "Продано", "В наличии")</f>
        <v>Продано</v>
      </c>
    </row>
    <row r="631" spans="1:14">
      <c r="A631" s="26">
        <v>45869.426511296297</v>
      </c>
      <c r="B631" s="26"/>
      <c r="C631" s="8" t="s">
        <v>733</v>
      </c>
      <c r="D631" s="8" t="s">
        <v>287</v>
      </c>
      <c r="E631" s="8">
        <v>30</v>
      </c>
      <c r="F631" s="8" t="s">
        <v>116</v>
      </c>
      <c r="G631" s="8" t="s">
        <v>116</v>
      </c>
      <c r="H631" s="8" t="s">
        <v>115</v>
      </c>
      <c r="I631" s="27">
        <v>45869</v>
      </c>
      <c r="J631" s="8" t="s">
        <v>117</v>
      </c>
      <c r="K631" s="8" t="s">
        <v>121</v>
      </c>
      <c r="L631" s="8" t="s">
        <v>119</v>
      </c>
      <c r="M631" s="16" t="str">
        <f ca="1">IFERROR(__xludf.DUMMYFUNCTION("JOIN("""",VLOOKUP(D631,'для артикула'!$A$2:$B$7,2,0),VLOOKUP(G631,'для артикула'!$A$13:$B$14,2,0),VLOOKUP(E631,'для артикула'!$A$9:$B$11,2,0),VLOOKUP(F631,'для артикула'!$A$17:$B$19,2,0),VLOOKUP(J631,'для артикула'!$A$22:$B$23,2,0),VLOOKUP(H631,'для артик"&amp;"ула'!$A$26:$B$30,2,0))"),"002-2513E30Q13-OK")</f>
        <v>002-2513E30Q13-OK</v>
      </c>
      <c r="N631" s="8" t="str">
        <f>IF(ISNUMBER(MATCH(C631, 'Реестр договоров'!$D$2:$D$900, 0)), "Продано", "В наличии")</f>
        <v>Продано</v>
      </c>
    </row>
    <row r="632" spans="1:14">
      <c r="A632" s="26">
        <v>45869.430425833329</v>
      </c>
      <c r="B632" s="26"/>
      <c r="C632" s="8" t="s">
        <v>734</v>
      </c>
      <c r="D632" s="8" t="s">
        <v>347</v>
      </c>
      <c r="E632" s="8">
        <v>30</v>
      </c>
      <c r="F632" s="8" t="s">
        <v>116</v>
      </c>
      <c r="G632" s="8" t="s">
        <v>116</v>
      </c>
      <c r="H632" s="8" t="s">
        <v>115</v>
      </c>
      <c r="I632" s="27">
        <v>45869</v>
      </c>
      <c r="J632" s="8" t="s">
        <v>117</v>
      </c>
      <c r="K632" s="8" t="s">
        <v>121</v>
      </c>
      <c r="L632" s="8" t="s">
        <v>119</v>
      </c>
      <c r="M632" s="16" t="str">
        <f ca="1">IFERROR(__xludf.DUMMYFUNCTION("JOIN("""",VLOOKUP(D632,'для артикула'!$A$2:$B$7,2,0),VLOOKUP(G632,'для артикула'!$A$13:$B$14,2,0),VLOOKUP(E632,'для артикула'!$A$9:$B$11,2,0),VLOOKUP(F632,'для артикула'!$A$17:$B$19,2,0),VLOOKUP(J632,'для артикула'!$A$22:$B$23,2,0),VLOOKUP(H632,'для артик"&amp;"ула'!$A$26:$B$30,2,0))"),"002-2515E30Q13-OK")</f>
        <v>002-2515E30Q13-OK</v>
      </c>
      <c r="N632" s="8" t="str">
        <f>IF(ISNUMBER(MATCH(C632, 'Реестр договоров'!$D$2:$D$900, 0)), "Продано", "В наличии")</f>
        <v>Продано</v>
      </c>
    </row>
    <row r="633" spans="1:14">
      <c r="A633" s="26">
        <v>45869.43115290509</v>
      </c>
      <c r="B633" s="26"/>
      <c r="C633" s="8" t="s">
        <v>735</v>
      </c>
      <c r="D633" s="8" t="s">
        <v>366</v>
      </c>
      <c r="E633" s="8">
        <v>50</v>
      </c>
      <c r="F633" s="8" t="s">
        <v>116</v>
      </c>
      <c r="G633" s="8" t="s">
        <v>116</v>
      </c>
      <c r="H633" s="8" t="s">
        <v>115</v>
      </c>
      <c r="I633" s="27">
        <v>45869</v>
      </c>
      <c r="J633" s="8" t="s">
        <v>117</v>
      </c>
      <c r="K633" s="8" t="s">
        <v>121</v>
      </c>
      <c r="L633" s="8" t="s">
        <v>119</v>
      </c>
      <c r="M633" s="16" t="str">
        <f ca="1">IFERROR(__xludf.DUMMYFUNCTION("JOIN("""",VLOOKUP(D633,'для артикула'!$A$2:$B$7,2,0),VLOOKUP(G633,'для артикула'!$A$13:$B$14,2,0),VLOOKUP(E633,'для артикула'!$A$9:$B$11,2,0),VLOOKUP(F633,'для артикула'!$A$17:$B$19,2,0),VLOOKUP(J633,'для артикула'!$A$22:$B$23,2,0),VLOOKUP(H633,'для артик"&amp;"ула'!$A$26:$B$30,2,0))"),"002-3015E50Q13-OK")</f>
        <v>002-3015E50Q13-OK</v>
      </c>
      <c r="N633" s="8" t="str">
        <f>IF(ISNUMBER(MATCH(C633, 'Реестр договоров'!$D$2:$D$900, 0)), "Продано", "В наличии")</f>
        <v>В наличии</v>
      </c>
    </row>
    <row r="634" spans="1:14">
      <c r="A634" s="26">
        <v>45874.532021701394</v>
      </c>
      <c r="B634" s="26"/>
      <c r="C634" s="8" t="s">
        <v>736</v>
      </c>
      <c r="D634" s="8" t="s">
        <v>114</v>
      </c>
      <c r="E634" s="8">
        <v>50</v>
      </c>
      <c r="F634" s="8" t="s">
        <v>116</v>
      </c>
      <c r="G634" s="8" t="s">
        <v>116</v>
      </c>
      <c r="H634" s="8">
        <v>30</v>
      </c>
      <c r="I634" s="27">
        <v>45874</v>
      </c>
      <c r="J634" s="8" t="s">
        <v>117</v>
      </c>
      <c r="K634" s="8" t="s">
        <v>118</v>
      </c>
      <c r="L634" s="8" t="s">
        <v>119</v>
      </c>
      <c r="M634" s="16" t="str">
        <f ca="1">IFERROR(__xludf.DUMMYFUNCTION("JOIN("""",VLOOKUP(D634,'для артикула'!$A$2:$B$7,2,0),VLOOKUP(G634,'для артикула'!$A$13:$B$14,2,0),VLOOKUP(E634,'для артикула'!$A$9:$B$11,2,0),VLOOKUP(F634,'для артикула'!$A$17:$B$19,2,0),VLOOKUP(J634,'для артикула'!$A$22:$B$23,2,0),VLOOKUP(H634,'для артик"&amp;"ула'!$A$26:$B$30,2,0))"),"002-2013E50Q13-OK30")</f>
        <v>002-2013E50Q13-OK30</v>
      </c>
      <c r="N634" s="8" t="str">
        <f>IF(ISNUMBER(MATCH(C634, 'Реестр договоров'!$D$2:$D$900, 0)), "Продано", "В наличии")</f>
        <v>Продано</v>
      </c>
    </row>
    <row r="635" spans="1:14">
      <c r="A635" s="26">
        <v>45874.661532557875</v>
      </c>
      <c r="B635" s="26"/>
      <c r="C635" s="8" t="s">
        <v>737</v>
      </c>
      <c r="D635" s="8" t="s">
        <v>114</v>
      </c>
      <c r="E635" s="8">
        <v>30</v>
      </c>
      <c r="F635" s="8" t="s">
        <v>116</v>
      </c>
      <c r="G635" s="8" t="s">
        <v>116</v>
      </c>
      <c r="H635" s="8">
        <v>30</v>
      </c>
      <c r="I635" s="27">
        <v>45874</v>
      </c>
      <c r="J635" s="8" t="s">
        <v>117</v>
      </c>
      <c r="K635" s="8" t="s">
        <v>118</v>
      </c>
      <c r="L635" s="8" t="s">
        <v>119</v>
      </c>
      <c r="M635" s="16" t="str">
        <f ca="1">IFERROR(__xludf.DUMMYFUNCTION("JOIN("""",VLOOKUP(D635,'для артикула'!$A$2:$B$7,2,0),VLOOKUP(G635,'для артикула'!$A$13:$B$14,2,0),VLOOKUP(E635,'для артикула'!$A$9:$B$11,2,0),VLOOKUP(F635,'для артикула'!$A$17:$B$19,2,0),VLOOKUP(J635,'для артикула'!$A$22:$B$23,2,0),VLOOKUP(H635,'для артик"&amp;"ула'!$A$26:$B$30,2,0))"),"002-2013E30Q13-OK30")</f>
        <v>002-2013E30Q13-OK30</v>
      </c>
      <c r="N635" s="8" t="str">
        <f>IF(ISNUMBER(MATCH(C635, 'Реестр договоров'!$D$2:$D$900, 0)), "Продано", "В наличии")</f>
        <v>Продано</v>
      </c>
    </row>
    <row r="636" spans="1:14">
      <c r="A636" s="26">
        <v>45875.635961215274</v>
      </c>
      <c r="B636" s="26"/>
      <c r="C636" s="8" t="s">
        <v>738</v>
      </c>
      <c r="D636" s="8" t="s">
        <v>114</v>
      </c>
      <c r="E636" s="8">
        <v>50</v>
      </c>
      <c r="F636" s="8" t="s">
        <v>116</v>
      </c>
      <c r="G636" s="8" t="s">
        <v>116</v>
      </c>
      <c r="H636" s="8" t="s">
        <v>115</v>
      </c>
      <c r="I636" s="27">
        <v>45875</v>
      </c>
      <c r="J636" s="8" t="s">
        <v>117</v>
      </c>
      <c r="K636" s="8" t="s">
        <v>121</v>
      </c>
      <c r="L636" s="8" t="s">
        <v>119</v>
      </c>
      <c r="M636" s="16" t="str">
        <f ca="1">IFERROR(__xludf.DUMMYFUNCTION("JOIN("""",VLOOKUP(D636,'для артикула'!$A$2:$B$7,2,0),VLOOKUP(G636,'для артикула'!$A$13:$B$14,2,0),VLOOKUP(E636,'для артикула'!$A$9:$B$11,2,0),VLOOKUP(F636,'для артикула'!$A$17:$B$19,2,0),VLOOKUP(J636,'для артикула'!$A$22:$B$23,2,0),VLOOKUP(H636,'для артик"&amp;"ула'!$A$26:$B$30,2,0))"),"002-2013E50Q13-OK")</f>
        <v>002-2013E50Q13-OK</v>
      </c>
      <c r="N636" s="8" t="str">
        <f>IF(ISNUMBER(MATCH(C636, 'Реестр договоров'!$D$2:$D$900, 0)), "Продано", "В наличии")</f>
        <v>Продано</v>
      </c>
    </row>
    <row r="637" spans="1:14">
      <c r="A637" s="26">
        <v>45877.742487152776</v>
      </c>
      <c r="B637" s="26"/>
      <c r="C637" s="8" t="s">
        <v>739</v>
      </c>
      <c r="D637" s="8" t="s">
        <v>114</v>
      </c>
      <c r="E637" s="8">
        <v>50</v>
      </c>
      <c r="F637" s="8" t="s">
        <v>116</v>
      </c>
      <c r="G637" s="8" t="s">
        <v>116</v>
      </c>
      <c r="H637" s="8">
        <v>30</v>
      </c>
      <c r="I637" s="27">
        <v>45876</v>
      </c>
      <c r="J637" s="8" t="s">
        <v>117</v>
      </c>
      <c r="K637" s="8" t="s">
        <v>124</v>
      </c>
      <c r="L637" s="8" t="s">
        <v>119</v>
      </c>
      <c r="M637" s="16" t="str">
        <f ca="1">IFERROR(__xludf.DUMMYFUNCTION("JOIN("""",VLOOKUP(D637,'для артикула'!$A$2:$B$7,2,0),VLOOKUP(G637,'для артикула'!$A$13:$B$14,2,0),VLOOKUP(E637,'для артикула'!$A$9:$B$11,2,0),VLOOKUP(F637,'для артикула'!$A$17:$B$19,2,0),VLOOKUP(J637,'для артикула'!$A$22:$B$23,2,0),VLOOKUP(H637,'для артик"&amp;"ула'!$A$26:$B$30,2,0))"),"002-2013E50Q13-OK30")</f>
        <v>002-2013E50Q13-OK30</v>
      </c>
      <c r="N637" s="8" t="str">
        <f>IF(ISNUMBER(MATCH(C637, 'Реестр договоров'!$D$2:$D$900, 0)), "Продано", "В наличии")</f>
        <v>Продано</v>
      </c>
    </row>
    <row r="638" spans="1:14">
      <c r="A638" s="26">
        <v>45880.492351724533</v>
      </c>
      <c r="B638" s="26"/>
      <c r="C638" s="8" t="s">
        <v>740</v>
      </c>
      <c r="D638" s="8" t="s">
        <v>114</v>
      </c>
      <c r="E638" s="8">
        <v>50</v>
      </c>
      <c r="F638" s="8" t="s">
        <v>116</v>
      </c>
      <c r="G638" s="8" t="s">
        <v>116</v>
      </c>
      <c r="H638" s="8" t="s">
        <v>115</v>
      </c>
      <c r="I638" s="27">
        <v>45880</v>
      </c>
      <c r="J638" s="8" t="s">
        <v>117</v>
      </c>
      <c r="K638" s="8" t="s">
        <v>118</v>
      </c>
      <c r="L638" s="8" t="s">
        <v>119</v>
      </c>
      <c r="M638" s="16" t="str">
        <f ca="1">IFERROR(__xludf.DUMMYFUNCTION("JOIN("""",VLOOKUP(D638,'для артикула'!$A$2:$B$7,2,0),VLOOKUP(G638,'для артикула'!$A$13:$B$14,2,0),VLOOKUP(E638,'для артикула'!$A$9:$B$11,2,0),VLOOKUP(F638,'для артикула'!$A$17:$B$19,2,0),VLOOKUP(J638,'для артикула'!$A$22:$B$23,2,0),VLOOKUP(H638,'для артик"&amp;"ула'!$A$26:$B$30,2,0))"),"002-2013E50Q13-OK")</f>
        <v>002-2013E50Q13-OK</v>
      </c>
      <c r="N638" s="8" t="str">
        <f>IF(ISNUMBER(MATCH(C638, 'Реестр договоров'!$D$2:$D$900, 0)), "Продано", "В наличии")</f>
        <v>Продано</v>
      </c>
    </row>
    <row r="639" spans="1:14">
      <c r="A639" s="26">
        <v>45883.469640972224</v>
      </c>
      <c r="B639" s="26"/>
      <c r="C639" s="8" t="s">
        <v>741</v>
      </c>
      <c r="D639" s="8" t="s">
        <v>114</v>
      </c>
      <c r="E639" s="8">
        <v>50</v>
      </c>
      <c r="F639" s="8" t="s">
        <v>116</v>
      </c>
      <c r="G639" s="8" t="s">
        <v>116</v>
      </c>
      <c r="H639" s="8" t="s">
        <v>115</v>
      </c>
      <c r="I639" s="27">
        <v>45882</v>
      </c>
      <c r="J639" s="8" t="s">
        <v>117</v>
      </c>
      <c r="K639" s="8" t="s">
        <v>121</v>
      </c>
      <c r="L639" s="8" t="s">
        <v>119</v>
      </c>
      <c r="M639" s="16" t="str">
        <f ca="1">IFERROR(__xludf.DUMMYFUNCTION("JOIN("""",VLOOKUP(D639,'для артикула'!$A$2:$B$7,2,0),VLOOKUP(G639,'для артикула'!$A$13:$B$14,2,0),VLOOKUP(E639,'для артикула'!$A$9:$B$11,2,0),VLOOKUP(F639,'для артикула'!$A$17:$B$19,2,0),VLOOKUP(J639,'для артикула'!$A$22:$B$23,2,0),VLOOKUP(H639,'для артик"&amp;"ула'!$A$26:$B$30,2,0))"),"002-2013E50Q13-OK")</f>
        <v>002-2013E50Q13-OK</v>
      </c>
      <c r="N639" s="8" t="str">
        <f>IF(ISNUMBER(MATCH(C639, 'Реестр договоров'!$D$2:$D$900, 0)), "Продано", "В наличии")</f>
        <v>Продано</v>
      </c>
    </row>
    <row r="640" spans="1:14">
      <c r="A640" s="26">
        <v>45883.547322083337</v>
      </c>
      <c r="B640" s="26"/>
      <c r="C640" s="8" t="s">
        <v>742</v>
      </c>
      <c r="D640" s="8" t="s">
        <v>347</v>
      </c>
      <c r="E640" s="8">
        <v>50</v>
      </c>
      <c r="F640" s="8" t="s">
        <v>116</v>
      </c>
      <c r="G640" s="8" t="s">
        <v>116</v>
      </c>
      <c r="H640" s="8">
        <v>90</v>
      </c>
      <c r="I640" s="27">
        <v>45882</v>
      </c>
      <c r="J640" s="8" t="s">
        <v>117</v>
      </c>
      <c r="K640" s="8" t="s">
        <v>124</v>
      </c>
      <c r="L640" s="8" t="s">
        <v>119</v>
      </c>
      <c r="M640" s="16" t="str">
        <f ca="1">IFERROR(__xludf.DUMMYFUNCTION("JOIN("""",VLOOKUP(D640,'для артикула'!$A$2:$B$7,2,0),VLOOKUP(G640,'для артикула'!$A$13:$B$14,2,0),VLOOKUP(E640,'для артикула'!$A$9:$B$11,2,0),VLOOKUP(F640,'для артикула'!$A$17:$B$19,2,0),VLOOKUP(J640,'для артикула'!$A$22:$B$23,2,0),VLOOKUP(H640,'для артик"&amp;"ула'!$A$26:$B$30,2,0))"),"002-2515E50Q13-OK90")</f>
        <v>002-2515E50Q13-OK90</v>
      </c>
      <c r="N640" s="8" t="str">
        <f>IF(ISNUMBER(MATCH(C640, 'Реестр договоров'!$D$2:$D$900, 0)), "Продано", "В наличии")</f>
        <v>Продано</v>
      </c>
    </row>
    <row r="641" spans="1:14">
      <c r="A641" s="26">
        <v>45883.58307847222</v>
      </c>
      <c r="B641" s="26"/>
      <c r="C641" s="8" t="s">
        <v>743</v>
      </c>
      <c r="D641" s="8" t="s">
        <v>114</v>
      </c>
      <c r="E641" s="8">
        <v>30</v>
      </c>
      <c r="F641" s="8" t="s">
        <v>116</v>
      </c>
      <c r="G641" s="8" t="s">
        <v>116</v>
      </c>
      <c r="H641" s="8">
        <v>30</v>
      </c>
      <c r="I641" s="27">
        <v>45883</v>
      </c>
      <c r="J641" s="8" t="s">
        <v>117</v>
      </c>
      <c r="K641" s="8" t="s">
        <v>118</v>
      </c>
      <c r="L641" s="8" t="s">
        <v>119</v>
      </c>
      <c r="M641" s="16" t="str">
        <f ca="1">IFERROR(__xludf.DUMMYFUNCTION("JOIN("""",VLOOKUP(D641,'для артикула'!$A$2:$B$7,2,0),VLOOKUP(G641,'для артикула'!$A$13:$B$14,2,0),VLOOKUP(E641,'для артикула'!$A$9:$B$11,2,0),VLOOKUP(F641,'для артикула'!$A$17:$B$19,2,0),VLOOKUP(J641,'для артикула'!$A$22:$B$23,2,0),VLOOKUP(H641,'для артик"&amp;"ула'!$A$26:$B$30,2,0))"),"002-2013E30Q13-OK30")</f>
        <v>002-2013E30Q13-OK30</v>
      </c>
      <c r="N641" s="8" t="str">
        <f>IF(ISNUMBER(MATCH(C641, 'Реестр договоров'!$D$2:$D$900, 0)), "Продано", "В наличии")</f>
        <v>Продано</v>
      </c>
    </row>
    <row r="642" spans="1:14">
      <c r="A642" s="26">
        <v>45884.61025331018</v>
      </c>
      <c r="B642" s="26"/>
      <c r="C642" s="8" t="s">
        <v>744</v>
      </c>
      <c r="D642" s="8" t="s">
        <v>287</v>
      </c>
      <c r="E642" s="8">
        <v>50</v>
      </c>
      <c r="F642" s="8" t="s">
        <v>116</v>
      </c>
      <c r="G642" s="8" t="s">
        <v>116</v>
      </c>
      <c r="H642" s="8">
        <v>90</v>
      </c>
      <c r="I642" s="27">
        <v>45884</v>
      </c>
      <c r="J642" s="8" t="s">
        <v>117</v>
      </c>
      <c r="K642" s="8" t="s">
        <v>124</v>
      </c>
      <c r="L642" s="8" t="s">
        <v>119</v>
      </c>
      <c r="M642" s="16" t="str">
        <f ca="1">IFERROR(__xludf.DUMMYFUNCTION("JOIN("""",VLOOKUP(D642,'для артикула'!$A$2:$B$7,2,0),VLOOKUP(G642,'для артикула'!$A$13:$B$14,2,0),VLOOKUP(E642,'для артикула'!$A$9:$B$11,2,0),VLOOKUP(F642,'для артикула'!$A$17:$B$19,2,0),VLOOKUP(J642,'для артикула'!$A$22:$B$23,2,0),VLOOKUP(H642,'для артик"&amp;"ула'!$A$26:$B$30,2,0))"),"002-2513E50Q13-OK90")</f>
        <v>002-2513E50Q13-OK90</v>
      </c>
      <c r="N642" s="8" t="str">
        <f>IF(ISNUMBER(MATCH(C642, 'Реестр договоров'!$D$2:$D$900, 0)), "Продано", "В наличии")</f>
        <v>Продано</v>
      </c>
    </row>
    <row r="643" spans="1:14">
      <c r="A643" s="26">
        <v>45885.545349884254</v>
      </c>
      <c r="B643" s="26"/>
      <c r="C643" s="8" t="s">
        <v>745</v>
      </c>
      <c r="D643" s="8" t="s">
        <v>114</v>
      </c>
      <c r="E643" s="8">
        <v>50</v>
      </c>
      <c r="F643" s="8" t="s">
        <v>116</v>
      </c>
      <c r="G643" s="8" t="s">
        <v>116</v>
      </c>
      <c r="H643" s="8" t="s">
        <v>115</v>
      </c>
      <c r="I643" s="27">
        <v>45883</v>
      </c>
      <c r="J643" s="8" t="s">
        <v>117</v>
      </c>
      <c r="K643" s="8" t="s">
        <v>124</v>
      </c>
      <c r="L643" s="8" t="s">
        <v>119</v>
      </c>
      <c r="M643" s="16" t="str">
        <f ca="1">IFERROR(__xludf.DUMMYFUNCTION("JOIN("""",VLOOKUP(D643,'для артикула'!$A$2:$B$7,2,0),VLOOKUP(G643,'для артикула'!$A$13:$B$14,2,0),VLOOKUP(E643,'для артикула'!$A$9:$B$11,2,0),VLOOKUP(F643,'для артикула'!$A$17:$B$19,2,0),VLOOKUP(J643,'для артикула'!$A$22:$B$23,2,0),VLOOKUP(H643,'для артик"&amp;"ула'!$A$26:$B$30,2,0))"),"002-2013E50Q13-OK")</f>
        <v>002-2013E50Q13-OK</v>
      </c>
      <c r="N643" s="8" t="str">
        <f>IF(ISNUMBER(MATCH(C643, 'Реестр договоров'!$D$2:$D$900, 0)), "Продано", "В наличии")</f>
        <v>Продано</v>
      </c>
    </row>
    <row r="644" spans="1:14">
      <c r="A644" s="26">
        <v>45887.614122129628</v>
      </c>
      <c r="B644" s="26"/>
      <c r="C644" s="8" t="s">
        <v>746</v>
      </c>
      <c r="D644" s="8" t="s">
        <v>114</v>
      </c>
      <c r="E644" s="8">
        <v>30</v>
      </c>
      <c r="F644" s="8" t="s">
        <v>116</v>
      </c>
      <c r="G644" s="8" t="s">
        <v>116</v>
      </c>
      <c r="H644" s="8">
        <v>30</v>
      </c>
      <c r="I644" s="27">
        <v>45887</v>
      </c>
      <c r="J644" s="8" t="s">
        <v>117</v>
      </c>
      <c r="K644" s="8" t="s">
        <v>124</v>
      </c>
      <c r="L644" s="8" t="s">
        <v>119</v>
      </c>
      <c r="M644" s="16" t="str">
        <f ca="1">IFERROR(__xludf.DUMMYFUNCTION("JOIN("""",VLOOKUP(D644,'для артикула'!$A$2:$B$7,2,0),VLOOKUP(G644,'для артикула'!$A$13:$B$14,2,0),VLOOKUP(E644,'для артикула'!$A$9:$B$11,2,0),VLOOKUP(F644,'для артикула'!$A$17:$B$19,2,0),VLOOKUP(J644,'для артикула'!$A$22:$B$23,2,0),VLOOKUP(H644,'для артик"&amp;"ула'!$A$26:$B$30,2,0))"),"002-2013E30Q13-OK30")</f>
        <v>002-2013E30Q13-OK30</v>
      </c>
      <c r="N644" s="8" t="str">
        <f>IF(ISNUMBER(MATCH(C644, 'Реестр договоров'!$D$2:$D$900, 0)), "Продано", "В наличии")</f>
        <v>Продано</v>
      </c>
    </row>
    <row r="645" spans="1:14">
      <c r="A645" s="26">
        <v>45887.642757824069</v>
      </c>
      <c r="B645" s="26"/>
      <c r="C645" s="8" t="s">
        <v>747</v>
      </c>
      <c r="D645" s="8" t="s">
        <v>347</v>
      </c>
      <c r="E645" s="8">
        <v>50</v>
      </c>
      <c r="F645" s="8" t="s">
        <v>116</v>
      </c>
      <c r="G645" s="8" t="s">
        <v>116</v>
      </c>
      <c r="H645" s="8" t="s">
        <v>115</v>
      </c>
      <c r="I645" s="27">
        <v>45884</v>
      </c>
      <c r="J645" s="8" t="s">
        <v>117</v>
      </c>
      <c r="K645" s="8" t="s">
        <v>121</v>
      </c>
      <c r="L645" s="8" t="s">
        <v>288</v>
      </c>
      <c r="M645" s="16" t="str">
        <f ca="1">IFERROR(__xludf.DUMMYFUNCTION("JOIN("""",VLOOKUP(D645,'для артикула'!$A$2:$B$7,2,0),VLOOKUP(G645,'для артикула'!$A$13:$B$14,2,0),VLOOKUP(E645,'для артикула'!$A$9:$B$11,2,0),VLOOKUP(F645,'для артикула'!$A$17:$B$19,2,0),VLOOKUP(J645,'для артикула'!$A$22:$B$23,2,0),VLOOKUP(H645,'для артик"&amp;"ула'!$A$26:$B$30,2,0))"),"002-2515E50Q13-OK")</f>
        <v>002-2515E50Q13-OK</v>
      </c>
      <c r="N645" s="8" t="str">
        <f>IF(ISNUMBER(MATCH(C645, 'Реестр договоров'!$D$2:$D$900, 0)), "Продано", "В наличии")</f>
        <v>Продано</v>
      </c>
    </row>
    <row r="646" spans="1:14">
      <c r="A646" s="26">
        <v>45887.759914664348</v>
      </c>
      <c r="B646" s="26"/>
      <c r="C646" s="8" t="s">
        <v>748</v>
      </c>
      <c r="D646" s="8" t="s">
        <v>114</v>
      </c>
      <c r="E646" s="8">
        <v>50</v>
      </c>
      <c r="F646" s="8" t="s">
        <v>116</v>
      </c>
      <c r="G646" s="8" t="s">
        <v>116</v>
      </c>
      <c r="H646" s="8" t="s">
        <v>115</v>
      </c>
      <c r="I646" s="27">
        <v>45887</v>
      </c>
      <c r="J646" s="8" t="s">
        <v>117</v>
      </c>
      <c r="K646" s="8" t="s">
        <v>124</v>
      </c>
      <c r="L646" s="8" t="s">
        <v>119</v>
      </c>
      <c r="M646" s="16" t="str">
        <f ca="1">IFERROR(__xludf.DUMMYFUNCTION("JOIN("""",VLOOKUP(D646,'для артикула'!$A$2:$B$7,2,0),VLOOKUP(G646,'для артикула'!$A$13:$B$14,2,0),VLOOKUP(E646,'для артикула'!$A$9:$B$11,2,0),VLOOKUP(F646,'для артикула'!$A$17:$B$19,2,0),VLOOKUP(J646,'для артикула'!$A$22:$B$23,2,0),VLOOKUP(H646,'для артик"&amp;"ула'!$A$26:$B$30,2,0))"),"002-2013E50Q13-OK")</f>
        <v>002-2013E50Q13-OK</v>
      </c>
      <c r="N646" s="8" t="str">
        <f>IF(ISNUMBER(MATCH(C646, 'Реестр договоров'!$D$2:$D$900, 0)), "Продано", "В наличии")</f>
        <v>Продано</v>
      </c>
    </row>
    <row r="647" spans="1:14">
      <c r="A647" s="26">
        <v>45888.670595787036</v>
      </c>
      <c r="B647" s="26"/>
      <c r="C647" s="8" t="s">
        <v>749</v>
      </c>
      <c r="D647" s="8" t="s">
        <v>366</v>
      </c>
      <c r="E647" s="8">
        <v>30</v>
      </c>
      <c r="F647" s="8" t="s">
        <v>116</v>
      </c>
      <c r="G647" s="8" t="s">
        <v>116</v>
      </c>
      <c r="H647" s="8" t="s">
        <v>115</v>
      </c>
      <c r="I647" s="27">
        <v>45888</v>
      </c>
      <c r="J647" s="8" t="s">
        <v>117</v>
      </c>
      <c r="K647" s="8" t="s">
        <v>124</v>
      </c>
      <c r="L647" s="8" t="s">
        <v>119</v>
      </c>
      <c r="M647" s="16" t="str">
        <f ca="1">IFERROR(__xludf.DUMMYFUNCTION("JOIN("""",VLOOKUP(D647,'для артикула'!$A$2:$B$7,2,0),VLOOKUP(G647,'для артикула'!$A$13:$B$14,2,0),VLOOKUP(E647,'для артикула'!$A$9:$B$11,2,0),VLOOKUP(F647,'для артикула'!$A$17:$B$19,2,0),VLOOKUP(J647,'для артикула'!$A$22:$B$23,2,0),VLOOKUP(H647,'для артик"&amp;"ула'!$A$26:$B$30,2,0))"),"002-3015E30Q13-OK")</f>
        <v>002-3015E30Q13-OK</v>
      </c>
      <c r="N647" s="8" t="str">
        <f>IF(ISNUMBER(MATCH(C647, 'Реестр договоров'!$D$2:$D$900, 0)), "Продано", "В наличии")</f>
        <v>В наличии</v>
      </c>
    </row>
    <row r="648" spans="1:14">
      <c r="A648" s="26">
        <v>45888.671027511577</v>
      </c>
      <c r="B648" s="26"/>
      <c r="C648" s="8" t="s">
        <v>750</v>
      </c>
      <c r="D648" s="8" t="s">
        <v>287</v>
      </c>
      <c r="E648" s="8">
        <v>30</v>
      </c>
      <c r="F648" s="8" t="s">
        <v>116</v>
      </c>
      <c r="G648" s="8" t="s">
        <v>116</v>
      </c>
      <c r="H648" s="8">
        <v>60</v>
      </c>
      <c r="I648" s="27">
        <v>45888</v>
      </c>
      <c r="J648" s="8" t="s">
        <v>117</v>
      </c>
      <c r="K648" s="8" t="s">
        <v>124</v>
      </c>
      <c r="L648" s="8" t="s">
        <v>119</v>
      </c>
      <c r="M648" s="16" t="str">
        <f ca="1">IFERROR(__xludf.DUMMYFUNCTION("JOIN("""",VLOOKUP(D648,'для артикула'!$A$2:$B$7,2,0),VLOOKUP(G648,'для артикула'!$A$13:$B$14,2,0),VLOOKUP(E648,'для артикула'!$A$9:$B$11,2,0),VLOOKUP(F648,'для артикула'!$A$17:$B$19,2,0),VLOOKUP(J648,'для артикула'!$A$22:$B$23,2,0),VLOOKUP(H648,'для артик"&amp;"ула'!$A$26:$B$30,2,0))"),"002-2513E30Q13-OK60")</f>
        <v>002-2513E30Q13-OK60</v>
      </c>
      <c r="N648" s="8" t="str">
        <f>IF(ISNUMBER(MATCH(C648, 'Реестр договоров'!$D$2:$D$900, 0)), "Продано", "В наличии")</f>
        <v>В наличии</v>
      </c>
    </row>
    <row r="649" spans="1:14">
      <c r="A649" s="26">
        <v>45888.671434675925</v>
      </c>
      <c r="B649" s="26"/>
      <c r="C649" s="8" t="s">
        <v>751</v>
      </c>
      <c r="D649" s="8" t="s">
        <v>287</v>
      </c>
      <c r="E649" s="8">
        <v>50</v>
      </c>
      <c r="F649" s="8" t="s">
        <v>116</v>
      </c>
      <c r="G649" s="8" t="s">
        <v>116</v>
      </c>
      <c r="H649" s="8" t="s">
        <v>115</v>
      </c>
      <c r="I649" s="27">
        <v>45888</v>
      </c>
      <c r="J649" s="8" t="s">
        <v>117</v>
      </c>
      <c r="K649" s="8" t="s">
        <v>124</v>
      </c>
      <c r="L649" s="8" t="s">
        <v>119</v>
      </c>
      <c r="M649" s="16" t="str">
        <f ca="1">IFERROR(__xludf.DUMMYFUNCTION("JOIN("""",VLOOKUP(D649,'для артикула'!$A$2:$B$7,2,0),VLOOKUP(G649,'для артикула'!$A$13:$B$14,2,0),VLOOKUP(E649,'для артикула'!$A$9:$B$11,2,0),VLOOKUP(F649,'для артикула'!$A$17:$B$19,2,0),VLOOKUP(J649,'для артикула'!$A$22:$B$23,2,0),VLOOKUP(H649,'для артик"&amp;"ула'!$A$26:$B$30,2,0))"),"002-2513E50Q13-OK")</f>
        <v>002-2513E50Q13-OK</v>
      </c>
      <c r="N649" s="8" t="str">
        <f>IF(ISNUMBER(MATCH(C649, 'Реестр договоров'!$D$2:$D$900, 0)), "Продано", "В наличии")</f>
        <v>Продано</v>
      </c>
    </row>
    <row r="650" spans="1:14">
      <c r="A650" s="26">
        <v>45889.432025138885</v>
      </c>
      <c r="B650" s="26"/>
      <c r="C650" s="8" t="s">
        <v>752</v>
      </c>
      <c r="D650" s="8" t="s">
        <v>114</v>
      </c>
      <c r="E650" s="8">
        <v>30</v>
      </c>
      <c r="F650" s="8" t="s">
        <v>116</v>
      </c>
      <c r="G650" s="8" t="s">
        <v>116</v>
      </c>
      <c r="H650" s="8" t="s">
        <v>115</v>
      </c>
      <c r="I650" s="27">
        <v>45887</v>
      </c>
      <c r="J650" s="8" t="s">
        <v>117</v>
      </c>
      <c r="K650" s="8" t="s">
        <v>121</v>
      </c>
      <c r="L650" s="8" t="s">
        <v>119</v>
      </c>
      <c r="M650" s="16" t="str">
        <f ca="1">IFERROR(__xludf.DUMMYFUNCTION("JOIN("""",VLOOKUP(D650,'для артикула'!$A$2:$B$7,2,0),VLOOKUP(G650,'для артикула'!$A$13:$B$14,2,0),VLOOKUP(E650,'для артикула'!$A$9:$B$11,2,0),VLOOKUP(F650,'для артикула'!$A$17:$B$19,2,0),VLOOKUP(J650,'для артикула'!$A$22:$B$23,2,0),VLOOKUP(H650,'для артик"&amp;"ула'!$A$26:$B$30,2,0))"),"002-2013E30Q13-OK")</f>
        <v>002-2013E30Q13-OK</v>
      </c>
      <c r="N650" s="8" t="str">
        <f>IF(ISNUMBER(MATCH(C650, 'Реестр договоров'!$D$2:$D$900, 0)), "Продано", "В наличии")</f>
        <v>Продано</v>
      </c>
    </row>
    <row r="651" spans="1:14">
      <c r="A651" s="26">
        <v>45889.548580462964</v>
      </c>
      <c r="B651" s="26"/>
      <c r="C651" s="8" t="s">
        <v>753</v>
      </c>
      <c r="D651" s="8" t="s">
        <v>114</v>
      </c>
      <c r="E651" s="8">
        <v>50</v>
      </c>
      <c r="F651" s="8" t="s">
        <v>116</v>
      </c>
      <c r="G651" s="8" t="s">
        <v>116</v>
      </c>
      <c r="H651" s="8" t="s">
        <v>115</v>
      </c>
      <c r="I651" s="27">
        <v>45889</v>
      </c>
      <c r="J651" s="8" t="s">
        <v>117</v>
      </c>
      <c r="K651" s="8" t="s">
        <v>124</v>
      </c>
      <c r="L651" s="8" t="s">
        <v>119</v>
      </c>
      <c r="M651" s="16" t="str">
        <f ca="1">IFERROR(__xludf.DUMMYFUNCTION("JOIN("""",VLOOKUP(D651,'для артикула'!$A$2:$B$7,2,0),VLOOKUP(G651,'для артикула'!$A$13:$B$14,2,0),VLOOKUP(E651,'для артикула'!$A$9:$B$11,2,0),VLOOKUP(F651,'для артикула'!$A$17:$B$19,2,0),VLOOKUP(J651,'для артикула'!$A$22:$B$23,2,0),VLOOKUP(H651,'для артик"&amp;"ула'!$A$26:$B$30,2,0))"),"002-2013E50Q13-OK")</f>
        <v>002-2013E50Q13-OK</v>
      </c>
      <c r="N651" s="8" t="str">
        <f>IF(ISNUMBER(MATCH(C651, 'Реестр договоров'!$D$2:$D$900, 0)), "Продано", "В наличии")</f>
        <v>Продано</v>
      </c>
    </row>
    <row r="652" spans="1:14">
      <c r="A652" s="26">
        <v>45889.548957974534</v>
      </c>
      <c r="B652" s="26"/>
      <c r="C652" s="8" t="s">
        <v>754</v>
      </c>
      <c r="D652" s="8" t="s">
        <v>114</v>
      </c>
      <c r="E652" s="8">
        <v>50</v>
      </c>
      <c r="F652" s="8" t="s">
        <v>116</v>
      </c>
      <c r="G652" s="8" t="s">
        <v>116</v>
      </c>
      <c r="H652" s="8" t="s">
        <v>115</v>
      </c>
      <c r="I652" s="27">
        <v>45889</v>
      </c>
      <c r="J652" s="8" t="s">
        <v>117</v>
      </c>
      <c r="K652" s="8" t="s">
        <v>124</v>
      </c>
      <c r="L652" s="8" t="s">
        <v>119</v>
      </c>
      <c r="M652" s="16" t="str">
        <f ca="1">IFERROR(__xludf.DUMMYFUNCTION("JOIN("""",VLOOKUP(D652,'для артикула'!$A$2:$B$7,2,0),VLOOKUP(G652,'для артикула'!$A$13:$B$14,2,0),VLOOKUP(E652,'для артикула'!$A$9:$B$11,2,0),VLOOKUP(F652,'для артикула'!$A$17:$B$19,2,0),VLOOKUP(J652,'для артикула'!$A$22:$B$23,2,0),VLOOKUP(H652,'для артик"&amp;"ула'!$A$26:$B$30,2,0))"),"002-2013E50Q13-OK")</f>
        <v>002-2013E50Q13-OK</v>
      </c>
      <c r="N652" s="8" t="str">
        <f>IF(ISNUMBER(MATCH(C652, 'Реестр договоров'!$D$2:$D$900, 0)), "Продано", "В наличии")</f>
        <v>Продано</v>
      </c>
    </row>
    <row r="653" spans="1:14">
      <c r="A653" s="26">
        <v>45889.549384837963</v>
      </c>
      <c r="B653" s="26"/>
      <c r="C653" s="8" t="s">
        <v>755</v>
      </c>
      <c r="D653" s="8" t="s">
        <v>114</v>
      </c>
      <c r="E653" s="8">
        <v>50</v>
      </c>
      <c r="F653" s="8" t="s">
        <v>116</v>
      </c>
      <c r="G653" s="8" t="s">
        <v>116</v>
      </c>
      <c r="H653" s="8" t="s">
        <v>115</v>
      </c>
      <c r="I653" s="27">
        <v>45889</v>
      </c>
      <c r="J653" s="8" t="s">
        <v>117</v>
      </c>
      <c r="K653" s="8" t="s">
        <v>124</v>
      </c>
      <c r="L653" s="8" t="s">
        <v>119</v>
      </c>
      <c r="M653" s="16" t="str">
        <f ca="1">IFERROR(__xludf.DUMMYFUNCTION("JOIN("""",VLOOKUP(D653,'для артикула'!$A$2:$B$7,2,0),VLOOKUP(G653,'для артикула'!$A$13:$B$14,2,0),VLOOKUP(E653,'для артикула'!$A$9:$B$11,2,0),VLOOKUP(F653,'для артикула'!$A$17:$B$19,2,0),VLOOKUP(J653,'для артикула'!$A$22:$B$23,2,0),VLOOKUP(H653,'для артик"&amp;"ула'!$A$26:$B$30,2,0))"),"002-2013E50Q13-OK")</f>
        <v>002-2013E50Q13-OK</v>
      </c>
      <c r="N653" s="8" t="str">
        <f>IF(ISNUMBER(MATCH(C653, 'Реестр договоров'!$D$2:$D$900, 0)), "Продано", "В наличии")</f>
        <v>Продано</v>
      </c>
    </row>
    <row r="654" spans="1:14">
      <c r="A654" s="26">
        <v>45889.550351956015</v>
      </c>
      <c r="B654" s="26"/>
      <c r="C654" s="8" t="s">
        <v>756</v>
      </c>
      <c r="D654" s="8" t="s">
        <v>347</v>
      </c>
      <c r="E654" s="8">
        <v>50</v>
      </c>
      <c r="F654" s="8" t="s">
        <v>116</v>
      </c>
      <c r="G654" s="8" t="s">
        <v>116</v>
      </c>
      <c r="H654" s="8">
        <v>90</v>
      </c>
      <c r="I654" s="27">
        <v>45889</v>
      </c>
      <c r="J654" s="8" t="s">
        <v>117</v>
      </c>
      <c r="K654" s="8" t="s">
        <v>124</v>
      </c>
      <c r="L654" s="8" t="s">
        <v>288</v>
      </c>
      <c r="M654" s="8" t="s">
        <v>354</v>
      </c>
      <c r="N654" s="8" t="str">
        <f>IF(ISNUMBER(MATCH(C654, 'Реестр договоров'!$D$2:$D$900, 0)), "Продано", "В наличии")</f>
        <v>Продано</v>
      </c>
    </row>
    <row r="655" spans="1:14">
      <c r="A655" s="26">
        <v>45889.7512746875</v>
      </c>
      <c r="B655" s="26"/>
      <c r="C655" s="8" t="s">
        <v>757</v>
      </c>
      <c r="D655" s="8" t="s">
        <v>114</v>
      </c>
      <c r="E655" s="8">
        <v>50</v>
      </c>
      <c r="F655" s="8" t="s">
        <v>116</v>
      </c>
      <c r="G655" s="8" t="s">
        <v>116</v>
      </c>
      <c r="H655" s="8" t="s">
        <v>115</v>
      </c>
      <c r="I655" s="27">
        <v>45889</v>
      </c>
      <c r="J655" s="8" t="s">
        <v>117</v>
      </c>
      <c r="K655" s="8" t="s">
        <v>124</v>
      </c>
      <c r="L655" s="8" t="s">
        <v>119</v>
      </c>
      <c r="M655" s="16" t="str">
        <f ca="1">IFERROR(__xludf.DUMMYFUNCTION("JOIN("""",VLOOKUP(D655,'для артикула'!$A$2:$B$7,2,0),VLOOKUP(G655,'для артикула'!$A$13:$B$14,2,0),VLOOKUP(E655,'для артикула'!$A$9:$B$11,2,0),VLOOKUP(F655,'для артикула'!$A$17:$B$19,2,0),VLOOKUP(J655,'для артикула'!$A$22:$B$23,2,0),VLOOKUP(H655,'для артик"&amp;"ула'!$A$26:$B$30,2,0))"),"002-2013E50Q13-OK")</f>
        <v>002-2013E50Q13-OK</v>
      </c>
      <c r="N655" s="8" t="str">
        <f>IF(ISNUMBER(MATCH(C655, 'Реестр договоров'!$D$2:$D$900, 0)), "Продано", "В наличии")</f>
        <v>Продано</v>
      </c>
    </row>
    <row r="656" spans="1:14">
      <c r="A656" s="26">
        <v>45890.549692719913</v>
      </c>
      <c r="B656" s="26"/>
      <c r="C656" s="8" t="s">
        <v>758</v>
      </c>
      <c r="D656" s="8" t="s">
        <v>287</v>
      </c>
      <c r="E656" s="8">
        <v>30</v>
      </c>
      <c r="F656" s="8" t="s">
        <v>116</v>
      </c>
      <c r="G656" s="8" t="s">
        <v>116</v>
      </c>
      <c r="H656" s="8" t="s">
        <v>115</v>
      </c>
      <c r="I656" s="27">
        <v>45483</v>
      </c>
      <c r="J656" s="8" t="s">
        <v>117</v>
      </c>
      <c r="K656" s="8" t="s">
        <v>121</v>
      </c>
      <c r="L656" s="8" t="s">
        <v>119</v>
      </c>
      <c r="M656" s="16" t="str">
        <f ca="1">IFERROR(__xludf.DUMMYFUNCTION("JOIN("""",VLOOKUP(D656,'для артикула'!$A$2:$B$7,2,0),VLOOKUP(G656,'для артикула'!$A$13:$B$14,2,0),VLOOKUP(E656,'для артикула'!$A$9:$B$11,2,0),VLOOKUP(F656,'для артикула'!$A$17:$B$19,2,0),VLOOKUP(J656,'для артикула'!$A$22:$B$23,2,0),VLOOKUP(H656,'для артик"&amp;"ула'!$A$26:$B$30,2,0))"),"002-2513E30Q13-OK")</f>
        <v>002-2513E30Q13-OK</v>
      </c>
      <c r="N656" s="8" t="str">
        <f>IF(ISNUMBER(MATCH(C656, 'Реестр договоров'!$D$2:$D$900, 0)), "Продано", "В наличии")</f>
        <v>Продано</v>
      </c>
    </row>
    <row r="657" spans="1:14">
      <c r="A657" s="26">
        <v>45891.46681366898</v>
      </c>
      <c r="B657" s="26"/>
      <c r="C657" s="8" t="s">
        <v>759</v>
      </c>
      <c r="D657" s="8" t="s">
        <v>114</v>
      </c>
      <c r="E657" s="8">
        <v>30</v>
      </c>
      <c r="F657" s="8" t="s">
        <v>116</v>
      </c>
      <c r="G657" s="8" t="s">
        <v>116</v>
      </c>
      <c r="H657" s="8" t="s">
        <v>115</v>
      </c>
      <c r="I657" s="27">
        <v>45875</v>
      </c>
      <c r="J657" s="8" t="s">
        <v>117</v>
      </c>
      <c r="K657" s="8" t="s">
        <v>121</v>
      </c>
      <c r="L657" s="8" t="s">
        <v>119</v>
      </c>
      <c r="M657" s="16" t="str">
        <f ca="1">IFERROR(__xludf.DUMMYFUNCTION("JOIN("""",VLOOKUP(D657,'для артикула'!$A$2:$B$7,2,0),VLOOKUP(G657,'для артикула'!$A$13:$B$14,2,0),VLOOKUP(E657,'для артикула'!$A$9:$B$11,2,0),VLOOKUP(F657,'для артикула'!$A$17:$B$19,2,0),VLOOKUP(J657,'для артикула'!$A$22:$B$23,2,0),VLOOKUP(H657,'для артик"&amp;"ула'!$A$26:$B$30,2,0))"),"002-2013E30Q13-OK")</f>
        <v>002-2013E30Q13-OK</v>
      </c>
      <c r="N657" s="8" t="str">
        <f>IF(ISNUMBER(MATCH(C657, 'Реестр договоров'!$D$2:$D$900, 0)), "Продано", "В наличии")</f>
        <v>Продано</v>
      </c>
    </row>
    <row r="658" spans="1:14">
      <c r="A658" s="26">
        <v>45894.467483113425</v>
      </c>
      <c r="B658" s="26"/>
      <c r="C658" s="8" t="s">
        <v>760</v>
      </c>
      <c r="D658" s="8" t="s">
        <v>114</v>
      </c>
      <c r="E658" s="8">
        <v>30</v>
      </c>
      <c r="F658" s="8" t="s">
        <v>116</v>
      </c>
      <c r="G658" s="8" t="s">
        <v>116</v>
      </c>
      <c r="H658" s="8" t="s">
        <v>115</v>
      </c>
      <c r="I658" s="27">
        <v>45894</v>
      </c>
      <c r="J658" s="8" t="s">
        <v>117</v>
      </c>
      <c r="K658" s="8" t="s">
        <v>118</v>
      </c>
      <c r="L658" s="8" t="s">
        <v>119</v>
      </c>
      <c r="M658" s="16" t="str">
        <f ca="1">IFERROR(__xludf.DUMMYFUNCTION("JOIN("""",VLOOKUP(D658,'для артикула'!$A$2:$B$7,2,0),VLOOKUP(G658,'для артикула'!$A$13:$B$14,2,0),VLOOKUP(E658,'для артикула'!$A$9:$B$11,2,0),VLOOKUP(F658,'для артикула'!$A$17:$B$19,2,0),VLOOKUP(J658,'для артикула'!$A$22:$B$23,2,0),VLOOKUP(H658,'для артик"&amp;"ула'!$A$26:$B$30,2,0))"),"002-2013E30Q13-OK")</f>
        <v>002-2013E30Q13-OK</v>
      </c>
      <c r="N658" s="8" t="str">
        <f>IF(ISNUMBER(MATCH(C658, 'Реестр договоров'!$D$2:$D$900, 0)), "Продано", "В наличии")</f>
        <v>Продано</v>
      </c>
    </row>
    <row r="659" spans="1:14">
      <c r="A659" s="26">
        <v>45894.615513506942</v>
      </c>
      <c r="B659" s="26"/>
      <c r="C659" s="8" t="s">
        <v>761</v>
      </c>
      <c r="D659" s="8" t="s">
        <v>287</v>
      </c>
      <c r="E659" s="8">
        <v>50</v>
      </c>
      <c r="F659" s="8" t="s">
        <v>116</v>
      </c>
      <c r="G659" s="8" t="s">
        <v>116</v>
      </c>
      <c r="H659" s="8" t="s">
        <v>115</v>
      </c>
      <c r="I659" s="27">
        <v>45887</v>
      </c>
      <c r="J659" s="8" t="s">
        <v>117</v>
      </c>
      <c r="K659" s="8" t="s">
        <v>121</v>
      </c>
      <c r="L659" s="8" t="s">
        <v>119</v>
      </c>
      <c r="M659" s="16" t="str">
        <f ca="1">IFERROR(__xludf.DUMMYFUNCTION("JOIN("""",VLOOKUP(D659,'для артикула'!$A$2:$B$7,2,0),VLOOKUP(G659,'для артикула'!$A$13:$B$14,2,0),VLOOKUP(E659,'для артикула'!$A$9:$B$11,2,0),VLOOKUP(F659,'для артикула'!$A$17:$B$19,2,0),VLOOKUP(J659,'для артикула'!$A$22:$B$23,2,0),VLOOKUP(H659,'для артик"&amp;"ула'!$A$26:$B$30,2,0))"),"002-2513E50Q13-OK")</f>
        <v>002-2513E50Q13-OK</v>
      </c>
      <c r="N659" s="8" t="str">
        <f>IF(ISNUMBER(MATCH(C659, 'Реестр договоров'!$D$2:$D$900, 0)), "Продано", "В наличии")</f>
        <v>Продано</v>
      </c>
    </row>
    <row r="660" spans="1:14">
      <c r="A660" s="26">
        <v>45897.443880532403</v>
      </c>
      <c r="B660" s="26"/>
      <c r="C660" s="8" t="s">
        <v>762</v>
      </c>
      <c r="D660" s="8" t="s">
        <v>114</v>
      </c>
      <c r="E660" s="8">
        <v>50</v>
      </c>
      <c r="F660" s="8" t="s">
        <v>116</v>
      </c>
      <c r="G660" s="8" t="s">
        <v>116</v>
      </c>
      <c r="H660" s="8" t="s">
        <v>115</v>
      </c>
      <c r="I660" s="27">
        <v>45888</v>
      </c>
      <c r="J660" s="8" t="s">
        <v>117</v>
      </c>
      <c r="K660" s="8" t="s">
        <v>121</v>
      </c>
      <c r="L660" s="8" t="s">
        <v>119</v>
      </c>
      <c r="M660" s="16" t="str">
        <f ca="1">IFERROR(__xludf.DUMMYFUNCTION("JOIN("""",VLOOKUP(D660,'для артикула'!$A$2:$B$7,2,0),VLOOKUP(G660,'для артикула'!$A$13:$B$14,2,0),VLOOKUP(E660,'для артикула'!$A$9:$B$11,2,0),VLOOKUP(F660,'для артикула'!$A$17:$B$19,2,0),VLOOKUP(J660,'для артикула'!$A$22:$B$23,2,0),VLOOKUP(H660,'для артик"&amp;"ула'!$A$26:$B$30,2,0))"),"002-2013E50Q13-OK")</f>
        <v>002-2013E50Q13-OK</v>
      </c>
      <c r="N660" s="8" t="str">
        <f>IF(ISNUMBER(MATCH(C660, 'Реестр договоров'!$D$2:$D$900, 0)), "Продано", "В наличии")</f>
        <v>Продано</v>
      </c>
    </row>
    <row r="661" spans="1:14">
      <c r="A661" s="26">
        <v>45897.499985381946</v>
      </c>
      <c r="B661" s="26"/>
      <c r="C661" s="8" t="s">
        <v>763</v>
      </c>
      <c r="D661" s="8" t="s">
        <v>287</v>
      </c>
      <c r="E661" s="8">
        <v>50</v>
      </c>
      <c r="F661" s="8" t="s">
        <v>116</v>
      </c>
      <c r="G661" s="8" t="s">
        <v>116</v>
      </c>
      <c r="H661" s="8" t="s">
        <v>115</v>
      </c>
      <c r="I661" s="27">
        <v>45889</v>
      </c>
      <c r="J661" s="8" t="s">
        <v>117</v>
      </c>
      <c r="K661" s="8" t="s">
        <v>121</v>
      </c>
      <c r="L661" s="8" t="s">
        <v>119</v>
      </c>
      <c r="M661" s="16" t="str">
        <f ca="1">IFERROR(__xludf.DUMMYFUNCTION("JOIN("""",VLOOKUP(D661,'для артикула'!$A$2:$B$7,2,0),VLOOKUP(G661,'для артикула'!$A$13:$B$14,2,0),VLOOKUP(E661,'для артикула'!$A$9:$B$11,2,0),VLOOKUP(F661,'для артикула'!$A$17:$B$19,2,0),VLOOKUP(J661,'для артикула'!$A$22:$B$23,2,0),VLOOKUP(H661,'для артик"&amp;"ула'!$A$26:$B$30,2,0))"),"002-2513E50Q13-OK")</f>
        <v>002-2513E50Q13-OK</v>
      </c>
      <c r="N661" s="8" t="str">
        <f>IF(ISNUMBER(MATCH(C661, 'Реестр договоров'!$D$2:$D$900, 0)), "Продано", "В наличии")</f>
        <v>Продано</v>
      </c>
    </row>
    <row r="662" spans="1:14">
      <c r="A662" s="26">
        <v>45897.511664363425</v>
      </c>
      <c r="B662" s="26"/>
      <c r="C662" s="8" t="s">
        <v>764</v>
      </c>
      <c r="D662" s="8" t="s">
        <v>114</v>
      </c>
      <c r="E662" s="8">
        <v>30</v>
      </c>
      <c r="F662" s="8" t="s">
        <v>116</v>
      </c>
      <c r="G662" s="8" t="s">
        <v>116</v>
      </c>
      <c r="H662" s="8">
        <v>90</v>
      </c>
      <c r="I662" s="27">
        <v>45897</v>
      </c>
      <c r="J662" s="8" t="s">
        <v>117</v>
      </c>
      <c r="K662" s="8" t="s">
        <v>118</v>
      </c>
      <c r="L662" s="8" t="s">
        <v>119</v>
      </c>
      <c r="M662" s="16" t="str">
        <f ca="1">IFERROR(__xludf.DUMMYFUNCTION("JOIN("""",VLOOKUP(D662,'для артикула'!$A$2:$B$7,2,0),VLOOKUP(G662,'для артикула'!$A$13:$B$14,2,0),VLOOKUP(E662,'для артикула'!$A$9:$B$11,2,0),VLOOKUP(F662,'для артикула'!$A$17:$B$19,2,0),VLOOKUP(J662,'для артикула'!$A$22:$B$23,2,0),VLOOKUP(H662,'для артик"&amp;"ула'!$A$26:$B$30,2,0))"),"002-2013E30Q13-OK90")</f>
        <v>002-2013E30Q13-OK90</v>
      </c>
      <c r="N662" s="8" t="str">
        <f>IF(ISNUMBER(MATCH(C662, 'Реестр договоров'!$D$2:$D$900, 0)), "Продано", "В наличии")</f>
        <v>Продано</v>
      </c>
    </row>
    <row r="663" spans="1:14">
      <c r="A663" s="26">
        <v>45897.799651076391</v>
      </c>
      <c r="B663" s="26"/>
      <c r="C663" s="8" t="s">
        <v>765</v>
      </c>
      <c r="D663" s="8" t="s">
        <v>114</v>
      </c>
      <c r="E663" s="8">
        <v>50</v>
      </c>
      <c r="F663" s="8" t="s">
        <v>116</v>
      </c>
      <c r="G663" s="8" t="s">
        <v>116</v>
      </c>
      <c r="H663" s="8" t="s">
        <v>115</v>
      </c>
      <c r="I663" s="27">
        <v>45897</v>
      </c>
      <c r="J663" s="8" t="s">
        <v>115</v>
      </c>
      <c r="K663" s="8" t="s">
        <v>124</v>
      </c>
      <c r="L663" s="8" t="s">
        <v>119</v>
      </c>
      <c r="M663" s="16" t="str">
        <f ca="1">IFERROR(__xludf.DUMMYFUNCTION("JOIN("""",VLOOKUP(D663,'для артикула'!$A$2:$B$7,2,0),VLOOKUP(G663,'для артикула'!$A$13:$B$14,2,0),VLOOKUP(E663,'для артикула'!$A$9:$B$11,2,0),VLOOKUP(F663,'для артикула'!$A$17:$B$19,2,0),VLOOKUP(J663,'для артикула'!$A$22:$B$23,2,0),VLOOKUP(H663,'для артик"&amp;"ула'!$A$26:$B$30,2,0))"),"002-2013E50Q13")</f>
        <v>002-2013E50Q13</v>
      </c>
      <c r="N663" s="8" t="str">
        <f>IF(ISNUMBER(MATCH(C663, 'Реестр договоров'!$D$2:$D$900, 0)), "Продано", "В наличии")</f>
        <v>Продано</v>
      </c>
    </row>
    <row r="664" spans="1:14">
      <c r="A664" s="26">
        <v>45898.670785208335</v>
      </c>
      <c r="B664" s="26"/>
      <c r="C664" s="8" t="s">
        <v>766</v>
      </c>
      <c r="D664" s="8" t="s">
        <v>114</v>
      </c>
      <c r="E664" s="8">
        <v>30</v>
      </c>
      <c r="F664" s="8" t="s">
        <v>116</v>
      </c>
      <c r="G664" s="8" t="s">
        <v>116</v>
      </c>
      <c r="H664" s="8" t="s">
        <v>115</v>
      </c>
      <c r="I664" s="27">
        <v>45875</v>
      </c>
      <c r="J664" s="8" t="s">
        <v>117</v>
      </c>
      <c r="K664" s="8" t="s">
        <v>121</v>
      </c>
      <c r="L664" s="8" t="s">
        <v>119</v>
      </c>
      <c r="M664" s="16" t="str">
        <f ca="1">IFERROR(__xludf.DUMMYFUNCTION("JOIN("""",VLOOKUP(D664,'для артикула'!$A$2:$B$7,2,0),VLOOKUP(G664,'для артикула'!$A$13:$B$14,2,0),VLOOKUP(E664,'для артикула'!$A$9:$B$11,2,0),VLOOKUP(F664,'для артикула'!$A$17:$B$19,2,0),VLOOKUP(J664,'для артикула'!$A$22:$B$23,2,0),VLOOKUP(H664,'для артик"&amp;"ула'!$A$26:$B$30,2,0))"),"002-2013E30Q13-OK")</f>
        <v>002-2013E30Q13-OK</v>
      </c>
      <c r="N664" s="8" t="str">
        <f>IF(ISNUMBER(MATCH(C664, 'Реестр договоров'!$D$2:$D$900, 0)), "Продано", "В наличии")</f>
        <v>Продано</v>
      </c>
    </row>
    <row r="665" spans="1:14">
      <c r="A665" s="26">
        <v>45902.497935648149</v>
      </c>
      <c r="B665" s="26"/>
      <c r="C665" s="8" t="s">
        <v>767</v>
      </c>
      <c r="D665" s="8" t="s">
        <v>287</v>
      </c>
      <c r="E665" s="8">
        <v>50</v>
      </c>
      <c r="F665" s="8" t="s">
        <v>116</v>
      </c>
      <c r="G665" s="8" t="s">
        <v>116</v>
      </c>
      <c r="H665" s="8" t="s">
        <v>115</v>
      </c>
      <c r="I665" s="27">
        <v>45902</v>
      </c>
      <c r="J665" s="8" t="s">
        <v>117</v>
      </c>
      <c r="K665" s="8" t="s">
        <v>118</v>
      </c>
      <c r="L665" s="8" t="s">
        <v>119</v>
      </c>
      <c r="M665" s="16" t="str">
        <f ca="1">IFERROR(__xludf.DUMMYFUNCTION("JOIN("""",VLOOKUP(D665,'для артикула'!$A$2:$B$7,2,0),VLOOKUP(G665,'для артикула'!$A$13:$B$14,2,0),VLOOKUP(E665,'для артикула'!$A$9:$B$11,2,0),VLOOKUP(F665,'для артикула'!$A$17:$B$19,2,0),VLOOKUP(J665,'для артикула'!$A$22:$B$23,2,0),VLOOKUP(H665,'для артик"&amp;"ула'!$A$26:$B$30,2,0))"),"002-2513E50Q13-OK")</f>
        <v>002-2513E50Q13-OK</v>
      </c>
      <c r="N665" s="8" t="str">
        <f>IF(ISNUMBER(MATCH(C665, 'Реестр договоров'!$D$2:$D$900, 0)), "Продано", "В наличии")</f>
        <v>Продано</v>
      </c>
    </row>
    <row r="666" spans="1:14">
      <c r="A666" s="26">
        <v>45902.675008761573</v>
      </c>
      <c r="B666" s="26"/>
      <c r="C666" s="8" t="s">
        <v>768</v>
      </c>
      <c r="D666" s="8" t="s">
        <v>287</v>
      </c>
      <c r="E666" s="8">
        <v>50</v>
      </c>
      <c r="F666" s="8" t="s">
        <v>116</v>
      </c>
      <c r="G666" s="8" t="s">
        <v>116</v>
      </c>
      <c r="H666" s="8" t="s">
        <v>115</v>
      </c>
      <c r="I666" s="27">
        <v>45883</v>
      </c>
      <c r="J666" s="8" t="s">
        <v>117</v>
      </c>
      <c r="K666" s="8" t="s">
        <v>121</v>
      </c>
      <c r="L666" s="8" t="s">
        <v>119</v>
      </c>
      <c r="M666" s="16" t="str">
        <f ca="1">IFERROR(__xludf.DUMMYFUNCTION("JOIN("""",VLOOKUP(D666,'для артикула'!$A$2:$B$7,2,0),VLOOKUP(G666,'для артикула'!$A$13:$B$14,2,0),VLOOKUP(E666,'для артикула'!$A$9:$B$11,2,0),VLOOKUP(F666,'для артикула'!$A$17:$B$19,2,0),VLOOKUP(J666,'для артикула'!$A$22:$B$23,2,0),VLOOKUP(H666,'для артик"&amp;"ула'!$A$26:$B$30,2,0))"),"002-2513E50Q13-OK")</f>
        <v>002-2513E50Q13-OK</v>
      </c>
      <c r="N666" s="8" t="str">
        <f>IF(ISNUMBER(MATCH(C666, 'Реестр договоров'!$D$2:$D$900, 0)), "Продано", "В наличии")</f>
        <v>Продано</v>
      </c>
    </row>
    <row r="667" spans="1:14">
      <c r="A667" s="26">
        <v>45904.42908371528</v>
      </c>
      <c r="B667" s="26"/>
      <c r="C667" s="8" t="s">
        <v>769</v>
      </c>
      <c r="D667" s="8" t="s">
        <v>114</v>
      </c>
      <c r="E667" s="8">
        <v>50</v>
      </c>
      <c r="F667" s="8" t="s">
        <v>116</v>
      </c>
      <c r="G667" s="8" t="s">
        <v>116</v>
      </c>
      <c r="H667" s="8">
        <v>30</v>
      </c>
      <c r="I667" s="27">
        <v>45904</v>
      </c>
      <c r="J667" s="8" t="s">
        <v>117</v>
      </c>
      <c r="K667" s="8" t="s">
        <v>118</v>
      </c>
      <c r="L667" s="8" t="s">
        <v>119</v>
      </c>
      <c r="M667" s="16" t="str">
        <f ca="1">IFERROR(__xludf.DUMMYFUNCTION("JOIN("""",VLOOKUP(D667,'для артикула'!$A$2:$B$7,2,0),VLOOKUP(G667,'для артикула'!$A$13:$B$14,2,0),VLOOKUP(E667,'для артикула'!$A$9:$B$11,2,0),VLOOKUP(F667,'для артикула'!$A$17:$B$19,2,0),VLOOKUP(J667,'для артикула'!$A$22:$B$23,2,0),VLOOKUP(H667,'для артик"&amp;"ула'!$A$26:$B$30,2,0))"),"002-2013E50Q13-OK30")</f>
        <v>002-2013E50Q13-OK30</v>
      </c>
      <c r="N667" s="8" t="str">
        <f>IF(ISNUMBER(MATCH(C667, 'Реестр договоров'!$D$2:$D$900, 0)), "Продано", "В наличии")</f>
        <v>Продано</v>
      </c>
    </row>
    <row r="668" spans="1:14">
      <c r="A668" s="26">
        <v>45908.397660740739</v>
      </c>
      <c r="B668" s="26"/>
      <c r="C668" s="8" t="s">
        <v>88</v>
      </c>
      <c r="D668" s="8" t="s">
        <v>114</v>
      </c>
      <c r="E668" s="8">
        <v>30</v>
      </c>
      <c r="F668" s="8" t="s">
        <v>116</v>
      </c>
      <c r="G668" s="8" t="s">
        <v>116</v>
      </c>
      <c r="H668" s="8" t="s">
        <v>115</v>
      </c>
      <c r="I668" s="27">
        <v>45908</v>
      </c>
      <c r="J668" s="8" t="s">
        <v>117</v>
      </c>
      <c r="K668" s="8" t="s">
        <v>124</v>
      </c>
      <c r="L668" s="8" t="s">
        <v>119</v>
      </c>
      <c r="M668" s="16" t="str">
        <f ca="1">IFERROR(__xludf.DUMMYFUNCTION("JOIN("""",VLOOKUP(D668,'для артикула'!$A$2:$B$7,2,0),VLOOKUP(G668,'для артикула'!$A$13:$B$14,2,0),VLOOKUP(E668,'для артикула'!$A$9:$B$11,2,0),VLOOKUP(F668,'для артикула'!$A$17:$B$19,2,0),VLOOKUP(J668,'для артикула'!$A$22:$B$23,2,0),VLOOKUP(H668,'для артик"&amp;"ула'!$A$26:$B$30,2,0))"),"002-2013E30Q13-OK")</f>
        <v>002-2013E30Q13-OK</v>
      </c>
      <c r="N668" s="8" t="str">
        <f>IF(ISNUMBER(MATCH(C668, 'Реестр договоров'!$D$2:$D$900, 0)), "Продано", "В наличии")</f>
        <v>Продано</v>
      </c>
    </row>
    <row r="669" spans="1:14">
      <c r="A669" s="26">
        <v>45908.398030949073</v>
      </c>
      <c r="B669" s="26"/>
      <c r="C669" s="8" t="s">
        <v>89</v>
      </c>
      <c r="D669" s="8" t="s">
        <v>114</v>
      </c>
      <c r="E669" s="8">
        <v>30</v>
      </c>
      <c r="F669" s="8" t="s">
        <v>116</v>
      </c>
      <c r="G669" s="8" t="s">
        <v>116</v>
      </c>
      <c r="H669" s="8" t="s">
        <v>115</v>
      </c>
      <c r="I669" s="27">
        <v>45908</v>
      </c>
      <c r="J669" s="8" t="s">
        <v>117</v>
      </c>
      <c r="K669" s="8" t="s">
        <v>124</v>
      </c>
      <c r="L669" s="8" t="s">
        <v>119</v>
      </c>
      <c r="M669" s="16" t="str">
        <f ca="1">IFERROR(__xludf.DUMMYFUNCTION("JOIN("""",VLOOKUP(D669,'для артикула'!$A$2:$B$7,2,0),VLOOKUP(G669,'для артикула'!$A$13:$B$14,2,0),VLOOKUP(E669,'для артикула'!$A$9:$B$11,2,0),VLOOKUP(F669,'для артикула'!$A$17:$B$19,2,0),VLOOKUP(J669,'для артикула'!$A$22:$B$23,2,0),VLOOKUP(H669,'для артик"&amp;"ула'!$A$26:$B$30,2,0))"),"002-2013E30Q13-OK")</f>
        <v>002-2013E30Q13-OK</v>
      </c>
      <c r="N669" s="8" t="str">
        <f>IF(ISNUMBER(MATCH(C669, 'Реестр договоров'!$D$2:$D$900, 0)), "Продано", "В наличии")</f>
        <v>Продано</v>
      </c>
    </row>
    <row r="670" spans="1:14">
      <c r="A670" s="26">
        <v>45908.398422488426</v>
      </c>
      <c r="B670" s="26"/>
      <c r="C670" s="8" t="s">
        <v>90</v>
      </c>
      <c r="D670" s="8" t="s">
        <v>114</v>
      </c>
      <c r="E670" s="8">
        <v>30</v>
      </c>
      <c r="F670" s="8" t="s">
        <v>116</v>
      </c>
      <c r="G670" s="8" t="s">
        <v>116</v>
      </c>
      <c r="H670" s="8" t="s">
        <v>115</v>
      </c>
      <c r="I670" s="27">
        <v>45908</v>
      </c>
      <c r="J670" s="8" t="s">
        <v>117</v>
      </c>
      <c r="K670" s="8" t="s">
        <v>124</v>
      </c>
      <c r="L670" s="8" t="s">
        <v>119</v>
      </c>
      <c r="M670" s="16" t="str">
        <f ca="1">IFERROR(__xludf.DUMMYFUNCTION("JOIN("""",VLOOKUP(D670,'для артикула'!$A$2:$B$7,2,0),VLOOKUP(G670,'для артикула'!$A$13:$B$14,2,0),VLOOKUP(E670,'для артикула'!$A$9:$B$11,2,0),VLOOKUP(F670,'для артикула'!$A$17:$B$19,2,0),VLOOKUP(J670,'для артикула'!$A$22:$B$23,2,0),VLOOKUP(H670,'для артик"&amp;"ула'!$A$26:$B$30,2,0))"),"002-2013E30Q13-OK")</f>
        <v>002-2013E30Q13-OK</v>
      </c>
      <c r="N670" s="8" t="str">
        <f>IF(ISNUMBER(MATCH(C670, 'Реестр договоров'!$D$2:$D$900, 0)), "Продано", "В наличии")</f>
        <v>Продано</v>
      </c>
    </row>
    <row r="671" spans="1:14">
      <c r="A671" s="26">
        <v>45908.398865474534</v>
      </c>
      <c r="B671" s="26"/>
      <c r="C671" s="8" t="s">
        <v>770</v>
      </c>
      <c r="D671" s="8" t="s">
        <v>114</v>
      </c>
      <c r="E671" s="8">
        <v>30</v>
      </c>
      <c r="F671" s="8" t="s">
        <v>116</v>
      </c>
      <c r="G671" s="8" t="s">
        <v>116</v>
      </c>
      <c r="H671" s="8" t="s">
        <v>115</v>
      </c>
      <c r="I671" s="27">
        <v>45908</v>
      </c>
      <c r="J671" s="8" t="s">
        <v>117</v>
      </c>
      <c r="K671" s="8" t="s">
        <v>124</v>
      </c>
      <c r="L671" s="8" t="s">
        <v>119</v>
      </c>
      <c r="M671" s="16" t="str">
        <f ca="1">IFERROR(__xludf.DUMMYFUNCTION("JOIN("""",VLOOKUP(D671,'для артикула'!$A$2:$B$7,2,0),VLOOKUP(G671,'для артикула'!$A$13:$B$14,2,0),VLOOKUP(E671,'для артикула'!$A$9:$B$11,2,0),VLOOKUP(F671,'для артикула'!$A$17:$B$19,2,0),VLOOKUP(J671,'для артикула'!$A$22:$B$23,2,0),VLOOKUP(H671,'для артик"&amp;"ула'!$A$26:$B$30,2,0))"),"002-2013E30Q13-OK")</f>
        <v>002-2013E30Q13-OK</v>
      </c>
      <c r="N671" s="8" t="str">
        <f>IF(ISNUMBER(MATCH(C671, 'Реестр договоров'!$D$2:$D$900, 0)), "Продано", "В наличии")</f>
        <v>Продано</v>
      </c>
    </row>
    <row r="672" spans="1:14">
      <c r="A672" s="26">
        <v>45908.545656678238</v>
      </c>
      <c r="B672" s="26"/>
      <c r="C672" s="8" t="s">
        <v>771</v>
      </c>
      <c r="D672" s="8" t="s">
        <v>287</v>
      </c>
      <c r="E672" s="8">
        <v>50</v>
      </c>
      <c r="F672" s="8" t="s">
        <v>116</v>
      </c>
      <c r="G672" s="8" t="s">
        <v>116</v>
      </c>
      <c r="H672" s="8">
        <v>60</v>
      </c>
      <c r="I672" s="27">
        <v>45908</v>
      </c>
      <c r="J672" s="8" t="s">
        <v>117</v>
      </c>
      <c r="K672" s="8" t="s">
        <v>124</v>
      </c>
      <c r="L672" s="8" t="s">
        <v>119</v>
      </c>
      <c r="M672" s="16" t="str">
        <f ca="1">IFERROR(__xludf.DUMMYFUNCTION("JOIN("""",VLOOKUP(D672,'для артикула'!$A$2:$B$7,2,0),VLOOKUP(G672,'для артикула'!$A$13:$B$14,2,0),VLOOKUP(E672,'для артикула'!$A$9:$B$11,2,0),VLOOKUP(F672,'для артикула'!$A$17:$B$19,2,0),VLOOKUP(J672,'для артикула'!$A$22:$B$23,2,0),VLOOKUP(H672,'для артик"&amp;"ула'!$A$26:$B$30,2,0))"),"002-2513E50Q13-OK60")</f>
        <v>002-2513E50Q13-OK60</v>
      </c>
      <c r="N672" s="8" t="str">
        <f>IF(ISNUMBER(MATCH(C672, 'Реестр договоров'!$D$2:$D$900, 0)), "Продано", "В наличии")</f>
        <v>Продано</v>
      </c>
    </row>
    <row r="673" spans="1:14">
      <c r="A673" s="26">
        <v>45908.546103668981</v>
      </c>
      <c r="B673" s="26"/>
      <c r="C673" s="8" t="s">
        <v>772</v>
      </c>
      <c r="D673" s="8" t="s">
        <v>287</v>
      </c>
      <c r="E673" s="8">
        <v>50</v>
      </c>
      <c r="F673" s="8" t="s">
        <v>116</v>
      </c>
      <c r="G673" s="8" t="s">
        <v>116</v>
      </c>
      <c r="H673" s="8">
        <v>60</v>
      </c>
      <c r="I673" s="27">
        <v>45908</v>
      </c>
      <c r="J673" s="8" t="s">
        <v>117</v>
      </c>
      <c r="K673" s="8" t="s">
        <v>124</v>
      </c>
      <c r="L673" s="8" t="s">
        <v>119</v>
      </c>
      <c r="M673" s="16" t="str">
        <f ca="1">IFERROR(__xludf.DUMMYFUNCTION("JOIN("""",VLOOKUP(D673,'для артикула'!$A$2:$B$7,2,0),VLOOKUP(G673,'для артикула'!$A$13:$B$14,2,0),VLOOKUP(E673,'для артикула'!$A$9:$B$11,2,0),VLOOKUP(F673,'для артикула'!$A$17:$B$19,2,0),VLOOKUP(J673,'для артикула'!$A$22:$B$23,2,0),VLOOKUP(H673,'для артик"&amp;"ула'!$A$26:$B$30,2,0))"),"002-2513E50Q13-OK60")</f>
        <v>002-2513E50Q13-OK60</v>
      </c>
      <c r="N673" s="8" t="str">
        <f>IF(ISNUMBER(MATCH(C673, 'Реестр договоров'!$D$2:$D$900, 0)), "Продано", "В наличии")</f>
        <v>Продано</v>
      </c>
    </row>
    <row r="674" spans="1:14">
      <c r="A674" s="26">
        <v>45908.546694537035</v>
      </c>
      <c r="B674" s="26"/>
      <c r="C674" s="8" t="s">
        <v>773</v>
      </c>
      <c r="D674" s="8" t="s">
        <v>347</v>
      </c>
      <c r="E674" s="8">
        <v>50</v>
      </c>
      <c r="F674" s="8" t="s">
        <v>116</v>
      </c>
      <c r="G674" s="8" t="s">
        <v>116</v>
      </c>
      <c r="H674" s="8" t="s">
        <v>115</v>
      </c>
      <c r="I674" s="27">
        <v>45908</v>
      </c>
      <c r="J674" s="8" t="s">
        <v>117</v>
      </c>
      <c r="K674" s="8" t="s">
        <v>124</v>
      </c>
      <c r="L674" s="8" t="s">
        <v>288</v>
      </c>
      <c r="M674" s="16" t="str">
        <f ca="1">IFERROR(__xludf.DUMMYFUNCTION("JOIN("""",VLOOKUP(D674,'для артикула'!$A$2:$B$7,2,0),VLOOKUP(G674,'для артикула'!$A$13:$B$14,2,0),VLOOKUP(E674,'для артикула'!$A$9:$B$11,2,0),VLOOKUP(F674,'для артикула'!$A$17:$B$19,2,0),VLOOKUP(J674,'для артикула'!$A$22:$B$23,2,0),VLOOKUP(H674,'для артик"&amp;"ула'!$A$26:$B$30,2,0))"),"002-2515E50Q13-OK")</f>
        <v>002-2515E50Q13-OK</v>
      </c>
      <c r="N674" s="8" t="str">
        <f>IF(ISNUMBER(MATCH(C674, 'Реестр договоров'!$D$2:$D$900, 0)), "Продано", "В наличии")</f>
        <v>В наличии</v>
      </c>
    </row>
    <row r="675" spans="1:14">
      <c r="A675" s="26">
        <v>45908.547904467589</v>
      </c>
      <c r="B675" s="26"/>
      <c r="C675" s="8" t="s">
        <v>774</v>
      </c>
      <c r="D675" s="8" t="s">
        <v>375</v>
      </c>
      <c r="E675" s="8">
        <v>30</v>
      </c>
      <c r="F675" s="8" t="s">
        <v>116</v>
      </c>
      <c r="G675" s="8" t="s">
        <v>116</v>
      </c>
      <c r="H675" s="8" t="s">
        <v>115</v>
      </c>
      <c r="I675" s="27">
        <v>45908</v>
      </c>
      <c r="J675" s="8" t="s">
        <v>117</v>
      </c>
      <c r="K675" s="8" t="s">
        <v>124</v>
      </c>
      <c r="L675" s="8" t="s">
        <v>288</v>
      </c>
      <c r="M675" s="16" t="str">
        <f ca="1">IFERROR(__xludf.DUMMYFUNCTION("JOIN("""",VLOOKUP(D675,'для артикула'!$A$2:$B$7,2,0),VLOOKUP(G675,'для артикула'!$A$13:$B$14,2,0),VLOOKUP(E675,'для артикула'!$A$9:$B$11,2,0),VLOOKUP(F675,'для артикула'!$A$17:$B$19,2,0),VLOOKUP(J675,'для артикула'!$A$22:$B$23,2,0),VLOOKUP(H675,'для артик"&amp;"ула'!$A$26:$B$30,2,0))"),"002-3515E30Q13-OK")</f>
        <v>002-3515E30Q13-OK</v>
      </c>
      <c r="N675" s="8" t="str">
        <f>IF(ISNUMBER(MATCH(C675, 'Реестр договоров'!$D$2:$D$900, 0)), "Продано", "В наличии")</f>
        <v>Продано</v>
      </c>
    </row>
    <row r="676" spans="1:14">
      <c r="A676" s="26">
        <v>45909.543915787042</v>
      </c>
      <c r="B676" s="26"/>
      <c r="C676" s="8" t="s">
        <v>775</v>
      </c>
      <c r="D676" s="8" t="s">
        <v>114</v>
      </c>
      <c r="E676" s="8">
        <v>50</v>
      </c>
      <c r="F676" s="8" t="s">
        <v>116</v>
      </c>
      <c r="G676" s="8" t="s">
        <v>116</v>
      </c>
      <c r="H676" s="8" t="s">
        <v>115</v>
      </c>
      <c r="I676" s="27">
        <v>45909</v>
      </c>
      <c r="J676" s="8" t="s">
        <v>117</v>
      </c>
      <c r="K676" s="8" t="s">
        <v>118</v>
      </c>
      <c r="L676" s="8" t="s">
        <v>119</v>
      </c>
      <c r="M676" s="16" t="str">
        <f ca="1">IFERROR(__xludf.DUMMYFUNCTION("JOIN("""",VLOOKUP(D676,'для артикула'!$A$2:$B$7,2,0),VLOOKUP(G676,'для артикула'!$A$13:$B$14,2,0),VLOOKUP(E676,'для артикула'!$A$9:$B$11,2,0),VLOOKUP(F676,'для артикула'!$A$17:$B$19,2,0),VLOOKUP(J676,'для артикула'!$A$22:$B$23,2,0),VLOOKUP(H676,'для артик"&amp;"ула'!$A$26:$B$30,2,0))"),"002-2013E50Q13-OK")</f>
        <v>002-2013E50Q13-OK</v>
      </c>
      <c r="N676" s="8" t="str">
        <f>IF(ISNUMBER(MATCH(C676, 'Реестр договоров'!$D$2:$D$900, 0)), "Продано", "В наличии")</f>
        <v>Продано</v>
      </c>
    </row>
    <row r="677" spans="1:14">
      <c r="A677" s="26">
        <v>45909.621048043977</v>
      </c>
      <c r="B677" s="26"/>
      <c r="C677" s="8" t="s">
        <v>776</v>
      </c>
      <c r="D677" s="8" t="s">
        <v>347</v>
      </c>
      <c r="E677" s="8">
        <v>50</v>
      </c>
      <c r="F677" s="8" t="s">
        <v>144</v>
      </c>
      <c r="G677" s="8" t="s">
        <v>144</v>
      </c>
      <c r="H677" s="8">
        <v>90</v>
      </c>
      <c r="I677" s="27">
        <v>45909</v>
      </c>
      <c r="J677" s="8" t="s">
        <v>117</v>
      </c>
      <c r="K677" s="8" t="s">
        <v>118</v>
      </c>
      <c r="L677" s="8" t="s">
        <v>288</v>
      </c>
      <c r="M677" s="16" t="str">
        <f ca="1">IFERROR(__xludf.DUMMYFUNCTION("JOIN("""",VLOOKUP(D677,'для артикула'!$A$2:$B$7,2,0),VLOOKUP(G677,'для артикула'!$A$13:$B$14,2,0),VLOOKUP(E677,'для артикула'!$A$9:$B$11,2,0),VLOOKUP(F677,'для артикула'!$A$17:$B$19,2,0),VLOOKUP(J677,'для артикула'!$A$22:$B$23,2,0),VLOOKUP(H677,'для артик"&amp;"ула'!$A$26:$B$30,2,0))"),"002-2515E50Q15-OK90")</f>
        <v>002-2515E50Q15-OK90</v>
      </c>
      <c r="N677" s="8" t="str">
        <f>IF(ISNUMBER(MATCH(C677, 'Реестр договоров'!$D$2:$D$900, 0)), "Продано", "В наличии")</f>
        <v>Продано</v>
      </c>
    </row>
    <row r="678" spans="1:14">
      <c r="A678" s="26">
        <v>45910.418717534718</v>
      </c>
      <c r="B678" s="26"/>
      <c r="C678" s="8" t="s">
        <v>777</v>
      </c>
      <c r="D678" s="8" t="s">
        <v>347</v>
      </c>
      <c r="E678" s="8">
        <v>30</v>
      </c>
      <c r="F678" s="8" t="s">
        <v>116</v>
      </c>
      <c r="G678" s="8" t="s">
        <v>116</v>
      </c>
      <c r="H678" s="8" t="s">
        <v>115</v>
      </c>
      <c r="I678" s="27">
        <v>45882</v>
      </c>
      <c r="J678" s="8" t="s">
        <v>117</v>
      </c>
      <c r="K678" s="8" t="s">
        <v>121</v>
      </c>
      <c r="L678" s="8" t="s">
        <v>119</v>
      </c>
      <c r="M678" s="16" t="str">
        <f ca="1">IFERROR(__xludf.DUMMYFUNCTION("JOIN("""",VLOOKUP(D678,'для артикула'!$A$2:$B$7,2,0),VLOOKUP(G678,'для артикула'!$A$13:$B$14,2,0),VLOOKUP(E678,'для артикула'!$A$9:$B$11,2,0),VLOOKUP(F678,'для артикула'!$A$17:$B$19,2,0),VLOOKUP(J678,'для артикула'!$A$22:$B$23,2,0),VLOOKUP(H678,'для артик"&amp;"ула'!$A$26:$B$30,2,0))"),"002-2515E30Q13-OK")</f>
        <v>002-2515E30Q13-OK</v>
      </c>
      <c r="N678" s="8" t="str">
        <f>IF(ISNUMBER(MATCH(C678, 'Реестр договоров'!$D$2:$D$900, 0)), "Продано", "В наличии")</f>
        <v>Продано</v>
      </c>
    </row>
    <row r="679" spans="1:14">
      <c r="A679" s="26">
        <v>45910.419706793982</v>
      </c>
      <c r="B679" s="26"/>
      <c r="C679" s="8" t="s">
        <v>778</v>
      </c>
      <c r="D679" s="8" t="s">
        <v>114</v>
      </c>
      <c r="E679" s="8">
        <v>50</v>
      </c>
      <c r="F679" s="8" t="s">
        <v>116</v>
      </c>
      <c r="G679" s="8" t="s">
        <v>116</v>
      </c>
      <c r="H679" s="8">
        <v>30</v>
      </c>
      <c r="I679" s="27">
        <v>45910</v>
      </c>
      <c r="J679" s="8" t="s">
        <v>117</v>
      </c>
      <c r="K679" s="8" t="s">
        <v>118</v>
      </c>
      <c r="L679" s="8" t="s">
        <v>119</v>
      </c>
      <c r="M679" s="16" t="str">
        <f ca="1">IFERROR(__xludf.DUMMYFUNCTION("JOIN("""",VLOOKUP(D679,'для артикула'!$A$2:$B$7,2,0),VLOOKUP(G679,'для артикула'!$A$13:$B$14,2,0),VLOOKUP(E679,'для артикула'!$A$9:$B$11,2,0),VLOOKUP(F679,'для артикула'!$A$17:$B$19,2,0),VLOOKUP(J679,'для артикула'!$A$22:$B$23,2,0),VLOOKUP(H679,'для артик"&amp;"ула'!$A$26:$B$30,2,0))"),"002-2013E50Q13-OK30")</f>
        <v>002-2013E50Q13-OK30</v>
      </c>
      <c r="N679" s="8" t="str">
        <f>IF(ISNUMBER(MATCH(C679, 'Реестр договоров'!$D$2:$D$900, 0)), "Продано", "В наличии")</f>
        <v>Продано</v>
      </c>
    </row>
    <row r="680" spans="1:14">
      <c r="A680" s="26">
        <v>45910.524211516204</v>
      </c>
      <c r="B680" s="26"/>
      <c r="C680" s="8" t="s">
        <v>779</v>
      </c>
      <c r="D680" s="8" t="s">
        <v>114</v>
      </c>
      <c r="E680" s="8">
        <v>50</v>
      </c>
      <c r="F680" s="8" t="s">
        <v>116</v>
      </c>
      <c r="G680" s="8" t="s">
        <v>116</v>
      </c>
      <c r="H680" s="8" t="s">
        <v>115</v>
      </c>
      <c r="I680" s="27">
        <v>45883</v>
      </c>
      <c r="J680" s="8" t="s">
        <v>117</v>
      </c>
      <c r="K680" s="8" t="s">
        <v>121</v>
      </c>
      <c r="L680" s="8" t="s">
        <v>119</v>
      </c>
      <c r="M680" s="16" t="str">
        <f ca="1">IFERROR(__xludf.DUMMYFUNCTION("JOIN("""",VLOOKUP(D680,'для артикула'!$A$2:$B$7,2,0),VLOOKUP(G680,'для артикула'!$A$13:$B$14,2,0),VLOOKUP(E680,'для артикула'!$A$9:$B$11,2,0),VLOOKUP(F680,'для артикула'!$A$17:$B$19,2,0),VLOOKUP(J680,'для артикула'!$A$22:$B$23,2,0),VLOOKUP(H680,'для артик"&amp;"ула'!$A$26:$B$30,2,0))"),"002-2013E50Q13-OK")</f>
        <v>002-2013E50Q13-OK</v>
      </c>
      <c r="N680" s="8" t="str">
        <f>IF(ISNUMBER(MATCH(C680, 'Реестр договоров'!$D$2:$D$900, 0)), "Продано", "В наличии")</f>
        <v>Продано</v>
      </c>
    </row>
    <row r="681" spans="1:14">
      <c r="A681" s="26">
        <v>45910.706661562501</v>
      </c>
      <c r="B681" s="26"/>
      <c r="C681" s="8" t="s">
        <v>780</v>
      </c>
      <c r="D681" s="8" t="s">
        <v>114</v>
      </c>
      <c r="E681" s="8">
        <v>50</v>
      </c>
      <c r="F681" s="8" t="s">
        <v>116</v>
      </c>
      <c r="G681" s="8" t="s">
        <v>116</v>
      </c>
      <c r="H681" s="8" t="s">
        <v>115</v>
      </c>
      <c r="I681" s="27">
        <v>45910</v>
      </c>
      <c r="J681" s="8" t="s">
        <v>117</v>
      </c>
      <c r="K681" s="8" t="s">
        <v>121</v>
      </c>
      <c r="L681" s="8" t="s">
        <v>119</v>
      </c>
      <c r="M681" s="16" t="str">
        <f ca="1">IFERROR(__xludf.DUMMYFUNCTION("JOIN("""",VLOOKUP(D681,'для артикула'!$A$2:$B$7,2,0),VLOOKUP(G681,'для артикула'!$A$13:$B$14,2,0),VLOOKUP(E681,'для артикула'!$A$9:$B$11,2,0),VLOOKUP(F681,'для артикула'!$A$17:$B$19,2,0),VLOOKUP(J681,'для артикула'!$A$22:$B$23,2,0),VLOOKUP(H681,'для артик"&amp;"ула'!$A$26:$B$30,2,0))"),"002-2013E50Q13-OK")</f>
        <v>002-2013E50Q13-OK</v>
      </c>
      <c r="N681" s="8" t="str">
        <f>IF(ISNUMBER(MATCH(C681, 'Реестр договоров'!$D$2:$D$900, 0)), "Продано", "В наличии")</f>
        <v>Продано</v>
      </c>
    </row>
    <row r="682" spans="1:14">
      <c r="A682" s="26">
        <v>45912.463306527774</v>
      </c>
      <c r="B682" s="26"/>
      <c r="C682" s="8" t="s">
        <v>781</v>
      </c>
      <c r="D682" s="8" t="s">
        <v>114</v>
      </c>
      <c r="E682" s="8">
        <v>30</v>
      </c>
      <c r="F682" s="8" t="s">
        <v>116</v>
      </c>
      <c r="G682" s="8" t="s">
        <v>116</v>
      </c>
      <c r="H682" s="8" t="s">
        <v>115</v>
      </c>
      <c r="I682" s="27">
        <v>45890</v>
      </c>
      <c r="J682" s="8" t="s">
        <v>117</v>
      </c>
      <c r="K682" s="8" t="s">
        <v>121</v>
      </c>
      <c r="L682" s="8" t="s">
        <v>119</v>
      </c>
      <c r="M682" s="16" t="str">
        <f ca="1">IFERROR(__xludf.DUMMYFUNCTION("JOIN("""",VLOOKUP(D682,'для артикула'!$A$2:$B$7,2,0),VLOOKUP(G682,'для артикула'!$A$13:$B$14,2,0),VLOOKUP(E682,'для артикула'!$A$9:$B$11,2,0),VLOOKUP(F682,'для артикула'!$A$17:$B$19,2,0),VLOOKUP(J682,'для артикула'!$A$22:$B$23,2,0),VLOOKUP(H682,'для артик"&amp;"ула'!$A$26:$B$30,2,0))"),"002-2013E30Q13-OK")</f>
        <v>002-2013E30Q13-OK</v>
      </c>
      <c r="N682" s="8" t="str">
        <f>IF(ISNUMBER(MATCH(C682, 'Реестр договоров'!$D$2:$D$900, 0)), "Продано", "В наличии")</f>
        <v>Продано</v>
      </c>
    </row>
    <row r="683" spans="1:14">
      <c r="A683" s="26">
        <v>45912.492325960644</v>
      </c>
      <c r="B683" s="26"/>
      <c r="C683" s="8" t="s">
        <v>782</v>
      </c>
      <c r="D683" s="8" t="s">
        <v>114</v>
      </c>
      <c r="E683" s="8">
        <v>30</v>
      </c>
      <c r="F683" s="8" t="s">
        <v>116</v>
      </c>
      <c r="G683" s="8" t="s">
        <v>116</v>
      </c>
      <c r="H683" s="8">
        <v>30</v>
      </c>
      <c r="I683" s="27">
        <v>45912</v>
      </c>
      <c r="J683" s="8" t="s">
        <v>117</v>
      </c>
      <c r="K683" s="8" t="s">
        <v>118</v>
      </c>
      <c r="L683" s="8" t="s">
        <v>119</v>
      </c>
      <c r="M683" s="16" t="str">
        <f ca="1">IFERROR(__xludf.DUMMYFUNCTION("JOIN("""",VLOOKUP(D683,'для артикула'!$A$2:$B$7,2,0),VLOOKUP(G683,'для артикула'!$A$13:$B$14,2,0),VLOOKUP(E683,'для артикула'!$A$9:$B$11,2,0),VLOOKUP(F683,'для артикула'!$A$17:$B$19,2,0),VLOOKUP(J683,'для артикула'!$A$22:$B$23,2,0),VLOOKUP(H683,'для артик"&amp;"ула'!$A$26:$B$30,2,0))"),"002-2013E30Q13-OK30")</f>
        <v>002-2013E30Q13-OK30</v>
      </c>
      <c r="N683" s="8" t="str">
        <f>IF(ISNUMBER(MATCH(C683, 'Реестр договоров'!$D$2:$D$900, 0)), "Продано", "В наличии")</f>
        <v>Продано</v>
      </c>
    </row>
    <row r="684" spans="1:14">
      <c r="A684" s="26">
        <v>45915.423616030093</v>
      </c>
      <c r="B684" s="26"/>
      <c r="C684" s="8" t="s">
        <v>783</v>
      </c>
      <c r="D684" s="8" t="s">
        <v>114</v>
      </c>
      <c r="E684" s="8">
        <v>50</v>
      </c>
      <c r="F684" s="8" t="s">
        <v>116</v>
      </c>
      <c r="G684" s="8" t="s">
        <v>116</v>
      </c>
      <c r="H684" s="8" t="s">
        <v>115</v>
      </c>
      <c r="I684" s="27">
        <v>45910</v>
      </c>
      <c r="J684" s="8" t="s">
        <v>117</v>
      </c>
      <c r="K684" s="8" t="s">
        <v>121</v>
      </c>
      <c r="L684" s="8" t="s">
        <v>119</v>
      </c>
      <c r="M684" s="16" t="str">
        <f ca="1">IFERROR(__xludf.DUMMYFUNCTION("JOIN("""",VLOOKUP(D684,'для артикула'!$A$2:$B$7,2,0),VLOOKUP(G684,'для артикула'!$A$13:$B$14,2,0),VLOOKUP(E684,'для артикула'!$A$9:$B$11,2,0),VLOOKUP(F684,'для артикула'!$A$17:$B$19,2,0),VLOOKUP(J684,'для артикула'!$A$22:$B$23,2,0),VLOOKUP(H684,'для артик"&amp;"ула'!$A$26:$B$30,2,0))"),"002-2013E50Q13-OK")</f>
        <v>002-2013E50Q13-OK</v>
      </c>
      <c r="N684" s="8" t="str">
        <f>IF(ISNUMBER(MATCH(C684, 'Реестр договоров'!$D$2:$D$900, 0)), "Продано", "В наличии")</f>
        <v>Продано</v>
      </c>
    </row>
    <row r="685" spans="1:14">
      <c r="A685" s="26">
        <v>45915.464077581019</v>
      </c>
      <c r="B685" s="26"/>
      <c r="C685" s="8" t="s">
        <v>784</v>
      </c>
      <c r="D685" s="8" t="s">
        <v>114</v>
      </c>
      <c r="E685" s="8">
        <v>50</v>
      </c>
      <c r="F685" s="8" t="s">
        <v>116</v>
      </c>
      <c r="G685" s="8" t="s">
        <v>116</v>
      </c>
      <c r="H685" s="8" t="s">
        <v>115</v>
      </c>
      <c r="I685" s="27">
        <v>45903</v>
      </c>
      <c r="J685" s="8" t="s">
        <v>117</v>
      </c>
      <c r="K685" s="8" t="s">
        <v>121</v>
      </c>
      <c r="L685" s="8" t="s">
        <v>119</v>
      </c>
      <c r="M685" s="16" t="str">
        <f ca="1">IFERROR(__xludf.DUMMYFUNCTION("JOIN("""",VLOOKUP(D685,'для артикула'!$A$2:$B$7,2,0),VLOOKUP(G685,'для артикула'!$A$13:$B$14,2,0),VLOOKUP(E685,'для артикула'!$A$9:$B$11,2,0),VLOOKUP(F685,'для артикула'!$A$17:$B$19,2,0),VLOOKUP(J685,'для артикула'!$A$22:$B$23,2,0),VLOOKUP(H685,'для артик"&amp;"ула'!$A$26:$B$30,2,0))"),"002-2013E50Q13-OK")</f>
        <v>002-2013E50Q13-OK</v>
      </c>
      <c r="N685" s="8" t="str">
        <f>IF(ISNUMBER(MATCH(C685, 'Реестр договоров'!$D$2:$D$900, 0)), "Продано", "В наличии")</f>
        <v>Продано</v>
      </c>
    </row>
    <row r="686" spans="1:14">
      <c r="A686" s="26">
        <v>45915.528274699071</v>
      </c>
      <c r="B686" s="26"/>
      <c r="C686" s="8" t="s">
        <v>785</v>
      </c>
      <c r="D686" s="8" t="s">
        <v>114</v>
      </c>
      <c r="E686" s="8">
        <v>30</v>
      </c>
      <c r="F686" s="8" t="s">
        <v>116</v>
      </c>
      <c r="G686" s="8" t="s">
        <v>116</v>
      </c>
      <c r="H686" s="8" t="s">
        <v>115</v>
      </c>
      <c r="I686" s="27">
        <v>45915</v>
      </c>
      <c r="J686" s="8" t="s">
        <v>117</v>
      </c>
      <c r="K686" s="8" t="s">
        <v>121</v>
      </c>
      <c r="L686" s="8" t="s">
        <v>119</v>
      </c>
      <c r="M686" s="16" t="str">
        <f ca="1">IFERROR(__xludf.DUMMYFUNCTION("JOIN("""",VLOOKUP(D686,'для артикула'!$A$2:$B$7,2,0),VLOOKUP(G686,'для артикула'!$A$13:$B$14,2,0),VLOOKUP(E686,'для артикула'!$A$9:$B$11,2,0),VLOOKUP(F686,'для артикула'!$A$17:$B$19,2,0),VLOOKUP(J686,'для артикула'!$A$22:$B$23,2,0),VLOOKUP(H686,'для артик"&amp;"ула'!$A$26:$B$30,2,0))"),"002-2013E30Q13-OK")</f>
        <v>002-2013E30Q13-OK</v>
      </c>
      <c r="N686" s="8" t="str">
        <f>IF(ISNUMBER(MATCH(C686, 'Реестр договоров'!$D$2:$D$900, 0)), "Продано", "В наличии")</f>
        <v>В наличии</v>
      </c>
    </row>
    <row r="687" spans="1:14">
      <c r="A687" s="26">
        <v>45916.609277013893</v>
      </c>
      <c r="B687" s="26"/>
      <c r="C687" s="8" t="s">
        <v>786</v>
      </c>
      <c r="D687" s="8" t="s">
        <v>114</v>
      </c>
      <c r="E687" s="8">
        <v>50</v>
      </c>
      <c r="F687" s="8" t="s">
        <v>116</v>
      </c>
      <c r="G687" s="8" t="s">
        <v>116</v>
      </c>
      <c r="H687" s="8" t="s">
        <v>115</v>
      </c>
      <c r="I687" s="27">
        <v>45875</v>
      </c>
      <c r="J687" s="8" t="s">
        <v>117</v>
      </c>
      <c r="K687" s="8" t="s">
        <v>121</v>
      </c>
      <c r="L687" s="8" t="s">
        <v>119</v>
      </c>
      <c r="M687" s="16" t="str">
        <f ca="1">IFERROR(__xludf.DUMMYFUNCTION("JOIN("""",VLOOKUP(D687,'для артикула'!$A$2:$B$7,2,0),VLOOKUP(G687,'для артикула'!$A$13:$B$14,2,0),VLOOKUP(E687,'для артикула'!$A$9:$B$11,2,0),VLOOKUP(F687,'для артикула'!$A$17:$B$19,2,0),VLOOKUP(J687,'для артикула'!$A$22:$B$23,2,0),VLOOKUP(H687,'для артик"&amp;"ула'!$A$26:$B$30,2,0))"),"002-2013E50Q13-OK")</f>
        <v>002-2013E50Q13-OK</v>
      </c>
      <c r="N687" s="8" t="str">
        <f>IF(ISNUMBER(MATCH(C687, 'Реестр договоров'!$D$2:$D$900, 0)), "Продано", "В наличии")</f>
        <v>Продано</v>
      </c>
    </row>
    <row r="688" spans="1:14">
      <c r="A688" s="26">
        <v>45918.566093541667</v>
      </c>
      <c r="B688" s="26"/>
      <c r="C688" s="8" t="s">
        <v>787</v>
      </c>
      <c r="D688" s="8" t="s">
        <v>287</v>
      </c>
      <c r="E688" s="8">
        <v>50</v>
      </c>
      <c r="F688" s="8" t="s">
        <v>116</v>
      </c>
      <c r="G688" s="8" t="s">
        <v>116</v>
      </c>
      <c r="H688" s="8" t="s">
        <v>115</v>
      </c>
      <c r="I688" s="27">
        <v>45918</v>
      </c>
      <c r="J688" s="8" t="s">
        <v>117</v>
      </c>
      <c r="K688" s="8" t="s">
        <v>118</v>
      </c>
      <c r="L688" s="8" t="s">
        <v>119</v>
      </c>
      <c r="M688" s="16" t="str">
        <f ca="1">IFERROR(__xludf.DUMMYFUNCTION("JOIN("""",VLOOKUP(D688,'для артикула'!$A$2:$B$7,2,0),VLOOKUP(G688,'для артикула'!$A$13:$B$14,2,0),VLOOKUP(E688,'для артикула'!$A$9:$B$11,2,0),VLOOKUP(F688,'для артикула'!$A$17:$B$19,2,0),VLOOKUP(J688,'для артикула'!$A$22:$B$23,2,0),VLOOKUP(H688,'для артик"&amp;"ула'!$A$26:$B$30,2,0))"),"002-2513E50Q13-OK")</f>
        <v>002-2513E50Q13-OK</v>
      </c>
      <c r="N688" s="8" t="str">
        <f>IF(ISNUMBER(MATCH(C688, 'Реестр договоров'!$D$2:$D$900, 0)), "Продано", "В наличии")</f>
        <v>Продано</v>
      </c>
    </row>
    <row r="689" spans="1:14">
      <c r="A689" s="26">
        <v>45918.643589398147</v>
      </c>
      <c r="B689" s="26"/>
      <c r="C689" s="8" t="s">
        <v>788</v>
      </c>
      <c r="D689" s="8" t="s">
        <v>114</v>
      </c>
      <c r="E689" s="8">
        <v>30</v>
      </c>
      <c r="F689" s="8" t="s">
        <v>116</v>
      </c>
      <c r="G689" s="8" t="s">
        <v>116</v>
      </c>
      <c r="H689" s="8" t="s">
        <v>115</v>
      </c>
      <c r="I689" s="27">
        <v>45903</v>
      </c>
      <c r="J689" s="8" t="s">
        <v>117</v>
      </c>
      <c r="K689" s="8" t="s">
        <v>121</v>
      </c>
      <c r="L689" s="8" t="s">
        <v>119</v>
      </c>
      <c r="M689" s="16" t="str">
        <f ca="1">IFERROR(__xludf.DUMMYFUNCTION("JOIN("""",VLOOKUP(D689,'для артикула'!$A$2:$B$7,2,0),VLOOKUP(G689,'для артикула'!$A$13:$B$14,2,0),VLOOKUP(E689,'для артикула'!$A$9:$B$11,2,0),VLOOKUP(F689,'для артикула'!$A$17:$B$19,2,0),VLOOKUP(J689,'для артикула'!$A$22:$B$23,2,0),VLOOKUP(H689,'для артик"&amp;"ула'!$A$26:$B$30,2,0))"),"002-2013E30Q13-OK")</f>
        <v>002-2013E30Q13-OK</v>
      </c>
      <c r="N689" s="8" t="str">
        <f>IF(ISNUMBER(MATCH(C689, 'Реестр договоров'!$D$2:$D$900, 0)), "Продано", "В наличии")</f>
        <v>Продано</v>
      </c>
    </row>
    <row r="690" spans="1:14">
      <c r="A690" s="26">
        <v>45918.665653680553</v>
      </c>
      <c r="B690" s="26"/>
      <c r="C690" s="8" t="s">
        <v>789</v>
      </c>
      <c r="D690" s="8" t="s">
        <v>114</v>
      </c>
      <c r="E690" s="8">
        <v>50</v>
      </c>
      <c r="F690" s="8" t="s">
        <v>116</v>
      </c>
      <c r="G690" s="8" t="s">
        <v>116</v>
      </c>
      <c r="H690" s="8" t="s">
        <v>115</v>
      </c>
      <c r="I690" s="27">
        <v>45904</v>
      </c>
      <c r="J690" s="8" t="s">
        <v>117</v>
      </c>
      <c r="K690" s="8" t="s">
        <v>121</v>
      </c>
      <c r="L690" s="8" t="s">
        <v>119</v>
      </c>
      <c r="M690" s="16" t="str">
        <f ca="1">IFERROR(__xludf.DUMMYFUNCTION("JOIN("""",VLOOKUP(D690,'для артикула'!$A$2:$B$7,2,0),VLOOKUP(G690,'для артикула'!$A$13:$B$14,2,0),VLOOKUP(E690,'для артикула'!$A$9:$B$11,2,0),VLOOKUP(F690,'для артикула'!$A$17:$B$19,2,0),VLOOKUP(J690,'для артикула'!$A$22:$B$23,2,0),VLOOKUP(H690,'для артик"&amp;"ула'!$A$26:$B$30,2,0))"),"002-2013E50Q13-OK")</f>
        <v>002-2013E50Q13-OK</v>
      </c>
      <c r="N690" s="8" t="str">
        <f>IF(ISNUMBER(MATCH(C690, 'Реестр договоров'!$D$2:$D$900, 0)), "Продано", "В наличии")</f>
        <v>Продано</v>
      </c>
    </row>
    <row r="691" spans="1:14">
      <c r="A691" s="26">
        <v>45918.725569918985</v>
      </c>
      <c r="B691" s="26"/>
      <c r="C691" s="8" t="s">
        <v>790</v>
      </c>
      <c r="D691" s="8" t="s">
        <v>114</v>
      </c>
      <c r="E691" s="8">
        <v>50</v>
      </c>
      <c r="F691" s="8" t="s">
        <v>116</v>
      </c>
      <c r="G691" s="8" t="s">
        <v>116</v>
      </c>
      <c r="H691" s="8" t="s">
        <v>115</v>
      </c>
      <c r="I691" s="27">
        <v>45918</v>
      </c>
      <c r="J691" s="8" t="s">
        <v>117</v>
      </c>
      <c r="K691" s="8" t="s">
        <v>118</v>
      </c>
      <c r="L691" s="8" t="s">
        <v>119</v>
      </c>
      <c r="M691" s="16" t="str">
        <f ca="1">IFERROR(__xludf.DUMMYFUNCTION("JOIN("""",VLOOKUP(D691,'для артикула'!$A$2:$B$7,2,0),VLOOKUP(G691,'для артикула'!$A$13:$B$14,2,0),VLOOKUP(E691,'для артикула'!$A$9:$B$11,2,0),VLOOKUP(F691,'для артикула'!$A$17:$B$19,2,0),VLOOKUP(J691,'для артикула'!$A$22:$B$23,2,0),VLOOKUP(H691,'для артик"&amp;"ула'!$A$26:$B$30,2,0))"),"002-2013E50Q13-OK")</f>
        <v>002-2013E50Q13-OK</v>
      </c>
      <c r="N691" s="8" t="str">
        <f>IF(ISNUMBER(MATCH(C691, 'Реестр договоров'!$D$2:$D$900, 0)), "Продано", "В наличии")</f>
        <v>Продано</v>
      </c>
    </row>
    <row r="692" spans="1:14">
      <c r="A692" s="26">
        <v>45919.632048715277</v>
      </c>
      <c r="B692" s="26"/>
      <c r="C692" s="8" t="s">
        <v>791</v>
      </c>
      <c r="D692" s="8" t="s">
        <v>114</v>
      </c>
      <c r="E692" s="8">
        <v>30</v>
      </c>
      <c r="F692" s="8" t="s">
        <v>116</v>
      </c>
      <c r="G692" s="8" t="s">
        <v>116</v>
      </c>
      <c r="H692" s="8">
        <v>60</v>
      </c>
      <c r="I692" s="27">
        <v>45919</v>
      </c>
      <c r="J692" s="8" t="s">
        <v>117</v>
      </c>
      <c r="K692" s="8" t="s">
        <v>118</v>
      </c>
      <c r="L692" s="8" t="s">
        <v>119</v>
      </c>
      <c r="M692" s="16" t="str">
        <f ca="1">IFERROR(__xludf.DUMMYFUNCTION("JOIN("""",VLOOKUP(D692,'для артикула'!$A$2:$B$7,2,0),VLOOKUP(G692,'для артикула'!$A$13:$B$14,2,0),VLOOKUP(E692,'для артикула'!$A$9:$B$11,2,0),VLOOKUP(F692,'для артикула'!$A$17:$B$19,2,0),VLOOKUP(J692,'для артикула'!$A$22:$B$23,2,0),VLOOKUP(H692,'для артик"&amp;"ула'!$A$26:$B$30,2,0))"),"002-2013E30Q13-OK60")</f>
        <v>002-2013E30Q13-OK60</v>
      </c>
      <c r="N692" s="8" t="str">
        <f>IF(ISNUMBER(MATCH(C692, 'Реестр договоров'!$D$2:$D$900, 0)), "Продано", "В наличии")</f>
        <v>Продано</v>
      </c>
    </row>
    <row r="693" spans="1:14">
      <c r="A693" s="26">
        <v>45919.730724444446</v>
      </c>
      <c r="B693" s="26"/>
      <c r="C693" s="8" t="s">
        <v>792</v>
      </c>
      <c r="D693" s="8" t="s">
        <v>114</v>
      </c>
      <c r="E693" s="8">
        <v>50</v>
      </c>
      <c r="F693" s="8" t="s">
        <v>116</v>
      </c>
      <c r="G693" s="8" t="s">
        <v>116</v>
      </c>
      <c r="H693" s="8" t="s">
        <v>115</v>
      </c>
      <c r="I693" s="27">
        <v>45919</v>
      </c>
      <c r="J693" s="8" t="s">
        <v>117</v>
      </c>
      <c r="K693" s="8" t="s">
        <v>118</v>
      </c>
      <c r="L693" s="8" t="s">
        <v>119</v>
      </c>
      <c r="M693" s="16" t="str">
        <f ca="1">IFERROR(__xludf.DUMMYFUNCTION("JOIN("""",VLOOKUP(D693,'для артикула'!$A$2:$B$7,2,0),VLOOKUP(G693,'для артикула'!$A$13:$B$14,2,0),VLOOKUP(E693,'для артикула'!$A$9:$B$11,2,0),VLOOKUP(F693,'для артикула'!$A$17:$B$19,2,0),VLOOKUP(J693,'для артикула'!$A$22:$B$23,2,0),VLOOKUP(H693,'для артик"&amp;"ула'!$A$26:$B$30,2,0))"),"002-2013E50Q13-OK")</f>
        <v>002-2013E50Q13-OK</v>
      </c>
      <c r="N693" s="8" t="str">
        <f>IF(ISNUMBER(MATCH(C693, 'Реестр договоров'!$D$2:$D$900, 0)), "Продано", "В наличии")</f>
        <v>Продано</v>
      </c>
    </row>
    <row r="694" spans="1:14">
      <c r="A694" s="26">
        <v>45921.45558263889</v>
      </c>
      <c r="B694" s="26"/>
      <c r="C694" s="8" t="s">
        <v>793</v>
      </c>
      <c r="D694" s="8" t="s">
        <v>347</v>
      </c>
      <c r="E694" s="8">
        <v>50</v>
      </c>
      <c r="F694" s="8" t="s">
        <v>116</v>
      </c>
      <c r="G694" s="8" t="s">
        <v>116</v>
      </c>
      <c r="H694" s="8" t="s">
        <v>115</v>
      </c>
      <c r="I694" s="27">
        <v>45905</v>
      </c>
      <c r="J694" s="8" t="s">
        <v>117</v>
      </c>
      <c r="K694" s="8" t="s">
        <v>121</v>
      </c>
      <c r="L694" s="8" t="s">
        <v>288</v>
      </c>
      <c r="M694" s="16" t="str">
        <f ca="1">IFERROR(__xludf.DUMMYFUNCTION("JOIN("""",VLOOKUP(D694,'для артикула'!$A$2:$B$7,2,0),VLOOKUP(G694,'для артикула'!$A$13:$B$14,2,0),VLOOKUP(E694,'для артикула'!$A$9:$B$11,2,0),VLOOKUP(F694,'для артикула'!$A$17:$B$19,2,0),VLOOKUP(J694,'для артикула'!$A$22:$B$23,2,0),VLOOKUP(H694,'для артик"&amp;"ула'!$A$26:$B$30,2,0))"),"002-2515E50Q13-OK")</f>
        <v>002-2515E50Q13-OK</v>
      </c>
      <c r="N694" s="8" t="str">
        <f>IF(ISNUMBER(MATCH(C694, 'Реестр договоров'!$D$2:$D$900, 0)), "Продано", "В наличии")</f>
        <v>Продано</v>
      </c>
    </row>
    <row r="695" spans="1:14">
      <c r="A695" s="26">
        <v>45922.459956006947</v>
      </c>
      <c r="B695" s="26"/>
      <c r="C695" s="8" t="s">
        <v>794</v>
      </c>
      <c r="D695" s="8" t="s">
        <v>287</v>
      </c>
      <c r="E695" s="8">
        <v>50</v>
      </c>
      <c r="F695" s="8" t="s">
        <v>116</v>
      </c>
      <c r="G695" s="8" t="s">
        <v>116</v>
      </c>
      <c r="H695" s="8">
        <v>60</v>
      </c>
      <c r="I695" s="27">
        <v>45919</v>
      </c>
      <c r="J695" s="8" t="s">
        <v>117</v>
      </c>
      <c r="K695" s="8" t="s">
        <v>118</v>
      </c>
      <c r="L695" s="8" t="s">
        <v>119</v>
      </c>
      <c r="M695" s="16" t="str">
        <f ca="1">IFERROR(__xludf.DUMMYFUNCTION("JOIN("""",VLOOKUP(D695,'для артикула'!$A$2:$B$7,2,0),VLOOKUP(G695,'для артикула'!$A$13:$B$14,2,0),VLOOKUP(E695,'для артикула'!$A$9:$B$11,2,0),VLOOKUP(F695,'для артикула'!$A$17:$B$19,2,0),VLOOKUP(J695,'для артикула'!$A$22:$B$23,2,0),VLOOKUP(H695,'для артик"&amp;"ула'!$A$26:$B$30,2,0))"),"002-2513E50Q13-OK60")</f>
        <v>002-2513E50Q13-OK60</v>
      </c>
      <c r="N695" s="8" t="str">
        <f>IF(ISNUMBER(MATCH(C695, 'Реестр договоров'!$D$2:$D$900, 0)), "Продано", "В наличии")</f>
        <v>Продано</v>
      </c>
    </row>
    <row r="696" spans="1:14">
      <c r="A696" s="26">
        <v>45922.510312442129</v>
      </c>
      <c r="B696" s="26"/>
      <c r="C696" s="8" t="s">
        <v>795</v>
      </c>
      <c r="D696" s="8" t="s">
        <v>114</v>
      </c>
      <c r="E696" s="8">
        <v>50</v>
      </c>
      <c r="F696" s="8" t="s">
        <v>116</v>
      </c>
      <c r="G696" s="8" t="s">
        <v>116</v>
      </c>
      <c r="H696" s="8" t="s">
        <v>115</v>
      </c>
      <c r="I696" s="27">
        <v>45919</v>
      </c>
      <c r="J696" s="8" t="s">
        <v>117</v>
      </c>
      <c r="K696" s="8" t="s">
        <v>118</v>
      </c>
      <c r="L696" s="8" t="s">
        <v>119</v>
      </c>
      <c r="M696" s="16" t="str">
        <f ca="1">IFERROR(__xludf.DUMMYFUNCTION("JOIN("""",VLOOKUP(D696,'для артикула'!$A$2:$B$7,2,0),VLOOKUP(G696,'для артикула'!$A$13:$B$14,2,0),VLOOKUP(E696,'для артикула'!$A$9:$B$11,2,0),VLOOKUP(F696,'для артикула'!$A$17:$B$19,2,0),VLOOKUP(J696,'для артикула'!$A$22:$B$23,2,0),VLOOKUP(H696,'для артик"&amp;"ула'!$A$26:$B$30,2,0))"),"002-2013E50Q13-OK")</f>
        <v>002-2013E50Q13-OK</v>
      </c>
      <c r="N696" s="8" t="str">
        <f>IF(ISNUMBER(MATCH(C696, 'Реестр договоров'!$D$2:$D$900, 0)), "Продано", "В наличии")</f>
        <v>Продано</v>
      </c>
    </row>
    <row r="697" spans="1:14">
      <c r="A697" s="26">
        <v>45922.519381273145</v>
      </c>
      <c r="B697" s="26"/>
      <c r="C697" s="8" t="s">
        <v>796</v>
      </c>
      <c r="D697" s="8" t="s">
        <v>114</v>
      </c>
      <c r="E697" s="8">
        <v>50</v>
      </c>
      <c r="F697" s="8" t="s">
        <v>116</v>
      </c>
      <c r="G697" s="8" t="s">
        <v>116</v>
      </c>
      <c r="H697" s="8">
        <v>60</v>
      </c>
      <c r="I697" s="27">
        <v>45919</v>
      </c>
      <c r="J697" s="8" t="s">
        <v>117</v>
      </c>
      <c r="K697" s="8" t="s">
        <v>118</v>
      </c>
      <c r="L697" s="8" t="s">
        <v>119</v>
      </c>
      <c r="M697" s="16" t="str">
        <f ca="1">IFERROR(__xludf.DUMMYFUNCTION("JOIN("""",VLOOKUP(D697,'для артикула'!$A$2:$B$7,2,0),VLOOKUP(G697,'для артикула'!$A$13:$B$14,2,0),VLOOKUP(E697,'для артикула'!$A$9:$B$11,2,0),VLOOKUP(F697,'для артикула'!$A$17:$B$19,2,0),VLOOKUP(J697,'для артикула'!$A$22:$B$23,2,0),VLOOKUP(H697,'для артик"&amp;"ула'!$A$26:$B$30,2,0))"),"002-2013E50Q13-OK60")</f>
        <v>002-2013E50Q13-OK60</v>
      </c>
      <c r="N697" s="8" t="str">
        <f>IF(ISNUMBER(MATCH(C697, 'Реестр договоров'!$D$2:$D$900, 0)), "Продано", "В наличии")</f>
        <v>Продано</v>
      </c>
    </row>
    <row r="698" spans="1:14">
      <c r="A698" s="26">
        <v>45922.658549618056</v>
      </c>
      <c r="B698" s="26"/>
      <c r="C698" s="8" t="s">
        <v>797</v>
      </c>
      <c r="D698" s="8" t="s">
        <v>114</v>
      </c>
      <c r="E698" s="8">
        <v>50</v>
      </c>
      <c r="F698" s="8" t="s">
        <v>116</v>
      </c>
      <c r="G698" s="8" t="s">
        <v>116</v>
      </c>
      <c r="H698" s="8" t="s">
        <v>115</v>
      </c>
      <c r="I698" s="27">
        <v>45922</v>
      </c>
      <c r="J698" s="8" t="s">
        <v>117</v>
      </c>
      <c r="K698" s="8" t="s">
        <v>118</v>
      </c>
      <c r="L698" s="8" t="s">
        <v>119</v>
      </c>
      <c r="M698" s="16" t="str">
        <f ca="1">IFERROR(__xludf.DUMMYFUNCTION("JOIN("""",VLOOKUP(D698,'для артикула'!$A$2:$B$7,2,0),VLOOKUP(G698,'для артикула'!$A$13:$B$14,2,0),VLOOKUP(E698,'для артикула'!$A$9:$B$11,2,0),VLOOKUP(F698,'для артикула'!$A$17:$B$19,2,0),VLOOKUP(J698,'для артикула'!$A$22:$B$23,2,0),VLOOKUP(H698,'для артик"&amp;"ула'!$A$26:$B$30,2,0))"),"002-2013E50Q13-OK")</f>
        <v>002-2013E50Q13-OK</v>
      </c>
      <c r="N698" s="8" t="str">
        <f>IF(ISNUMBER(MATCH(C698, 'Реестр договоров'!$D$2:$D$900, 0)), "Продано", "В наличии")</f>
        <v>Продано</v>
      </c>
    </row>
    <row r="699" spans="1:14">
      <c r="A699" s="26">
        <v>45922.71973405093</v>
      </c>
      <c r="B699" s="26"/>
      <c r="C699" s="8" t="s">
        <v>798</v>
      </c>
      <c r="D699" s="8" t="s">
        <v>366</v>
      </c>
      <c r="E699" s="8">
        <v>50</v>
      </c>
      <c r="F699" s="8" t="s">
        <v>144</v>
      </c>
      <c r="G699" s="8" t="s">
        <v>144</v>
      </c>
      <c r="H699" s="8">
        <v>120</v>
      </c>
      <c r="I699" s="27">
        <v>45922</v>
      </c>
      <c r="J699" s="8" t="s">
        <v>117</v>
      </c>
      <c r="K699" s="8" t="s">
        <v>118</v>
      </c>
      <c r="L699" s="8" t="s">
        <v>288</v>
      </c>
      <c r="M699" s="16" t="str">
        <f ca="1">IFERROR(__xludf.DUMMYFUNCTION("JOIN("""",VLOOKUP(D699,'для артикула'!$A$2:$B$7,2,0),VLOOKUP(G699,'для артикула'!$A$13:$B$14,2,0),VLOOKUP(E699,'для артикула'!$A$9:$B$11,2,0),VLOOKUP(F699,'для артикула'!$A$17:$B$19,2,0),VLOOKUP(J699,'для артикула'!$A$22:$B$23,2,0),VLOOKUP(H699,'для артик"&amp;"ула'!$A$26:$B$30,2,0))"),"002-3015E50Q15-OK120")</f>
        <v>002-3015E50Q15-OK120</v>
      </c>
      <c r="N699" s="8" t="str">
        <f>IF(ISNUMBER(MATCH(C699, 'Реестр договоров'!$D$2:$D$900, 0)), "Продано", "В наличии")</f>
        <v>Продано</v>
      </c>
    </row>
    <row r="700" spans="1:14">
      <c r="A700" s="26">
        <v>45923.555038287042</v>
      </c>
      <c r="B700" s="26"/>
      <c r="C700" s="8" t="s">
        <v>799</v>
      </c>
      <c r="D700" s="8" t="s">
        <v>287</v>
      </c>
      <c r="E700" s="8">
        <v>50</v>
      </c>
      <c r="F700" s="8" t="s">
        <v>116</v>
      </c>
      <c r="G700" s="8" t="s">
        <v>116</v>
      </c>
      <c r="H700" s="8" t="s">
        <v>115</v>
      </c>
      <c r="I700" s="27">
        <v>45923</v>
      </c>
      <c r="J700" s="8" t="s">
        <v>117</v>
      </c>
      <c r="K700" s="8" t="s">
        <v>118</v>
      </c>
      <c r="L700" s="8" t="s">
        <v>119</v>
      </c>
      <c r="M700" s="16" t="str">
        <f ca="1">IFERROR(__xludf.DUMMYFUNCTION("JOIN("""",VLOOKUP(D700,'для артикула'!$A$2:$B$7,2,0),VLOOKUP(G700,'для артикула'!$A$13:$B$14,2,0),VLOOKUP(E700,'для артикула'!$A$9:$B$11,2,0),VLOOKUP(F700,'для артикула'!$A$17:$B$19,2,0),VLOOKUP(J700,'для артикула'!$A$22:$B$23,2,0),VLOOKUP(H700,'для артик"&amp;"ула'!$A$26:$B$30,2,0))"),"002-2513E50Q13-OK")</f>
        <v>002-2513E50Q13-OK</v>
      </c>
      <c r="N700" s="8" t="str">
        <f>IF(ISNUMBER(MATCH(C700, 'Реестр договоров'!$D$2:$D$900, 0)), "Продано", "В наличии")</f>
        <v>Продано</v>
      </c>
    </row>
    <row r="701" spans="1:14">
      <c r="A701" s="26">
        <v>45923.564025358792</v>
      </c>
      <c r="B701" s="26"/>
      <c r="C701" s="8" t="s">
        <v>800</v>
      </c>
      <c r="D701" s="8" t="s">
        <v>114</v>
      </c>
      <c r="E701" s="8">
        <v>30</v>
      </c>
      <c r="F701" s="8" t="s">
        <v>116</v>
      </c>
      <c r="G701" s="8" t="s">
        <v>116</v>
      </c>
      <c r="H701" s="8" t="s">
        <v>115</v>
      </c>
      <c r="I701" s="27">
        <v>45917</v>
      </c>
      <c r="J701" s="8" t="s">
        <v>117</v>
      </c>
      <c r="K701" s="8" t="s">
        <v>121</v>
      </c>
      <c r="L701" s="8" t="s">
        <v>119</v>
      </c>
      <c r="M701" s="16" t="str">
        <f ca="1">IFERROR(__xludf.DUMMYFUNCTION("JOIN("""",VLOOKUP(D701,'для артикула'!$A$2:$B$7,2,0),VLOOKUP(G701,'для артикула'!$A$13:$B$14,2,0),VLOOKUP(E701,'для артикула'!$A$9:$B$11,2,0),VLOOKUP(F701,'для артикула'!$A$17:$B$19,2,0),VLOOKUP(J701,'для артикула'!$A$22:$B$23,2,0),VLOOKUP(H701,'для артик"&amp;"ула'!$A$26:$B$30,2,0))"),"002-2013E30Q13-OK")</f>
        <v>002-2013E30Q13-OK</v>
      </c>
      <c r="N701" s="8" t="str">
        <f>IF(ISNUMBER(MATCH(C701, 'Реестр договоров'!$D$2:$D$900, 0)), "Продано", "В наличии")</f>
        <v>Продано</v>
      </c>
    </row>
    <row r="702" spans="1:14">
      <c r="A702" s="26">
        <v>45923.635577916662</v>
      </c>
      <c r="B702" s="26"/>
      <c r="C702" s="8" t="s">
        <v>801</v>
      </c>
      <c r="D702" s="8" t="s">
        <v>114</v>
      </c>
      <c r="E702" s="8">
        <v>50</v>
      </c>
      <c r="F702" s="8" t="s">
        <v>116</v>
      </c>
      <c r="G702" s="8" t="s">
        <v>116</v>
      </c>
      <c r="H702" s="8" t="s">
        <v>115</v>
      </c>
      <c r="I702" s="27">
        <v>45923</v>
      </c>
      <c r="J702" s="8" t="s">
        <v>117</v>
      </c>
      <c r="K702" s="8" t="s">
        <v>121</v>
      </c>
      <c r="L702" s="8" t="s">
        <v>119</v>
      </c>
      <c r="M702" s="16" t="str">
        <f ca="1">IFERROR(__xludf.DUMMYFUNCTION("JOIN("""",VLOOKUP(D702,'для артикула'!$A$2:$B$7,2,0),VLOOKUP(G702,'для артикула'!$A$13:$B$14,2,0),VLOOKUP(E702,'для артикула'!$A$9:$B$11,2,0),VLOOKUP(F702,'для артикула'!$A$17:$B$19,2,0),VLOOKUP(J702,'для артикула'!$A$22:$B$23,2,0),VLOOKUP(H702,'для артик"&amp;"ула'!$A$26:$B$30,2,0))"),"002-2013E50Q13-OK")</f>
        <v>002-2013E50Q13-OK</v>
      </c>
      <c r="N702" s="8" t="str">
        <f>IF(ISNUMBER(MATCH(C702, 'Реестр договоров'!$D$2:$D$900, 0)), "Продано", "В наличии")</f>
        <v>Продано</v>
      </c>
    </row>
    <row r="703" spans="1:14">
      <c r="A703" s="26">
        <v>45924.554288263884</v>
      </c>
      <c r="B703" s="26"/>
      <c r="C703" s="8" t="s">
        <v>802</v>
      </c>
      <c r="D703" s="8" t="s">
        <v>375</v>
      </c>
      <c r="E703" s="8">
        <v>30</v>
      </c>
      <c r="F703" s="8" t="s">
        <v>116</v>
      </c>
      <c r="G703" s="8" t="s">
        <v>116</v>
      </c>
      <c r="H703" s="8" t="s">
        <v>115</v>
      </c>
      <c r="I703" s="27">
        <v>45910</v>
      </c>
      <c r="J703" s="8" t="s">
        <v>117</v>
      </c>
      <c r="K703" s="8" t="s">
        <v>121</v>
      </c>
      <c r="L703" s="8" t="s">
        <v>119</v>
      </c>
      <c r="M703" s="16" t="str">
        <f ca="1">IFERROR(__xludf.DUMMYFUNCTION("JOIN("""",VLOOKUP(D703,'для артикула'!$A$2:$B$7,2,0),VLOOKUP(G703,'для артикула'!$A$13:$B$14,2,0),VLOOKUP(E703,'для артикула'!$A$9:$B$11,2,0),VLOOKUP(F703,'для артикула'!$A$17:$B$19,2,0),VLOOKUP(J703,'для артикула'!$A$22:$B$23,2,0),VLOOKUP(H703,'для артик"&amp;"ула'!$A$26:$B$30,2,0))"),"002-3515E30Q13-OK")</f>
        <v>002-3515E30Q13-OK</v>
      </c>
      <c r="N703" s="8" t="str">
        <f>IF(ISNUMBER(MATCH(C703, 'Реестр договоров'!$D$2:$D$900, 0)), "Продано", "В наличии")</f>
        <v>Продано</v>
      </c>
    </row>
    <row r="704" spans="1:14">
      <c r="A704" s="26">
        <v>45925.466124803235</v>
      </c>
      <c r="B704" s="26"/>
      <c r="C704" s="8" t="s">
        <v>803</v>
      </c>
      <c r="D704" s="8" t="s">
        <v>287</v>
      </c>
      <c r="E704" s="8">
        <v>50</v>
      </c>
      <c r="F704" s="8" t="s">
        <v>116</v>
      </c>
      <c r="G704" s="8" t="s">
        <v>116</v>
      </c>
      <c r="H704" s="8" t="s">
        <v>115</v>
      </c>
      <c r="I704" s="27">
        <v>45925</v>
      </c>
      <c r="J704" s="8" t="s">
        <v>117</v>
      </c>
      <c r="K704" s="8" t="s">
        <v>121</v>
      </c>
      <c r="L704" s="8" t="s">
        <v>119</v>
      </c>
      <c r="M704" s="16" t="str">
        <f ca="1">IFERROR(__xludf.DUMMYFUNCTION("JOIN("""",VLOOKUP(D704,'для артикула'!$A$2:$B$7,2,0),VLOOKUP(G704,'для артикула'!$A$13:$B$14,2,0),VLOOKUP(E704,'для артикула'!$A$9:$B$11,2,0),VLOOKUP(F704,'для артикула'!$A$17:$B$19,2,0),VLOOKUP(J704,'для артикула'!$A$22:$B$23,2,0),VLOOKUP(H704,'для артик"&amp;"ула'!$A$26:$B$30,2,0))"),"002-2513E50Q13-OK")</f>
        <v>002-2513E50Q13-OK</v>
      </c>
      <c r="N704" s="8" t="str">
        <f>IF(ISNUMBER(MATCH(C704, 'Реестр договоров'!$D$2:$D$900, 0)), "Продано", "В наличии")</f>
        <v>Продано</v>
      </c>
    </row>
    <row r="705" spans="1:14">
      <c r="A705" s="26">
        <v>45926.423307685181</v>
      </c>
      <c r="B705" s="26"/>
      <c r="C705" s="8" t="s">
        <v>804</v>
      </c>
      <c r="D705" s="8" t="s">
        <v>114</v>
      </c>
      <c r="E705" s="8">
        <v>30</v>
      </c>
      <c r="F705" s="8" t="s">
        <v>116</v>
      </c>
      <c r="G705" s="8" t="s">
        <v>116</v>
      </c>
      <c r="H705" s="8">
        <v>90</v>
      </c>
      <c r="I705" s="27">
        <v>45919</v>
      </c>
      <c r="J705" s="8" t="s">
        <v>117</v>
      </c>
      <c r="K705" s="8" t="s">
        <v>118</v>
      </c>
      <c r="L705" s="8" t="s">
        <v>119</v>
      </c>
      <c r="M705" s="16" t="str">
        <f ca="1">IFERROR(__xludf.DUMMYFUNCTION("JOIN("""",VLOOKUP(D705,'для артикула'!$A$2:$B$7,2,0),VLOOKUP(G705,'для артикула'!$A$13:$B$14,2,0),VLOOKUP(E705,'для артикула'!$A$9:$B$11,2,0),VLOOKUP(F705,'для артикула'!$A$17:$B$19,2,0),VLOOKUP(J705,'для артикула'!$A$22:$B$23,2,0),VLOOKUP(H705,'для артик"&amp;"ула'!$A$26:$B$30,2,0))"),"002-2013E30Q13-OK90")</f>
        <v>002-2013E30Q13-OK90</v>
      </c>
      <c r="N705" s="8" t="str">
        <f>IF(ISNUMBER(MATCH(C705, 'Реестр договоров'!$D$2:$D$900, 0)), "Продано", "В наличии")</f>
        <v>Продано</v>
      </c>
    </row>
    <row r="706" spans="1:14">
      <c r="A706" s="26">
        <v>45926.471227800925</v>
      </c>
      <c r="B706" s="26"/>
      <c r="C706" s="8" t="s">
        <v>805</v>
      </c>
      <c r="D706" s="8" t="s">
        <v>114</v>
      </c>
      <c r="E706" s="8">
        <v>30</v>
      </c>
      <c r="F706" s="8" t="s">
        <v>116</v>
      </c>
      <c r="G706" s="8" t="s">
        <v>116</v>
      </c>
      <c r="H706" s="8">
        <v>30</v>
      </c>
      <c r="I706" s="27">
        <v>45926</v>
      </c>
      <c r="J706" s="8" t="s">
        <v>117</v>
      </c>
      <c r="K706" s="8" t="s">
        <v>118</v>
      </c>
      <c r="L706" s="8" t="s">
        <v>119</v>
      </c>
      <c r="M706" s="16" t="str">
        <f ca="1">IFERROR(__xludf.DUMMYFUNCTION("JOIN("""",VLOOKUP(D706,'для артикула'!$A$2:$B$7,2,0),VLOOKUP(G706,'для артикула'!$A$13:$B$14,2,0),VLOOKUP(E706,'для артикула'!$A$9:$B$11,2,0),VLOOKUP(F706,'для артикула'!$A$17:$B$19,2,0),VLOOKUP(J706,'для артикула'!$A$22:$B$23,2,0),VLOOKUP(H706,'для артик"&amp;"ула'!$A$26:$B$30,2,0))"),"002-2013E30Q13-OK30")</f>
        <v>002-2013E30Q13-OK30</v>
      </c>
      <c r="N706" s="8" t="str">
        <f>IF(ISNUMBER(MATCH(C706, 'Реестр договоров'!$D$2:$D$900, 0)), "Продано", "В наличии")</f>
        <v>Продано</v>
      </c>
    </row>
    <row r="707" spans="1:14">
      <c r="A707" s="26">
        <v>45929.494058229167</v>
      </c>
      <c r="B707" s="26"/>
      <c r="C707" s="8" t="s">
        <v>806</v>
      </c>
      <c r="D707" s="8" t="s">
        <v>287</v>
      </c>
      <c r="E707" s="8">
        <v>50</v>
      </c>
      <c r="F707" s="8" t="s">
        <v>116</v>
      </c>
      <c r="G707" s="8" t="s">
        <v>116</v>
      </c>
      <c r="H707" s="8" t="s">
        <v>115</v>
      </c>
      <c r="I707" s="27">
        <v>45912</v>
      </c>
      <c r="J707" s="8" t="s">
        <v>117</v>
      </c>
      <c r="K707" s="8" t="s">
        <v>121</v>
      </c>
      <c r="L707" s="8" t="s">
        <v>119</v>
      </c>
      <c r="M707" s="16" t="str">
        <f ca="1">IFERROR(__xludf.DUMMYFUNCTION("JOIN("""",VLOOKUP(D707,'для артикула'!$A$2:$B$7,2,0),VLOOKUP(G707,'для артикула'!$A$13:$B$14,2,0),VLOOKUP(E707,'для артикула'!$A$9:$B$11,2,0),VLOOKUP(F707,'для артикула'!$A$17:$B$19,2,0),VLOOKUP(J707,'для артикула'!$A$22:$B$23,2,0),VLOOKUP(H707,'для артик"&amp;"ула'!$A$26:$B$30,2,0))"),"002-2513E50Q13-OK")</f>
        <v>002-2513E50Q13-OK</v>
      </c>
      <c r="N707" s="8" t="str">
        <f>IF(ISNUMBER(MATCH(C707, 'Реестр договоров'!$D$2:$D$900, 0)), "Продано", "В наличии")</f>
        <v>Продано</v>
      </c>
    </row>
    <row r="708" spans="1:14">
      <c r="A708" s="26">
        <v>45929.521654548611</v>
      </c>
      <c r="B708" s="26"/>
      <c r="C708" s="8" t="s">
        <v>807</v>
      </c>
      <c r="D708" s="8" t="s">
        <v>347</v>
      </c>
      <c r="E708" s="8">
        <v>30</v>
      </c>
      <c r="F708" s="8" t="s">
        <v>116</v>
      </c>
      <c r="G708" s="8" t="s">
        <v>116</v>
      </c>
      <c r="H708" s="8" t="s">
        <v>115</v>
      </c>
      <c r="I708" s="27">
        <v>45911</v>
      </c>
      <c r="J708" s="8" t="s">
        <v>117</v>
      </c>
      <c r="K708" s="8" t="s">
        <v>121</v>
      </c>
      <c r="L708" s="8" t="s">
        <v>288</v>
      </c>
      <c r="M708" s="16" t="str">
        <f ca="1">IFERROR(__xludf.DUMMYFUNCTION("JOIN("""",VLOOKUP(D708,'для артикула'!$A$2:$B$7,2,0),VLOOKUP(G708,'для артикула'!$A$13:$B$14,2,0),VLOOKUP(E708,'для артикула'!$A$9:$B$11,2,0),VLOOKUP(F708,'для артикула'!$A$17:$B$19,2,0),VLOOKUP(J708,'для артикула'!$A$22:$B$23,2,0),VLOOKUP(H708,'для артик"&amp;"ула'!$A$26:$B$30,2,0))"),"002-2515E30Q13-OK")</f>
        <v>002-2515E30Q13-OK</v>
      </c>
      <c r="N708" s="8" t="str">
        <f>IF(ISNUMBER(MATCH(C708, 'Реестр договоров'!$D$2:$D$900, 0)), "Продано", "В наличии")</f>
        <v>Продано</v>
      </c>
    </row>
    <row r="709" spans="1:14">
      <c r="A709" s="26">
        <v>45929.718736817129</v>
      </c>
      <c r="B709" s="26"/>
      <c r="C709" s="8" t="s">
        <v>808</v>
      </c>
      <c r="D709" s="8" t="s">
        <v>287</v>
      </c>
      <c r="E709" s="8">
        <v>50</v>
      </c>
      <c r="F709" s="8" t="s">
        <v>116</v>
      </c>
      <c r="G709" s="8" t="s">
        <v>116</v>
      </c>
      <c r="H709" s="8">
        <v>90</v>
      </c>
      <c r="I709" s="27">
        <v>45929</v>
      </c>
      <c r="J709" s="8" t="s">
        <v>117</v>
      </c>
      <c r="K709" s="8" t="s">
        <v>118</v>
      </c>
      <c r="L709" s="8" t="s">
        <v>119</v>
      </c>
      <c r="M709" s="16" t="str">
        <f ca="1">IFERROR(__xludf.DUMMYFUNCTION("JOIN("""",VLOOKUP(D709,'для артикула'!$A$2:$B$7,2,0),VLOOKUP(G709,'для артикула'!$A$13:$B$14,2,0),VLOOKUP(E709,'для артикула'!$A$9:$B$11,2,0),VLOOKUP(F709,'для артикула'!$A$17:$B$19,2,0),VLOOKUP(J709,'для артикула'!$A$22:$B$23,2,0),VLOOKUP(H709,'для артик"&amp;"ула'!$A$26:$B$30,2,0))"),"002-2513E50Q13-OK90")</f>
        <v>002-2513E50Q13-OK90</v>
      </c>
      <c r="N709" s="8" t="str">
        <f>IF(ISNUMBER(MATCH(C709, 'Реестр договоров'!$D$2:$D$900, 0)), "Продано", "В наличии")</f>
        <v>Продано</v>
      </c>
    </row>
    <row r="710" spans="1:14">
      <c r="A710" s="26">
        <v>45930.656767418986</v>
      </c>
      <c r="B710" s="26"/>
      <c r="C710" s="8" t="s">
        <v>809</v>
      </c>
      <c r="D710" s="8" t="s">
        <v>114</v>
      </c>
      <c r="E710" s="8">
        <v>50</v>
      </c>
      <c r="F710" s="8" t="s">
        <v>116</v>
      </c>
      <c r="G710" s="8" t="s">
        <v>116</v>
      </c>
      <c r="H710" s="8" t="s">
        <v>115</v>
      </c>
      <c r="I710" s="27">
        <v>45925</v>
      </c>
      <c r="J710" s="8" t="s">
        <v>117</v>
      </c>
      <c r="K710" s="8" t="s">
        <v>121</v>
      </c>
      <c r="L710" s="8" t="s">
        <v>119</v>
      </c>
      <c r="M710" s="16" t="str">
        <f ca="1">IFERROR(__xludf.DUMMYFUNCTION("JOIN("""",VLOOKUP(D710,'для артикула'!$A$2:$B$7,2,0),VLOOKUP(G710,'для артикула'!$A$13:$B$14,2,0),VLOOKUP(E710,'для артикула'!$A$9:$B$11,2,0),VLOOKUP(F710,'для артикула'!$A$17:$B$19,2,0),VLOOKUP(J710,'для артикула'!$A$22:$B$23,2,0),VLOOKUP(H710,'для артик"&amp;"ула'!$A$26:$B$30,2,0))"),"002-2013E50Q13-OK")</f>
        <v>002-2013E50Q13-OK</v>
      </c>
      <c r="N710" s="8" t="str">
        <f>IF(ISNUMBER(MATCH(C710, 'Реестр договоров'!$D$2:$D$900, 0)), "Продано", "В наличии")</f>
        <v>Продано</v>
      </c>
    </row>
    <row r="711" spans="1:14">
      <c r="A711" s="26">
        <v>45930.65807041667</v>
      </c>
      <c r="B711" s="26"/>
      <c r="C711" s="8" t="s">
        <v>810</v>
      </c>
      <c r="D711" s="8" t="s">
        <v>114</v>
      </c>
      <c r="E711" s="8">
        <v>50</v>
      </c>
      <c r="F711" s="8" t="s">
        <v>116</v>
      </c>
      <c r="G711" s="8" t="s">
        <v>116</v>
      </c>
      <c r="H711" s="8" t="s">
        <v>115</v>
      </c>
      <c r="I711" s="27">
        <v>45930</v>
      </c>
      <c r="J711" s="8" t="s">
        <v>117</v>
      </c>
      <c r="K711" s="8" t="s">
        <v>124</v>
      </c>
      <c r="L711" s="8" t="s">
        <v>119</v>
      </c>
      <c r="M711" s="16" t="str">
        <f ca="1">IFERROR(__xludf.DUMMYFUNCTION("JOIN("""",VLOOKUP(D711,'для артикула'!$A$2:$B$7,2,0),VLOOKUP(G711,'для артикула'!$A$13:$B$14,2,0),VLOOKUP(E711,'для артикула'!$A$9:$B$11,2,0),VLOOKUP(F711,'для артикула'!$A$17:$B$19,2,0),VLOOKUP(J711,'для артикула'!$A$22:$B$23,2,0),VLOOKUP(H711,'для артик"&amp;"ула'!$A$26:$B$30,2,0))"),"002-2013E50Q13-OK")</f>
        <v>002-2013E50Q13-OK</v>
      </c>
      <c r="N711" s="8" t="str">
        <f>IF(ISNUMBER(MATCH(C711, 'Реестр договоров'!$D$2:$D$900, 0)), "Продано", "В наличии")</f>
        <v>Продано</v>
      </c>
    </row>
    <row r="712" spans="1:14">
      <c r="A712" s="26">
        <v>45932.497090405093</v>
      </c>
      <c r="B712" s="26"/>
      <c r="C712" s="8" t="s">
        <v>811</v>
      </c>
      <c r="D712" s="8" t="s">
        <v>114</v>
      </c>
      <c r="E712" s="8">
        <v>50</v>
      </c>
      <c r="F712" s="8" t="s">
        <v>116</v>
      </c>
      <c r="G712" s="8" t="s">
        <v>116</v>
      </c>
      <c r="H712" s="8">
        <v>90</v>
      </c>
      <c r="I712" s="27">
        <v>45932</v>
      </c>
      <c r="J712" s="8" t="s">
        <v>117</v>
      </c>
      <c r="K712" s="8" t="s">
        <v>118</v>
      </c>
      <c r="L712" s="8" t="s">
        <v>119</v>
      </c>
      <c r="M712" s="16" t="str">
        <f ca="1">IFERROR(__xludf.DUMMYFUNCTION("JOIN("""",VLOOKUP(D712,'для артикула'!$A$2:$B$7,2,0),VLOOKUP(G712,'для артикула'!$A$13:$B$14,2,0),VLOOKUP(E712,'для артикула'!$A$9:$B$11,2,0),VLOOKUP(F712,'для артикула'!$A$17:$B$19,2,0),VLOOKUP(J712,'для артикула'!$A$22:$B$23,2,0),VLOOKUP(H712,'для артик"&amp;"ула'!$A$26:$B$30,2,0))"),"002-2013E50Q13-OK90")</f>
        <v>002-2013E50Q13-OK90</v>
      </c>
      <c r="N712" s="8" t="str">
        <f>IF(ISNUMBER(MATCH(C712, 'Реестр договоров'!$D$2:$D$900, 0)), "Продано", "В наличии")</f>
        <v>Продано</v>
      </c>
    </row>
    <row r="713" spans="1:14">
      <c r="A713" s="26">
        <v>45933.507439872687</v>
      </c>
      <c r="B713" s="26"/>
      <c r="C713" s="8" t="s">
        <v>812</v>
      </c>
      <c r="D713" s="8" t="s">
        <v>375</v>
      </c>
      <c r="E713" s="8">
        <v>50</v>
      </c>
      <c r="F713" s="8" t="s">
        <v>144</v>
      </c>
      <c r="G713" s="8" t="s">
        <v>144</v>
      </c>
      <c r="H713" s="8">
        <v>120</v>
      </c>
      <c r="I713" s="27">
        <v>45933</v>
      </c>
      <c r="J713" s="8" t="s">
        <v>117</v>
      </c>
      <c r="K713" s="8" t="s">
        <v>124</v>
      </c>
      <c r="L713" s="8" t="s">
        <v>119</v>
      </c>
      <c r="M713" s="16" t="str">
        <f ca="1">IFERROR(__xludf.DUMMYFUNCTION("JOIN("""",VLOOKUP(D713,'для артикула'!$A$2:$B$7,2,0),VLOOKUP(G713,'для артикула'!$A$13:$B$14,2,0),VLOOKUP(E713,'для артикула'!$A$9:$B$11,2,0),VLOOKUP(F713,'для артикула'!$A$17:$B$19,2,0),VLOOKUP(J713,'для артикула'!$A$22:$B$23,2,0),VLOOKUP(H713,'для артик"&amp;"ула'!$A$26:$B$30,2,0))"),"002-3515E50Q15-OK120")</f>
        <v>002-3515E50Q15-OK120</v>
      </c>
      <c r="N713" s="8" t="str">
        <f>IF(ISNUMBER(MATCH(C713, 'Реестр договоров'!$D$2:$D$900, 0)), "Продано", "В наличии")</f>
        <v>Продано</v>
      </c>
    </row>
    <row r="714" spans="1:14">
      <c r="A714" s="26">
        <v>45933.570878310187</v>
      </c>
      <c r="B714" s="26"/>
      <c r="C714" s="8" t="s">
        <v>813</v>
      </c>
      <c r="D714" s="8" t="s">
        <v>287</v>
      </c>
      <c r="E714" s="8">
        <v>50</v>
      </c>
      <c r="F714" s="8" t="s">
        <v>116</v>
      </c>
      <c r="G714" s="8" t="s">
        <v>116</v>
      </c>
      <c r="H714" s="8" t="s">
        <v>115</v>
      </c>
      <c r="I714" s="27">
        <v>45617</v>
      </c>
      <c r="J714" s="8" t="s">
        <v>117</v>
      </c>
      <c r="K714" s="8" t="s">
        <v>121</v>
      </c>
      <c r="L714" s="8" t="s">
        <v>119</v>
      </c>
      <c r="M714" s="16" t="str">
        <f ca="1">IFERROR(__xludf.DUMMYFUNCTION("JOIN("""",VLOOKUP(D714,'для артикула'!$A$2:$B$7,2,0),VLOOKUP(G714,'для артикула'!$A$13:$B$14,2,0),VLOOKUP(E714,'для артикула'!$A$9:$B$11,2,0),VLOOKUP(F714,'для артикула'!$A$17:$B$19,2,0),VLOOKUP(J714,'для артикула'!$A$22:$B$23,2,0),VLOOKUP(H714,'для артик"&amp;"ула'!$A$26:$B$30,2,0))"),"002-2513E50Q13-OK")</f>
        <v>002-2513E50Q13-OK</v>
      </c>
      <c r="N714" s="8" t="str">
        <f>IF(ISNUMBER(MATCH(C714, 'Реестр договоров'!$D$2:$D$900, 0)), "Продано", "В наличии")</f>
        <v>Продано</v>
      </c>
    </row>
    <row r="715" spans="1:14">
      <c r="A715" s="26">
        <v>45936.5670650463</v>
      </c>
      <c r="B715" s="26"/>
      <c r="C715" s="8" t="s">
        <v>814</v>
      </c>
      <c r="D715" s="8" t="s">
        <v>287</v>
      </c>
      <c r="E715" s="8">
        <v>50</v>
      </c>
      <c r="F715" s="8" t="s">
        <v>116</v>
      </c>
      <c r="G715" s="8" t="s">
        <v>116</v>
      </c>
      <c r="H715" s="8">
        <v>60</v>
      </c>
      <c r="I715" s="27">
        <v>45936</v>
      </c>
      <c r="J715" s="8" t="s">
        <v>117</v>
      </c>
      <c r="K715" s="8" t="s">
        <v>118</v>
      </c>
      <c r="L715" s="8" t="s">
        <v>119</v>
      </c>
      <c r="M715" s="16" t="str">
        <f ca="1">IFERROR(__xludf.DUMMYFUNCTION("JOIN("""",VLOOKUP(D715,'для артикула'!$A$2:$B$7,2,0),VLOOKUP(G715,'для артикула'!$A$13:$B$14,2,0),VLOOKUP(E715,'для артикула'!$A$9:$B$11,2,0),VLOOKUP(F715,'для артикула'!$A$17:$B$19,2,0),VLOOKUP(J715,'для артикула'!$A$22:$B$23,2,0),VLOOKUP(H715,'для артик"&amp;"ула'!$A$26:$B$30,2,0))"),"002-2513E50Q13-OK60")</f>
        <v>002-2513E50Q13-OK60</v>
      </c>
      <c r="N715" s="8" t="str">
        <f>IF(ISNUMBER(MATCH(C715, 'Реестр договоров'!$D$2:$D$900, 0)), "Продано", "В наличии")</f>
        <v>Продано</v>
      </c>
    </row>
    <row r="716" spans="1:14">
      <c r="A716" s="26">
        <v>45936.623563611109</v>
      </c>
      <c r="B716" s="26"/>
      <c r="C716" s="8" t="s">
        <v>815</v>
      </c>
      <c r="D716" s="8" t="s">
        <v>114</v>
      </c>
      <c r="E716" s="8">
        <v>50</v>
      </c>
      <c r="F716" s="8" t="s">
        <v>116</v>
      </c>
      <c r="G716" s="8" t="s">
        <v>116</v>
      </c>
      <c r="H716" s="8" t="s">
        <v>115</v>
      </c>
      <c r="I716" s="27">
        <v>45931</v>
      </c>
      <c r="J716" s="8" t="s">
        <v>117</v>
      </c>
      <c r="K716" s="8" t="s">
        <v>121</v>
      </c>
      <c r="L716" s="8" t="s">
        <v>119</v>
      </c>
      <c r="M716" s="16" t="str">
        <f ca="1">IFERROR(__xludf.DUMMYFUNCTION("JOIN("""",VLOOKUP(D716,'для артикула'!$A$2:$B$7,2,0),VLOOKUP(G716,'для артикула'!$A$13:$B$14,2,0),VLOOKUP(E716,'для артикула'!$A$9:$B$11,2,0),VLOOKUP(F716,'для артикула'!$A$17:$B$19,2,0),VLOOKUP(J716,'для артикула'!$A$22:$B$23,2,0),VLOOKUP(H716,'для артик"&amp;"ула'!$A$26:$B$30,2,0))"),"002-2013E50Q13-OK")</f>
        <v>002-2013E50Q13-OK</v>
      </c>
      <c r="N716" s="8" t="str">
        <f>IF(ISNUMBER(MATCH(C716, 'Реестр договоров'!$D$2:$D$900, 0)), "Продано", "В наличии")</f>
        <v>Продано</v>
      </c>
    </row>
    <row r="717" spans="1:14">
      <c r="A717" s="26">
        <v>45937.509782766203</v>
      </c>
      <c r="B717" s="26"/>
      <c r="C717" s="8" t="s">
        <v>816</v>
      </c>
      <c r="D717" s="8" t="s">
        <v>114</v>
      </c>
      <c r="E717" s="8">
        <v>50</v>
      </c>
      <c r="F717" s="8" t="s">
        <v>116</v>
      </c>
      <c r="G717" s="8" t="s">
        <v>116</v>
      </c>
      <c r="H717" s="8" t="s">
        <v>115</v>
      </c>
      <c r="I717" s="27">
        <v>45931</v>
      </c>
      <c r="J717" s="8" t="s">
        <v>117</v>
      </c>
      <c r="K717" s="8" t="s">
        <v>121</v>
      </c>
      <c r="L717" s="8" t="s">
        <v>119</v>
      </c>
      <c r="M717" s="16" t="str">
        <f ca="1">IFERROR(__xludf.DUMMYFUNCTION("JOIN("""",VLOOKUP(D717,'для артикула'!$A$2:$B$7,2,0),VLOOKUP(G717,'для артикула'!$A$13:$B$14,2,0),VLOOKUP(E717,'для артикула'!$A$9:$B$11,2,0),VLOOKUP(F717,'для артикула'!$A$17:$B$19,2,0),VLOOKUP(J717,'для артикула'!$A$22:$B$23,2,0),VLOOKUP(H717,'для артик"&amp;"ула'!$A$26:$B$30,2,0))"),"002-2013E50Q13-OK")</f>
        <v>002-2013E50Q13-OK</v>
      </c>
      <c r="N717" s="8" t="str">
        <f>IF(ISNUMBER(MATCH(C717, 'Реестр договоров'!$D$2:$D$900, 0)), "Продано", "В наличии")</f>
        <v>Продано</v>
      </c>
    </row>
    <row r="718" spans="1:14">
      <c r="A718" s="26">
        <v>45937.67599502315</v>
      </c>
      <c r="B718" s="26"/>
      <c r="C718" s="8" t="s">
        <v>817</v>
      </c>
      <c r="D718" s="8" t="s">
        <v>347</v>
      </c>
      <c r="E718" s="8">
        <v>50</v>
      </c>
      <c r="F718" s="8" t="s">
        <v>116</v>
      </c>
      <c r="G718" s="8" t="s">
        <v>116</v>
      </c>
      <c r="H718" s="8" t="s">
        <v>115</v>
      </c>
      <c r="I718" s="27">
        <v>45937</v>
      </c>
      <c r="J718" s="8" t="s">
        <v>117</v>
      </c>
      <c r="K718" s="8" t="s">
        <v>118</v>
      </c>
      <c r="L718" s="8" t="s">
        <v>119</v>
      </c>
      <c r="M718" s="16" t="str">
        <f ca="1">IFERROR(__xludf.DUMMYFUNCTION("JOIN("""",VLOOKUP(D718,'для артикула'!$A$2:$B$7,2,0),VLOOKUP(G718,'для артикула'!$A$13:$B$14,2,0),VLOOKUP(E718,'для артикула'!$A$9:$B$11,2,0),VLOOKUP(F718,'для артикула'!$A$17:$B$19,2,0),VLOOKUP(J718,'для артикула'!$A$22:$B$23,2,0),VLOOKUP(H718,'для артик"&amp;"ула'!$A$26:$B$30,2,0))"),"002-2515E50Q13-OK")</f>
        <v>002-2515E50Q13-OK</v>
      </c>
      <c r="N718" s="8" t="str">
        <f>IF(ISNUMBER(MATCH(C718, 'Реестр договоров'!$D$2:$D$900, 0)), "Продано", "В наличии")</f>
        <v>Продано</v>
      </c>
    </row>
    <row r="719" spans="1:14">
      <c r="A719" s="26">
        <v>45939.432279050925</v>
      </c>
      <c r="B719" s="26"/>
      <c r="C719" s="8" t="s">
        <v>818</v>
      </c>
      <c r="D719" s="8" t="s">
        <v>114</v>
      </c>
      <c r="E719" s="8">
        <v>30</v>
      </c>
      <c r="F719" s="8" t="s">
        <v>116</v>
      </c>
      <c r="G719" s="8" t="s">
        <v>116</v>
      </c>
      <c r="H719" s="8" t="s">
        <v>115</v>
      </c>
      <c r="I719" s="27">
        <v>45890</v>
      </c>
      <c r="J719" s="8" t="s">
        <v>117</v>
      </c>
      <c r="K719" s="8" t="s">
        <v>118</v>
      </c>
      <c r="L719" s="8" t="s">
        <v>119</v>
      </c>
      <c r="M719" s="16" t="str">
        <f ca="1">IFERROR(__xludf.DUMMYFUNCTION("JOIN("""",VLOOKUP(D719,'для артикула'!$A$2:$B$7,2,0),VLOOKUP(G719,'для артикула'!$A$13:$B$14,2,0),VLOOKUP(E719,'для артикула'!$A$9:$B$11,2,0),VLOOKUP(F719,'для артикула'!$A$17:$B$19,2,0),VLOOKUP(J719,'для артикула'!$A$22:$B$23,2,0),VLOOKUP(H719,'для артик"&amp;"ула'!$A$26:$B$30,2,0))"),"002-2013E30Q13-OK")</f>
        <v>002-2013E30Q13-OK</v>
      </c>
      <c r="N719" s="8" t="str">
        <f>IF(ISNUMBER(MATCH(C719, 'Реестр договоров'!$D$2:$D$900, 0)), "Продано", "В наличии")</f>
        <v>Продано</v>
      </c>
    </row>
    <row r="720" spans="1:14">
      <c r="A720" s="26">
        <v>45939.640356747681</v>
      </c>
      <c r="B720" s="26"/>
      <c r="C720" s="8" t="s">
        <v>819</v>
      </c>
      <c r="D720" s="8" t="s">
        <v>114</v>
      </c>
      <c r="E720" s="8">
        <v>50</v>
      </c>
      <c r="F720" s="8" t="s">
        <v>116</v>
      </c>
      <c r="G720" s="8" t="s">
        <v>116</v>
      </c>
      <c r="H720" s="8">
        <v>30</v>
      </c>
      <c r="I720" s="27">
        <v>45939</v>
      </c>
      <c r="J720" s="8" t="s">
        <v>117</v>
      </c>
      <c r="K720" s="8" t="s">
        <v>118</v>
      </c>
      <c r="L720" s="8" t="s">
        <v>119</v>
      </c>
      <c r="M720" s="16" t="str">
        <f ca="1">IFERROR(__xludf.DUMMYFUNCTION("JOIN("""",VLOOKUP(D720,'для артикула'!$A$2:$B$7,2,0),VLOOKUP(G720,'для артикула'!$A$13:$B$14,2,0),VLOOKUP(E720,'для артикула'!$A$9:$B$11,2,0),VLOOKUP(F720,'для артикула'!$A$17:$B$19,2,0),VLOOKUP(J720,'для артикула'!$A$22:$B$23,2,0),VLOOKUP(H720,'для артик"&amp;"ула'!$A$26:$B$30,2,0))"),"002-2013E50Q13-OK30")</f>
        <v>002-2013E50Q13-OK30</v>
      </c>
      <c r="N720" s="8" t="str">
        <f>IF(ISNUMBER(MATCH(C720, 'Реестр договоров'!$D$2:$D$900, 0)), "Продано", "В наличии")</f>
        <v>Продано</v>
      </c>
    </row>
    <row r="721" spans="1:14">
      <c r="A721" s="26">
        <v>45939.655008055561</v>
      </c>
      <c r="B721" s="26"/>
      <c r="C721" s="8" t="s">
        <v>820</v>
      </c>
      <c r="D721" s="8" t="s">
        <v>114</v>
      </c>
      <c r="E721" s="8">
        <v>50</v>
      </c>
      <c r="F721" s="8" t="s">
        <v>116</v>
      </c>
      <c r="G721" s="8" t="s">
        <v>116</v>
      </c>
      <c r="H721" s="8" t="s">
        <v>115</v>
      </c>
      <c r="I721" s="27">
        <v>45939</v>
      </c>
      <c r="J721" s="8" t="s">
        <v>117</v>
      </c>
      <c r="K721" s="8" t="s">
        <v>121</v>
      </c>
      <c r="L721" s="8" t="s">
        <v>119</v>
      </c>
      <c r="M721" s="16" t="str">
        <f ca="1">IFERROR(__xludf.DUMMYFUNCTION("JOIN("""",VLOOKUP(D721,'для артикула'!$A$2:$B$7,2,0),VLOOKUP(G721,'для артикула'!$A$13:$B$14,2,0),VLOOKUP(E721,'для артикула'!$A$9:$B$11,2,0),VLOOKUP(F721,'для артикула'!$A$17:$B$19,2,0),VLOOKUP(J721,'для артикула'!$A$22:$B$23,2,0),VLOOKUP(H721,'для артик"&amp;"ула'!$A$26:$B$30,2,0))"),"002-2013E50Q13-OK")</f>
        <v>002-2013E50Q13-OK</v>
      </c>
      <c r="N721" s="8" t="str">
        <f>IF(ISNUMBER(MATCH(C721, 'Реестр договоров'!$D$2:$D$900, 0)), "Продано", "В наличии")</f>
        <v>Продано</v>
      </c>
    </row>
    <row r="722" spans="1:14">
      <c r="A722" s="26">
        <v>45940.638858182865</v>
      </c>
      <c r="B722" s="26"/>
      <c r="C722" s="8" t="s">
        <v>821</v>
      </c>
      <c r="D722" s="8" t="s">
        <v>287</v>
      </c>
      <c r="E722" s="8">
        <v>30</v>
      </c>
      <c r="F722" s="8" t="s">
        <v>116</v>
      </c>
      <c r="G722" s="8" t="s">
        <v>116</v>
      </c>
      <c r="H722" s="8" t="s">
        <v>115</v>
      </c>
      <c r="I722" s="27">
        <v>45940</v>
      </c>
      <c r="J722" s="8" t="s">
        <v>117</v>
      </c>
      <c r="K722" s="8" t="s">
        <v>118</v>
      </c>
      <c r="L722" s="8" t="s">
        <v>119</v>
      </c>
      <c r="M722" s="16" t="str">
        <f ca="1">IFERROR(__xludf.DUMMYFUNCTION("JOIN("""",VLOOKUP(D722,'для артикула'!$A$2:$B$7,2,0),VLOOKUP(G722,'для артикула'!$A$13:$B$14,2,0),VLOOKUP(E722,'для артикула'!$A$9:$B$11,2,0),VLOOKUP(F722,'для артикула'!$A$17:$B$19,2,0),VLOOKUP(J722,'для артикула'!$A$22:$B$23,2,0),VLOOKUP(H722,'для артик"&amp;"ула'!$A$26:$B$30,2,0))"),"002-2513E30Q13-OK")</f>
        <v>002-2513E30Q13-OK</v>
      </c>
      <c r="N722" s="8" t="str">
        <f>IF(ISNUMBER(MATCH(C722, 'Реестр договоров'!$D$2:$D$900, 0)), "Продано", "В наличии")</f>
        <v>Продано</v>
      </c>
    </row>
    <row r="723" spans="1:14">
      <c r="A723" s="26">
        <v>45941.501682395829</v>
      </c>
      <c r="B723" s="26"/>
      <c r="C723" s="8" t="s">
        <v>822</v>
      </c>
      <c r="D723" s="8" t="s">
        <v>375</v>
      </c>
      <c r="E723" s="8">
        <v>30</v>
      </c>
      <c r="F723" s="8" t="s">
        <v>116</v>
      </c>
      <c r="G723" s="8" t="s">
        <v>116</v>
      </c>
      <c r="H723" s="8">
        <v>120</v>
      </c>
      <c r="I723" s="27">
        <v>45941</v>
      </c>
      <c r="J723" s="8" t="s">
        <v>117</v>
      </c>
      <c r="K723" s="8" t="s">
        <v>124</v>
      </c>
      <c r="L723" s="8" t="s">
        <v>288</v>
      </c>
      <c r="M723" s="8" t="s">
        <v>823</v>
      </c>
      <c r="N723" s="8" t="str">
        <f>IF(ISNUMBER(MATCH(C723, 'Реестр договоров'!$D$2:$D$900, 0)), "Продано", "В наличии")</f>
        <v>Продано</v>
      </c>
    </row>
    <row r="724" spans="1:14">
      <c r="A724" s="26">
        <v>45943.466773645836</v>
      </c>
      <c r="B724" s="26"/>
      <c r="C724" s="8" t="s">
        <v>824</v>
      </c>
      <c r="D724" s="8" t="s">
        <v>114</v>
      </c>
      <c r="E724" s="8">
        <v>50</v>
      </c>
      <c r="F724" s="8" t="s">
        <v>116</v>
      </c>
      <c r="G724" s="8" t="s">
        <v>116</v>
      </c>
      <c r="H724" s="8">
        <v>30</v>
      </c>
      <c r="I724" s="27">
        <v>45943</v>
      </c>
      <c r="J724" s="8" t="s">
        <v>117</v>
      </c>
      <c r="K724" s="8" t="s">
        <v>124</v>
      </c>
      <c r="L724" s="8" t="s">
        <v>119</v>
      </c>
      <c r="M724" s="16" t="str">
        <f ca="1">IFERROR(__xludf.DUMMYFUNCTION("JOIN("""",VLOOKUP(D724,'для артикула'!$A$2:$B$7,2,0),VLOOKUP(G724,'для артикула'!$A$13:$B$14,2,0),VLOOKUP(E724,'для артикула'!$A$9:$B$11,2,0),VLOOKUP(F724,'для артикула'!$A$17:$B$19,2,0),VLOOKUP(J724,'для артикула'!$A$22:$B$23,2,0),VLOOKUP(H724,'для артик"&amp;"ула'!$A$26:$B$30,2,0))"),"002-2013E50Q13-OK30")</f>
        <v>002-2013E50Q13-OK30</v>
      </c>
      <c r="N724" s="8" t="str">
        <f>IF(ISNUMBER(MATCH(C724, 'Реестр договоров'!$D$2:$D$900, 0)), "Продано", "В наличии")</f>
        <v>Продано</v>
      </c>
    </row>
    <row r="725" spans="1:14">
      <c r="A725" s="26">
        <v>45943.467175983795</v>
      </c>
      <c r="B725" s="26"/>
      <c r="C725" s="8" t="s">
        <v>825</v>
      </c>
      <c r="D725" s="8" t="s">
        <v>114</v>
      </c>
      <c r="E725" s="8">
        <v>50</v>
      </c>
      <c r="F725" s="8" t="s">
        <v>116</v>
      </c>
      <c r="G725" s="8" t="s">
        <v>116</v>
      </c>
      <c r="H725" s="8" t="s">
        <v>115</v>
      </c>
      <c r="I725" s="27">
        <v>45943</v>
      </c>
      <c r="J725" s="8" t="s">
        <v>117</v>
      </c>
      <c r="K725" s="8" t="s">
        <v>124</v>
      </c>
      <c r="L725" s="8" t="s">
        <v>119</v>
      </c>
      <c r="M725" s="16" t="str">
        <f ca="1">IFERROR(__xludf.DUMMYFUNCTION("JOIN("""",VLOOKUP(D725,'для артикула'!$A$2:$B$7,2,0),VLOOKUP(G725,'для артикула'!$A$13:$B$14,2,0),VLOOKUP(E725,'для артикула'!$A$9:$B$11,2,0),VLOOKUP(F725,'для артикула'!$A$17:$B$19,2,0),VLOOKUP(J725,'для артикула'!$A$22:$B$23,2,0),VLOOKUP(H725,'для артик"&amp;"ула'!$A$26:$B$30,2,0))"),"002-2013E50Q13-OK")</f>
        <v>002-2013E50Q13-OK</v>
      </c>
      <c r="N725" s="8" t="str">
        <f>IF(ISNUMBER(MATCH(C725, 'Реестр договоров'!$D$2:$D$900, 0)), "Продано", "В наличии")</f>
        <v>Продано</v>
      </c>
    </row>
    <row r="726" spans="1:14">
      <c r="A726" s="26">
        <v>45943.635806307866</v>
      </c>
      <c r="B726" s="26"/>
      <c r="C726" s="8" t="s">
        <v>826</v>
      </c>
      <c r="D726" s="8" t="s">
        <v>347</v>
      </c>
      <c r="E726" s="8">
        <v>30</v>
      </c>
      <c r="F726" s="8" t="s">
        <v>116</v>
      </c>
      <c r="G726" s="8" t="s">
        <v>116</v>
      </c>
      <c r="H726" s="8" t="s">
        <v>115</v>
      </c>
      <c r="I726" s="27">
        <v>45917</v>
      </c>
      <c r="J726" s="8" t="s">
        <v>117</v>
      </c>
      <c r="K726" s="8" t="s">
        <v>121</v>
      </c>
      <c r="L726" s="8" t="s">
        <v>119</v>
      </c>
      <c r="M726" s="16" t="str">
        <f ca="1">IFERROR(__xludf.DUMMYFUNCTION("JOIN("""",VLOOKUP(D726,'для артикула'!$A$2:$B$7,2,0),VLOOKUP(G726,'для артикула'!$A$13:$B$14,2,0),VLOOKUP(E726,'для артикула'!$A$9:$B$11,2,0),VLOOKUP(F726,'для артикула'!$A$17:$B$19,2,0),VLOOKUP(J726,'для артикула'!$A$22:$B$23,2,0),VLOOKUP(H726,'для артик"&amp;"ула'!$A$26:$B$30,2,0))"),"002-2515E30Q13-OK")</f>
        <v>002-2515E30Q13-OK</v>
      </c>
      <c r="N726" s="8" t="str">
        <f>IF(ISNUMBER(MATCH(C726, 'Реестр договоров'!$D$2:$D$900, 0)), "Продано", "В наличии")</f>
        <v>Продано</v>
      </c>
    </row>
    <row r="727" spans="1:14">
      <c r="A727" s="26">
        <v>45944.565923472226</v>
      </c>
      <c r="B727" s="26"/>
      <c r="C727" s="8" t="s">
        <v>827</v>
      </c>
      <c r="D727" s="8" t="s">
        <v>366</v>
      </c>
      <c r="E727" s="8">
        <v>30</v>
      </c>
      <c r="F727" s="8" t="s">
        <v>116</v>
      </c>
      <c r="G727" s="8" t="s">
        <v>116</v>
      </c>
      <c r="H727" s="8" t="s">
        <v>115</v>
      </c>
      <c r="I727" s="27">
        <v>45932</v>
      </c>
      <c r="J727" s="8" t="s">
        <v>117</v>
      </c>
      <c r="K727" s="8" t="s">
        <v>121</v>
      </c>
      <c r="L727" s="8" t="s">
        <v>288</v>
      </c>
      <c r="M727" s="8" t="s">
        <v>367</v>
      </c>
      <c r="N727" s="8" t="str">
        <f>IF(ISNUMBER(MATCH(C727, 'Реестр договоров'!$D$2:$D$900, 0)), "Продано", "В наличии")</f>
        <v>Продано</v>
      </c>
    </row>
    <row r="728" spans="1:14">
      <c r="A728" s="26">
        <v>45944.583021342594</v>
      </c>
      <c r="B728" s="26"/>
      <c r="C728" s="8" t="s">
        <v>828</v>
      </c>
      <c r="D728" s="8" t="s">
        <v>375</v>
      </c>
      <c r="E728" s="8">
        <v>30</v>
      </c>
      <c r="F728" s="8" t="s">
        <v>116</v>
      </c>
      <c r="G728" s="8" t="s">
        <v>116</v>
      </c>
      <c r="H728" s="8" t="s">
        <v>115</v>
      </c>
      <c r="I728" s="27">
        <v>45933</v>
      </c>
      <c r="J728" s="8" t="s">
        <v>117</v>
      </c>
      <c r="K728" s="8" t="s">
        <v>121</v>
      </c>
      <c r="L728" s="8" t="s">
        <v>288</v>
      </c>
      <c r="M728" s="8" t="s">
        <v>829</v>
      </c>
      <c r="N728" s="8" t="str">
        <f>IF(ISNUMBER(MATCH(C728, 'Реестр договоров'!$D$2:$D$900, 0)), "Продано", "В наличии")</f>
        <v>Продано</v>
      </c>
    </row>
    <row r="729" spans="1:14">
      <c r="A729" s="26">
        <v>45944.669249340281</v>
      </c>
      <c r="B729" s="26"/>
      <c r="C729" s="8" t="s">
        <v>830</v>
      </c>
      <c r="D729" s="8" t="s">
        <v>287</v>
      </c>
      <c r="E729" s="8">
        <v>30</v>
      </c>
      <c r="F729" s="8" t="s">
        <v>116</v>
      </c>
      <c r="G729" s="8" t="s">
        <v>116</v>
      </c>
      <c r="H729" s="8" t="s">
        <v>115</v>
      </c>
      <c r="I729" s="27">
        <v>45933</v>
      </c>
      <c r="J729" s="8" t="s">
        <v>117</v>
      </c>
      <c r="K729" s="8" t="s">
        <v>121</v>
      </c>
      <c r="L729" s="8" t="s">
        <v>119</v>
      </c>
      <c r="M729" s="16" t="str">
        <f ca="1">IFERROR(__xludf.DUMMYFUNCTION("JOIN("""",VLOOKUP(D729,'для артикула'!$A$2:$B$7,2,0),VLOOKUP(G729,'для артикула'!$A$13:$B$14,2,0),VLOOKUP(E729,'для артикула'!$A$9:$B$11,2,0),VLOOKUP(F729,'для артикула'!$A$17:$B$19,2,0),VLOOKUP(J729,'для артикула'!$A$22:$B$23,2,0),VLOOKUP(H729,'для артик"&amp;"ула'!$A$26:$B$30,2,0))"),"002-2513E30Q13-OK")</f>
        <v>002-2513E30Q13-OK</v>
      </c>
      <c r="N729" s="8" t="str">
        <f>IF(ISNUMBER(MATCH(C729, 'Реестр договоров'!$D$2:$D$900, 0)), "Продано", "В наличии")</f>
        <v>Продано</v>
      </c>
    </row>
    <row r="730" spans="1:14">
      <c r="A730" s="26">
        <v>45945.523954895834</v>
      </c>
      <c r="B730" s="26"/>
      <c r="C730" s="8" t="s">
        <v>831</v>
      </c>
      <c r="D730" s="8" t="s">
        <v>114</v>
      </c>
      <c r="E730" s="8">
        <v>50</v>
      </c>
      <c r="F730" s="8" t="s">
        <v>116</v>
      </c>
      <c r="G730" s="8" t="s">
        <v>116</v>
      </c>
      <c r="H730" s="8" t="s">
        <v>115</v>
      </c>
      <c r="I730" s="27">
        <v>45945</v>
      </c>
      <c r="J730" s="8" t="s">
        <v>117</v>
      </c>
      <c r="K730" s="8" t="s">
        <v>121</v>
      </c>
      <c r="L730" s="8" t="s">
        <v>119</v>
      </c>
      <c r="M730" s="16" t="str">
        <f ca="1">IFERROR(__xludf.DUMMYFUNCTION("JOIN("""",VLOOKUP(D730,'для артикула'!$A$2:$B$7,2,0),VLOOKUP(G730,'для артикула'!$A$13:$B$14,2,0),VLOOKUP(E730,'для артикула'!$A$9:$B$11,2,0),VLOOKUP(F730,'для артикула'!$A$17:$B$19,2,0),VLOOKUP(J730,'для артикула'!$A$22:$B$23,2,0),VLOOKUP(H730,'для артик"&amp;"ула'!$A$26:$B$30,2,0))"),"002-2013E50Q13-OK")</f>
        <v>002-2013E50Q13-OK</v>
      </c>
      <c r="N730" s="8" t="str">
        <f>IF(ISNUMBER(MATCH(C730, 'Реестр договоров'!$D$2:$D$900, 0)), "Продано", "В наличии")</f>
        <v>Продано</v>
      </c>
    </row>
    <row r="731" spans="1:14">
      <c r="A731" s="26">
        <v>45946.454241990738</v>
      </c>
      <c r="B731" s="26"/>
      <c r="C731" s="8" t="s">
        <v>832</v>
      </c>
      <c r="D731" s="8" t="s">
        <v>114</v>
      </c>
      <c r="E731" s="8">
        <v>50</v>
      </c>
      <c r="F731" s="8" t="s">
        <v>116</v>
      </c>
      <c r="G731" s="8" t="s">
        <v>116</v>
      </c>
      <c r="H731" s="8" t="s">
        <v>115</v>
      </c>
      <c r="I731" s="27">
        <v>45939</v>
      </c>
      <c r="J731" s="8" t="s">
        <v>117</v>
      </c>
      <c r="K731" s="8" t="s">
        <v>121</v>
      </c>
      <c r="L731" s="8" t="s">
        <v>119</v>
      </c>
      <c r="M731" s="16" t="str">
        <f ca="1">IFERROR(__xludf.DUMMYFUNCTION("JOIN("""",VLOOKUP(D731,'для артикула'!$A$2:$B$7,2,0),VLOOKUP(G731,'для артикула'!$A$13:$B$14,2,0),VLOOKUP(E731,'для артикула'!$A$9:$B$11,2,0),VLOOKUP(F731,'для артикула'!$A$17:$B$19,2,0),VLOOKUP(J731,'для артикула'!$A$22:$B$23,2,0),VLOOKUP(H731,'для артик"&amp;"ула'!$A$26:$B$30,2,0))"),"002-2013E50Q13-OK")</f>
        <v>002-2013E50Q13-OK</v>
      </c>
      <c r="N731" s="8" t="str">
        <f>IF(ISNUMBER(MATCH(C731, 'Реестр договоров'!$D$2:$D$900, 0)), "Продано", "В наличии")</f>
        <v>Продано</v>
      </c>
    </row>
    <row r="732" spans="1:14">
      <c r="A732" s="26">
        <v>45947.623669236113</v>
      </c>
      <c r="B732" s="26"/>
      <c r="C732" s="8" t="s">
        <v>833</v>
      </c>
      <c r="D732" s="8" t="s">
        <v>114</v>
      </c>
      <c r="E732" s="8">
        <v>50</v>
      </c>
      <c r="F732" s="8" t="s">
        <v>116</v>
      </c>
      <c r="G732" s="8" t="s">
        <v>116</v>
      </c>
      <c r="H732" s="8" t="s">
        <v>115</v>
      </c>
      <c r="I732" s="27">
        <v>45947</v>
      </c>
      <c r="J732" s="8" t="s">
        <v>117</v>
      </c>
      <c r="K732" s="8" t="s">
        <v>124</v>
      </c>
      <c r="L732" s="8" t="s">
        <v>119</v>
      </c>
      <c r="M732" s="16" t="str">
        <f ca="1">IFERROR(__xludf.DUMMYFUNCTION("JOIN("""",VLOOKUP(D732,'для артикула'!$A$2:$B$7,2,0),VLOOKUP(G732,'для артикула'!$A$13:$B$14,2,0),VLOOKUP(E732,'для артикула'!$A$9:$B$11,2,0),VLOOKUP(F732,'для артикула'!$A$17:$B$19,2,0),VLOOKUP(J732,'для артикула'!$A$22:$B$23,2,0),VLOOKUP(H732,'для артик"&amp;"ула'!$A$26:$B$30,2,0))"),"002-2013E50Q13-OK")</f>
        <v>002-2013E50Q13-OK</v>
      </c>
      <c r="N732" s="8" t="str">
        <f>IF(ISNUMBER(MATCH(C732, 'Реестр договоров'!$D$2:$D$900, 0)), "Продано", "В наличии")</f>
        <v>Продано</v>
      </c>
    </row>
    <row r="733" spans="1:14">
      <c r="A733" s="26">
        <v>45947.733113807873</v>
      </c>
      <c r="B733" s="26"/>
      <c r="C733" s="8" t="s">
        <v>834</v>
      </c>
      <c r="D733" s="8" t="s">
        <v>114</v>
      </c>
      <c r="E733" s="8">
        <v>30</v>
      </c>
      <c r="F733" s="8" t="s">
        <v>116</v>
      </c>
      <c r="G733" s="8" t="s">
        <v>116</v>
      </c>
      <c r="H733" s="8" t="s">
        <v>115</v>
      </c>
      <c r="I733" s="27">
        <v>45940</v>
      </c>
      <c r="J733" s="8" t="s">
        <v>117</v>
      </c>
      <c r="K733" s="8" t="s">
        <v>121</v>
      </c>
      <c r="L733" s="8" t="s">
        <v>119</v>
      </c>
      <c r="M733" s="16" t="str">
        <f ca="1">IFERROR(__xludf.DUMMYFUNCTION("JOIN("""",VLOOKUP(D733,'для артикула'!$A$2:$B$7,2,0),VLOOKUP(G733,'для артикула'!$A$13:$B$14,2,0),VLOOKUP(E733,'для артикула'!$A$9:$B$11,2,0),VLOOKUP(F733,'для артикула'!$A$17:$B$19,2,0),VLOOKUP(J733,'для артикула'!$A$22:$B$23,2,0),VLOOKUP(H733,'для артик"&amp;"ула'!$A$26:$B$30,2,0))"),"002-2013E30Q13-OK")</f>
        <v>002-2013E30Q13-OK</v>
      </c>
      <c r="N733" s="8" t="str">
        <f>IF(ISNUMBER(MATCH(C733, 'Реестр договоров'!$D$2:$D$900, 0)), "Продано", "В наличии")</f>
        <v>Продано</v>
      </c>
    </row>
    <row r="734" spans="1:14">
      <c r="A734" s="26">
        <v>45950.551734942128</v>
      </c>
      <c r="B734" s="26"/>
      <c r="C734" s="8" t="s">
        <v>835</v>
      </c>
      <c r="D734" s="8" t="s">
        <v>114</v>
      </c>
      <c r="E734" s="8">
        <v>50</v>
      </c>
      <c r="F734" s="8" t="s">
        <v>116</v>
      </c>
      <c r="G734" s="8" t="s">
        <v>116</v>
      </c>
      <c r="H734" s="8" t="s">
        <v>115</v>
      </c>
      <c r="I734" s="27">
        <v>45950</v>
      </c>
      <c r="J734" s="8" t="s">
        <v>117</v>
      </c>
      <c r="K734" s="8" t="s">
        <v>124</v>
      </c>
      <c r="L734" s="8" t="s">
        <v>119</v>
      </c>
      <c r="M734" s="16" t="str">
        <f ca="1">IFERROR(__xludf.DUMMYFUNCTION("JOIN("""",VLOOKUP(D734,'для артикула'!$A$2:$B$7,2,0),VLOOKUP(G734,'для артикула'!$A$13:$B$14,2,0),VLOOKUP(E734,'для артикула'!$A$9:$B$11,2,0),VLOOKUP(F734,'для артикула'!$A$17:$B$19,2,0),VLOOKUP(J734,'для артикула'!$A$22:$B$23,2,0),VLOOKUP(H734,'для артик"&amp;"ула'!$A$26:$B$30,2,0))"),"002-2013E50Q13-OK")</f>
        <v>002-2013E50Q13-OK</v>
      </c>
      <c r="N734" s="8" t="str">
        <f>IF(ISNUMBER(MATCH(C734, 'Реестр договоров'!$D$2:$D$900, 0)), "Продано", "В наличии")</f>
        <v>Продано</v>
      </c>
    </row>
    <row r="735" spans="1:14">
      <c r="A735" s="26">
        <v>45950.563421655097</v>
      </c>
      <c r="B735" s="26"/>
      <c r="C735" s="8" t="s">
        <v>836</v>
      </c>
      <c r="D735" s="8" t="s">
        <v>114</v>
      </c>
      <c r="E735" s="8">
        <v>50</v>
      </c>
      <c r="F735" s="8" t="s">
        <v>116</v>
      </c>
      <c r="G735" s="8" t="s">
        <v>116</v>
      </c>
      <c r="H735" s="8">
        <v>30</v>
      </c>
      <c r="I735" s="27">
        <v>45950</v>
      </c>
      <c r="J735" s="8" t="s">
        <v>117</v>
      </c>
      <c r="K735" s="8" t="s">
        <v>118</v>
      </c>
      <c r="L735" s="8" t="s">
        <v>119</v>
      </c>
      <c r="M735" s="16" t="str">
        <f ca="1">IFERROR(__xludf.DUMMYFUNCTION("JOIN("""",VLOOKUP(D735,'для артикула'!$A$2:$B$7,2,0),VLOOKUP(G735,'для артикула'!$A$13:$B$14,2,0),VLOOKUP(E735,'для артикула'!$A$9:$B$11,2,0),VLOOKUP(F735,'для артикула'!$A$17:$B$19,2,0),VLOOKUP(J735,'для артикула'!$A$22:$B$23,2,0),VLOOKUP(H735,'для артик"&amp;"ула'!$A$26:$B$30,2,0))"),"002-2013E50Q13-OK30")</f>
        <v>002-2013E50Q13-OK30</v>
      </c>
      <c r="N735" s="8" t="str">
        <f>IF(ISNUMBER(MATCH(C735, 'Реестр договоров'!$D$2:$D$900, 0)), "Продано", "В наличии")</f>
        <v>Продано</v>
      </c>
    </row>
    <row r="736" spans="1:14">
      <c r="A736" s="26">
        <v>45950.649939837967</v>
      </c>
      <c r="B736" s="26"/>
      <c r="C736" s="8" t="s">
        <v>837</v>
      </c>
      <c r="D736" s="8" t="s">
        <v>114</v>
      </c>
      <c r="E736" s="8">
        <v>30</v>
      </c>
      <c r="F736" s="8" t="s">
        <v>116</v>
      </c>
      <c r="G736" s="8" t="s">
        <v>116</v>
      </c>
      <c r="H736" s="8" t="s">
        <v>115</v>
      </c>
      <c r="I736" s="27">
        <v>45950</v>
      </c>
      <c r="J736" s="8" t="s">
        <v>117</v>
      </c>
      <c r="K736" s="8" t="s">
        <v>121</v>
      </c>
      <c r="L736" s="8" t="s">
        <v>119</v>
      </c>
      <c r="M736" s="16" t="str">
        <f ca="1">IFERROR(__xludf.DUMMYFUNCTION("JOIN("""",VLOOKUP(D736,'для артикула'!$A$2:$B$7,2,0),VLOOKUP(G736,'для артикула'!$A$13:$B$14,2,0),VLOOKUP(E736,'для артикула'!$A$9:$B$11,2,0),VLOOKUP(F736,'для артикула'!$A$17:$B$19,2,0),VLOOKUP(J736,'для артикула'!$A$22:$B$23,2,0),VLOOKUP(H736,'для артик"&amp;"ула'!$A$26:$B$30,2,0))"),"002-2013E30Q13-OK")</f>
        <v>002-2013E30Q13-OK</v>
      </c>
      <c r="N736" s="8" t="str">
        <f>IF(ISNUMBER(MATCH(C736, 'Реестр договоров'!$D$2:$D$900, 0)), "Продано", "В наличии")</f>
        <v>Продано</v>
      </c>
    </row>
    <row r="737" spans="1:14">
      <c r="A737" s="26">
        <v>45950.792691979164</v>
      </c>
      <c r="B737" s="26"/>
      <c r="C737" s="8" t="s">
        <v>838</v>
      </c>
      <c r="D737" s="8" t="s">
        <v>114</v>
      </c>
      <c r="E737" s="8">
        <v>50</v>
      </c>
      <c r="F737" s="8" t="s">
        <v>116</v>
      </c>
      <c r="G737" s="8" t="s">
        <v>116</v>
      </c>
      <c r="H737" s="8" t="s">
        <v>115</v>
      </c>
      <c r="I737" s="27">
        <v>45940</v>
      </c>
      <c r="J737" s="8" t="s">
        <v>117</v>
      </c>
      <c r="K737" s="8" t="s">
        <v>121</v>
      </c>
      <c r="L737" s="8" t="s">
        <v>119</v>
      </c>
      <c r="M737" s="16" t="str">
        <f ca="1">IFERROR(__xludf.DUMMYFUNCTION("JOIN("""",VLOOKUP(D737,'для артикула'!$A$2:$B$7,2,0),VLOOKUP(G737,'для артикула'!$A$13:$B$14,2,0),VLOOKUP(E737,'для артикула'!$A$9:$B$11,2,0),VLOOKUP(F737,'для артикула'!$A$17:$B$19,2,0),VLOOKUP(J737,'для артикула'!$A$22:$B$23,2,0),VLOOKUP(H737,'для артик"&amp;"ула'!$A$26:$B$30,2,0))"),"002-2013E50Q13-OK")</f>
        <v>002-2013E50Q13-OK</v>
      </c>
      <c r="N737" s="8" t="str">
        <f>IF(ISNUMBER(MATCH(C737, 'Реестр договоров'!$D$2:$D$900, 0)), "Продано", "В наличии")</f>
        <v>Продано</v>
      </c>
    </row>
    <row r="738" spans="1:14">
      <c r="A738" s="26">
        <v>45952.65140081018</v>
      </c>
      <c r="B738" s="26"/>
      <c r="C738" s="8" t="s">
        <v>839</v>
      </c>
      <c r="D738" s="8" t="s">
        <v>114</v>
      </c>
      <c r="E738" s="8">
        <v>50</v>
      </c>
      <c r="F738" s="8" t="s">
        <v>116</v>
      </c>
      <c r="G738" s="8" t="s">
        <v>116</v>
      </c>
      <c r="H738" s="8">
        <v>30</v>
      </c>
      <c r="I738" s="27">
        <v>45952</v>
      </c>
      <c r="J738" s="8" t="s">
        <v>117</v>
      </c>
      <c r="K738" s="8" t="s">
        <v>118</v>
      </c>
      <c r="L738" s="8" t="s">
        <v>119</v>
      </c>
      <c r="M738" s="16" t="str">
        <f ca="1">IFERROR(__xludf.DUMMYFUNCTION("JOIN("""",VLOOKUP(D738,'для артикула'!$A$2:$B$7,2,0),VLOOKUP(G738,'для артикула'!$A$13:$B$14,2,0),VLOOKUP(E738,'для артикула'!$A$9:$B$11,2,0),VLOOKUP(F738,'для артикула'!$A$17:$B$19,2,0),VLOOKUP(J738,'для артикула'!$A$22:$B$23,2,0),VLOOKUP(H738,'для артик"&amp;"ула'!$A$26:$B$30,2,0))"),"002-2013E50Q13-OK30")</f>
        <v>002-2013E50Q13-OK30</v>
      </c>
      <c r="N738" s="8" t="str">
        <f>IF(ISNUMBER(MATCH(C738, 'Реестр договоров'!$D$2:$D$900, 0)), "Продано", "В наличии")</f>
        <v>Продано</v>
      </c>
    </row>
    <row r="739" spans="1:14">
      <c r="A739" s="26">
        <v>45954.685854745374</v>
      </c>
      <c r="B739" s="26"/>
      <c r="C739" s="8" t="s">
        <v>840</v>
      </c>
      <c r="D739" s="8" t="s">
        <v>114</v>
      </c>
      <c r="E739" s="8">
        <v>50</v>
      </c>
      <c r="F739" s="8" t="s">
        <v>116</v>
      </c>
      <c r="G739" s="8" t="s">
        <v>116</v>
      </c>
      <c r="H739" s="8" t="s">
        <v>115</v>
      </c>
      <c r="I739" s="27">
        <v>45954</v>
      </c>
      <c r="J739" s="8" t="s">
        <v>117</v>
      </c>
      <c r="K739" s="8" t="s">
        <v>124</v>
      </c>
      <c r="L739" s="8" t="s">
        <v>119</v>
      </c>
      <c r="M739" s="16" t="str">
        <f ca="1">IFERROR(__xludf.DUMMYFUNCTION("JOIN("""",VLOOKUP(D739,'для артикула'!$A$2:$B$7,2,0),VLOOKUP(G739,'для артикула'!$A$13:$B$14,2,0),VLOOKUP(E739,'для артикула'!$A$9:$B$11,2,0),VLOOKUP(F739,'для артикула'!$A$17:$B$19,2,0),VLOOKUP(J739,'для артикула'!$A$22:$B$23,2,0),VLOOKUP(H739,'для артик"&amp;"ула'!$A$26:$B$30,2,0))"),"002-2013E50Q13-OK")</f>
        <v>002-2013E50Q13-OK</v>
      </c>
      <c r="N739" s="8" t="str">
        <f>IF(ISNUMBER(MATCH(C739, 'Реестр договоров'!$D$2:$D$900, 0)), "Продано", "В наличии")</f>
        <v>Продано</v>
      </c>
    </row>
    <row r="740" spans="1:14">
      <c r="A740" s="26">
        <v>45958.47194372685</v>
      </c>
      <c r="B740" s="26"/>
      <c r="C740" s="8" t="s">
        <v>841</v>
      </c>
      <c r="D740" s="8" t="s">
        <v>114</v>
      </c>
      <c r="E740" s="8">
        <v>50</v>
      </c>
      <c r="F740" s="8" t="s">
        <v>116</v>
      </c>
      <c r="G740" s="8" t="s">
        <v>116</v>
      </c>
      <c r="H740" s="8" t="s">
        <v>115</v>
      </c>
      <c r="I740" s="27">
        <v>45958</v>
      </c>
      <c r="J740" s="8" t="s">
        <v>117</v>
      </c>
      <c r="K740" s="8" t="s">
        <v>118</v>
      </c>
      <c r="L740" s="8" t="s">
        <v>119</v>
      </c>
      <c r="M740" s="16" t="str">
        <f ca="1">IFERROR(__xludf.DUMMYFUNCTION("JOIN("""",VLOOKUP(D740,'для артикула'!$A$2:$B$7,2,0),VLOOKUP(G740,'для артикула'!$A$13:$B$14,2,0),VLOOKUP(E740,'для артикула'!$A$9:$B$11,2,0),VLOOKUP(F740,'для артикула'!$A$17:$B$19,2,0),VLOOKUP(J740,'для артикула'!$A$22:$B$23,2,0),VLOOKUP(H740,'для артик"&amp;"ула'!$A$26:$B$30,2,0))"),"002-2013E50Q13-OK")</f>
        <v>002-2013E50Q13-OK</v>
      </c>
      <c r="N740" s="8" t="str">
        <f>IF(ISNUMBER(MATCH(C740, 'Реестр договоров'!$D$2:$D$900, 0)), "Продано", "В наличии")</f>
        <v>Продано</v>
      </c>
    </row>
    <row r="741" spans="1:14">
      <c r="A741" s="26">
        <v>45958.510188101849</v>
      </c>
      <c r="B741" s="26"/>
      <c r="C741" s="8" t="s">
        <v>842</v>
      </c>
      <c r="D741" s="8" t="s">
        <v>114</v>
      </c>
      <c r="E741" s="8">
        <v>50</v>
      </c>
      <c r="F741" s="8" t="s">
        <v>116</v>
      </c>
      <c r="G741" s="8" t="s">
        <v>116</v>
      </c>
      <c r="H741" s="8" t="s">
        <v>115</v>
      </c>
      <c r="I741" s="27">
        <v>45958</v>
      </c>
      <c r="J741" s="8" t="s">
        <v>117</v>
      </c>
      <c r="K741" s="8" t="s">
        <v>118</v>
      </c>
      <c r="L741" s="8" t="s">
        <v>119</v>
      </c>
      <c r="M741" s="16" t="str">
        <f ca="1">IFERROR(__xludf.DUMMYFUNCTION("JOIN("""",VLOOKUP(D741,'для артикула'!$A$2:$B$7,2,0),VLOOKUP(G741,'для артикула'!$A$13:$B$14,2,0),VLOOKUP(E741,'для артикула'!$A$9:$B$11,2,0),VLOOKUP(F741,'для артикула'!$A$17:$B$19,2,0),VLOOKUP(J741,'для артикула'!$A$22:$B$23,2,0),VLOOKUP(H741,'для артик"&amp;"ула'!$A$26:$B$30,2,0))"),"002-2013E50Q13-OK")</f>
        <v>002-2013E50Q13-OK</v>
      </c>
      <c r="N741" s="8" t="str">
        <f>IF(ISNUMBER(MATCH(C741, 'Реестр договоров'!$D$2:$D$900, 0)), "Продано", "В наличии")</f>
        <v>Продано</v>
      </c>
    </row>
    <row r="742" spans="1:14">
      <c r="A742" s="26">
        <v>45959.519578402775</v>
      </c>
      <c r="B742" s="26"/>
      <c r="C742" s="8" t="s">
        <v>843</v>
      </c>
      <c r="D742" s="8" t="s">
        <v>114</v>
      </c>
      <c r="E742" s="8">
        <v>30</v>
      </c>
      <c r="F742" s="8" t="s">
        <v>116</v>
      </c>
      <c r="G742" s="8" t="s">
        <v>116</v>
      </c>
      <c r="H742" s="8" t="s">
        <v>115</v>
      </c>
      <c r="I742" s="27">
        <v>45959</v>
      </c>
      <c r="J742" s="8" t="s">
        <v>117</v>
      </c>
      <c r="K742" s="8" t="s">
        <v>124</v>
      </c>
      <c r="L742" s="8" t="s">
        <v>119</v>
      </c>
      <c r="M742" s="16" t="str">
        <f ca="1">IFERROR(__xludf.DUMMYFUNCTION("JOIN("""",VLOOKUP(D742,'для артикула'!$A$2:$B$7,2,0),VLOOKUP(G742,'для артикула'!$A$13:$B$14,2,0),VLOOKUP(E742,'для артикула'!$A$9:$B$11,2,0),VLOOKUP(F742,'для артикула'!$A$17:$B$19,2,0),VLOOKUP(J742,'для артикула'!$A$22:$B$23,2,0),VLOOKUP(H742,'для артик"&amp;"ула'!$A$26:$B$30,2,0))"),"002-2013E30Q13-OK")</f>
        <v>002-2013E30Q13-OK</v>
      </c>
      <c r="N742" s="8" t="str">
        <f>IF(ISNUMBER(MATCH(C742, 'Реестр договоров'!$D$2:$D$900, 0)), "Продано", "В наличии")</f>
        <v>Продано</v>
      </c>
    </row>
    <row r="743" spans="1:14">
      <c r="A743" s="26">
        <v>45959.545750324076</v>
      </c>
      <c r="B743" s="26"/>
      <c r="C743" s="8" t="s">
        <v>844</v>
      </c>
      <c r="D743" s="8" t="s">
        <v>114</v>
      </c>
      <c r="E743" s="8">
        <v>50</v>
      </c>
      <c r="F743" s="8" t="s">
        <v>116</v>
      </c>
      <c r="G743" s="8" t="s">
        <v>116</v>
      </c>
      <c r="H743" s="8" t="s">
        <v>115</v>
      </c>
      <c r="I743" s="27">
        <v>45959</v>
      </c>
      <c r="J743" s="8" t="s">
        <v>117</v>
      </c>
      <c r="K743" s="8" t="s">
        <v>124</v>
      </c>
      <c r="L743" s="8" t="s">
        <v>119</v>
      </c>
      <c r="M743" s="16" t="str">
        <f ca="1">IFERROR(__xludf.DUMMYFUNCTION("JOIN("""",VLOOKUP(D743,'для артикула'!$A$2:$B$7,2,0),VLOOKUP(G743,'для артикула'!$A$13:$B$14,2,0),VLOOKUP(E743,'для артикула'!$A$9:$B$11,2,0),VLOOKUP(F743,'для артикула'!$A$17:$B$19,2,0),VLOOKUP(J743,'для артикула'!$A$22:$B$23,2,0),VLOOKUP(H743,'для артик"&amp;"ула'!$A$26:$B$30,2,0))"),"002-2013E50Q13-OK")</f>
        <v>002-2013E50Q13-OK</v>
      </c>
      <c r="N743" s="8" t="str">
        <f>IF(ISNUMBER(MATCH(C743, 'Реестр договоров'!$D$2:$D$900, 0)), "Продано", "В наличии")</f>
        <v>Продано</v>
      </c>
    </row>
    <row r="744" spans="1:14">
      <c r="A744" s="26">
        <v>45959.760139224541</v>
      </c>
      <c r="B744" s="26"/>
      <c r="C744" s="8" t="s">
        <v>845</v>
      </c>
      <c r="D744" s="8" t="s">
        <v>366</v>
      </c>
      <c r="E744" s="8" t="s">
        <v>115</v>
      </c>
      <c r="F744" s="8" t="s">
        <v>116</v>
      </c>
      <c r="G744" s="8" t="s">
        <v>116</v>
      </c>
      <c r="H744" s="8" t="s">
        <v>115</v>
      </c>
      <c r="I744" s="27">
        <v>45061</v>
      </c>
      <c r="J744" s="8" t="s">
        <v>117</v>
      </c>
      <c r="K744" s="8" t="s">
        <v>124</v>
      </c>
      <c r="L744" s="8" t="s">
        <v>288</v>
      </c>
      <c r="M744" s="16" t="str">
        <f ca="1">IFERROR(__xludf.DUMMYFUNCTION("JOIN("""",VLOOKUP(D744,'для артикула'!$A$2:$B$7,2,0),VLOOKUP(G744,'для артикула'!$A$13:$B$14,2,0),VLOOKUP(E744,'для артикула'!$A$9:$B$11,2,0),VLOOKUP(F744,'для артикула'!$A$17:$B$19,2,0),VLOOKUP(J744,'для артикула'!$A$22:$B$23,2,0),VLOOKUP(H744,'для артик"&amp;"ула'!$A$26:$B$30,2,0))"),"002-3015Q13-OK")</f>
        <v>002-3015Q13-OK</v>
      </c>
      <c r="N744" s="8" t="str">
        <f>IF(ISNUMBER(MATCH(C744, 'Реестр договоров'!$D$2:$D$900, 0)), "Продано", "В наличии")</f>
        <v>Продано</v>
      </c>
    </row>
    <row r="745" spans="1:14">
      <c r="A745" s="26">
        <v>45960.518990613426</v>
      </c>
      <c r="B745" s="26"/>
      <c r="C745" s="8" t="s">
        <v>846</v>
      </c>
      <c r="D745" s="8" t="s">
        <v>287</v>
      </c>
      <c r="E745" s="8">
        <v>30</v>
      </c>
      <c r="F745" s="8" t="s">
        <v>116</v>
      </c>
      <c r="G745" s="8" t="s">
        <v>116</v>
      </c>
      <c r="H745" s="8" t="s">
        <v>115</v>
      </c>
      <c r="I745" s="27">
        <v>45953</v>
      </c>
      <c r="J745" s="8" t="s">
        <v>117</v>
      </c>
      <c r="K745" s="8" t="s">
        <v>121</v>
      </c>
      <c r="L745" s="8" t="s">
        <v>119</v>
      </c>
      <c r="M745" s="16" t="str">
        <f ca="1">IFERROR(__xludf.DUMMYFUNCTION("JOIN("""",VLOOKUP(D745,'для артикула'!$A$2:$B$7,2,0),VLOOKUP(G745,'для артикула'!$A$13:$B$14,2,0),VLOOKUP(E745,'для артикула'!$A$9:$B$11,2,0),VLOOKUP(F745,'для артикула'!$A$17:$B$19,2,0),VLOOKUP(J745,'для артикула'!$A$22:$B$23,2,0),VLOOKUP(H745,'для артик"&amp;"ула'!$A$26:$B$30,2,0))"),"002-2513E30Q13-OK")</f>
        <v>002-2513E30Q13-OK</v>
      </c>
      <c r="N745" s="8" t="str">
        <f>IF(ISNUMBER(MATCH(C745, 'Реестр договоров'!$D$2:$D$900, 0)), "Продано", "В наличии")</f>
        <v>Продано</v>
      </c>
    </row>
    <row r="746" spans="1:14">
      <c r="A746" s="26">
        <v>45960.660694178237</v>
      </c>
      <c r="B746" s="26"/>
      <c r="C746" s="8" t="s">
        <v>847</v>
      </c>
      <c r="D746" s="8" t="s">
        <v>114</v>
      </c>
      <c r="E746" s="8">
        <v>30</v>
      </c>
      <c r="F746" s="8" t="s">
        <v>116</v>
      </c>
      <c r="G746" s="8" t="s">
        <v>116</v>
      </c>
      <c r="H746" s="8" t="s">
        <v>115</v>
      </c>
      <c r="I746" s="27">
        <v>45960</v>
      </c>
      <c r="J746" s="8" t="s">
        <v>117</v>
      </c>
      <c r="K746" s="8" t="s">
        <v>121</v>
      </c>
      <c r="L746" s="8" t="s">
        <v>119</v>
      </c>
      <c r="M746" s="16" t="str">
        <f ca="1">IFERROR(__xludf.DUMMYFUNCTION("JOIN("""",VLOOKUP(D746,'для артикула'!$A$2:$B$7,2,0),VLOOKUP(G746,'для артикула'!$A$13:$B$14,2,0),VLOOKUP(E746,'для артикула'!$A$9:$B$11,2,0),VLOOKUP(F746,'для артикула'!$A$17:$B$19,2,0),VLOOKUP(J746,'для артикула'!$A$22:$B$23,2,0),VLOOKUP(H746,'для артик"&amp;"ула'!$A$26:$B$30,2,0))"),"002-2013E30Q13-OK")</f>
        <v>002-2013E30Q13-OK</v>
      </c>
      <c r="N746" s="8" t="str">
        <f>IF(ISNUMBER(MATCH(C746, 'Реестр договоров'!$D$2:$D$900, 0)), "Продано", "В наличии")</f>
        <v>Продано</v>
      </c>
    </row>
    <row r="747" spans="1:14">
      <c r="A747" s="26">
        <v>45961.521059687497</v>
      </c>
      <c r="B747" s="26"/>
      <c r="C747" s="8" t="s">
        <v>848</v>
      </c>
      <c r="D747" s="8" t="s">
        <v>114</v>
      </c>
      <c r="E747" s="8">
        <v>30</v>
      </c>
      <c r="F747" s="8" t="s">
        <v>116</v>
      </c>
      <c r="G747" s="8" t="s">
        <v>116</v>
      </c>
      <c r="H747" s="8" t="s">
        <v>115</v>
      </c>
      <c r="I747" s="27">
        <v>45954</v>
      </c>
      <c r="J747" s="8" t="s">
        <v>117</v>
      </c>
      <c r="K747" s="8" t="s">
        <v>121</v>
      </c>
      <c r="L747" s="8" t="s">
        <v>119</v>
      </c>
      <c r="M747" s="16" t="str">
        <f ca="1">IFERROR(__xludf.DUMMYFUNCTION("JOIN("""",VLOOKUP(D747,'для артикула'!$A$2:$B$7,2,0),VLOOKUP(G747,'для артикула'!$A$13:$B$14,2,0),VLOOKUP(E747,'для артикула'!$A$9:$B$11,2,0),VLOOKUP(F747,'для артикула'!$A$17:$B$19,2,0),VLOOKUP(J747,'для артикула'!$A$22:$B$23,2,0),VLOOKUP(H747,'для артик"&amp;"ула'!$A$26:$B$30,2,0))"),"002-2013E30Q13-OK")</f>
        <v>002-2013E30Q13-OK</v>
      </c>
      <c r="N747" s="8" t="str">
        <f>IF(ISNUMBER(MATCH(C747, 'Реестр договоров'!$D$2:$D$900, 0)), "Продано", "В наличии")</f>
        <v>Продано</v>
      </c>
    </row>
    <row r="748" spans="1:14">
      <c r="A748" s="26">
        <v>45964.423041481481</v>
      </c>
      <c r="B748" s="26"/>
      <c r="C748" s="8" t="s">
        <v>849</v>
      </c>
      <c r="D748" s="8" t="s">
        <v>287</v>
      </c>
      <c r="E748" s="8">
        <v>30</v>
      </c>
      <c r="F748" s="8" t="s">
        <v>116</v>
      </c>
      <c r="G748" s="8" t="s">
        <v>116</v>
      </c>
      <c r="H748" s="8" t="s">
        <v>115</v>
      </c>
      <c r="I748" s="27">
        <v>45960</v>
      </c>
      <c r="J748" s="8" t="s">
        <v>117</v>
      </c>
      <c r="K748" s="8" t="s">
        <v>121</v>
      </c>
      <c r="L748" s="8" t="s">
        <v>119</v>
      </c>
      <c r="M748" s="16" t="str">
        <f ca="1">IFERROR(__xludf.DUMMYFUNCTION("JOIN("""",VLOOKUP(D748,'для артикула'!$A$2:$B$7,2,0),VLOOKUP(G748,'для артикула'!$A$13:$B$14,2,0),VLOOKUP(E748,'для артикула'!$A$9:$B$11,2,0),VLOOKUP(F748,'для артикула'!$A$17:$B$19,2,0),VLOOKUP(J748,'для артикула'!$A$22:$B$23,2,0),VLOOKUP(H748,'для артик"&amp;"ула'!$A$26:$B$30,2,0))"),"002-2513E30Q13-OK")</f>
        <v>002-2513E30Q13-OK</v>
      </c>
      <c r="N748" s="8" t="str">
        <f>IF(ISNUMBER(MATCH(C748, 'Реестр договоров'!$D$2:$D$900, 0)), "Продано", "В наличии")</f>
        <v>Продано</v>
      </c>
    </row>
    <row r="749" spans="1:14">
      <c r="A749" s="26">
        <v>45965.646517094909</v>
      </c>
      <c r="B749" s="26"/>
      <c r="C749" s="8" t="s">
        <v>850</v>
      </c>
      <c r="D749" s="8" t="s">
        <v>114</v>
      </c>
      <c r="E749" s="8">
        <v>50</v>
      </c>
      <c r="F749" s="8" t="s">
        <v>116</v>
      </c>
      <c r="G749" s="8" t="s">
        <v>116</v>
      </c>
      <c r="H749" s="8">
        <v>60</v>
      </c>
      <c r="I749" s="27">
        <v>45965</v>
      </c>
      <c r="J749" s="8" t="s">
        <v>117</v>
      </c>
      <c r="K749" s="8" t="s">
        <v>118</v>
      </c>
      <c r="L749" s="8" t="s">
        <v>119</v>
      </c>
      <c r="M749" s="16" t="str">
        <f ca="1">IFERROR(__xludf.DUMMYFUNCTION("JOIN("""",VLOOKUP(D749,'для артикула'!$A$2:$B$7,2,0),VLOOKUP(G749,'для артикула'!$A$13:$B$14,2,0),VLOOKUP(E749,'для артикула'!$A$9:$B$11,2,0),VLOOKUP(F749,'для артикула'!$A$17:$B$19,2,0),VLOOKUP(J749,'для артикула'!$A$22:$B$23,2,0),VLOOKUP(H749,'для артик"&amp;"ула'!$A$26:$B$30,2,0))"),"002-2013E50Q13-OK60")</f>
        <v>002-2013E50Q13-OK60</v>
      </c>
      <c r="N749" s="8" t="str">
        <f>IF(ISNUMBER(MATCH(C749, 'Реестр договоров'!$D$2:$D$900, 0)), "Продано", "В наличии")</f>
        <v>Продано</v>
      </c>
    </row>
    <row r="750" spans="1:14">
      <c r="A750" s="26">
        <v>45965.667845717588</v>
      </c>
      <c r="B750" s="26"/>
      <c r="C750" s="8" t="s">
        <v>851</v>
      </c>
      <c r="D750" s="8" t="s">
        <v>114</v>
      </c>
      <c r="E750" s="8">
        <v>30</v>
      </c>
      <c r="F750" s="8" t="s">
        <v>116</v>
      </c>
      <c r="G750" s="8" t="s">
        <v>116</v>
      </c>
      <c r="H750" s="8" t="s">
        <v>115</v>
      </c>
      <c r="I750" s="27">
        <v>45946</v>
      </c>
      <c r="J750" s="8" t="s">
        <v>117</v>
      </c>
      <c r="K750" s="8" t="s">
        <v>121</v>
      </c>
      <c r="L750" s="8" t="s">
        <v>119</v>
      </c>
      <c r="M750" s="16" t="str">
        <f ca="1">IFERROR(__xludf.DUMMYFUNCTION("JOIN("""",VLOOKUP(D750,'для артикула'!$A$2:$B$7,2,0),VLOOKUP(G750,'для артикула'!$A$13:$B$14,2,0),VLOOKUP(E750,'для артикула'!$A$9:$B$11,2,0),VLOOKUP(F750,'для артикула'!$A$17:$B$19,2,0),VLOOKUP(J750,'для артикула'!$A$22:$B$23,2,0),VLOOKUP(H750,'для артик"&amp;"ула'!$A$26:$B$30,2,0))"),"002-2013E30Q13-OK")</f>
        <v>002-2013E30Q13-OK</v>
      </c>
      <c r="N750" s="8" t="str">
        <f>IF(ISNUMBER(MATCH(C750, 'Реестр договоров'!$D$2:$D$900, 0)), "Продано", "В наличии")</f>
        <v>Продано</v>
      </c>
    </row>
    <row r="751" spans="1:14">
      <c r="A751" s="26">
        <v>45966.656659201384</v>
      </c>
      <c r="B751" s="26"/>
      <c r="C751" s="8" t="s">
        <v>852</v>
      </c>
      <c r="D751" s="8" t="s">
        <v>287</v>
      </c>
      <c r="E751" s="8">
        <v>50</v>
      </c>
      <c r="F751" s="8" t="s">
        <v>116</v>
      </c>
      <c r="G751" s="8" t="s">
        <v>116</v>
      </c>
      <c r="H751" s="8" t="s">
        <v>115</v>
      </c>
      <c r="I751" s="27">
        <v>45965</v>
      </c>
      <c r="J751" s="8" t="s">
        <v>117</v>
      </c>
      <c r="K751" s="8" t="s">
        <v>121</v>
      </c>
      <c r="L751" s="8" t="s">
        <v>119</v>
      </c>
      <c r="M751" s="16" t="str">
        <f ca="1">IFERROR(__xludf.DUMMYFUNCTION("JOIN("""",VLOOKUP(D751,'для артикула'!$A$2:$B$7,2,0),VLOOKUP(G751,'для артикула'!$A$13:$B$14,2,0),VLOOKUP(E751,'для артикула'!$A$9:$B$11,2,0),VLOOKUP(F751,'для артикула'!$A$17:$B$19,2,0),VLOOKUP(J751,'для артикула'!$A$22:$B$23,2,0),VLOOKUP(H751,'для артик"&amp;"ула'!$A$26:$B$30,2,0))"),"002-2513E50Q13-OK")</f>
        <v>002-2513E50Q13-OK</v>
      </c>
      <c r="N751" s="8" t="str">
        <f>IF(ISNUMBER(MATCH(C751, 'Реестр договоров'!$D$2:$D$900, 0)), "Продано", "В наличии")</f>
        <v>Продано</v>
      </c>
    </row>
    <row r="752" spans="1:14">
      <c r="A752" s="26">
        <v>45967.570424074074</v>
      </c>
      <c r="B752" s="26"/>
      <c r="C752" s="8" t="s">
        <v>853</v>
      </c>
      <c r="D752" s="8" t="s">
        <v>114</v>
      </c>
      <c r="E752" s="8">
        <v>50</v>
      </c>
      <c r="F752" s="8" t="s">
        <v>116</v>
      </c>
      <c r="G752" s="8" t="s">
        <v>116</v>
      </c>
      <c r="H752" s="8" t="s">
        <v>115</v>
      </c>
      <c r="I752" s="27">
        <v>45967</v>
      </c>
      <c r="J752" s="8" t="s">
        <v>117</v>
      </c>
      <c r="K752" s="8" t="s">
        <v>118</v>
      </c>
      <c r="L752" s="8" t="s">
        <v>119</v>
      </c>
      <c r="M752" s="16" t="str">
        <f ca="1">IFERROR(__xludf.DUMMYFUNCTION("JOIN("""",VLOOKUP(D752,'для артикула'!$A$2:$B$7,2,0),VLOOKUP(G752,'для артикула'!$A$13:$B$14,2,0),VLOOKUP(E752,'для артикула'!$A$9:$B$11,2,0),VLOOKUP(F752,'для артикула'!$A$17:$B$19,2,0),VLOOKUP(J752,'для артикула'!$A$22:$B$23,2,0),VLOOKUP(H752,'для артик"&amp;"ула'!$A$26:$B$30,2,0))"),"002-2013E50Q13-OK")</f>
        <v>002-2013E50Q13-OK</v>
      </c>
      <c r="N752" s="8" t="str">
        <f>IF(ISNUMBER(MATCH(C752, 'Реестр договоров'!$D$2:$D$900, 0)), "Продано", "В наличии")</f>
        <v>Продано</v>
      </c>
    </row>
    <row r="753" spans="1:14">
      <c r="A753" s="26">
        <v>45971.57477467593</v>
      </c>
      <c r="B753" s="26"/>
      <c r="C753" s="8" t="s">
        <v>854</v>
      </c>
      <c r="D753" s="8" t="s">
        <v>114</v>
      </c>
      <c r="E753" s="8">
        <v>50</v>
      </c>
      <c r="F753" s="8" t="s">
        <v>116</v>
      </c>
      <c r="G753" s="8" t="s">
        <v>116</v>
      </c>
      <c r="H753" s="8" t="s">
        <v>115</v>
      </c>
      <c r="I753" s="27">
        <v>45971</v>
      </c>
      <c r="J753" s="8" t="s">
        <v>117</v>
      </c>
      <c r="K753" s="8" t="s">
        <v>118</v>
      </c>
      <c r="L753" s="8" t="s">
        <v>119</v>
      </c>
      <c r="M753" s="16" t="str">
        <f ca="1">IFERROR(__xludf.DUMMYFUNCTION("JOIN("""",VLOOKUP(D753,'для артикула'!$A$2:$B$7,2,0),VLOOKUP(G753,'для артикула'!$A$13:$B$14,2,0),VLOOKUP(E753,'для артикула'!$A$9:$B$11,2,0),VLOOKUP(F753,'для артикула'!$A$17:$B$19,2,0),VLOOKUP(J753,'для артикула'!$A$22:$B$23,2,0),VLOOKUP(H753,'для артик"&amp;"ула'!$A$26:$B$30,2,0))"),"002-2013E50Q13-OK")</f>
        <v>002-2013E50Q13-OK</v>
      </c>
      <c r="N753" s="8" t="str">
        <f>IF(ISNUMBER(MATCH(C753, 'Реестр договоров'!$D$2:$D$900, 0)), "Продано", "В наличии")</f>
        <v>Продано</v>
      </c>
    </row>
    <row r="754" spans="1:14">
      <c r="A754" s="26">
        <v>45972.437763958333</v>
      </c>
      <c r="B754" s="26"/>
      <c r="C754" s="8" t="s">
        <v>855</v>
      </c>
      <c r="D754" s="8" t="s">
        <v>287</v>
      </c>
      <c r="E754" s="8">
        <v>30</v>
      </c>
      <c r="F754" s="8" t="s">
        <v>116</v>
      </c>
      <c r="G754" s="8" t="s">
        <v>116</v>
      </c>
      <c r="H754" s="8" t="s">
        <v>115</v>
      </c>
      <c r="I754" s="27">
        <v>45971</v>
      </c>
      <c r="J754" s="8" t="s">
        <v>117</v>
      </c>
      <c r="K754" s="8" t="s">
        <v>121</v>
      </c>
      <c r="L754" s="8" t="s">
        <v>119</v>
      </c>
      <c r="M754" s="16" t="str">
        <f ca="1">IFERROR(__xludf.DUMMYFUNCTION("JOIN("""",VLOOKUP(D754,'для артикула'!$A$2:$B$7,2,0),VLOOKUP(G754,'для артикула'!$A$13:$B$14,2,0),VLOOKUP(E754,'для артикула'!$A$9:$B$11,2,0),VLOOKUP(F754,'для артикула'!$A$17:$B$19,2,0),VLOOKUP(J754,'для артикула'!$A$22:$B$23,2,0),VLOOKUP(H754,'для артик"&amp;"ула'!$A$26:$B$30,2,0))"),"002-2513E30Q13-OK")</f>
        <v>002-2513E30Q13-OK</v>
      </c>
      <c r="N754" s="8" t="str">
        <f>IF(ISNUMBER(MATCH(C754, 'Реестр договоров'!$D$2:$D$900, 0)), "Продано", "В наличии")</f>
        <v>Продано</v>
      </c>
    </row>
    <row r="755" spans="1:14">
      <c r="A755" s="26">
        <v>45972.487530023151</v>
      </c>
      <c r="B755" s="26"/>
      <c r="C755" s="8" t="s">
        <v>856</v>
      </c>
      <c r="D755" s="8" t="s">
        <v>366</v>
      </c>
      <c r="E755" s="8">
        <v>50</v>
      </c>
      <c r="F755" s="8" t="s">
        <v>116</v>
      </c>
      <c r="G755" s="8" t="s">
        <v>116</v>
      </c>
      <c r="H755" s="8">
        <v>120</v>
      </c>
      <c r="I755" s="27">
        <v>45972</v>
      </c>
      <c r="J755" s="8" t="s">
        <v>117</v>
      </c>
      <c r="K755" s="8" t="s">
        <v>124</v>
      </c>
      <c r="L755" s="8" t="s">
        <v>288</v>
      </c>
      <c r="M755" s="8" t="s">
        <v>857</v>
      </c>
      <c r="N755" s="8" t="str">
        <f>IF(ISNUMBER(MATCH(C755, 'Реестр договоров'!$D$2:$D$900, 0)), "Продано", "В наличии")</f>
        <v>Продано</v>
      </c>
    </row>
    <row r="756" spans="1:14">
      <c r="A756" s="26">
        <v>45972.487945914356</v>
      </c>
      <c r="B756" s="26"/>
      <c r="C756" s="8" t="s">
        <v>858</v>
      </c>
      <c r="D756" s="8" t="s">
        <v>114</v>
      </c>
      <c r="E756" s="8">
        <v>50</v>
      </c>
      <c r="F756" s="8" t="s">
        <v>116</v>
      </c>
      <c r="G756" s="8" t="s">
        <v>116</v>
      </c>
      <c r="H756" s="8" t="s">
        <v>115</v>
      </c>
      <c r="I756" s="27">
        <v>45972</v>
      </c>
      <c r="J756" s="8" t="s">
        <v>117</v>
      </c>
      <c r="K756" s="8" t="s">
        <v>124</v>
      </c>
      <c r="L756" s="8" t="s">
        <v>119</v>
      </c>
      <c r="M756" s="16" t="str">
        <f ca="1">IFERROR(__xludf.DUMMYFUNCTION("JOIN("""",VLOOKUP(D756,'для артикула'!$A$2:$B$7,2,0),VLOOKUP(G756,'для артикула'!$A$13:$B$14,2,0),VLOOKUP(E756,'для артикула'!$A$9:$B$11,2,0),VLOOKUP(F756,'для артикула'!$A$17:$B$19,2,0),VLOOKUP(J756,'для артикула'!$A$22:$B$23,2,0),VLOOKUP(H756,'для артик"&amp;"ула'!$A$26:$B$30,2,0))"),"002-2013E50Q13-OK")</f>
        <v>002-2013E50Q13-OK</v>
      </c>
      <c r="N756" s="8" t="str">
        <f>IF(ISNUMBER(MATCH(C756, 'Реестр договоров'!$D$2:$D$900, 0)), "Продано", "В наличии")</f>
        <v>Продано</v>
      </c>
    </row>
    <row r="757" spans="1:14">
      <c r="A757" s="26">
        <v>45972.565079351851</v>
      </c>
      <c r="B757" s="26"/>
      <c r="C757" s="8" t="s">
        <v>859</v>
      </c>
      <c r="D757" s="8" t="s">
        <v>114</v>
      </c>
      <c r="E757" s="8">
        <v>50</v>
      </c>
      <c r="F757" s="8" t="s">
        <v>116</v>
      </c>
      <c r="G757" s="8" t="s">
        <v>116</v>
      </c>
      <c r="H757" s="8" t="s">
        <v>115</v>
      </c>
      <c r="I757" s="27">
        <v>45972</v>
      </c>
      <c r="J757" s="8" t="s">
        <v>117</v>
      </c>
      <c r="K757" s="8" t="s">
        <v>121</v>
      </c>
      <c r="L757" s="8" t="s">
        <v>119</v>
      </c>
      <c r="M757" s="16" t="str">
        <f ca="1">IFERROR(__xludf.DUMMYFUNCTION("JOIN("""",VLOOKUP(D757,'для артикула'!$A$2:$B$7,2,0),VLOOKUP(G757,'для артикула'!$A$13:$B$14,2,0),VLOOKUP(E757,'для артикула'!$A$9:$B$11,2,0),VLOOKUP(F757,'для артикула'!$A$17:$B$19,2,0),VLOOKUP(J757,'для артикула'!$A$22:$B$23,2,0),VLOOKUP(H757,'для артик"&amp;"ула'!$A$26:$B$30,2,0))"),"002-2013E50Q13-OK")</f>
        <v>002-2013E50Q13-OK</v>
      </c>
      <c r="N757" s="8" t="str">
        <f>IF(ISNUMBER(MATCH(C757, 'Реестр договоров'!$D$2:$D$900, 0)), "Продано", "В наличии")</f>
        <v>Продано</v>
      </c>
    </row>
    <row r="758" spans="1:14">
      <c r="A758" s="26">
        <v>45973.457063796297</v>
      </c>
      <c r="B758" s="26"/>
      <c r="C758" s="8" t="s">
        <v>860</v>
      </c>
      <c r="D758" s="8" t="s">
        <v>114</v>
      </c>
      <c r="E758" s="8">
        <v>50</v>
      </c>
      <c r="F758" s="8" t="s">
        <v>116</v>
      </c>
      <c r="G758" s="8" t="s">
        <v>116</v>
      </c>
      <c r="H758" s="8">
        <v>60</v>
      </c>
      <c r="I758" s="27">
        <v>45972</v>
      </c>
      <c r="J758" s="8" t="s">
        <v>117</v>
      </c>
      <c r="K758" s="8" t="s">
        <v>118</v>
      </c>
      <c r="L758" s="8" t="s">
        <v>119</v>
      </c>
      <c r="M758" s="16" t="str">
        <f ca="1">IFERROR(__xludf.DUMMYFUNCTION("JOIN("""",VLOOKUP(D758,'для артикула'!$A$2:$B$7,2,0),VLOOKUP(G758,'для артикула'!$A$13:$B$14,2,0),VLOOKUP(E758,'для артикула'!$A$9:$B$11,2,0),VLOOKUP(F758,'для артикула'!$A$17:$B$19,2,0),VLOOKUP(J758,'для артикула'!$A$22:$B$23,2,0),VLOOKUP(H758,'для артик"&amp;"ула'!$A$26:$B$30,2,0))"),"002-2013E50Q13-OK60")</f>
        <v>002-2013E50Q13-OK60</v>
      </c>
      <c r="N758" s="8" t="str">
        <f>IF(ISNUMBER(MATCH(C758, 'Реестр договоров'!$D$2:$D$900, 0)), "Продано", "В наличии")</f>
        <v>Продано</v>
      </c>
    </row>
    <row r="759" spans="1:14">
      <c r="A759" s="26">
        <v>45973.638223090282</v>
      </c>
      <c r="B759" s="26"/>
      <c r="C759" s="8" t="s">
        <v>861</v>
      </c>
      <c r="D759" s="8" t="s">
        <v>114</v>
      </c>
      <c r="E759" s="8">
        <v>50</v>
      </c>
      <c r="F759" s="8" t="s">
        <v>116</v>
      </c>
      <c r="G759" s="8" t="s">
        <v>116</v>
      </c>
      <c r="H759" s="8">
        <v>30</v>
      </c>
      <c r="I759" s="27">
        <v>45972</v>
      </c>
      <c r="J759" s="8" t="s">
        <v>117</v>
      </c>
      <c r="K759" s="8" t="s">
        <v>118</v>
      </c>
      <c r="L759" s="8" t="s">
        <v>119</v>
      </c>
      <c r="M759" s="16" t="str">
        <f ca="1">IFERROR(__xludf.DUMMYFUNCTION("JOIN("""",VLOOKUP(D759,'для артикула'!$A$2:$B$7,2,0),VLOOKUP(G759,'для артикула'!$A$13:$B$14,2,0),VLOOKUP(E759,'для артикула'!$A$9:$B$11,2,0),VLOOKUP(F759,'для артикула'!$A$17:$B$19,2,0),VLOOKUP(J759,'для артикула'!$A$22:$B$23,2,0),VLOOKUP(H759,'для артик"&amp;"ула'!$A$26:$B$30,2,0))"),"002-2013E50Q13-OK30")</f>
        <v>002-2013E50Q13-OK30</v>
      </c>
      <c r="N759" s="8" t="str">
        <f>IF(ISNUMBER(MATCH(C759, 'Реестр договоров'!$D$2:$D$900, 0)), "Продано", "В наличии")</f>
        <v>Продано</v>
      </c>
    </row>
    <row r="760" spans="1:14">
      <c r="A760" s="26">
        <v>45974.435990057871</v>
      </c>
      <c r="B760" s="26"/>
      <c r="C760" s="8" t="s">
        <v>862</v>
      </c>
      <c r="D760" s="8" t="s">
        <v>114</v>
      </c>
      <c r="E760" s="8">
        <v>30</v>
      </c>
      <c r="F760" s="8" t="s">
        <v>116</v>
      </c>
      <c r="G760" s="8" t="s">
        <v>116</v>
      </c>
      <c r="H760" s="8" t="s">
        <v>115</v>
      </c>
      <c r="I760" s="27">
        <v>45974</v>
      </c>
      <c r="J760" s="8" t="s">
        <v>117</v>
      </c>
      <c r="K760" s="8" t="s">
        <v>124</v>
      </c>
      <c r="L760" s="8" t="s">
        <v>119</v>
      </c>
      <c r="M760" s="16" t="str">
        <f ca="1">IFERROR(__xludf.DUMMYFUNCTION("JOIN("""",VLOOKUP(D760,'для артикула'!$A$2:$B$7,2,0),VLOOKUP(G760,'для артикула'!$A$13:$B$14,2,0),VLOOKUP(E760,'для артикула'!$A$9:$B$11,2,0),VLOOKUP(F760,'для артикула'!$A$17:$B$19,2,0),VLOOKUP(J760,'для артикула'!$A$22:$B$23,2,0),VLOOKUP(H760,'для артик"&amp;"ула'!$A$26:$B$30,2,0))"),"002-2013E30Q13-OK")</f>
        <v>002-2013E30Q13-OK</v>
      </c>
      <c r="N760" s="8" t="str">
        <f>IF(ISNUMBER(MATCH(C760, 'Реестр договоров'!$D$2:$D$900, 0)), "Продано", "В наличии")</f>
        <v>В наличии</v>
      </c>
    </row>
    <row r="761" spans="1:14">
      <c r="A761" s="26">
        <v>45974.436438611112</v>
      </c>
      <c r="B761" s="26"/>
      <c r="C761" s="8" t="s">
        <v>863</v>
      </c>
      <c r="D761" s="8" t="s">
        <v>114</v>
      </c>
      <c r="E761" s="8">
        <v>50</v>
      </c>
      <c r="F761" s="8" t="s">
        <v>116</v>
      </c>
      <c r="G761" s="8" t="s">
        <v>116</v>
      </c>
      <c r="H761" s="8">
        <v>30</v>
      </c>
      <c r="I761" s="27">
        <v>45974</v>
      </c>
      <c r="J761" s="8" t="s">
        <v>117</v>
      </c>
      <c r="K761" s="8" t="s">
        <v>124</v>
      </c>
      <c r="L761" s="8" t="s">
        <v>119</v>
      </c>
      <c r="M761" s="16" t="str">
        <f ca="1">IFERROR(__xludf.DUMMYFUNCTION("JOIN("""",VLOOKUP(D761,'для артикула'!$A$2:$B$7,2,0),VLOOKUP(G761,'для артикула'!$A$13:$B$14,2,0),VLOOKUP(E761,'для артикула'!$A$9:$B$11,2,0),VLOOKUP(F761,'для артикула'!$A$17:$B$19,2,0),VLOOKUP(J761,'для артикула'!$A$22:$B$23,2,0),VLOOKUP(H761,'для артик"&amp;"ула'!$A$26:$B$30,2,0))"),"002-2013E50Q13-OK30")</f>
        <v>002-2013E50Q13-OK30</v>
      </c>
      <c r="N761" s="8" t="str">
        <f>IF(ISNUMBER(MATCH(C761, 'Реестр договоров'!$D$2:$D$900, 0)), "Продано", "В наличии")</f>
        <v>Продано</v>
      </c>
    </row>
    <row r="762" spans="1:14">
      <c r="A762" s="26">
        <v>45974.608864247683</v>
      </c>
      <c r="B762" s="26"/>
      <c r="C762" s="8" t="s">
        <v>864</v>
      </c>
      <c r="D762" s="8" t="s">
        <v>114</v>
      </c>
      <c r="E762" s="8">
        <v>30</v>
      </c>
      <c r="F762" s="8" t="s">
        <v>116</v>
      </c>
      <c r="G762" s="8" t="s">
        <v>116</v>
      </c>
      <c r="H762" s="8" t="s">
        <v>115</v>
      </c>
      <c r="I762" s="27">
        <v>45974</v>
      </c>
      <c r="J762" s="8" t="s">
        <v>117</v>
      </c>
      <c r="K762" s="8" t="s">
        <v>121</v>
      </c>
      <c r="L762" s="8" t="s">
        <v>119</v>
      </c>
      <c r="M762" s="16" t="str">
        <f ca="1">IFERROR(__xludf.DUMMYFUNCTION("JOIN("""",VLOOKUP(D762,'для артикула'!$A$2:$B$7,2,0),VLOOKUP(G762,'для артикула'!$A$13:$B$14,2,0),VLOOKUP(E762,'для артикула'!$A$9:$B$11,2,0),VLOOKUP(F762,'для артикула'!$A$17:$B$19,2,0),VLOOKUP(J762,'для артикула'!$A$22:$B$23,2,0),VLOOKUP(H762,'для артик"&amp;"ула'!$A$26:$B$30,2,0))"),"002-2013E30Q13-OK")</f>
        <v>002-2013E30Q13-OK</v>
      </c>
      <c r="N762" s="8" t="str">
        <f>IF(ISNUMBER(MATCH(C762, 'Реестр договоров'!$D$2:$D$900, 0)), "Продано", "В наличии")</f>
        <v>Продано</v>
      </c>
    </row>
    <row r="763" spans="1:14">
      <c r="A763" s="26">
        <v>45974.706303726853</v>
      </c>
      <c r="B763" s="26"/>
      <c r="C763" s="8" t="s">
        <v>865</v>
      </c>
      <c r="D763" s="8" t="s">
        <v>287</v>
      </c>
      <c r="E763" s="8">
        <v>50</v>
      </c>
      <c r="F763" s="8" t="s">
        <v>116</v>
      </c>
      <c r="G763" s="8" t="s">
        <v>116</v>
      </c>
      <c r="H763" s="8">
        <v>60</v>
      </c>
      <c r="I763" s="27">
        <v>45974</v>
      </c>
      <c r="J763" s="8" t="s">
        <v>117</v>
      </c>
      <c r="K763" s="8" t="s">
        <v>124</v>
      </c>
      <c r="L763" s="8" t="s">
        <v>119</v>
      </c>
      <c r="M763" s="16" t="str">
        <f ca="1">IFERROR(__xludf.DUMMYFUNCTION("JOIN("""",VLOOKUP(D763,'для артикула'!$A$2:$B$7,2,0),VLOOKUP(G763,'для артикула'!$A$13:$B$14,2,0),VLOOKUP(E763,'для артикула'!$A$9:$B$11,2,0),VLOOKUP(F763,'для артикула'!$A$17:$B$19,2,0),VLOOKUP(J763,'для артикула'!$A$22:$B$23,2,0),VLOOKUP(H763,'для артик"&amp;"ула'!$A$26:$B$30,2,0))"),"002-2513E50Q13-OK60")</f>
        <v>002-2513E50Q13-OK60</v>
      </c>
      <c r="N763" s="8" t="str">
        <f>IF(ISNUMBER(MATCH(C763, 'Реестр договоров'!$D$2:$D$900, 0)), "Продано", "В наличии")</f>
        <v>Продано</v>
      </c>
    </row>
    <row r="764" spans="1:14">
      <c r="A764" s="26">
        <v>45975.459910324076</v>
      </c>
      <c r="B764" s="26"/>
      <c r="C764" s="8" t="s">
        <v>866</v>
      </c>
      <c r="D764" s="8" t="s">
        <v>114</v>
      </c>
      <c r="E764" s="8">
        <v>30</v>
      </c>
      <c r="F764" s="8" t="s">
        <v>116</v>
      </c>
      <c r="G764" s="8" t="s">
        <v>116</v>
      </c>
      <c r="H764" s="8" t="s">
        <v>115</v>
      </c>
      <c r="I764" s="27">
        <v>45974</v>
      </c>
      <c r="J764" s="8" t="s">
        <v>117</v>
      </c>
      <c r="K764" s="8" t="s">
        <v>121</v>
      </c>
      <c r="L764" s="8" t="s">
        <v>119</v>
      </c>
      <c r="M764" s="16" t="str">
        <f ca="1">IFERROR(__xludf.DUMMYFUNCTION("JOIN("""",VLOOKUP(D764,'для артикула'!$A$2:$B$7,2,0),VLOOKUP(G764,'для артикула'!$A$13:$B$14,2,0),VLOOKUP(E764,'для артикула'!$A$9:$B$11,2,0),VLOOKUP(F764,'для артикула'!$A$17:$B$19,2,0),VLOOKUP(J764,'для артикула'!$A$22:$B$23,2,0),VLOOKUP(H764,'для артик"&amp;"ула'!$A$26:$B$30,2,0))"),"002-2013E30Q13-OK")</f>
        <v>002-2013E30Q13-OK</v>
      </c>
      <c r="N764" s="8" t="str">
        <f>IF(ISNUMBER(MATCH(C764, 'Реестр договоров'!$D$2:$D$900, 0)), "Продано", "В наличии")</f>
        <v>Продано</v>
      </c>
    </row>
    <row r="765" spans="1:14">
      <c r="A765" s="26">
        <v>45975.628048206017</v>
      </c>
      <c r="B765" s="26"/>
      <c r="C765" s="8" t="s">
        <v>867</v>
      </c>
      <c r="D765" s="8" t="s">
        <v>347</v>
      </c>
      <c r="E765" s="8">
        <v>30</v>
      </c>
      <c r="F765" s="8" t="s">
        <v>116</v>
      </c>
      <c r="G765" s="8" t="s">
        <v>116</v>
      </c>
      <c r="H765" s="8" t="s">
        <v>115</v>
      </c>
      <c r="I765" s="27">
        <v>45960</v>
      </c>
      <c r="J765" s="8" t="s">
        <v>117</v>
      </c>
      <c r="K765" s="8" t="s">
        <v>121</v>
      </c>
      <c r="L765" s="8" t="s">
        <v>119</v>
      </c>
      <c r="M765" s="16" t="str">
        <f ca="1">IFERROR(__xludf.DUMMYFUNCTION("JOIN("""",VLOOKUP(D765,'для артикула'!$A$2:$B$7,2,0),VLOOKUP(G765,'для артикула'!$A$13:$B$14,2,0),VLOOKUP(E765,'для артикула'!$A$9:$B$11,2,0),VLOOKUP(F765,'для артикула'!$A$17:$B$19,2,0),VLOOKUP(J765,'для артикула'!$A$22:$B$23,2,0),VLOOKUP(H765,'для артик"&amp;"ула'!$A$26:$B$30,2,0))"),"002-2515E30Q13-OK")</f>
        <v>002-2515E30Q13-OK</v>
      </c>
      <c r="N765" s="8" t="str">
        <f>IF(ISNUMBER(MATCH(C765, 'Реестр договоров'!$D$2:$D$900, 0)), "Продано", "В наличии")</f>
        <v>Продано</v>
      </c>
    </row>
    <row r="766" spans="1:14">
      <c r="A766" s="26">
        <v>45979.534250462966</v>
      </c>
      <c r="B766" s="26"/>
      <c r="C766" s="8" t="s">
        <v>868</v>
      </c>
      <c r="D766" s="8" t="s">
        <v>287</v>
      </c>
      <c r="E766" s="8">
        <v>50</v>
      </c>
      <c r="F766" s="8" t="s">
        <v>116</v>
      </c>
      <c r="G766" s="8" t="s">
        <v>116</v>
      </c>
      <c r="H766" s="8" t="s">
        <v>115</v>
      </c>
      <c r="I766" s="27">
        <v>45972</v>
      </c>
      <c r="J766" s="8" t="s">
        <v>117</v>
      </c>
      <c r="K766" s="8" t="s">
        <v>121</v>
      </c>
      <c r="L766" s="8" t="s">
        <v>119</v>
      </c>
      <c r="M766" s="16" t="str">
        <f ca="1">IFERROR(__xludf.DUMMYFUNCTION("JOIN("""",VLOOKUP(D766,'для артикула'!$A$2:$B$7,2,0),VLOOKUP(G766,'для артикула'!$A$13:$B$14,2,0),VLOOKUP(E766,'для артикула'!$A$9:$B$11,2,0),VLOOKUP(F766,'для артикула'!$A$17:$B$19,2,0),VLOOKUP(J766,'для артикула'!$A$22:$B$23,2,0),VLOOKUP(H766,'для артик"&amp;"ула'!$A$26:$B$30,2,0))"),"002-2513E50Q13-OK")</f>
        <v>002-2513E50Q13-OK</v>
      </c>
      <c r="N766" s="8" t="str">
        <f>IF(ISNUMBER(MATCH(C766, 'Реестр договоров'!$D$2:$D$900, 0)), "Продано", "В наличии")</f>
        <v>Продано</v>
      </c>
    </row>
    <row r="767" spans="1:14">
      <c r="A767" s="26">
        <v>45980.647104791671</v>
      </c>
      <c r="B767" s="26"/>
      <c r="C767" s="8" t="s">
        <v>869</v>
      </c>
      <c r="D767" s="8" t="s">
        <v>347</v>
      </c>
      <c r="E767" s="8" t="s">
        <v>115</v>
      </c>
      <c r="F767" s="8" t="s">
        <v>116</v>
      </c>
      <c r="G767" s="8" t="s">
        <v>116</v>
      </c>
      <c r="H767" s="8" t="s">
        <v>115</v>
      </c>
      <c r="I767" s="27">
        <v>45980</v>
      </c>
      <c r="J767" s="8" t="s">
        <v>117</v>
      </c>
      <c r="K767" s="8" t="s">
        <v>118</v>
      </c>
      <c r="L767" s="8" t="s">
        <v>288</v>
      </c>
      <c r="M767" s="16" t="str">
        <f ca="1">IFERROR(__xludf.DUMMYFUNCTION("JOIN("""",VLOOKUP(D767,'для артикула'!$A$2:$B$7,2,0),VLOOKUP(G767,'для артикула'!$A$13:$B$14,2,0),VLOOKUP(E767,'для артикула'!$A$9:$B$11,2,0),VLOOKUP(F767,'для артикула'!$A$17:$B$19,2,0),VLOOKUP(J767,'для артикула'!$A$22:$B$23,2,0),VLOOKUP(H767,'для артик"&amp;"ула'!$A$26:$B$30,2,0))"),"002-2515Q13-OK")</f>
        <v>002-2515Q13-OK</v>
      </c>
      <c r="N767" s="8" t="str">
        <f>IF(ISNUMBER(MATCH(C767, 'Реестр договоров'!$D$2:$D$900, 0)), "Продано", "В наличии")</f>
        <v>Продано</v>
      </c>
    </row>
    <row r="768" spans="1:14">
      <c r="A768" s="26">
        <v>45981.428233796294</v>
      </c>
      <c r="B768" s="26"/>
      <c r="C768" s="8" t="s">
        <v>870</v>
      </c>
      <c r="D768" s="8" t="s">
        <v>114</v>
      </c>
      <c r="E768" s="8">
        <v>50</v>
      </c>
      <c r="F768" s="8" t="s">
        <v>116</v>
      </c>
      <c r="G768" s="8" t="s">
        <v>116</v>
      </c>
      <c r="H768" s="8" t="s">
        <v>115</v>
      </c>
      <c r="I768" s="27">
        <v>45981</v>
      </c>
      <c r="J768" s="8" t="s">
        <v>117</v>
      </c>
      <c r="K768" s="8" t="s">
        <v>121</v>
      </c>
      <c r="L768" s="8" t="s">
        <v>119</v>
      </c>
      <c r="M768" s="16" t="str">
        <f ca="1">IFERROR(__xludf.DUMMYFUNCTION("JOIN("""",VLOOKUP(D768,'для артикула'!$A$2:$B$7,2,0),VLOOKUP(G768,'для артикула'!$A$13:$B$14,2,0),VLOOKUP(E768,'для артикула'!$A$9:$B$11,2,0),VLOOKUP(F768,'для артикула'!$A$17:$B$19,2,0),VLOOKUP(J768,'для артикула'!$A$22:$B$23,2,0),VLOOKUP(H768,'для артик"&amp;"ула'!$A$26:$B$30,2,0))"),"002-2013E50Q13-OK")</f>
        <v>002-2013E50Q13-OK</v>
      </c>
      <c r="N768" s="8" t="str">
        <f>IF(ISNUMBER(MATCH(C768, 'Реестр договоров'!$D$2:$D$900, 0)), "Продано", "В наличии")</f>
        <v>Продано</v>
      </c>
    </row>
    <row r="769" spans="1:14">
      <c r="A769" s="26">
        <v>45982.516076481479</v>
      </c>
      <c r="B769" s="26"/>
      <c r="C769" s="8" t="s">
        <v>871</v>
      </c>
      <c r="D769" s="8" t="s">
        <v>287</v>
      </c>
      <c r="E769" s="8">
        <v>50</v>
      </c>
      <c r="F769" s="8" t="s">
        <v>116</v>
      </c>
      <c r="G769" s="8" t="s">
        <v>116</v>
      </c>
      <c r="H769" s="8" t="s">
        <v>115</v>
      </c>
      <c r="I769" s="27">
        <v>45982</v>
      </c>
      <c r="J769" s="8" t="s">
        <v>117</v>
      </c>
      <c r="K769" s="8" t="s">
        <v>124</v>
      </c>
      <c r="L769" s="8" t="s">
        <v>119</v>
      </c>
      <c r="M769" s="16" t="str">
        <f ca="1">IFERROR(__xludf.DUMMYFUNCTION("JOIN("""",VLOOKUP(D769,'для артикула'!$A$2:$B$7,2,0),VLOOKUP(G769,'для артикула'!$A$13:$B$14,2,0),VLOOKUP(E769,'для артикула'!$A$9:$B$11,2,0),VLOOKUP(F769,'для артикула'!$A$17:$B$19,2,0),VLOOKUP(J769,'для артикула'!$A$22:$B$23,2,0),VLOOKUP(H769,'для артик"&amp;"ула'!$A$26:$B$30,2,0))"),"002-2513E50Q13-OK")</f>
        <v>002-2513E50Q13-OK</v>
      </c>
      <c r="N769" s="8" t="str">
        <f>IF(ISNUMBER(MATCH(C769, 'Реестр договоров'!$D$2:$D$900, 0)), "Продано", "В наличии")</f>
        <v>Продано</v>
      </c>
    </row>
    <row r="770" spans="1:14">
      <c r="A770" s="26">
        <v>45982.76402555556</v>
      </c>
      <c r="B770" s="26"/>
      <c r="C770" s="8" t="s">
        <v>872</v>
      </c>
      <c r="D770" s="8" t="s">
        <v>114</v>
      </c>
      <c r="E770" s="8">
        <v>50</v>
      </c>
      <c r="F770" s="8" t="s">
        <v>116</v>
      </c>
      <c r="G770" s="8" t="s">
        <v>116</v>
      </c>
      <c r="H770" s="8" t="s">
        <v>115</v>
      </c>
      <c r="I770" s="27">
        <v>45699</v>
      </c>
      <c r="J770" s="8" t="s">
        <v>117</v>
      </c>
      <c r="K770" s="8" t="s">
        <v>124</v>
      </c>
      <c r="L770" s="8" t="s">
        <v>119</v>
      </c>
      <c r="M770" s="16" t="str">
        <f ca="1">IFERROR(__xludf.DUMMYFUNCTION("JOIN("""",VLOOKUP(D770,'для артикула'!$A$2:$B$7,2,0),VLOOKUP(G770,'для артикула'!$A$13:$B$14,2,0),VLOOKUP(E770,'для артикула'!$A$9:$B$11,2,0),VLOOKUP(F770,'для артикула'!$A$17:$B$19,2,0),VLOOKUP(J770,'для артикула'!$A$22:$B$23,2,0),VLOOKUP(H770,'для артик"&amp;"ула'!$A$26:$B$30,2,0))"),"002-2013E50Q13-OK")</f>
        <v>002-2013E50Q13-OK</v>
      </c>
      <c r="N770" s="8" t="str">
        <f>IF(ISNUMBER(MATCH(C770, 'Реестр договоров'!$D$2:$D$900, 0)), "Продано", "В наличии")</f>
        <v>Продано</v>
      </c>
    </row>
    <row r="771" spans="1:14">
      <c r="A771" s="26">
        <v>45984.722513553235</v>
      </c>
      <c r="B771" s="26"/>
      <c r="C771" s="8" t="s">
        <v>873</v>
      </c>
      <c r="D771" s="8" t="s">
        <v>287</v>
      </c>
      <c r="E771" s="8">
        <v>50</v>
      </c>
      <c r="F771" s="8" t="s">
        <v>116</v>
      </c>
      <c r="G771" s="8" t="s">
        <v>116</v>
      </c>
      <c r="H771" s="8" t="s">
        <v>115</v>
      </c>
      <c r="I771" s="27">
        <v>45984</v>
      </c>
      <c r="J771" s="8" t="s">
        <v>117</v>
      </c>
      <c r="K771" s="8" t="s">
        <v>124</v>
      </c>
      <c r="L771" s="8" t="s">
        <v>119</v>
      </c>
      <c r="M771" s="16" t="str">
        <f ca="1">IFERROR(__xludf.DUMMYFUNCTION("JOIN("""",VLOOKUP(D771,'для артикула'!$A$2:$B$7,2,0),VLOOKUP(G771,'для артикула'!$A$13:$B$14,2,0),VLOOKUP(E771,'для артикула'!$A$9:$B$11,2,0),VLOOKUP(F771,'для артикула'!$A$17:$B$19,2,0),VLOOKUP(J771,'для артикула'!$A$22:$B$23,2,0),VLOOKUP(H771,'для артик"&amp;"ула'!$A$26:$B$30,2,0))"),"002-2513E50Q13-OK")</f>
        <v>002-2513E50Q13-OK</v>
      </c>
      <c r="N771" s="8" t="str">
        <f>IF(ISNUMBER(MATCH(C771, 'Реестр договоров'!$D$2:$D$900, 0)), "Продано", "В наличии")</f>
        <v>Продано</v>
      </c>
    </row>
    <row r="772" spans="1:14">
      <c r="A772" s="26">
        <v>45985.47990431713</v>
      </c>
      <c r="B772" s="26"/>
      <c r="C772" s="8" t="s">
        <v>874</v>
      </c>
      <c r="D772" s="8" t="s">
        <v>366</v>
      </c>
      <c r="E772" s="8">
        <v>50</v>
      </c>
      <c r="F772" s="8" t="s">
        <v>116</v>
      </c>
      <c r="G772" s="8" t="s">
        <v>116</v>
      </c>
      <c r="H772" s="8" t="s">
        <v>115</v>
      </c>
      <c r="I772" s="27">
        <v>45985</v>
      </c>
      <c r="J772" s="8" t="s">
        <v>117</v>
      </c>
      <c r="K772" s="8" t="s">
        <v>124</v>
      </c>
      <c r="L772" s="8" t="s">
        <v>288</v>
      </c>
      <c r="M772" s="8" t="s">
        <v>857</v>
      </c>
      <c r="N772" s="8" t="str">
        <f>IF(ISNUMBER(MATCH(C772, 'Реестр договоров'!$D$2:$D$900, 0)), "Продано", "В наличии")</f>
        <v>Продано</v>
      </c>
    </row>
    <row r="773" spans="1:14">
      <c r="A773" s="26">
        <v>45985.662470914351</v>
      </c>
      <c r="B773" s="26"/>
      <c r="C773" s="8" t="s">
        <v>875</v>
      </c>
      <c r="D773" s="8" t="s">
        <v>114</v>
      </c>
      <c r="E773" s="8">
        <v>50</v>
      </c>
      <c r="F773" s="8" t="s">
        <v>116</v>
      </c>
      <c r="G773" s="8" t="s">
        <v>116</v>
      </c>
      <c r="H773" s="8" t="s">
        <v>115</v>
      </c>
      <c r="I773" s="27">
        <v>45966</v>
      </c>
      <c r="J773" s="8" t="s">
        <v>117</v>
      </c>
      <c r="K773" s="8" t="s">
        <v>121</v>
      </c>
      <c r="L773" s="8" t="s">
        <v>119</v>
      </c>
      <c r="M773" s="16" t="str">
        <f ca="1">IFERROR(__xludf.DUMMYFUNCTION("JOIN("""",VLOOKUP(D773,'для артикула'!$A$2:$B$7,2,0),VLOOKUP(G773,'для артикула'!$A$13:$B$14,2,0),VLOOKUP(E773,'для артикула'!$A$9:$B$11,2,0),VLOOKUP(F773,'для артикула'!$A$17:$B$19,2,0),VLOOKUP(J773,'для артикула'!$A$22:$B$23,2,0),VLOOKUP(H773,'для артик"&amp;"ула'!$A$26:$B$30,2,0))"),"002-2013E50Q13-OK")</f>
        <v>002-2013E50Q13-OK</v>
      </c>
      <c r="N773" s="8" t="str">
        <f>IF(ISNUMBER(MATCH(C773, 'Реестр договоров'!$D$2:$D$900, 0)), "Продано", "В наличии")</f>
        <v>Продано</v>
      </c>
    </row>
    <row r="774" spans="1:14">
      <c r="A774" s="26">
        <v>45986.582908379627</v>
      </c>
      <c r="B774" s="26"/>
      <c r="C774" s="8" t="s">
        <v>876</v>
      </c>
      <c r="D774" s="8" t="s">
        <v>114</v>
      </c>
      <c r="E774" s="8">
        <v>30</v>
      </c>
      <c r="F774" s="8" t="s">
        <v>116</v>
      </c>
      <c r="G774" s="8" t="s">
        <v>116</v>
      </c>
      <c r="H774" s="8" t="s">
        <v>115</v>
      </c>
      <c r="I774" s="27">
        <v>45986</v>
      </c>
      <c r="J774" s="8" t="s">
        <v>117</v>
      </c>
      <c r="K774" s="8" t="s">
        <v>124</v>
      </c>
      <c r="L774" s="8" t="s">
        <v>119</v>
      </c>
      <c r="M774" s="16" t="str">
        <f ca="1">IFERROR(__xludf.DUMMYFUNCTION("JOIN("""",VLOOKUP(D774,'для артикула'!$A$2:$B$7,2,0),VLOOKUP(G774,'для артикула'!$A$13:$B$14,2,0),VLOOKUP(E774,'для артикула'!$A$9:$B$11,2,0),VLOOKUP(F774,'для артикула'!$A$17:$B$19,2,0),VLOOKUP(J774,'для артикула'!$A$22:$B$23,2,0),VLOOKUP(H774,'для артик"&amp;"ула'!$A$26:$B$30,2,0))"),"002-2013E30Q13-OK")</f>
        <v>002-2013E30Q13-OK</v>
      </c>
      <c r="N774" s="8" t="str">
        <f>IF(ISNUMBER(MATCH(C774, 'Реестр договоров'!$D$2:$D$900, 0)), "Продано", "В наличии")</f>
        <v>Продано</v>
      </c>
    </row>
    <row r="775" spans="1:14">
      <c r="A775" s="26">
        <v>45986.599958877312</v>
      </c>
      <c r="B775" s="26"/>
      <c r="C775" s="8" t="s">
        <v>877</v>
      </c>
      <c r="D775" s="8" t="s">
        <v>114</v>
      </c>
      <c r="E775" s="8">
        <v>50</v>
      </c>
      <c r="F775" s="8" t="s">
        <v>116</v>
      </c>
      <c r="G775" s="8" t="s">
        <v>116</v>
      </c>
      <c r="H775" s="8" t="s">
        <v>115</v>
      </c>
      <c r="I775" s="27">
        <v>45986</v>
      </c>
      <c r="J775" s="8" t="s">
        <v>117</v>
      </c>
      <c r="K775" s="8" t="s">
        <v>124</v>
      </c>
      <c r="L775" s="8" t="s">
        <v>119</v>
      </c>
      <c r="M775" s="16" t="str">
        <f ca="1">IFERROR(__xludf.DUMMYFUNCTION("JOIN("""",VLOOKUP(D775,'для артикула'!$A$2:$B$7,2,0),VLOOKUP(G775,'для артикула'!$A$13:$B$14,2,0),VLOOKUP(E775,'для артикула'!$A$9:$B$11,2,0),VLOOKUP(F775,'для артикула'!$A$17:$B$19,2,0),VLOOKUP(J775,'для артикула'!$A$22:$B$23,2,0),VLOOKUP(H775,'для артик"&amp;"ула'!$A$26:$B$30,2,0))"),"002-2013E50Q13-OK")</f>
        <v>002-2013E50Q13-OK</v>
      </c>
      <c r="N775" s="8" t="str">
        <f>IF(ISNUMBER(MATCH(C775, 'Реестр договоров'!$D$2:$D$900, 0)), "Продано", "В наличии")</f>
        <v>Продано</v>
      </c>
    </row>
    <row r="776" spans="1:14">
      <c r="A776" s="26">
        <v>45986.640410300926</v>
      </c>
      <c r="B776" s="26"/>
      <c r="C776" s="8" t="s">
        <v>878</v>
      </c>
      <c r="D776" s="8" t="s">
        <v>114</v>
      </c>
      <c r="E776" s="8">
        <v>50</v>
      </c>
      <c r="F776" s="8" t="s">
        <v>116</v>
      </c>
      <c r="G776" s="8" t="s">
        <v>116</v>
      </c>
      <c r="H776" s="8">
        <v>60</v>
      </c>
      <c r="I776" s="27">
        <v>45986</v>
      </c>
      <c r="J776" s="8" t="s">
        <v>117</v>
      </c>
      <c r="K776" s="8" t="s">
        <v>118</v>
      </c>
      <c r="L776" s="8" t="s">
        <v>119</v>
      </c>
      <c r="M776" s="16" t="str">
        <f ca="1">IFERROR(__xludf.DUMMYFUNCTION("JOIN("""",VLOOKUP(D776,'для артикула'!$A$2:$B$7,2,0),VLOOKUP(G776,'для артикула'!$A$13:$B$14,2,0),VLOOKUP(E776,'для артикула'!$A$9:$B$11,2,0),VLOOKUP(F776,'для артикула'!$A$17:$B$19,2,0),VLOOKUP(J776,'для артикула'!$A$22:$B$23,2,0),VLOOKUP(H776,'для артик"&amp;"ула'!$A$26:$B$30,2,0))"),"002-2013E50Q13-OK60")</f>
        <v>002-2013E50Q13-OK60</v>
      </c>
      <c r="N776" s="8" t="str">
        <f>IF(ISNUMBER(MATCH(C776, 'Реестр договоров'!$D$2:$D$900, 0)), "Продано", "В наличии")</f>
        <v>Продано</v>
      </c>
    </row>
    <row r="777" spans="1:14">
      <c r="A777" s="26">
        <v>45987.520218182872</v>
      </c>
      <c r="B777" s="26"/>
      <c r="C777" s="8" t="s">
        <v>879</v>
      </c>
      <c r="D777" s="8" t="s">
        <v>114</v>
      </c>
      <c r="E777" s="8">
        <v>50</v>
      </c>
      <c r="F777" s="8" t="s">
        <v>116</v>
      </c>
      <c r="G777" s="8" t="s">
        <v>116</v>
      </c>
      <c r="H777" s="8" t="s">
        <v>115</v>
      </c>
      <c r="I777" s="27">
        <v>45980</v>
      </c>
      <c r="J777" s="8" t="s">
        <v>117</v>
      </c>
      <c r="K777" s="8" t="s">
        <v>121</v>
      </c>
      <c r="L777" s="8" t="s">
        <v>119</v>
      </c>
      <c r="M777" s="16" t="str">
        <f ca="1">IFERROR(__xludf.DUMMYFUNCTION("JOIN("""",VLOOKUP(D777,'для артикула'!$A$2:$B$7,2,0),VLOOKUP(G777,'для артикула'!$A$13:$B$14,2,0),VLOOKUP(E777,'для артикула'!$A$9:$B$11,2,0),VLOOKUP(F777,'для артикула'!$A$17:$B$19,2,0),VLOOKUP(J777,'для артикула'!$A$22:$B$23,2,0),VLOOKUP(H777,'для артик"&amp;"ула'!$A$26:$B$30,2,0))"),"002-2013E50Q13-OK")</f>
        <v>002-2013E50Q13-OK</v>
      </c>
      <c r="N777" s="8" t="str">
        <f>IF(ISNUMBER(MATCH(C777, 'Реестр договоров'!$D$2:$D$900, 0)), "Продано", "В наличии")</f>
        <v>Продано</v>
      </c>
    </row>
    <row r="778" spans="1:14">
      <c r="A778" s="26">
        <v>45987.619486238429</v>
      </c>
      <c r="B778" s="26"/>
      <c r="C778" s="8" t="s">
        <v>880</v>
      </c>
      <c r="D778" s="8" t="s">
        <v>114</v>
      </c>
      <c r="E778" s="8">
        <v>50</v>
      </c>
      <c r="F778" s="8" t="s">
        <v>116</v>
      </c>
      <c r="G778" s="8" t="s">
        <v>116</v>
      </c>
      <c r="H778" s="8" t="s">
        <v>115</v>
      </c>
      <c r="I778" s="27">
        <v>45987</v>
      </c>
      <c r="J778" s="8" t="s">
        <v>117</v>
      </c>
      <c r="K778" s="8" t="s">
        <v>124</v>
      </c>
      <c r="L778" s="8" t="s">
        <v>119</v>
      </c>
      <c r="M778" s="16" t="str">
        <f ca="1">IFERROR(__xludf.DUMMYFUNCTION("JOIN("""",VLOOKUP(D778,'для артикула'!$A$2:$B$7,2,0),VLOOKUP(G778,'для артикула'!$A$13:$B$14,2,0),VLOOKUP(E778,'для артикула'!$A$9:$B$11,2,0),VLOOKUP(F778,'для артикула'!$A$17:$B$19,2,0),VLOOKUP(J778,'для артикула'!$A$22:$B$23,2,0),VLOOKUP(H778,'для артик"&amp;"ула'!$A$26:$B$30,2,0))"),"002-2013E50Q13-OK")</f>
        <v>002-2013E50Q13-OK</v>
      </c>
      <c r="N778" s="8" t="str">
        <f>IF(ISNUMBER(MATCH(C778, 'Реестр договоров'!$D$2:$D$900, 0)), "Продано", "В наличии")</f>
        <v>В наличии</v>
      </c>
    </row>
    <row r="779" spans="1:14">
      <c r="A779" s="26">
        <v>45987.619908692126</v>
      </c>
      <c r="B779" s="26"/>
      <c r="C779" s="8" t="s">
        <v>881</v>
      </c>
      <c r="D779" s="8" t="s">
        <v>114</v>
      </c>
      <c r="E779" s="8">
        <v>50</v>
      </c>
      <c r="F779" s="8" t="s">
        <v>116</v>
      </c>
      <c r="G779" s="8" t="s">
        <v>116</v>
      </c>
      <c r="H779" s="8" t="s">
        <v>115</v>
      </c>
      <c r="I779" s="27">
        <v>45987</v>
      </c>
      <c r="J779" s="8" t="s">
        <v>117</v>
      </c>
      <c r="K779" s="8" t="s">
        <v>124</v>
      </c>
      <c r="L779" s="8" t="s">
        <v>119</v>
      </c>
      <c r="M779" s="16" t="str">
        <f ca="1">IFERROR(__xludf.DUMMYFUNCTION("JOIN("""",VLOOKUP(D779,'для артикула'!$A$2:$B$7,2,0),VLOOKUP(G779,'для артикула'!$A$13:$B$14,2,0),VLOOKUP(E779,'для артикула'!$A$9:$B$11,2,0),VLOOKUP(F779,'для артикула'!$A$17:$B$19,2,0),VLOOKUP(J779,'для артикула'!$A$22:$B$23,2,0),VLOOKUP(H779,'для артик"&amp;"ула'!$A$26:$B$30,2,0))"),"002-2013E50Q13-OK")</f>
        <v>002-2013E50Q13-OK</v>
      </c>
      <c r="N779" s="8" t="str">
        <f>IF(ISNUMBER(MATCH(C779, 'Реестр договоров'!$D$2:$D$900, 0)), "Продано", "В наличии")</f>
        <v>В наличии</v>
      </c>
    </row>
    <row r="780" spans="1:14">
      <c r="A780" s="26">
        <v>45987.620413564815</v>
      </c>
      <c r="B780" s="26"/>
      <c r="C780" s="8" t="s">
        <v>882</v>
      </c>
      <c r="D780" s="8" t="s">
        <v>114</v>
      </c>
      <c r="E780" s="8">
        <v>50</v>
      </c>
      <c r="F780" s="8" t="s">
        <v>116</v>
      </c>
      <c r="G780" s="8" t="s">
        <v>116</v>
      </c>
      <c r="H780" s="8" t="s">
        <v>115</v>
      </c>
      <c r="I780" s="27">
        <v>45987</v>
      </c>
      <c r="J780" s="8" t="s">
        <v>117</v>
      </c>
      <c r="K780" s="8" t="s">
        <v>124</v>
      </c>
      <c r="L780" s="8" t="s">
        <v>119</v>
      </c>
      <c r="M780" s="16" t="str">
        <f ca="1">IFERROR(__xludf.DUMMYFUNCTION("JOIN("""",VLOOKUP(D780,'для артикула'!$A$2:$B$7,2,0),VLOOKUP(G780,'для артикула'!$A$13:$B$14,2,0),VLOOKUP(E780,'для артикула'!$A$9:$B$11,2,0),VLOOKUP(F780,'для артикула'!$A$17:$B$19,2,0),VLOOKUP(J780,'для артикула'!$A$22:$B$23,2,0),VLOOKUP(H780,'для артик"&amp;"ула'!$A$26:$B$30,2,0))"),"002-2013E50Q13-OK")</f>
        <v>002-2013E50Q13-OK</v>
      </c>
      <c r="N780" s="8" t="str">
        <f>IF(ISNUMBER(MATCH(C780, 'Реестр договоров'!$D$2:$D$900, 0)), "Продано", "В наличии")</f>
        <v>В наличии</v>
      </c>
    </row>
    <row r="781" spans="1:14">
      <c r="A781" s="26">
        <v>45987.621258692132</v>
      </c>
      <c r="B781" s="26"/>
      <c r="C781" s="8" t="s">
        <v>883</v>
      </c>
      <c r="D781" s="8" t="s">
        <v>366</v>
      </c>
      <c r="E781" s="8" t="s">
        <v>115</v>
      </c>
      <c r="F781" s="8" t="s">
        <v>116</v>
      </c>
      <c r="G781" s="8" t="s">
        <v>116</v>
      </c>
      <c r="H781" s="8" t="s">
        <v>115</v>
      </c>
      <c r="I781" s="27">
        <v>45987</v>
      </c>
      <c r="J781" s="8" t="s">
        <v>117</v>
      </c>
      <c r="K781" s="8" t="s">
        <v>124</v>
      </c>
      <c r="L781" s="8" t="s">
        <v>288</v>
      </c>
      <c r="M781" s="16" t="str">
        <f ca="1">IFERROR(__xludf.DUMMYFUNCTION("JOIN("""",VLOOKUP(D781,'для артикула'!$A$2:$B$7,2,0),VLOOKUP(G781,'для артикула'!$A$13:$B$14,2,0),VLOOKUP(E781,'для артикула'!$A$9:$B$11,2,0),VLOOKUP(F781,'для артикула'!$A$17:$B$19,2,0),VLOOKUP(J781,'для артикула'!$A$22:$B$23,2,0),VLOOKUP(H781,'для артик"&amp;"ула'!$A$26:$B$30,2,0))"),"002-3015Q13-OK")</f>
        <v>002-3015Q13-OK</v>
      </c>
      <c r="N781" s="8" t="str">
        <f>IF(ISNUMBER(MATCH(C781, 'Реестр договоров'!$D$2:$D$900, 0)), "Продано", "В наличии")</f>
        <v>Продано</v>
      </c>
    </row>
    <row r="782" spans="1:14">
      <c r="A782" s="26">
        <v>45987.682097129626</v>
      </c>
      <c r="B782" s="26"/>
      <c r="C782" s="8" t="s">
        <v>884</v>
      </c>
      <c r="D782" s="8" t="s">
        <v>114</v>
      </c>
      <c r="E782" s="8">
        <v>50</v>
      </c>
      <c r="F782" s="8" t="s">
        <v>116</v>
      </c>
      <c r="G782" s="8" t="s">
        <v>116</v>
      </c>
      <c r="H782" s="8" t="s">
        <v>115</v>
      </c>
      <c r="I782" s="27">
        <v>45980</v>
      </c>
      <c r="J782" s="8" t="s">
        <v>117</v>
      </c>
      <c r="K782" s="8" t="s">
        <v>121</v>
      </c>
      <c r="L782" s="8" t="s">
        <v>119</v>
      </c>
      <c r="M782" s="16" t="str">
        <f ca="1">IFERROR(__xludf.DUMMYFUNCTION("JOIN("""",VLOOKUP(D782,'для артикула'!$A$2:$B$7,2,0),VLOOKUP(G782,'для артикула'!$A$13:$B$14,2,0),VLOOKUP(E782,'для артикула'!$A$9:$B$11,2,0),VLOOKUP(F782,'для артикула'!$A$17:$B$19,2,0),VLOOKUP(J782,'для артикула'!$A$22:$B$23,2,0),VLOOKUP(H782,'для артик"&amp;"ула'!$A$26:$B$30,2,0))"),"002-2013E50Q13-OK")</f>
        <v>002-2013E50Q13-OK</v>
      </c>
      <c r="N782" s="8" t="str">
        <f>IF(ISNUMBER(MATCH(C782, 'Реестр договоров'!$D$2:$D$900, 0)), "Продано", "В наличии")</f>
        <v>Продано</v>
      </c>
    </row>
    <row r="783" spans="1:14">
      <c r="A783" s="26">
        <v>45989.506329861106</v>
      </c>
      <c r="B783" s="26"/>
      <c r="C783" s="8" t="s">
        <v>885</v>
      </c>
      <c r="D783" s="8" t="s">
        <v>114</v>
      </c>
      <c r="E783" s="8">
        <v>50</v>
      </c>
      <c r="F783" s="8" t="s">
        <v>116</v>
      </c>
      <c r="G783" s="8" t="s">
        <v>116</v>
      </c>
      <c r="H783" s="8" t="s">
        <v>115</v>
      </c>
      <c r="I783" s="27">
        <v>45981</v>
      </c>
      <c r="J783" s="8" t="s">
        <v>117</v>
      </c>
      <c r="K783" s="8" t="s">
        <v>121</v>
      </c>
      <c r="L783" s="8" t="s">
        <v>119</v>
      </c>
      <c r="M783" s="16" t="str">
        <f ca="1">IFERROR(__xludf.DUMMYFUNCTION("JOIN("""",VLOOKUP(D783,'для артикула'!$A$2:$B$7,2,0),VLOOKUP(G783,'для артикула'!$A$13:$B$14,2,0),VLOOKUP(E783,'для артикула'!$A$9:$B$11,2,0),VLOOKUP(F783,'для артикула'!$A$17:$B$19,2,0),VLOOKUP(J783,'для артикула'!$A$22:$B$23,2,0),VLOOKUP(H783,'для артик"&amp;"ула'!$A$26:$B$30,2,0))"),"002-2013E50Q13-OK")</f>
        <v>002-2013E50Q13-OK</v>
      </c>
      <c r="N783" s="8" t="str">
        <f>IF(ISNUMBER(MATCH(C783, 'Реестр договоров'!$D$2:$D$900, 0)), "Продано", "В наличии")</f>
        <v>Продано</v>
      </c>
    </row>
    <row r="784" spans="1:14">
      <c r="A784" s="26">
        <v>45989.592856944444</v>
      </c>
      <c r="B784" s="26"/>
      <c r="C784" s="8" t="s">
        <v>886</v>
      </c>
      <c r="D784" s="8" t="s">
        <v>114</v>
      </c>
      <c r="E784" s="8">
        <v>50</v>
      </c>
      <c r="F784" s="8" t="s">
        <v>116</v>
      </c>
      <c r="G784" s="8" t="s">
        <v>116</v>
      </c>
      <c r="H784" s="8" t="s">
        <v>115</v>
      </c>
      <c r="I784" s="27">
        <v>45981</v>
      </c>
      <c r="J784" s="8" t="s">
        <v>117</v>
      </c>
      <c r="K784" s="8" t="s">
        <v>118</v>
      </c>
      <c r="L784" s="8" t="s">
        <v>119</v>
      </c>
      <c r="M784" s="16" t="str">
        <f ca="1">IFERROR(__xludf.DUMMYFUNCTION("JOIN("""",VLOOKUP(D784,'для артикула'!$A$2:$B$7,2,0),VLOOKUP(G784,'для артикула'!$A$13:$B$14,2,0),VLOOKUP(E784,'для артикула'!$A$9:$B$11,2,0),VLOOKUP(F784,'для артикула'!$A$17:$B$19,2,0),VLOOKUP(J784,'для артикула'!$A$22:$B$23,2,0),VLOOKUP(H784,'для артик"&amp;"ула'!$A$26:$B$30,2,0))"),"002-2013E50Q13-OK")</f>
        <v>002-2013E50Q13-OK</v>
      </c>
      <c r="N784" s="8" t="str">
        <f>IF(ISNUMBER(MATCH(C784, 'Реестр договоров'!$D$2:$D$900, 0)), "Продано", "В наличии")</f>
        <v>Продано</v>
      </c>
    </row>
    <row r="785" spans="1:15">
      <c r="A785" s="26">
        <v>45992.486232106487</v>
      </c>
      <c r="B785" s="26"/>
      <c r="C785" s="8" t="s">
        <v>887</v>
      </c>
      <c r="D785" s="8" t="s">
        <v>114</v>
      </c>
      <c r="E785" s="8">
        <v>50</v>
      </c>
      <c r="F785" s="8" t="s">
        <v>116</v>
      </c>
      <c r="G785" s="8" t="s">
        <v>116</v>
      </c>
      <c r="H785" s="8" t="s">
        <v>115</v>
      </c>
      <c r="I785" s="27">
        <v>45992</v>
      </c>
      <c r="J785" s="8" t="s">
        <v>117</v>
      </c>
      <c r="K785" s="8" t="s">
        <v>118</v>
      </c>
      <c r="L785" s="8" t="s">
        <v>119</v>
      </c>
      <c r="M785" s="16" t="str">
        <f ca="1">IFERROR(__xludf.DUMMYFUNCTION("JOIN("""",VLOOKUP(D785,'для артикула'!$A$2:$B$7,2,0),VLOOKUP(G785,'для артикула'!$A$13:$B$14,2,0),VLOOKUP(E785,'для артикула'!$A$9:$B$11,2,0),VLOOKUP(F785,'для артикула'!$A$17:$B$19,2,0),VLOOKUP(J785,'для артикула'!$A$22:$B$23,2,0),VLOOKUP(H785,'для артик"&amp;"ула'!$A$26:$B$30,2,0))"),"002-2013E50Q13-OK")</f>
        <v>002-2013E50Q13-OK</v>
      </c>
      <c r="N785" s="8" t="str">
        <f>IF(ISNUMBER(MATCH(C785, 'Реестр договоров'!$D$2:$D$900, 0)), "Продано", "В наличии")</f>
        <v>Продано</v>
      </c>
    </row>
    <row r="786" spans="1:15">
      <c r="A786" s="26">
        <v>45992.556586215273</v>
      </c>
      <c r="B786" s="26"/>
      <c r="C786" s="8" t="s">
        <v>888</v>
      </c>
      <c r="D786" s="8" t="s">
        <v>287</v>
      </c>
      <c r="E786" s="8">
        <v>50</v>
      </c>
      <c r="F786" s="8" t="s">
        <v>116</v>
      </c>
      <c r="G786" s="8" t="s">
        <v>116</v>
      </c>
      <c r="H786" s="8" t="s">
        <v>115</v>
      </c>
      <c r="I786" s="27">
        <v>45992</v>
      </c>
      <c r="J786" s="8" t="s">
        <v>117</v>
      </c>
      <c r="K786" s="8" t="s">
        <v>118</v>
      </c>
      <c r="L786" s="8" t="s">
        <v>119</v>
      </c>
      <c r="M786" s="16" t="str">
        <f ca="1">IFERROR(__xludf.DUMMYFUNCTION("JOIN("""",VLOOKUP(D786,'для артикула'!$A$2:$B$7,2,0),VLOOKUP(G786,'для артикула'!$A$13:$B$14,2,0),VLOOKUP(E786,'для артикула'!$A$9:$B$11,2,0),VLOOKUP(F786,'для артикула'!$A$17:$B$19,2,0),VLOOKUP(J786,'для артикула'!$A$22:$B$23,2,0),VLOOKUP(H786,'для артик"&amp;"ула'!$A$26:$B$30,2,0))"),"002-2513E50Q13-OK")</f>
        <v>002-2513E50Q13-OK</v>
      </c>
      <c r="N786" s="8" t="str">
        <f>IF(ISNUMBER(MATCH(C786, 'Реестр договоров'!$D$2:$D$900, 0)), "Продано", "В наличии")</f>
        <v>Продано</v>
      </c>
    </row>
    <row r="787" spans="1:15">
      <c r="A787" s="26">
        <v>45992.575010891203</v>
      </c>
      <c r="B787" s="26"/>
      <c r="C787" s="8" t="s">
        <v>889</v>
      </c>
      <c r="D787" s="8" t="s">
        <v>114</v>
      </c>
      <c r="E787" s="8">
        <v>50</v>
      </c>
      <c r="F787" s="8" t="s">
        <v>116</v>
      </c>
      <c r="G787" s="8" t="s">
        <v>116</v>
      </c>
      <c r="H787" s="8" t="s">
        <v>115</v>
      </c>
      <c r="I787" s="27">
        <v>45980</v>
      </c>
      <c r="J787" s="8" t="s">
        <v>117</v>
      </c>
      <c r="K787" s="8" t="s">
        <v>121</v>
      </c>
      <c r="L787" s="8" t="s">
        <v>119</v>
      </c>
      <c r="M787" s="16" t="str">
        <f ca="1">IFERROR(__xludf.DUMMYFUNCTION("JOIN("""",VLOOKUP(D787,'для артикула'!$A$2:$B$7,2,0),VLOOKUP(G787,'для артикула'!$A$13:$B$14,2,0),VLOOKUP(E787,'для артикула'!$A$9:$B$11,2,0),VLOOKUP(F787,'для артикула'!$A$17:$B$19,2,0),VLOOKUP(J787,'для артикула'!$A$22:$B$23,2,0),VLOOKUP(H787,'для артик"&amp;"ула'!$A$26:$B$30,2,0))"),"002-2013E50Q13-OK")</f>
        <v>002-2013E50Q13-OK</v>
      </c>
      <c r="N787" s="8" t="str">
        <f>IF(ISNUMBER(MATCH(C787, 'Реестр договоров'!$D$2:$D$900, 0)), "Продано", "В наличии")</f>
        <v>Продано</v>
      </c>
    </row>
    <row r="788" spans="1:15">
      <c r="A788" s="26">
        <v>45993.657810625002</v>
      </c>
      <c r="C788" s="8" t="s">
        <v>890</v>
      </c>
      <c r="D788" s="8" t="s">
        <v>366</v>
      </c>
      <c r="E788" s="8">
        <v>50</v>
      </c>
      <c r="F788" s="8" t="s">
        <v>116</v>
      </c>
      <c r="G788" s="8" t="s">
        <v>116</v>
      </c>
      <c r="H788" s="8" t="s">
        <v>115</v>
      </c>
      <c r="I788" s="27">
        <v>45993</v>
      </c>
      <c r="J788" s="8" t="s">
        <v>117</v>
      </c>
      <c r="K788" s="8" t="s">
        <v>121</v>
      </c>
      <c r="L788" s="8" t="s">
        <v>119</v>
      </c>
      <c r="M788" s="16" t="str">
        <f ca="1">IFERROR(__xludf.DUMMYFUNCTION("JOIN("""",VLOOKUP(D788,'для артикула'!$A$2:$B$7,2,0),VLOOKUP(G788,'для артикула'!$A$13:$B$14,2,0),VLOOKUP(E788,'для артикула'!$A$9:$B$11,2,0),VLOOKUP(F788,'для артикула'!$A$17:$B$19,2,0),VLOOKUP(J788,'для артикула'!$A$22:$B$23,2,0),VLOOKUP(H788,'для артик"&amp;"ула'!$A$26:$B$30,2,0))"),"002-3015E50Q13-OK")</f>
        <v>002-3015E50Q13-OK</v>
      </c>
      <c r="N788" s="8" t="str">
        <f>IF(ISNUMBER(MATCH(C788, 'Реестр договоров'!$D$2:$D$900, 0)), "Продано", "В наличии")</f>
        <v>Продано</v>
      </c>
    </row>
    <row r="789" spans="1:15">
      <c r="A789" s="26">
        <v>45994.523309884258</v>
      </c>
      <c r="C789" s="8" t="s">
        <v>891</v>
      </c>
      <c r="D789" s="8" t="s">
        <v>114</v>
      </c>
      <c r="E789" s="8">
        <v>50</v>
      </c>
      <c r="F789" s="8" t="s">
        <v>116</v>
      </c>
      <c r="G789" s="8" t="s">
        <v>116</v>
      </c>
      <c r="H789" s="8" t="s">
        <v>115</v>
      </c>
      <c r="I789" s="27">
        <v>45987</v>
      </c>
      <c r="J789" s="8" t="s">
        <v>117</v>
      </c>
      <c r="K789" s="8" t="s">
        <v>121</v>
      </c>
      <c r="L789" s="8" t="s">
        <v>119</v>
      </c>
      <c r="M789" s="16" t="str">
        <f ca="1">IFERROR(__xludf.DUMMYFUNCTION("JOIN("""",VLOOKUP(D789,'для артикула'!$A$2:$B$7,2,0),VLOOKUP(G789,'для артикула'!$A$13:$B$14,2,0),VLOOKUP(E789,'для артикула'!$A$9:$B$11,2,0),VLOOKUP(F789,'для артикула'!$A$17:$B$19,2,0),VLOOKUP(J789,'для артикула'!$A$22:$B$23,2,0),VLOOKUP(H789,'для артик"&amp;"ула'!$A$26:$B$30,2,0))"),"002-2013E50Q13-OK")</f>
        <v>002-2013E50Q13-OK</v>
      </c>
      <c r="N789" s="8" t="str">
        <f>IF(ISNUMBER(MATCH(C789, 'Реестр договоров'!$D$2:$D$900, 0)), "Продано", "В наличии")</f>
        <v>Продано</v>
      </c>
    </row>
    <row r="790" spans="1:15">
      <c r="A790" s="26">
        <v>45994.699749224535</v>
      </c>
      <c r="C790" s="8" t="s">
        <v>892</v>
      </c>
      <c r="D790" s="8" t="s">
        <v>366</v>
      </c>
      <c r="E790" s="8">
        <v>30</v>
      </c>
      <c r="F790" s="8" t="s">
        <v>116</v>
      </c>
      <c r="G790" s="8" t="s">
        <v>116</v>
      </c>
      <c r="H790" s="8" t="s">
        <v>115</v>
      </c>
      <c r="I790" s="27">
        <v>45980</v>
      </c>
      <c r="J790" s="8" t="s">
        <v>117</v>
      </c>
      <c r="K790" s="8" t="s">
        <v>121</v>
      </c>
      <c r="L790" s="8" t="s">
        <v>288</v>
      </c>
      <c r="M790" s="16" t="str">
        <f ca="1">IFERROR(__xludf.DUMMYFUNCTION("JOIN("""",VLOOKUP(D790,'для артикула'!$A$2:$B$7,2,0),VLOOKUP(G790,'для артикула'!$A$13:$B$14,2,0),VLOOKUP(E790,'для артикула'!$A$9:$B$11,2,0),VLOOKUP(F790,'для артикула'!$A$17:$B$19,2,0),VLOOKUP(J790,'для артикула'!$A$22:$B$23,2,0),VLOOKUP(H790,'для артик"&amp;"ула'!$A$26:$B$30,2,0))"),"002-3015E30Q13-OK")</f>
        <v>002-3015E30Q13-OK</v>
      </c>
      <c r="N790" s="8" t="str">
        <f>IF(ISNUMBER(MATCH(C790, 'Реестр договоров'!$D$2:$D$900, 0)), "Продано", "В наличии")</f>
        <v>Продано</v>
      </c>
    </row>
    <row r="791" spans="1:15">
      <c r="A791" s="26">
        <v>45996.534858784726</v>
      </c>
      <c r="C791" s="8" t="s">
        <v>893</v>
      </c>
      <c r="D791" s="8" t="s">
        <v>114</v>
      </c>
      <c r="E791" s="8">
        <v>30</v>
      </c>
      <c r="F791" s="8" t="s">
        <v>116</v>
      </c>
      <c r="G791" s="8" t="s">
        <v>116</v>
      </c>
      <c r="H791" s="8" t="s">
        <v>115</v>
      </c>
      <c r="I791" s="27">
        <v>45995</v>
      </c>
      <c r="J791" s="8" t="s">
        <v>117</v>
      </c>
      <c r="K791" s="8" t="s">
        <v>121</v>
      </c>
      <c r="L791" s="8" t="s">
        <v>119</v>
      </c>
      <c r="M791" s="16" t="str">
        <f ca="1">IFERROR(__xludf.DUMMYFUNCTION("JOIN("""",VLOOKUP(D791,'для артикула'!$A$2:$B$7,2,0),VLOOKUP(G791,'для артикула'!$A$13:$B$14,2,0),VLOOKUP(E791,'для артикула'!$A$9:$B$11,2,0),VLOOKUP(F791,'для артикула'!$A$17:$B$19,2,0),VLOOKUP(J791,'для артикула'!$A$22:$B$23,2,0),VLOOKUP(H791,'для артик"&amp;"ула'!$A$26:$B$30,2,0))"),"002-2013E30Q13-OK")</f>
        <v>002-2013E30Q13-OK</v>
      </c>
      <c r="N791" s="8" t="str">
        <f>IF(ISNUMBER(MATCH(C791, 'Реестр договоров'!$D$2:$D$900, 0)), "Продано", "В наличии")</f>
        <v>Продано</v>
      </c>
    </row>
    <row r="792" spans="1:15">
      <c r="A792" s="26">
        <v>45996.671143969907</v>
      </c>
      <c r="C792" s="8" t="s">
        <v>894</v>
      </c>
      <c r="D792" s="8" t="s">
        <v>114</v>
      </c>
      <c r="E792" s="8">
        <v>50</v>
      </c>
      <c r="F792" s="8" t="s">
        <v>116</v>
      </c>
      <c r="G792" s="8" t="s">
        <v>116</v>
      </c>
      <c r="H792" s="8" t="s">
        <v>115</v>
      </c>
      <c r="I792" s="27">
        <v>45996</v>
      </c>
      <c r="J792" s="8" t="s">
        <v>117</v>
      </c>
      <c r="K792" s="8" t="s">
        <v>121</v>
      </c>
      <c r="L792" s="8" t="s">
        <v>119</v>
      </c>
      <c r="M792" s="16" t="str">
        <f ca="1">IFERROR(__xludf.DUMMYFUNCTION("JOIN("""",VLOOKUP(D792,'для артикула'!$A$2:$B$7,2,0),VLOOKUP(G792,'для артикула'!$A$13:$B$14,2,0),VLOOKUP(E792,'для артикула'!$A$9:$B$11,2,0),VLOOKUP(F792,'для артикула'!$A$17:$B$19,2,0),VLOOKUP(J792,'для артикула'!$A$22:$B$23,2,0),VLOOKUP(H792,'для артик"&amp;"ула'!$A$26:$B$30,2,0))"),"002-2013E50Q13-OK")</f>
        <v>002-2013E50Q13-OK</v>
      </c>
      <c r="N792" s="8" t="str">
        <f>IF(ISNUMBER(MATCH(C792, 'Реестр договоров'!$D$2:$D$900, 0)), "Продано", "В наличии")</f>
        <v>Продано</v>
      </c>
    </row>
    <row r="793" spans="1:15">
      <c r="A793" s="26">
        <v>45998.592062361116</v>
      </c>
      <c r="C793" s="8" t="s">
        <v>895</v>
      </c>
      <c r="D793" s="8" t="s">
        <v>114</v>
      </c>
      <c r="E793" s="8">
        <v>30</v>
      </c>
      <c r="F793" s="8" t="s">
        <v>116</v>
      </c>
      <c r="G793" s="8" t="s">
        <v>116</v>
      </c>
      <c r="H793" s="8" t="s">
        <v>115</v>
      </c>
      <c r="I793" s="27">
        <v>45996</v>
      </c>
      <c r="J793" s="8" t="s">
        <v>117</v>
      </c>
      <c r="K793" s="8" t="s">
        <v>121</v>
      </c>
      <c r="L793" s="8" t="s">
        <v>119</v>
      </c>
      <c r="M793" s="16" t="str">
        <f ca="1">IFERROR(__xludf.DUMMYFUNCTION("JOIN("""",VLOOKUP(D793,'для артикула'!$A$2:$B$7,2,0),VLOOKUP(G793,'для артикула'!$A$13:$B$14,2,0),VLOOKUP(E793,'для артикула'!$A$9:$B$11,2,0),VLOOKUP(F793,'для артикула'!$A$17:$B$19,2,0),VLOOKUP(J793,'для артикула'!$A$22:$B$23,2,0),VLOOKUP(H793,'для артик"&amp;"ула'!$A$26:$B$30,2,0))"),"002-2013E30Q13-OK")</f>
        <v>002-2013E30Q13-OK</v>
      </c>
      <c r="N793" s="8" t="str">
        <f>IF(ISNUMBER(MATCH(C793, 'Реестр договоров'!$D$2:$D$900, 0)), "Продано", "В наличии")</f>
        <v>Продано</v>
      </c>
    </row>
    <row r="794" spans="1:15">
      <c r="A794" s="26">
        <v>45999.419440844911</v>
      </c>
      <c r="C794" s="8" t="s">
        <v>896</v>
      </c>
      <c r="D794" s="8" t="s">
        <v>114</v>
      </c>
      <c r="E794" s="8">
        <v>50</v>
      </c>
      <c r="F794" s="8" t="s">
        <v>116</v>
      </c>
      <c r="G794" s="8" t="s">
        <v>116</v>
      </c>
      <c r="H794" s="8" t="s">
        <v>115</v>
      </c>
      <c r="I794" s="27">
        <v>45996</v>
      </c>
      <c r="J794" s="8" t="s">
        <v>117</v>
      </c>
      <c r="K794" s="8" t="s">
        <v>121</v>
      </c>
      <c r="L794" s="8" t="s">
        <v>119</v>
      </c>
      <c r="M794" s="16" t="str">
        <f ca="1">IFERROR(__xludf.DUMMYFUNCTION("JOIN("""",VLOOKUP(D794,'для артикула'!$A$2:$B$7,2,0),VLOOKUP(G794,'для артикула'!$A$13:$B$14,2,0),VLOOKUP(E794,'для артикула'!$A$9:$B$11,2,0),VLOOKUP(F794,'для артикула'!$A$17:$B$19,2,0),VLOOKUP(J794,'для артикула'!$A$22:$B$23,2,0),VLOOKUP(H794,'для артик"&amp;"ула'!$A$26:$B$30,2,0))"),"002-2013E50Q13-OK")</f>
        <v>002-2013E50Q13-OK</v>
      </c>
      <c r="N794" s="8" t="str">
        <f>IF(ISNUMBER(MATCH(C794, 'Реестр договоров'!$D$2:$D$900, 0)), "Продано", "В наличии")</f>
        <v>Продано</v>
      </c>
    </row>
    <row r="795" spans="1:15">
      <c r="A795" s="26"/>
      <c r="B795" s="26"/>
      <c r="C795" s="8"/>
      <c r="D795" s="8"/>
      <c r="E795" s="8"/>
      <c r="F795" s="8"/>
      <c r="G795" s="8"/>
      <c r="H795" s="8"/>
      <c r="I795" s="27"/>
      <c r="J795" s="8"/>
      <c r="K795" s="8"/>
      <c r="L795" s="8"/>
      <c r="N795" s="16"/>
      <c r="O795" s="8"/>
    </row>
    <row r="796" spans="1:15">
      <c r="A796" s="26"/>
      <c r="B796" s="26"/>
      <c r="C796" s="8"/>
      <c r="D796" s="8"/>
      <c r="E796" s="8"/>
      <c r="F796" s="8"/>
      <c r="G796" s="8"/>
      <c r="H796" s="8"/>
      <c r="I796" s="27"/>
      <c r="J796" s="8"/>
      <c r="K796" s="8"/>
      <c r="L796" s="8"/>
      <c r="N796" s="16"/>
      <c r="O796" s="8"/>
    </row>
    <row r="797" spans="1:15">
      <c r="A797" s="26"/>
      <c r="B797" s="26"/>
      <c r="C797" s="8"/>
      <c r="D797" s="8"/>
      <c r="E797" s="8"/>
      <c r="F797" s="8"/>
      <c r="G797" s="8"/>
      <c r="H797" s="8"/>
      <c r="I797" s="27"/>
      <c r="J797" s="8"/>
      <c r="K797" s="8"/>
      <c r="L797" s="8"/>
      <c r="N797" s="16"/>
      <c r="O797" s="8"/>
    </row>
    <row r="798" spans="1:15">
      <c r="A798" s="26"/>
      <c r="B798" s="26"/>
      <c r="C798" s="8"/>
      <c r="E798" s="8"/>
      <c r="F798" s="8"/>
      <c r="G798" s="8"/>
      <c r="I798" s="27"/>
      <c r="J798" s="8"/>
      <c r="K798" s="8"/>
      <c r="L798" s="8"/>
      <c r="N798" s="16"/>
      <c r="O798" s="8"/>
    </row>
    <row r="799" spans="1:15">
      <c r="A799" s="26"/>
      <c r="B799" s="26"/>
      <c r="C799" s="8"/>
      <c r="D799" s="8"/>
      <c r="E799" s="8"/>
      <c r="F799" s="8"/>
      <c r="G799" s="8"/>
      <c r="H799" s="8"/>
      <c r="I799" s="27"/>
      <c r="J799" s="8"/>
      <c r="K799" s="8"/>
      <c r="L799" s="8"/>
      <c r="N799" s="16"/>
      <c r="O799" s="8"/>
    </row>
    <row r="800" spans="1:15">
      <c r="A800" s="26"/>
      <c r="B800" s="26"/>
      <c r="C800" s="8"/>
      <c r="D800" s="8"/>
      <c r="E800" s="8"/>
      <c r="F800" s="8"/>
      <c r="G800" s="8"/>
      <c r="H800" s="8"/>
      <c r="I800" s="27"/>
      <c r="J800" s="8"/>
      <c r="K800" s="8"/>
      <c r="L800" s="8"/>
      <c r="N800" s="16"/>
      <c r="O800" s="8"/>
    </row>
    <row r="801" spans="1:15">
      <c r="A801" s="26"/>
      <c r="B801" s="26"/>
      <c r="D801" s="8"/>
      <c r="E801" s="8"/>
      <c r="F801" s="8"/>
      <c r="G801" s="8"/>
      <c r="H801" s="8"/>
      <c r="I801" s="27"/>
      <c r="J801" s="8"/>
      <c r="K801" s="8"/>
      <c r="L801" s="8"/>
      <c r="N801" s="16"/>
      <c r="O801" s="8"/>
    </row>
    <row r="802" spans="1:15">
      <c r="A802" s="26"/>
      <c r="B802" s="26"/>
      <c r="C802" s="8"/>
      <c r="E802" s="8"/>
      <c r="F802" s="8"/>
      <c r="G802" s="8"/>
      <c r="H802" s="8"/>
      <c r="I802" s="27"/>
      <c r="J802" s="8"/>
      <c r="K802" s="8"/>
      <c r="L802" s="8"/>
      <c r="N802" s="16"/>
      <c r="O802" s="8"/>
    </row>
    <row r="803" spans="1:15">
      <c r="A803" s="26"/>
      <c r="B803" s="26"/>
      <c r="C803" s="8"/>
      <c r="D803" s="8"/>
      <c r="E803" s="8"/>
      <c r="F803" s="8"/>
      <c r="G803" s="8"/>
      <c r="H803" s="8"/>
      <c r="I803" s="27"/>
      <c r="J803" s="8"/>
      <c r="K803" s="8"/>
      <c r="L803" s="8"/>
      <c r="N803" s="16"/>
      <c r="O803" s="8"/>
    </row>
    <row r="804" spans="1:15">
      <c r="A804" s="26"/>
      <c r="B804" s="26"/>
      <c r="C804" s="8"/>
      <c r="E804" s="8"/>
      <c r="F804" s="8"/>
      <c r="G804" s="8"/>
      <c r="H804" s="8"/>
      <c r="I804" s="27"/>
      <c r="J804" s="8"/>
      <c r="K804" s="8"/>
      <c r="L804" s="8"/>
      <c r="N804" s="16"/>
      <c r="O804" s="8"/>
    </row>
    <row r="805" spans="1:15">
      <c r="A805" s="26"/>
      <c r="B805" s="26"/>
      <c r="C805" s="8"/>
      <c r="D805" s="8"/>
      <c r="E805" s="8"/>
      <c r="F805" s="8"/>
      <c r="G805" s="8"/>
      <c r="H805" s="8"/>
      <c r="I805" s="27"/>
      <c r="J805" s="8"/>
      <c r="K805" s="8"/>
      <c r="L805" s="8"/>
      <c r="N805" s="16"/>
      <c r="O805" s="8"/>
    </row>
    <row r="806" spans="1:15">
      <c r="A806" s="26"/>
      <c r="B806" s="26"/>
      <c r="C806" s="8"/>
      <c r="D806" s="8"/>
      <c r="E806" s="8"/>
      <c r="F806" s="8"/>
      <c r="G806" s="8"/>
      <c r="H806" s="8"/>
      <c r="I806" s="27"/>
      <c r="J806" s="8"/>
      <c r="K806" s="8"/>
      <c r="L806" s="8"/>
      <c r="N806" s="16"/>
      <c r="O806" s="8"/>
    </row>
    <row r="807" spans="1:15">
      <c r="A807" s="26"/>
      <c r="B807" s="26"/>
      <c r="C807" s="8"/>
      <c r="D807" s="8"/>
      <c r="E807" s="8"/>
      <c r="F807" s="8"/>
      <c r="G807" s="8"/>
      <c r="H807" s="8"/>
      <c r="I807" s="27"/>
      <c r="J807" s="8"/>
      <c r="K807" s="8"/>
      <c r="L807" s="8"/>
      <c r="N807" s="16"/>
      <c r="O807" s="8"/>
    </row>
    <row r="808" spans="1:15">
      <c r="A808" s="26"/>
      <c r="B808" s="26"/>
      <c r="C808" s="8"/>
      <c r="D808" s="8"/>
      <c r="E808" s="8"/>
      <c r="G808" s="8"/>
      <c r="H808" s="8"/>
      <c r="I808" s="27"/>
      <c r="J808" s="8"/>
      <c r="K808" s="8"/>
      <c r="L808" s="8"/>
      <c r="N808" s="16"/>
      <c r="O808" s="8"/>
    </row>
    <row r="809" spans="1:15">
      <c r="A809" s="26"/>
      <c r="B809" s="26"/>
      <c r="C809" s="8"/>
      <c r="D809" s="8"/>
      <c r="E809" s="8"/>
      <c r="F809" s="8"/>
      <c r="G809" s="8"/>
      <c r="H809" s="8"/>
      <c r="I809" s="27"/>
      <c r="J809" s="8"/>
      <c r="K809" s="8"/>
      <c r="L809" s="8"/>
      <c r="N809" s="16"/>
      <c r="O809" s="8"/>
    </row>
    <row r="810" spans="1:15">
      <c r="A810" s="26"/>
      <c r="B810" s="26"/>
      <c r="C810" s="8"/>
      <c r="D810" s="8"/>
      <c r="E810" s="8"/>
      <c r="F810" s="8"/>
      <c r="G810" s="8"/>
      <c r="H810" s="8"/>
      <c r="I810" s="27"/>
      <c r="J810" s="8"/>
      <c r="K810" s="8"/>
      <c r="L810" s="8"/>
      <c r="N810" s="16"/>
      <c r="O810" s="8"/>
    </row>
    <row r="811" spans="1:15">
      <c r="A811" s="26"/>
      <c r="B811" s="26"/>
      <c r="C811" s="8"/>
      <c r="D811" s="8"/>
      <c r="E811" s="8"/>
      <c r="F811" s="8"/>
      <c r="G811" s="8"/>
      <c r="H811" s="8"/>
      <c r="I811" s="27"/>
      <c r="J811" s="8"/>
      <c r="K811" s="8"/>
      <c r="L811" s="8"/>
      <c r="N811" s="16"/>
      <c r="O811" s="8"/>
    </row>
    <row r="812" spans="1:15">
      <c r="A812" s="26"/>
      <c r="B812" s="26"/>
      <c r="C812" s="8"/>
      <c r="D812" s="8"/>
      <c r="E812" s="8"/>
      <c r="F812" s="8"/>
      <c r="G812" s="8"/>
      <c r="H812" s="8"/>
      <c r="I812" s="27"/>
      <c r="J812" s="8"/>
      <c r="K812" s="8"/>
      <c r="L812" s="8"/>
      <c r="N812" s="16"/>
      <c r="O812" s="8"/>
    </row>
    <row r="813" spans="1:15">
      <c r="A813" s="26"/>
      <c r="B813" s="26"/>
      <c r="C813" s="8"/>
      <c r="D813" s="8"/>
      <c r="E813" s="8"/>
      <c r="F813" s="8"/>
      <c r="G813" s="8"/>
      <c r="H813" s="8"/>
      <c r="I813" s="27"/>
      <c r="J813" s="8"/>
      <c r="K813" s="8"/>
      <c r="L813" s="8"/>
      <c r="N813" s="16"/>
      <c r="O813" s="8"/>
    </row>
    <row r="814" spans="1:15">
      <c r="A814" s="26"/>
      <c r="B814" s="26"/>
      <c r="C814" s="8"/>
      <c r="D814" s="8"/>
      <c r="E814" s="8"/>
      <c r="F814" s="8"/>
      <c r="G814" s="8"/>
      <c r="H814" s="8"/>
      <c r="I814" s="27"/>
      <c r="J814" s="8"/>
      <c r="K814" s="8"/>
      <c r="L814" s="8"/>
      <c r="N814" s="8"/>
      <c r="O814" s="8"/>
    </row>
    <row r="815" spans="1:15">
      <c r="A815" s="26"/>
      <c r="B815" s="26"/>
      <c r="C815" s="8"/>
      <c r="D815" s="8"/>
      <c r="E815" s="8"/>
      <c r="F815" s="8"/>
      <c r="G815" s="8"/>
      <c r="H815" s="8"/>
      <c r="I815" s="27"/>
      <c r="J815" s="8"/>
      <c r="K815" s="8"/>
      <c r="L815" s="8"/>
      <c r="N815" s="8"/>
      <c r="O815" s="8"/>
    </row>
    <row r="816" spans="1:15">
      <c r="A816" s="26"/>
      <c r="B816" s="26"/>
      <c r="C816" s="8"/>
      <c r="D816" s="8"/>
      <c r="E816" s="8"/>
      <c r="F816" s="8"/>
      <c r="G816" s="8"/>
      <c r="H816" s="8"/>
      <c r="I816" s="27"/>
      <c r="J816" s="8"/>
      <c r="K816" s="8"/>
      <c r="L816" s="8"/>
      <c r="N816" s="8"/>
      <c r="O816" s="8"/>
    </row>
    <row r="817" spans="1:15">
      <c r="A817" s="26"/>
      <c r="B817" s="26"/>
      <c r="C817" s="8"/>
      <c r="D817" s="8"/>
      <c r="E817" s="8"/>
      <c r="F817" s="8"/>
      <c r="G817" s="8"/>
      <c r="H817" s="8"/>
      <c r="I817" s="27"/>
      <c r="J817" s="8"/>
      <c r="K817" s="8"/>
      <c r="L817" s="8"/>
      <c r="N817" s="8"/>
      <c r="O817" s="8"/>
    </row>
    <row r="818" spans="1:15">
      <c r="A818" s="26"/>
      <c r="B818" s="26"/>
      <c r="C818" s="8"/>
      <c r="D818" s="8"/>
      <c r="E818" s="8"/>
      <c r="F818" s="8"/>
      <c r="G818" s="8"/>
      <c r="H818" s="8"/>
      <c r="I818" s="27"/>
      <c r="J818" s="8"/>
      <c r="K818" s="8"/>
      <c r="L818" s="8"/>
      <c r="N818" s="8"/>
      <c r="O818" s="8"/>
    </row>
    <row r="819" spans="1:15">
      <c r="A819" s="26"/>
      <c r="B819" s="26"/>
      <c r="C819" s="8"/>
      <c r="D819" s="8"/>
      <c r="E819" s="8"/>
      <c r="F819" s="8"/>
      <c r="G819" s="8"/>
      <c r="H819" s="8"/>
      <c r="I819" s="27"/>
      <c r="J819" s="8"/>
      <c r="K819" s="8"/>
      <c r="L819" s="8"/>
      <c r="N819" s="8"/>
      <c r="O819" s="8"/>
    </row>
    <row r="820" spans="1:15">
      <c r="A820" s="26"/>
      <c r="B820" s="26"/>
      <c r="C820" s="8"/>
      <c r="D820" s="8"/>
      <c r="E820" s="8"/>
      <c r="F820" s="8"/>
      <c r="G820" s="8"/>
      <c r="H820" s="8"/>
      <c r="I820" s="27"/>
      <c r="J820" s="8"/>
      <c r="K820" s="8"/>
      <c r="L820" s="8"/>
      <c r="N820" s="8"/>
      <c r="O820" s="8"/>
    </row>
    <row r="821" spans="1:15">
      <c r="A821" s="26"/>
      <c r="B821" s="26"/>
      <c r="C821" s="8"/>
      <c r="D821" s="8"/>
      <c r="E821" s="8"/>
      <c r="F821" s="8"/>
      <c r="G821" s="8"/>
      <c r="H821" s="8"/>
      <c r="I821" s="27"/>
      <c r="J821" s="8"/>
      <c r="K821" s="8"/>
      <c r="L821" s="8"/>
      <c r="N821" s="8"/>
      <c r="O821" s="8"/>
    </row>
    <row r="822" spans="1:15">
      <c r="A822" s="26"/>
      <c r="B822" s="26"/>
      <c r="C822" s="8"/>
      <c r="D822" s="8"/>
      <c r="E822" s="8"/>
      <c r="F822" s="8"/>
      <c r="G822" s="8"/>
      <c r="H822" s="8"/>
      <c r="I822" s="27"/>
      <c r="J822" s="8"/>
      <c r="K822" s="8"/>
      <c r="L822" s="8"/>
      <c r="N822" s="8"/>
      <c r="O822" s="8"/>
    </row>
    <row r="823" spans="1:15">
      <c r="A823" s="26"/>
      <c r="B823" s="26"/>
      <c r="C823" s="8"/>
      <c r="D823" s="8"/>
      <c r="E823" s="8"/>
      <c r="F823" s="8"/>
      <c r="G823" s="8"/>
      <c r="H823" s="8"/>
      <c r="I823" s="27"/>
      <c r="J823" s="8"/>
      <c r="K823" s="8"/>
      <c r="L823" s="8"/>
      <c r="N823" s="8"/>
      <c r="O823" s="8"/>
    </row>
    <row r="824" spans="1:15">
      <c r="A824" s="26"/>
      <c r="B824" s="26"/>
      <c r="C824" s="8"/>
      <c r="D824" s="8"/>
      <c r="E824" s="8"/>
      <c r="F824" s="8"/>
      <c r="G824" s="8"/>
      <c r="H824" s="8"/>
      <c r="I824" s="27"/>
      <c r="J824" s="8"/>
      <c r="K824" s="8"/>
      <c r="L824" s="8"/>
      <c r="N824" s="8"/>
      <c r="O824" s="8"/>
    </row>
    <row r="825" spans="1:15">
      <c r="A825" s="26"/>
      <c r="B825" s="26"/>
      <c r="C825" s="8"/>
      <c r="D825" s="8"/>
      <c r="E825" s="8"/>
      <c r="F825" s="8"/>
      <c r="G825" s="8"/>
      <c r="H825" s="8"/>
      <c r="I825" s="27"/>
      <c r="J825" s="8"/>
      <c r="K825" s="8"/>
      <c r="L825" s="8"/>
      <c r="N825" s="8"/>
      <c r="O825" s="8"/>
    </row>
    <row r="826" spans="1:15">
      <c r="A826" s="26"/>
      <c r="B826" s="26"/>
      <c r="C826" s="8"/>
      <c r="D826" s="8"/>
      <c r="E826" s="8"/>
      <c r="F826" s="8"/>
      <c r="G826" s="8"/>
      <c r="H826" s="8"/>
      <c r="I826" s="27"/>
      <c r="J826" s="8"/>
      <c r="K826" s="8"/>
      <c r="L826" s="8"/>
      <c r="N826" s="8"/>
      <c r="O826" s="8"/>
    </row>
    <row r="827" spans="1:15">
      <c r="A827" s="26"/>
      <c r="B827" s="26"/>
      <c r="C827" s="8"/>
      <c r="D827" s="8"/>
      <c r="E827" s="8"/>
      <c r="F827" s="8"/>
      <c r="G827" s="8"/>
      <c r="H827" s="8"/>
      <c r="I827" s="27"/>
      <c r="J827" s="8"/>
      <c r="K827" s="8"/>
      <c r="L827" s="8"/>
      <c r="N827" s="8"/>
      <c r="O827" s="8"/>
    </row>
    <row r="828" spans="1:15">
      <c r="A828" s="26"/>
      <c r="B828" s="26"/>
      <c r="C828" s="8"/>
      <c r="D828" s="8"/>
      <c r="E828" s="8"/>
      <c r="F828" s="8"/>
      <c r="G828" s="8"/>
      <c r="H828" s="8"/>
      <c r="I828" s="27"/>
      <c r="J828" s="8"/>
      <c r="K828" s="8"/>
      <c r="L828" s="8"/>
      <c r="N828" s="8"/>
      <c r="O828" s="8"/>
    </row>
    <row r="829" spans="1:15">
      <c r="A829" s="26"/>
      <c r="B829" s="26"/>
      <c r="C829" s="8"/>
      <c r="D829" s="8"/>
      <c r="E829" s="8"/>
      <c r="F829" s="8"/>
      <c r="G829" s="8"/>
      <c r="H829" s="8"/>
      <c r="I829" s="27"/>
      <c r="J829" s="8"/>
      <c r="K829" s="8"/>
      <c r="L829" s="8"/>
      <c r="N829" s="8"/>
      <c r="O829" s="8"/>
    </row>
    <row r="830" spans="1:15">
      <c r="A830" s="26"/>
      <c r="B830" s="26"/>
      <c r="C830" s="8"/>
      <c r="D830" s="8"/>
      <c r="E830" s="8"/>
      <c r="F830" s="8"/>
      <c r="G830" s="8"/>
      <c r="H830" s="8"/>
      <c r="I830" s="27"/>
      <c r="J830" s="8"/>
      <c r="K830" s="8"/>
      <c r="L830" s="8"/>
      <c r="N830" s="8"/>
      <c r="O830" s="8"/>
    </row>
    <row r="831" spans="1:15">
      <c r="A831" s="26"/>
      <c r="B831" s="26"/>
      <c r="C831" s="8"/>
      <c r="D831" s="8"/>
      <c r="E831" s="8"/>
      <c r="F831" s="8"/>
      <c r="G831" s="8"/>
      <c r="H831" s="8"/>
      <c r="I831" s="27"/>
      <c r="J831" s="8"/>
      <c r="K831" s="8"/>
      <c r="L831" s="8"/>
      <c r="N831" s="8"/>
      <c r="O831" s="8"/>
    </row>
    <row r="832" spans="1:15">
      <c r="A832" s="26"/>
      <c r="B832" s="26"/>
      <c r="C832" s="8"/>
      <c r="D832" s="8"/>
      <c r="E832" s="8"/>
      <c r="F832" s="8"/>
      <c r="G832" s="8"/>
      <c r="H832" s="8"/>
      <c r="I832" s="27"/>
      <c r="J832" s="8"/>
      <c r="K832" s="8"/>
      <c r="L832" s="8"/>
      <c r="N832" s="8"/>
      <c r="O832" s="8"/>
    </row>
    <row r="833" spans="1:15">
      <c r="A833" s="26"/>
      <c r="B833" s="26"/>
      <c r="C833" s="8"/>
      <c r="D833" s="8"/>
      <c r="E833" s="8"/>
      <c r="F833" s="8"/>
      <c r="G833" s="8"/>
      <c r="H833" s="8"/>
      <c r="I833" s="27"/>
      <c r="J833" s="8"/>
      <c r="K833" s="8"/>
      <c r="L833" s="8"/>
      <c r="N833" s="8"/>
      <c r="O833" s="8"/>
    </row>
    <row r="834" spans="1:15">
      <c r="A834" s="26"/>
      <c r="B834" s="26"/>
      <c r="C834" s="8"/>
      <c r="D834" s="8"/>
      <c r="E834" s="8"/>
      <c r="F834" s="8"/>
      <c r="G834" s="8"/>
      <c r="H834" s="8"/>
      <c r="I834" s="27"/>
      <c r="J834" s="8"/>
      <c r="K834" s="8"/>
      <c r="L834" s="8"/>
      <c r="N834" s="8"/>
      <c r="O834" s="8"/>
    </row>
    <row r="835" spans="1:15">
      <c r="A835" s="26"/>
      <c r="B835" s="26"/>
      <c r="C835" s="8"/>
      <c r="D835" s="8"/>
      <c r="E835" s="8"/>
      <c r="F835" s="8"/>
      <c r="G835" s="8"/>
      <c r="H835" s="8"/>
      <c r="I835" s="27"/>
      <c r="J835" s="8"/>
      <c r="K835" s="8"/>
      <c r="L835" s="8"/>
      <c r="N835" s="8"/>
      <c r="O835" s="8"/>
    </row>
    <row r="836" spans="1:15">
      <c r="A836" s="26"/>
      <c r="B836" s="26"/>
      <c r="C836" s="8"/>
      <c r="D836" s="8"/>
      <c r="E836" s="8"/>
      <c r="F836" s="8"/>
      <c r="G836" s="8"/>
      <c r="H836" s="8"/>
      <c r="I836" s="27"/>
      <c r="J836" s="8"/>
      <c r="K836" s="8"/>
      <c r="L836" s="8"/>
      <c r="N836" s="8"/>
      <c r="O836" s="8"/>
    </row>
    <row r="837" spans="1:15">
      <c r="A837" s="26"/>
      <c r="B837" s="26"/>
      <c r="C837" s="8"/>
      <c r="D837" s="8"/>
      <c r="E837" s="8"/>
      <c r="F837" s="8"/>
      <c r="G837" s="8"/>
      <c r="H837" s="8"/>
      <c r="I837" s="27"/>
      <c r="J837" s="8"/>
      <c r="K837" s="8"/>
      <c r="L837" s="8"/>
      <c r="N837" s="8"/>
      <c r="O837" s="8"/>
    </row>
    <row r="838" spans="1:15">
      <c r="A838" s="26"/>
      <c r="B838" s="26"/>
      <c r="C838" s="8"/>
      <c r="D838" s="8"/>
      <c r="E838" s="8"/>
      <c r="F838" s="8"/>
      <c r="G838" s="8"/>
      <c r="H838" s="8"/>
      <c r="I838" s="27"/>
      <c r="J838" s="8"/>
      <c r="K838" s="8"/>
      <c r="L838" s="8"/>
      <c r="N838" s="8"/>
      <c r="O838" s="8"/>
    </row>
    <row r="839" spans="1:15">
      <c r="A839" s="26"/>
      <c r="B839" s="26"/>
      <c r="C839" s="8"/>
      <c r="D839" s="8"/>
      <c r="E839" s="8"/>
      <c r="F839" s="8"/>
      <c r="G839" s="8"/>
      <c r="H839" s="8"/>
      <c r="I839" s="27"/>
      <c r="J839" s="8"/>
      <c r="K839" s="8"/>
      <c r="L839" s="8"/>
      <c r="N839" s="8"/>
      <c r="O839" s="8"/>
    </row>
    <row r="840" spans="1:15">
      <c r="A840" s="26"/>
      <c r="B840" s="26"/>
      <c r="C840" s="8"/>
      <c r="D840" s="8"/>
      <c r="E840" s="8"/>
      <c r="F840" s="8"/>
      <c r="G840" s="8"/>
      <c r="H840" s="8"/>
      <c r="I840" s="27"/>
      <c r="J840" s="8"/>
      <c r="K840" s="8"/>
      <c r="L840" s="8"/>
      <c r="N840" s="8"/>
      <c r="O840" s="8"/>
    </row>
    <row r="841" spans="1:15">
      <c r="A841" s="26"/>
      <c r="B841" s="26"/>
      <c r="C841" s="8"/>
      <c r="D841" s="8"/>
      <c r="E841" s="8"/>
      <c r="F841" s="8"/>
      <c r="G841" s="8"/>
      <c r="H841" s="8"/>
      <c r="I841" s="27"/>
      <c r="J841" s="8"/>
      <c r="K841" s="8"/>
      <c r="L841" s="8"/>
      <c r="N841" s="8"/>
      <c r="O841" s="8"/>
    </row>
    <row r="842" spans="1:15">
      <c r="A842" s="26"/>
      <c r="B842" s="26"/>
      <c r="C842" s="8"/>
      <c r="D842" s="8"/>
      <c r="E842" s="8"/>
      <c r="F842" s="8"/>
      <c r="G842" s="8"/>
      <c r="H842" s="8"/>
      <c r="I842" s="27"/>
      <c r="J842" s="8"/>
      <c r="K842" s="8"/>
      <c r="L842" s="8"/>
      <c r="N842" s="8"/>
      <c r="O842" s="8"/>
    </row>
    <row r="843" spans="1:15">
      <c r="A843" s="26"/>
      <c r="B843" s="26"/>
      <c r="C843" s="8"/>
      <c r="D843" s="8"/>
      <c r="E843" s="8"/>
      <c r="F843" s="8"/>
      <c r="G843" s="8"/>
      <c r="H843" s="8"/>
      <c r="I843" s="27"/>
      <c r="J843" s="8"/>
      <c r="K843" s="8"/>
      <c r="L843" s="8"/>
      <c r="N843" s="8"/>
      <c r="O843" s="8"/>
    </row>
    <row r="844" spans="1:15">
      <c r="A844" s="26"/>
      <c r="B844" s="26"/>
      <c r="C844" s="8"/>
      <c r="D844" s="8"/>
      <c r="E844" s="8"/>
      <c r="F844" s="8"/>
      <c r="G844" s="8"/>
      <c r="H844" s="8"/>
      <c r="I844" s="27"/>
      <c r="J844" s="8"/>
      <c r="K844" s="8"/>
      <c r="L844" s="8"/>
      <c r="N844" s="8"/>
      <c r="O844" s="8"/>
    </row>
    <row r="845" spans="1:15">
      <c r="A845" s="26"/>
      <c r="B845" s="26"/>
      <c r="C845" s="8"/>
      <c r="D845" s="8"/>
      <c r="E845" s="8"/>
      <c r="F845" s="8"/>
      <c r="G845" s="8"/>
      <c r="H845" s="8"/>
      <c r="I845" s="27"/>
      <c r="J845" s="8"/>
      <c r="K845" s="8"/>
      <c r="L845" s="8"/>
      <c r="N845" s="8"/>
      <c r="O845" s="8"/>
    </row>
    <row r="846" spans="1:15">
      <c r="A846" s="26"/>
      <c r="B846" s="26"/>
      <c r="C846" s="8"/>
      <c r="D846" s="8"/>
      <c r="E846" s="8"/>
      <c r="F846" s="8"/>
      <c r="G846" s="8"/>
      <c r="H846" s="8"/>
      <c r="I846" s="27"/>
      <c r="J846" s="8"/>
      <c r="K846" s="8"/>
      <c r="L846" s="8"/>
      <c r="N846" s="8"/>
      <c r="O846" s="8"/>
    </row>
    <row r="847" spans="1:15">
      <c r="A847" s="26"/>
      <c r="B847" s="26"/>
      <c r="C847" s="8"/>
      <c r="D847" s="8"/>
      <c r="E847" s="8"/>
      <c r="F847" s="8"/>
      <c r="G847" s="8"/>
      <c r="H847" s="8"/>
      <c r="I847" s="27"/>
      <c r="J847" s="8"/>
      <c r="K847" s="8"/>
      <c r="L847" s="8"/>
      <c r="N847" s="8"/>
      <c r="O847" s="8"/>
    </row>
    <row r="848" spans="1:15">
      <c r="A848" s="26"/>
      <c r="B848" s="26"/>
      <c r="C848" s="8"/>
      <c r="D848" s="8"/>
      <c r="E848" s="8"/>
      <c r="F848" s="8"/>
      <c r="G848" s="8"/>
      <c r="H848" s="8"/>
      <c r="I848" s="27"/>
      <c r="J848" s="8"/>
      <c r="K848" s="8"/>
      <c r="L848" s="8"/>
      <c r="N848" s="8"/>
      <c r="O848" s="8"/>
    </row>
    <row r="849" spans="1:15">
      <c r="A849" s="26"/>
      <c r="B849" s="26"/>
      <c r="C849" s="8"/>
      <c r="D849" s="8"/>
      <c r="E849" s="8"/>
      <c r="F849" s="8"/>
      <c r="G849" s="8"/>
      <c r="H849" s="8"/>
      <c r="I849" s="27"/>
      <c r="J849" s="8"/>
      <c r="K849" s="8"/>
      <c r="L849" s="8"/>
      <c r="N849" s="8"/>
      <c r="O849" s="8"/>
    </row>
    <row r="850" spans="1:15">
      <c r="A850" s="26"/>
      <c r="B850" s="26"/>
      <c r="C850" s="8"/>
      <c r="D850" s="8"/>
      <c r="E850" s="8"/>
      <c r="F850" s="8"/>
      <c r="G850" s="8"/>
      <c r="H850" s="8"/>
      <c r="I850" s="27"/>
      <c r="J850" s="8"/>
      <c r="K850" s="8"/>
      <c r="L850" s="8"/>
      <c r="N850" s="8"/>
      <c r="O850" s="8"/>
    </row>
    <row r="851" spans="1:15">
      <c r="A851" s="26"/>
      <c r="B851" s="26"/>
      <c r="C851" s="8"/>
      <c r="D851" s="8"/>
      <c r="E851" s="8"/>
      <c r="F851" s="8"/>
      <c r="G851" s="8"/>
      <c r="H851" s="8"/>
      <c r="I851" s="27"/>
      <c r="J851" s="8"/>
      <c r="K851" s="8"/>
      <c r="L851" s="8"/>
      <c r="N851" s="8"/>
      <c r="O851" s="8"/>
    </row>
    <row r="852" spans="1:15">
      <c r="A852" s="26"/>
      <c r="B852" s="26"/>
      <c r="C852" s="8"/>
      <c r="D852" s="8"/>
      <c r="E852" s="8"/>
      <c r="F852" s="8"/>
      <c r="G852" s="8"/>
      <c r="H852" s="8"/>
      <c r="I852" s="27"/>
      <c r="J852" s="8"/>
      <c r="K852" s="8"/>
      <c r="L852" s="8"/>
      <c r="N852" s="8"/>
      <c r="O852" s="8"/>
    </row>
    <row r="853" spans="1:15">
      <c r="A853" s="26"/>
      <c r="B853" s="26"/>
      <c r="C853" s="8"/>
      <c r="D853" s="8"/>
      <c r="E853" s="8"/>
      <c r="F853" s="8"/>
      <c r="G853" s="8"/>
      <c r="H853" s="8"/>
      <c r="I853" s="27"/>
      <c r="J853" s="8"/>
      <c r="K853" s="8"/>
      <c r="L853" s="8"/>
      <c r="N853" s="8"/>
      <c r="O853" s="8"/>
    </row>
    <row r="854" spans="1:15">
      <c r="A854" s="26"/>
      <c r="B854" s="26"/>
      <c r="C854" s="8"/>
      <c r="D854" s="8"/>
      <c r="E854" s="8"/>
      <c r="F854" s="8"/>
      <c r="G854" s="8"/>
      <c r="H854" s="8"/>
      <c r="I854" s="27"/>
      <c r="J854" s="8"/>
      <c r="K854" s="8"/>
      <c r="L854" s="8"/>
      <c r="N854" s="8"/>
      <c r="O854" s="8"/>
    </row>
    <row r="855" spans="1:15">
      <c r="A855" s="26"/>
      <c r="B855" s="26"/>
      <c r="C855" s="8"/>
      <c r="D855" s="8"/>
      <c r="E855" s="8"/>
      <c r="F855" s="8"/>
      <c r="G855" s="8"/>
      <c r="H855" s="8"/>
      <c r="I855" s="27"/>
      <c r="J855" s="8"/>
      <c r="K855" s="8"/>
      <c r="L855" s="8"/>
      <c r="N855" s="8"/>
      <c r="O855" s="8"/>
    </row>
    <row r="856" spans="1:15">
      <c r="A856" s="26"/>
      <c r="B856" s="26"/>
      <c r="C856" s="8"/>
      <c r="D856" s="8"/>
      <c r="E856" s="8"/>
      <c r="F856" s="8"/>
      <c r="G856" s="8"/>
      <c r="H856" s="8"/>
      <c r="I856" s="27"/>
      <c r="J856" s="8"/>
      <c r="K856" s="8"/>
      <c r="L856" s="8"/>
      <c r="N856" s="8"/>
      <c r="O856" s="8"/>
    </row>
    <row r="857" spans="1:15">
      <c r="A857" s="26"/>
      <c r="B857" s="26"/>
      <c r="C857" s="8"/>
      <c r="D857" s="8"/>
      <c r="E857" s="8"/>
      <c r="F857" s="8"/>
      <c r="G857" s="8"/>
      <c r="H857" s="8"/>
      <c r="I857" s="27"/>
      <c r="J857" s="8"/>
      <c r="K857" s="8"/>
      <c r="L857" s="8"/>
      <c r="N857" s="8"/>
      <c r="O857" s="8"/>
    </row>
    <row r="858" spans="1:15">
      <c r="A858" s="26"/>
      <c r="B858" s="26"/>
      <c r="C858" s="8"/>
      <c r="D858" s="8"/>
      <c r="E858" s="8"/>
      <c r="F858" s="8"/>
      <c r="G858" s="8"/>
      <c r="H858" s="8"/>
      <c r="I858" s="27"/>
      <c r="J858" s="8"/>
      <c r="K858" s="8"/>
      <c r="L858" s="8"/>
      <c r="N858" s="8"/>
      <c r="O858" s="8"/>
    </row>
    <row r="859" spans="1:15">
      <c r="A859" s="26"/>
      <c r="B859" s="26"/>
      <c r="C859" s="8"/>
      <c r="D859" s="8"/>
      <c r="E859" s="8"/>
      <c r="F859" s="8"/>
      <c r="G859" s="8"/>
      <c r="H859" s="8"/>
      <c r="I859" s="27"/>
      <c r="J859" s="8"/>
      <c r="K859" s="8"/>
      <c r="L859" s="8"/>
      <c r="N859" s="8"/>
      <c r="O859" s="8"/>
    </row>
    <row r="860" spans="1:15">
      <c r="A860" s="26"/>
      <c r="B860" s="26"/>
      <c r="C860" s="8"/>
      <c r="D860" s="8"/>
      <c r="E860" s="8"/>
      <c r="F860" s="8"/>
      <c r="G860" s="8"/>
      <c r="H860" s="8"/>
      <c r="I860" s="27"/>
      <c r="J860" s="8"/>
      <c r="K860" s="8"/>
      <c r="L860" s="8"/>
      <c r="N860" s="8"/>
      <c r="O860" s="8"/>
    </row>
    <row r="861" spans="1:15">
      <c r="A861" s="26"/>
      <c r="B861" s="26"/>
      <c r="C861" s="8"/>
      <c r="D861" s="8"/>
      <c r="E861" s="8"/>
      <c r="F861" s="8"/>
      <c r="G861" s="8"/>
      <c r="H861" s="8"/>
      <c r="I861" s="27"/>
      <c r="J861" s="8"/>
      <c r="K861" s="8"/>
      <c r="L861" s="8"/>
      <c r="N861" s="8"/>
      <c r="O861" s="8"/>
    </row>
    <row r="862" spans="1:15">
      <c r="A862" s="26"/>
      <c r="B862" s="26"/>
      <c r="C862" s="8"/>
      <c r="D862" s="8"/>
      <c r="E862" s="8"/>
      <c r="F862" s="8"/>
      <c r="G862" s="8"/>
      <c r="H862" s="8"/>
      <c r="I862" s="27"/>
      <c r="J862" s="8"/>
      <c r="K862" s="8"/>
      <c r="L862" s="8"/>
      <c r="N862" s="8"/>
      <c r="O862" s="8"/>
    </row>
    <row r="863" spans="1:15">
      <c r="A863" s="26"/>
      <c r="B863" s="26"/>
      <c r="C863" s="8"/>
      <c r="D863" s="8"/>
      <c r="E863" s="8"/>
      <c r="F863" s="8"/>
      <c r="G863" s="8"/>
      <c r="H863" s="8"/>
      <c r="I863" s="27"/>
      <c r="J863" s="8"/>
      <c r="K863" s="8"/>
      <c r="L863" s="8"/>
      <c r="N863" s="8"/>
      <c r="O863" s="8"/>
    </row>
    <row r="864" spans="1:15">
      <c r="A864" s="26"/>
      <c r="B864" s="26"/>
      <c r="C864" s="8"/>
      <c r="D864" s="8"/>
      <c r="E864" s="8"/>
      <c r="F864" s="8"/>
      <c r="G864" s="8"/>
      <c r="H864" s="8"/>
      <c r="I864" s="27"/>
      <c r="J864" s="8"/>
      <c r="K864" s="8"/>
      <c r="L864" s="8"/>
      <c r="N864" s="8"/>
      <c r="O864" s="8"/>
    </row>
    <row r="865" spans="1:15">
      <c r="A865" s="26"/>
      <c r="B865" s="26"/>
      <c r="C865" s="8"/>
      <c r="D865" s="8"/>
      <c r="E865" s="8"/>
      <c r="F865" s="8"/>
      <c r="G865" s="8"/>
      <c r="H865" s="8"/>
      <c r="I865" s="27"/>
      <c r="J865" s="8"/>
      <c r="K865" s="8"/>
      <c r="L865" s="8"/>
      <c r="N865" s="8"/>
      <c r="O865" s="8"/>
    </row>
    <row r="866" spans="1:15">
      <c r="A866" s="26"/>
      <c r="B866" s="26"/>
      <c r="C866" s="8"/>
      <c r="D866" s="8"/>
      <c r="E866" s="8"/>
      <c r="F866" s="8"/>
      <c r="G866" s="8"/>
      <c r="H866" s="8"/>
      <c r="I866" s="27"/>
      <c r="J866" s="8"/>
      <c r="K866" s="8"/>
      <c r="L866" s="8"/>
      <c r="N866" s="8"/>
      <c r="O866" s="8"/>
    </row>
    <row r="867" spans="1:15">
      <c r="A867" s="26"/>
      <c r="B867" s="26"/>
      <c r="C867" s="8"/>
      <c r="D867" s="8"/>
      <c r="E867" s="8"/>
      <c r="F867" s="8"/>
      <c r="G867" s="8"/>
      <c r="H867" s="8"/>
      <c r="I867" s="27"/>
      <c r="J867" s="8"/>
      <c r="K867" s="8"/>
      <c r="L867" s="8"/>
      <c r="N867" s="8"/>
      <c r="O867" s="8"/>
    </row>
    <row r="868" spans="1:15">
      <c r="A868" s="26"/>
      <c r="B868" s="26"/>
      <c r="C868" s="8"/>
      <c r="D868" s="8"/>
      <c r="E868" s="8"/>
      <c r="F868" s="8"/>
      <c r="G868" s="8"/>
      <c r="H868" s="8"/>
      <c r="I868" s="27"/>
      <c r="J868" s="8"/>
      <c r="K868" s="8"/>
      <c r="L868" s="8"/>
      <c r="N868" s="8"/>
      <c r="O868" s="8"/>
    </row>
    <row r="869" spans="1:15">
      <c r="A869" s="26"/>
      <c r="B869" s="26"/>
      <c r="C869" s="8"/>
      <c r="D869" s="8"/>
      <c r="E869" s="8"/>
      <c r="F869" s="8"/>
      <c r="G869" s="8"/>
      <c r="H869" s="8"/>
      <c r="I869" s="27"/>
      <c r="J869" s="8"/>
      <c r="K869" s="8"/>
      <c r="L869" s="8"/>
      <c r="N869" s="8"/>
      <c r="O869" s="8"/>
    </row>
    <row r="870" spans="1:15">
      <c r="A870" s="26"/>
      <c r="B870" s="26"/>
      <c r="C870" s="8"/>
      <c r="D870" s="8"/>
      <c r="E870" s="8"/>
      <c r="F870" s="8"/>
      <c r="G870" s="8"/>
      <c r="H870" s="8"/>
      <c r="I870" s="27"/>
      <c r="J870" s="8"/>
      <c r="K870" s="8"/>
      <c r="L870" s="8"/>
      <c r="N870" s="8"/>
      <c r="O870" s="8"/>
    </row>
    <row r="871" spans="1:15">
      <c r="A871" s="26"/>
      <c r="B871" s="26"/>
      <c r="C871" s="8"/>
      <c r="D871" s="8"/>
      <c r="E871" s="8"/>
      <c r="F871" s="8"/>
      <c r="G871" s="8"/>
      <c r="H871" s="8"/>
      <c r="I871" s="27"/>
      <c r="J871" s="8"/>
      <c r="K871" s="8"/>
      <c r="L871" s="8"/>
      <c r="N871" s="8"/>
      <c r="O871" s="8"/>
    </row>
    <row r="872" spans="1:15">
      <c r="A872" s="26"/>
      <c r="B872" s="26"/>
      <c r="C872" s="8"/>
      <c r="D872" s="8"/>
      <c r="E872" s="8"/>
      <c r="F872" s="8"/>
      <c r="G872" s="8"/>
      <c r="H872" s="8"/>
      <c r="I872" s="27"/>
      <c r="J872" s="8"/>
      <c r="K872" s="8"/>
      <c r="L872" s="8"/>
      <c r="N872" s="8"/>
      <c r="O872" s="8"/>
    </row>
    <row r="873" spans="1:15">
      <c r="A873" s="26"/>
      <c r="B873" s="26"/>
      <c r="C873" s="8"/>
      <c r="D873" s="8"/>
      <c r="E873" s="8"/>
      <c r="F873" s="8"/>
      <c r="G873" s="8"/>
      <c r="H873" s="8"/>
      <c r="I873" s="27"/>
      <c r="J873" s="8"/>
      <c r="K873" s="8"/>
      <c r="L873" s="8"/>
      <c r="N873" s="8"/>
      <c r="O873" s="8"/>
    </row>
    <row r="874" spans="1:15">
      <c r="A874" s="26"/>
      <c r="B874" s="26"/>
      <c r="C874" s="8"/>
      <c r="D874" s="8"/>
      <c r="E874" s="8"/>
      <c r="F874" s="8"/>
      <c r="G874" s="8"/>
      <c r="H874" s="8"/>
      <c r="I874" s="27"/>
      <c r="J874" s="8"/>
      <c r="K874" s="8"/>
      <c r="L874" s="8"/>
      <c r="N874" s="8"/>
      <c r="O874" s="8"/>
    </row>
    <row r="875" spans="1:15">
      <c r="A875" s="26"/>
      <c r="B875" s="26"/>
      <c r="C875" s="8"/>
      <c r="D875" s="8"/>
      <c r="E875" s="8"/>
      <c r="F875" s="8"/>
      <c r="G875" s="8"/>
      <c r="H875" s="8"/>
      <c r="I875" s="27"/>
      <c r="J875" s="8"/>
      <c r="K875" s="8"/>
      <c r="L875" s="8"/>
      <c r="N875" s="8"/>
      <c r="O875" s="8"/>
    </row>
    <row r="876" spans="1:15">
      <c r="A876" s="26"/>
      <c r="B876" s="26"/>
      <c r="C876" s="8"/>
      <c r="D876" s="8"/>
      <c r="E876" s="8"/>
      <c r="F876" s="8"/>
      <c r="G876" s="8"/>
      <c r="H876" s="8"/>
      <c r="I876" s="27"/>
      <c r="J876" s="8"/>
      <c r="K876" s="8"/>
      <c r="L876" s="8"/>
      <c r="N876" s="8"/>
      <c r="O876" s="8"/>
    </row>
    <row r="877" spans="1:15">
      <c r="A877" s="26"/>
      <c r="B877" s="26"/>
      <c r="C877" s="8"/>
      <c r="D877" s="8"/>
      <c r="E877" s="8"/>
      <c r="F877" s="8"/>
      <c r="G877" s="8"/>
      <c r="H877" s="8"/>
      <c r="I877" s="27"/>
      <c r="J877" s="8"/>
      <c r="K877" s="8"/>
      <c r="L877" s="8"/>
      <c r="N877" s="8"/>
      <c r="O877" s="8"/>
    </row>
    <row r="878" spans="1:15">
      <c r="A878" s="26"/>
      <c r="B878" s="26"/>
      <c r="C878" s="8"/>
      <c r="D878" s="8"/>
      <c r="E878" s="8"/>
      <c r="F878" s="8"/>
      <c r="G878" s="8"/>
      <c r="H878" s="8"/>
      <c r="I878" s="27"/>
      <c r="J878" s="8"/>
      <c r="K878" s="8"/>
      <c r="L878" s="8"/>
      <c r="N878" s="8"/>
      <c r="O878" s="8"/>
    </row>
    <row r="879" spans="1:15">
      <c r="A879" s="26"/>
      <c r="B879" s="26"/>
      <c r="C879" s="8"/>
      <c r="D879" s="8"/>
      <c r="E879" s="8"/>
      <c r="F879" s="8"/>
      <c r="G879" s="8"/>
      <c r="H879" s="8"/>
      <c r="I879" s="27"/>
      <c r="J879" s="8"/>
      <c r="K879" s="8"/>
      <c r="L879" s="8"/>
      <c r="N879" s="8"/>
      <c r="O879" s="8"/>
    </row>
    <row r="880" spans="1:15">
      <c r="A880" s="26"/>
      <c r="B880" s="26"/>
      <c r="C880" s="8"/>
      <c r="D880" s="8"/>
      <c r="E880" s="8"/>
      <c r="F880" s="8"/>
      <c r="G880" s="8"/>
      <c r="H880" s="8"/>
      <c r="I880" s="27"/>
      <c r="J880" s="8"/>
      <c r="K880" s="8"/>
      <c r="L880" s="8"/>
      <c r="N880" s="8"/>
      <c r="O880" s="8"/>
    </row>
    <row r="881" spans="1:15">
      <c r="A881" s="26"/>
      <c r="B881" s="26"/>
      <c r="C881" s="8"/>
      <c r="D881" s="8"/>
      <c r="E881" s="8"/>
      <c r="F881" s="8"/>
      <c r="G881" s="8"/>
      <c r="H881" s="8"/>
      <c r="I881" s="27"/>
      <c r="J881" s="8"/>
      <c r="K881" s="8"/>
      <c r="L881" s="8"/>
      <c r="N881" s="8"/>
      <c r="O881" s="8"/>
    </row>
    <row r="882" spans="1:15">
      <c r="A882" s="26"/>
      <c r="B882" s="26"/>
      <c r="C882" s="8"/>
      <c r="D882" s="8"/>
      <c r="E882" s="8"/>
      <c r="F882" s="8"/>
      <c r="G882" s="8"/>
      <c r="H882" s="8"/>
      <c r="I882" s="27"/>
      <c r="J882" s="8"/>
      <c r="K882" s="8"/>
      <c r="L882" s="8"/>
      <c r="N882" s="8"/>
      <c r="O882" s="8"/>
    </row>
    <row r="883" spans="1:15">
      <c r="A883" s="26"/>
      <c r="B883" s="26"/>
      <c r="C883" s="8"/>
      <c r="D883" s="8"/>
      <c r="E883" s="8"/>
      <c r="F883" s="8"/>
      <c r="G883" s="8"/>
      <c r="H883" s="8"/>
      <c r="I883" s="27"/>
      <c r="J883" s="8"/>
      <c r="K883" s="8"/>
      <c r="L883" s="8"/>
      <c r="N883" s="8"/>
      <c r="O883" s="8"/>
    </row>
    <row r="884" spans="1:15">
      <c r="A884" s="26"/>
      <c r="B884" s="26"/>
      <c r="C884" s="8"/>
      <c r="D884" s="8"/>
      <c r="E884" s="8"/>
      <c r="F884" s="8"/>
      <c r="G884" s="8"/>
      <c r="H884" s="8"/>
      <c r="I884" s="27"/>
      <c r="J884" s="8"/>
      <c r="K884" s="8"/>
      <c r="L884" s="8"/>
      <c r="N884" s="8"/>
      <c r="O884" s="8"/>
    </row>
    <row r="885" spans="1:15">
      <c r="A885" s="26"/>
      <c r="B885" s="26"/>
      <c r="C885" s="8"/>
      <c r="D885" s="8"/>
      <c r="E885" s="8"/>
      <c r="F885" s="8"/>
      <c r="G885" s="8"/>
      <c r="H885" s="8"/>
      <c r="I885" s="27"/>
      <c r="J885" s="8"/>
      <c r="K885" s="8"/>
      <c r="L885" s="8"/>
      <c r="N885" s="8"/>
      <c r="O885" s="8"/>
    </row>
    <row r="886" spans="1:15">
      <c r="A886" s="26"/>
      <c r="B886" s="26"/>
      <c r="C886" s="8"/>
      <c r="D886" s="8"/>
      <c r="E886" s="8"/>
      <c r="F886" s="8"/>
      <c r="G886" s="8"/>
      <c r="H886" s="8"/>
      <c r="I886" s="27"/>
      <c r="J886" s="8"/>
      <c r="K886" s="8"/>
      <c r="L886" s="8"/>
      <c r="N886" s="8"/>
      <c r="O886" s="8"/>
    </row>
    <row r="887" spans="1:15">
      <c r="A887" s="26"/>
      <c r="B887" s="26"/>
      <c r="C887" s="8"/>
      <c r="D887" s="8"/>
      <c r="E887" s="8"/>
      <c r="F887" s="8"/>
      <c r="G887" s="8"/>
      <c r="H887" s="8"/>
      <c r="I887" s="27"/>
      <c r="J887" s="8"/>
      <c r="K887" s="8"/>
      <c r="L887" s="8"/>
      <c r="N887" s="8"/>
      <c r="O887" s="8"/>
    </row>
    <row r="888" spans="1:15">
      <c r="A888" s="26"/>
      <c r="B888" s="26"/>
      <c r="C888" s="8"/>
      <c r="D888" s="8"/>
      <c r="E888" s="8"/>
      <c r="F888" s="8"/>
      <c r="G888" s="8"/>
      <c r="H888" s="8"/>
      <c r="I888" s="27"/>
      <c r="J888" s="8"/>
      <c r="K888" s="8"/>
      <c r="L888" s="8"/>
      <c r="N888" s="8"/>
      <c r="O888" s="8"/>
    </row>
    <row r="889" spans="1:15">
      <c r="A889" s="26"/>
      <c r="B889" s="26"/>
      <c r="C889" s="8"/>
      <c r="D889" s="8"/>
      <c r="E889" s="8"/>
      <c r="F889" s="8"/>
      <c r="G889" s="8"/>
      <c r="H889" s="8"/>
      <c r="I889" s="27"/>
      <c r="J889" s="8"/>
      <c r="K889" s="8"/>
      <c r="L889" s="8"/>
      <c r="N889" s="8"/>
      <c r="O889" s="8"/>
    </row>
    <row r="890" spans="1:15">
      <c r="A890" s="26"/>
      <c r="B890" s="26"/>
      <c r="C890" s="8"/>
      <c r="D890" s="8"/>
      <c r="E890" s="8"/>
      <c r="F890" s="8"/>
      <c r="G890" s="8"/>
      <c r="H890" s="8"/>
      <c r="I890" s="27"/>
      <c r="J890" s="8"/>
      <c r="K890" s="8"/>
      <c r="L890" s="8"/>
      <c r="N890" s="8"/>
      <c r="O890" s="8"/>
    </row>
    <row r="891" spans="1:15">
      <c r="A891" s="26"/>
      <c r="B891" s="26"/>
      <c r="C891" s="8"/>
      <c r="D891" s="8"/>
      <c r="E891" s="8"/>
      <c r="F891" s="8"/>
      <c r="G891" s="8"/>
      <c r="H891" s="8"/>
      <c r="I891" s="27"/>
      <c r="J891" s="8"/>
      <c r="K891" s="8"/>
      <c r="L891" s="8"/>
      <c r="N891" s="8"/>
      <c r="O891" s="8"/>
    </row>
    <row r="892" spans="1:15">
      <c r="A892" s="26"/>
      <c r="B892" s="26"/>
      <c r="C892" s="8"/>
      <c r="D892" s="8"/>
      <c r="E892" s="8"/>
      <c r="F892" s="8"/>
      <c r="G892" s="8"/>
      <c r="H892" s="8"/>
      <c r="I892" s="27"/>
      <c r="J892" s="8"/>
      <c r="K892" s="8"/>
      <c r="L892" s="8"/>
      <c r="N892" s="8"/>
      <c r="O892" s="8"/>
    </row>
    <row r="893" spans="1:15">
      <c r="A893" s="26"/>
      <c r="B893" s="26"/>
      <c r="C893" s="8"/>
      <c r="D893" s="8"/>
      <c r="E893" s="8"/>
      <c r="F893" s="8"/>
      <c r="G893" s="8"/>
      <c r="H893" s="8"/>
      <c r="I893" s="27"/>
      <c r="J893" s="8"/>
      <c r="K893" s="8"/>
      <c r="L893" s="8"/>
      <c r="N893" s="8"/>
      <c r="O893" s="8"/>
    </row>
    <row r="894" spans="1:15">
      <c r="A894" s="26"/>
      <c r="B894" s="26"/>
      <c r="C894" s="8"/>
      <c r="D894" s="8"/>
      <c r="E894" s="8"/>
      <c r="F894" s="8"/>
      <c r="G894" s="8"/>
      <c r="H894" s="8"/>
      <c r="I894" s="27"/>
      <c r="J894" s="8"/>
      <c r="K894" s="8"/>
      <c r="L894" s="8"/>
      <c r="N894" s="8"/>
      <c r="O894" s="8"/>
    </row>
    <row r="895" spans="1:15">
      <c r="A895" s="26"/>
      <c r="B895" s="26"/>
      <c r="C895" s="8"/>
      <c r="D895" s="8"/>
      <c r="E895" s="8"/>
      <c r="F895" s="8"/>
      <c r="G895" s="8"/>
      <c r="H895" s="8"/>
      <c r="I895" s="27"/>
      <c r="J895" s="8"/>
      <c r="K895" s="8"/>
      <c r="L895" s="8"/>
      <c r="N895" s="8"/>
      <c r="O895" s="8"/>
    </row>
    <row r="896" spans="1:15">
      <c r="A896" s="26"/>
      <c r="B896" s="26"/>
      <c r="C896" s="8"/>
      <c r="D896" s="8"/>
      <c r="E896" s="8"/>
      <c r="F896" s="8"/>
      <c r="G896" s="8"/>
      <c r="H896" s="8"/>
      <c r="I896" s="27"/>
      <c r="J896" s="8"/>
      <c r="K896" s="8"/>
      <c r="L896" s="8"/>
      <c r="N896" s="8"/>
      <c r="O896" s="8"/>
    </row>
    <row r="897" spans="1:15">
      <c r="A897" s="26"/>
      <c r="B897" s="26"/>
      <c r="C897" s="8"/>
      <c r="D897" s="8"/>
      <c r="E897" s="8"/>
      <c r="F897" s="8"/>
      <c r="G897" s="8"/>
      <c r="H897" s="8"/>
      <c r="I897" s="27"/>
      <c r="J897" s="8"/>
      <c r="K897" s="8"/>
      <c r="L897" s="8"/>
      <c r="N897" s="8"/>
      <c r="O897" s="8"/>
    </row>
    <row r="898" spans="1:15">
      <c r="A898" s="26"/>
      <c r="B898" s="26"/>
      <c r="C898" s="8"/>
      <c r="D898" s="8"/>
      <c r="E898" s="8"/>
      <c r="F898" s="8"/>
      <c r="G898" s="8"/>
      <c r="H898" s="8"/>
      <c r="I898" s="27"/>
      <c r="J898" s="8"/>
      <c r="K898" s="8"/>
      <c r="L898" s="8"/>
      <c r="N898" s="8"/>
      <c r="O898" s="8"/>
    </row>
    <row r="899" spans="1:15">
      <c r="A899" s="26"/>
      <c r="B899" s="26"/>
      <c r="C899" s="8"/>
      <c r="D899" s="8"/>
      <c r="E899" s="8"/>
      <c r="F899" s="8"/>
      <c r="G899" s="8"/>
      <c r="H899" s="8"/>
      <c r="I899" s="27"/>
      <c r="J899" s="8"/>
      <c r="K899" s="8"/>
      <c r="L899" s="8"/>
      <c r="N899" s="8"/>
      <c r="O899" s="8"/>
    </row>
    <row r="900" spans="1:15">
      <c r="A900" s="26"/>
      <c r="B900" s="26"/>
      <c r="C900" s="8"/>
      <c r="D900" s="8"/>
      <c r="E900" s="8"/>
      <c r="F900" s="8"/>
      <c r="G900" s="8"/>
      <c r="H900" s="8"/>
      <c r="I900" s="27"/>
      <c r="J900" s="8"/>
      <c r="K900" s="8"/>
      <c r="L900" s="8"/>
      <c r="N900" s="8"/>
      <c r="O900" s="8"/>
    </row>
    <row r="901" spans="1:15">
      <c r="A901" s="26"/>
      <c r="B901" s="26"/>
      <c r="C901" s="8"/>
      <c r="D901" s="8"/>
      <c r="E901" s="8"/>
      <c r="F901" s="8"/>
      <c r="G901" s="8"/>
      <c r="H901" s="8"/>
      <c r="I901" s="27"/>
      <c r="J901" s="8"/>
      <c r="K901" s="8"/>
      <c r="L901" s="8"/>
      <c r="N901" s="8"/>
      <c r="O901" s="8"/>
    </row>
    <row r="902" spans="1:15">
      <c r="A902" s="26"/>
      <c r="B902" s="26"/>
      <c r="C902" s="8"/>
      <c r="D902" s="8"/>
      <c r="E902" s="8"/>
      <c r="F902" s="8"/>
      <c r="G902" s="8"/>
      <c r="H902" s="8"/>
      <c r="I902" s="27"/>
      <c r="J902" s="8"/>
      <c r="K902" s="8"/>
      <c r="L902" s="8"/>
      <c r="N902" s="8"/>
      <c r="O902" s="8"/>
    </row>
    <row r="903" spans="1:15">
      <c r="A903" s="26"/>
      <c r="B903" s="26"/>
      <c r="C903" s="8"/>
      <c r="D903" s="8"/>
      <c r="E903" s="8"/>
      <c r="F903" s="8"/>
      <c r="G903" s="8"/>
      <c r="H903" s="8"/>
      <c r="I903" s="27"/>
      <c r="J903" s="8"/>
      <c r="K903" s="8"/>
      <c r="L903" s="8"/>
      <c r="N903" s="8"/>
      <c r="O903" s="8"/>
    </row>
    <row r="904" spans="1:15">
      <c r="A904" s="26"/>
      <c r="B904" s="26"/>
      <c r="C904" s="8"/>
      <c r="D904" s="8"/>
      <c r="E904" s="8"/>
      <c r="F904" s="8"/>
      <c r="G904" s="8"/>
      <c r="H904" s="8"/>
      <c r="I904" s="27"/>
      <c r="J904" s="8"/>
      <c r="K904" s="8"/>
      <c r="L904" s="8"/>
      <c r="N904" s="8"/>
      <c r="O904" s="8"/>
    </row>
    <row r="905" spans="1:15">
      <c r="A905" s="26"/>
      <c r="B905" s="26"/>
      <c r="C905" s="8"/>
      <c r="D905" s="8"/>
      <c r="E905" s="8"/>
      <c r="F905" s="8"/>
      <c r="G905" s="8"/>
      <c r="H905" s="8"/>
      <c r="I905" s="27"/>
      <c r="J905" s="8"/>
      <c r="K905" s="8"/>
      <c r="L905" s="8"/>
      <c r="N905" s="8"/>
      <c r="O905" s="8"/>
    </row>
    <row r="906" spans="1:15">
      <c r="A906" s="26"/>
      <c r="B906" s="26"/>
      <c r="C906" s="8"/>
      <c r="D906" s="8"/>
      <c r="E906" s="8"/>
      <c r="F906" s="8"/>
      <c r="G906" s="8"/>
      <c r="H906" s="8"/>
      <c r="I906" s="27"/>
      <c r="J906" s="8"/>
      <c r="K906" s="8"/>
      <c r="L906" s="8"/>
      <c r="N906" s="8"/>
      <c r="O906" s="8"/>
    </row>
    <row r="907" spans="1:15">
      <c r="A907" s="26"/>
      <c r="B907" s="26"/>
      <c r="C907" s="8"/>
      <c r="D907" s="8"/>
      <c r="E907" s="8"/>
      <c r="F907" s="8"/>
      <c r="G907" s="8"/>
      <c r="H907" s="8"/>
      <c r="I907" s="27"/>
      <c r="J907" s="8"/>
      <c r="K907" s="8"/>
      <c r="L907" s="8"/>
      <c r="N907" s="8"/>
      <c r="O907" s="8"/>
    </row>
    <row r="908" spans="1:15">
      <c r="A908" s="26"/>
      <c r="B908" s="26"/>
      <c r="C908" s="8"/>
      <c r="D908" s="8"/>
      <c r="E908" s="8"/>
      <c r="F908" s="8"/>
      <c r="G908" s="8"/>
      <c r="H908" s="8"/>
      <c r="I908" s="27"/>
      <c r="J908" s="8"/>
      <c r="K908" s="8"/>
      <c r="L908" s="8"/>
      <c r="N908" s="8"/>
      <c r="O908" s="8"/>
    </row>
    <row r="909" spans="1:15">
      <c r="A909" s="26"/>
      <c r="B909" s="26"/>
      <c r="C909" s="8"/>
      <c r="D909" s="8"/>
      <c r="E909" s="8"/>
      <c r="F909" s="8"/>
      <c r="G909" s="8"/>
      <c r="H909" s="8"/>
      <c r="I909" s="27"/>
      <c r="J909" s="8"/>
      <c r="K909" s="8"/>
      <c r="L909" s="8"/>
      <c r="N909" s="8"/>
      <c r="O909" s="8"/>
    </row>
    <row r="910" spans="1:15">
      <c r="A910" s="26"/>
      <c r="B910" s="26"/>
      <c r="C910" s="8"/>
      <c r="D910" s="8"/>
      <c r="E910" s="8"/>
      <c r="F910" s="8"/>
      <c r="G910" s="8"/>
      <c r="H910" s="8"/>
      <c r="I910" s="27"/>
      <c r="J910" s="8"/>
      <c r="K910" s="8"/>
      <c r="L910" s="8"/>
      <c r="N910" s="8"/>
      <c r="O910" s="8"/>
    </row>
    <row r="911" spans="1:15">
      <c r="A911" s="26"/>
      <c r="B911" s="26"/>
      <c r="C911" s="8"/>
      <c r="D911" s="8"/>
      <c r="E911" s="8"/>
      <c r="F911" s="8"/>
      <c r="G911" s="8"/>
      <c r="H911" s="8"/>
      <c r="I911" s="27"/>
      <c r="J911" s="8"/>
      <c r="K911" s="8"/>
      <c r="L911" s="8"/>
      <c r="N911" s="8"/>
      <c r="O911" s="8"/>
    </row>
    <row r="912" spans="1:15">
      <c r="A912" s="26"/>
      <c r="B912" s="26"/>
      <c r="C912" s="8"/>
      <c r="D912" s="8"/>
      <c r="E912" s="8"/>
      <c r="F912" s="8"/>
      <c r="G912" s="8"/>
      <c r="H912" s="8"/>
      <c r="I912" s="27"/>
      <c r="J912" s="8"/>
      <c r="K912" s="8"/>
      <c r="L912" s="8"/>
      <c r="N912" s="8"/>
      <c r="O912" s="8"/>
    </row>
    <row r="913" spans="1:15">
      <c r="A913" s="26"/>
      <c r="B913" s="26"/>
      <c r="C913" s="8"/>
      <c r="D913" s="8"/>
      <c r="E913" s="8"/>
      <c r="F913" s="8"/>
      <c r="G913" s="8"/>
      <c r="H913" s="8"/>
      <c r="I913" s="27"/>
      <c r="J913" s="8"/>
      <c r="K913" s="8"/>
      <c r="L913" s="8"/>
      <c r="N913" s="8"/>
      <c r="O913" s="8"/>
    </row>
    <row r="914" spans="1:15">
      <c r="A914" s="26"/>
      <c r="B914" s="26"/>
      <c r="C914" s="8"/>
      <c r="D914" s="8"/>
      <c r="E914" s="8"/>
      <c r="F914" s="8"/>
      <c r="G914" s="8"/>
      <c r="H914" s="8"/>
      <c r="I914" s="27"/>
      <c r="J914" s="8"/>
      <c r="K914" s="8"/>
      <c r="L914" s="8"/>
      <c r="N914" s="8"/>
      <c r="O914" s="8"/>
    </row>
    <row r="915" spans="1:15">
      <c r="A915" s="26"/>
      <c r="B915" s="26"/>
      <c r="C915" s="8"/>
      <c r="D915" s="8"/>
      <c r="E915" s="8"/>
      <c r="F915" s="8"/>
      <c r="G915" s="8"/>
      <c r="H915" s="8"/>
      <c r="I915" s="27"/>
      <c r="J915" s="8"/>
      <c r="K915" s="8"/>
      <c r="L915" s="8"/>
      <c r="N915" s="8"/>
      <c r="O915" s="8"/>
    </row>
    <row r="916" spans="1:15">
      <c r="A916" s="26"/>
      <c r="B916" s="26"/>
      <c r="C916" s="8"/>
      <c r="D916" s="8"/>
      <c r="E916" s="8"/>
      <c r="F916" s="8"/>
      <c r="G916" s="8"/>
      <c r="H916" s="8"/>
      <c r="I916" s="27"/>
      <c r="J916" s="8"/>
      <c r="K916" s="8"/>
      <c r="L916" s="8"/>
      <c r="N916" s="8"/>
      <c r="O916" s="8"/>
    </row>
    <row r="917" spans="1:15">
      <c r="A917" s="26"/>
      <c r="B917" s="26"/>
      <c r="C917" s="8"/>
      <c r="D917" s="8"/>
      <c r="E917" s="8"/>
      <c r="F917" s="8"/>
      <c r="G917" s="8"/>
      <c r="H917" s="8"/>
      <c r="I917" s="27"/>
      <c r="J917" s="8"/>
      <c r="K917" s="8"/>
      <c r="L917" s="8"/>
      <c r="N917" s="8"/>
      <c r="O917" s="8"/>
    </row>
    <row r="918" spans="1:15">
      <c r="A918" s="26"/>
      <c r="B918" s="26"/>
      <c r="C918" s="8"/>
      <c r="D918" s="8"/>
      <c r="E918" s="8"/>
      <c r="F918" s="8"/>
      <c r="G918" s="8"/>
      <c r="H918" s="8"/>
      <c r="I918" s="27"/>
      <c r="J918" s="8"/>
      <c r="K918" s="8"/>
      <c r="L918" s="8"/>
      <c r="N918" s="8"/>
      <c r="O918" s="8"/>
    </row>
    <row r="919" spans="1:15">
      <c r="A919" s="26"/>
      <c r="B919" s="26"/>
      <c r="C919" s="8"/>
      <c r="D919" s="8"/>
      <c r="E919" s="8"/>
      <c r="F919" s="8"/>
      <c r="G919" s="8"/>
      <c r="H919" s="8"/>
      <c r="I919" s="27"/>
      <c r="J919" s="8"/>
      <c r="K919" s="8"/>
      <c r="L919" s="8"/>
      <c r="N919" s="8"/>
      <c r="O919" s="8"/>
    </row>
    <row r="920" spans="1:15">
      <c r="A920" s="26"/>
      <c r="B920" s="26"/>
      <c r="C920" s="8"/>
      <c r="D920" s="8"/>
      <c r="E920" s="8"/>
      <c r="F920" s="8"/>
      <c r="G920" s="8"/>
      <c r="H920" s="8"/>
      <c r="I920" s="27"/>
      <c r="J920" s="8"/>
      <c r="K920" s="8"/>
      <c r="L920" s="8"/>
      <c r="N920" s="8"/>
      <c r="O920" s="8"/>
    </row>
    <row r="921" spans="1:15">
      <c r="A921" s="26"/>
      <c r="B921" s="26"/>
      <c r="C921" s="8"/>
      <c r="D921" s="8"/>
      <c r="E921" s="8"/>
      <c r="F921" s="8"/>
      <c r="G921" s="8"/>
      <c r="H921" s="8"/>
      <c r="I921" s="27"/>
      <c r="J921" s="8"/>
      <c r="K921" s="8"/>
      <c r="L921" s="8"/>
      <c r="N921" s="8"/>
      <c r="O921" s="8"/>
    </row>
    <row r="922" spans="1:15">
      <c r="A922" s="26"/>
      <c r="B922" s="26"/>
      <c r="C922" s="8"/>
      <c r="D922" s="8"/>
      <c r="E922" s="8"/>
      <c r="F922" s="8"/>
      <c r="G922" s="8"/>
      <c r="H922" s="8"/>
      <c r="I922" s="27"/>
      <c r="J922" s="8"/>
      <c r="K922" s="8"/>
      <c r="L922" s="8"/>
      <c r="N922" s="8"/>
      <c r="O922" s="8"/>
    </row>
    <row r="923" spans="1:15">
      <c r="A923" s="26"/>
      <c r="B923" s="26"/>
      <c r="C923" s="8"/>
      <c r="D923" s="8"/>
      <c r="E923" s="8"/>
      <c r="F923" s="8"/>
      <c r="G923" s="8"/>
      <c r="H923" s="8"/>
      <c r="I923" s="27"/>
      <c r="J923" s="8"/>
      <c r="K923" s="8"/>
      <c r="L923" s="8"/>
      <c r="N923" s="8"/>
      <c r="O923" s="8"/>
    </row>
    <row r="924" spans="1:15">
      <c r="A924" s="26"/>
      <c r="B924" s="26"/>
      <c r="C924" s="8"/>
      <c r="D924" s="8"/>
      <c r="E924" s="8"/>
      <c r="F924" s="8"/>
      <c r="G924" s="8"/>
      <c r="H924" s="8"/>
      <c r="I924" s="27"/>
      <c r="J924" s="8"/>
      <c r="K924" s="8"/>
      <c r="L924" s="8"/>
      <c r="N924" s="8"/>
      <c r="O924" s="8"/>
    </row>
    <row r="925" spans="1:15">
      <c r="A925" s="26"/>
      <c r="B925" s="26"/>
      <c r="C925" s="8"/>
      <c r="D925" s="8"/>
      <c r="E925" s="8"/>
      <c r="F925" s="8"/>
      <c r="G925" s="8"/>
      <c r="H925" s="8"/>
      <c r="I925" s="27"/>
      <c r="J925" s="8"/>
      <c r="K925" s="8"/>
      <c r="L925" s="8"/>
      <c r="N925" s="8"/>
      <c r="O925" s="8"/>
    </row>
    <row r="926" spans="1:15">
      <c r="A926" s="26"/>
      <c r="B926" s="26"/>
      <c r="C926" s="8"/>
      <c r="D926" s="8"/>
      <c r="E926" s="8"/>
      <c r="F926" s="8"/>
      <c r="G926" s="8"/>
      <c r="H926" s="8"/>
      <c r="I926" s="27"/>
      <c r="J926" s="8"/>
      <c r="K926" s="8"/>
      <c r="L926" s="8"/>
      <c r="N926" s="8"/>
      <c r="O926" s="8"/>
    </row>
    <row r="927" spans="1:15">
      <c r="A927" s="26"/>
      <c r="B927" s="26"/>
      <c r="C927" s="8"/>
      <c r="D927" s="8"/>
      <c r="E927" s="8"/>
      <c r="F927" s="8"/>
      <c r="G927" s="8"/>
      <c r="H927" s="8"/>
      <c r="I927" s="27"/>
      <c r="J927" s="8"/>
      <c r="K927" s="8"/>
      <c r="L927" s="8"/>
      <c r="N927" s="8"/>
      <c r="O927" s="8"/>
    </row>
    <row r="928" spans="1:15">
      <c r="A928" s="26"/>
      <c r="B928" s="26"/>
      <c r="C928" s="8"/>
      <c r="D928" s="8"/>
      <c r="E928" s="8"/>
      <c r="F928" s="8"/>
      <c r="G928" s="8"/>
      <c r="H928" s="8"/>
      <c r="I928" s="27"/>
      <c r="J928" s="8"/>
      <c r="K928" s="8"/>
      <c r="L928" s="8"/>
      <c r="N928" s="8"/>
      <c r="O928" s="8"/>
    </row>
    <row r="929" spans="1:15">
      <c r="A929" s="26"/>
      <c r="B929" s="26"/>
      <c r="C929" s="8"/>
      <c r="D929" s="8"/>
      <c r="E929" s="8"/>
      <c r="F929" s="8"/>
      <c r="G929" s="8"/>
      <c r="H929" s="8"/>
      <c r="I929" s="27"/>
      <c r="J929" s="8"/>
      <c r="K929" s="8"/>
      <c r="L929" s="8"/>
      <c r="N929" s="8"/>
      <c r="O929" s="8"/>
    </row>
    <row r="930" spans="1:15">
      <c r="A930" s="26"/>
      <c r="B930" s="26"/>
      <c r="C930" s="8"/>
      <c r="D930" s="8"/>
      <c r="E930" s="8"/>
      <c r="F930" s="8"/>
      <c r="G930" s="8"/>
      <c r="H930" s="8"/>
      <c r="I930" s="27"/>
      <c r="J930" s="8"/>
      <c r="K930" s="8"/>
      <c r="L930" s="8"/>
      <c r="N930" s="8"/>
      <c r="O930" s="8"/>
    </row>
    <row r="931" spans="1:15">
      <c r="A931" s="26"/>
      <c r="B931" s="26"/>
      <c r="C931" s="8"/>
      <c r="D931" s="8"/>
      <c r="E931" s="8"/>
      <c r="F931" s="8"/>
      <c r="G931" s="8"/>
      <c r="H931" s="8"/>
      <c r="I931" s="27"/>
      <c r="J931" s="8"/>
      <c r="K931" s="8"/>
      <c r="L931" s="8"/>
      <c r="N931" s="8"/>
      <c r="O931" s="8"/>
    </row>
    <row r="932" spans="1:15">
      <c r="A932" s="26"/>
      <c r="B932" s="26"/>
      <c r="C932" s="8"/>
      <c r="D932" s="8"/>
      <c r="E932" s="8"/>
      <c r="F932" s="8"/>
      <c r="G932" s="8"/>
      <c r="H932" s="8"/>
      <c r="I932" s="27"/>
      <c r="J932" s="8"/>
      <c r="K932" s="8"/>
      <c r="L932" s="8"/>
      <c r="N932" s="8"/>
      <c r="O932" s="8"/>
    </row>
    <row r="933" spans="1:15">
      <c r="A933" s="26"/>
      <c r="B933" s="26"/>
      <c r="C933" s="8"/>
      <c r="D933" s="8"/>
      <c r="E933" s="8"/>
      <c r="F933" s="8"/>
      <c r="G933" s="8"/>
      <c r="H933" s="8"/>
      <c r="I933" s="27"/>
      <c r="J933" s="8"/>
      <c r="K933" s="8"/>
      <c r="L933" s="8"/>
      <c r="N933" s="8"/>
      <c r="O933" s="8"/>
    </row>
    <row r="934" spans="1:15">
      <c r="A934" s="26"/>
      <c r="B934" s="26"/>
      <c r="C934" s="8"/>
      <c r="D934" s="8"/>
      <c r="E934" s="8"/>
      <c r="F934" s="8"/>
      <c r="G934" s="8"/>
      <c r="H934" s="8"/>
      <c r="I934" s="27"/>
      <c r="J934" s="8"/>
      <c r="K934" s="8"/>
      <c r="L934" s="8"/>
      <c r="N934" s="8"/>
      <c r="O934" s="8"/>
    </row>
    <row r="935" spans="1:15">
      <c r="A935" s="26"/>
      <c r="B935" s="26"/>
      <c r="C935" s="8"/>
      <c r="D935" s="8"/>
      <c r="E935" s="8"/>
      <c r="F935" s="8"/>
      <c r="G935" s="8"/>
      <c r="H935" s="8"/>
      <c r="I935" s="27"/>
      <c r="J935" s="8"/>
      <c r="K935" s="8"/>
      <c r="L935" s="8"/>
      <c r="N935" s="8"/>
      <c r="O935" s="8"/>
    </row>
    <row r="936" spans="1:15">
      <c r="A936" s="26"/>
      <c r="B936" s="26"/>
      <c r="C936" s="8"/>
      <c r="D936" s="8"/>
      <c r="E936" s="8"/>
      <c r="F936" s="8"/>
      <c r="G936" s="8"/>
      <c r="H936" s="8"/>
      <c r="I936" s="27"/>
      <c r="J936" s="8"/>
      <c r="K936" s="8"/>
      <c r="L936" s="8"/>
      <c r="N936" s="8"/>
      <c r="O936" s="8"/>
    </row>
    <row r="937" spans="1:15">
      <c r="A937" s="26"/>
      <c r="B937" s="26"/>
      <c r="C937" s="8"/>
      <c r="D937" s="8"/>
      <c r="E937" s="8"/>
      <c r="F937" s="8"/>
      <c r="G937" s="8"/>
      <c r="H937" s="8"/>
      <c r="I937" s="27"/>
      <c r="J937" s="8"/>
      <c r="K937" s="8"/>
      <c r="L937" s="8"/>
      <c r="N937" s="8"/>
      <c r="O937" s="8"/>
    </row>
    <row r="938" spans="1:15">
      <c r="A938" s="26"/>
      <c r="B938" s="26"/>
      <c r="C938" s="8"/>
      <c r="D938" s="8"/>
      <c r="E938" s="8"/>
      <c r="F938" s="8"/>
      <c r="G938" s="8"/>
      <c r="H938" s="8"/>
      <c r="I938" s="27"/>
      <c r="J938" s="8"/>
      <c r="K938" s="8"/>
      <c r="L938" s="8"/>
      <c r="N938" s="8"/>
      <c r="O938" s="8"/>
    </row>
    <row r="939" spans="1:15">
      <c r="A939" s="26"/>
      <c r="B939" s="26"/>
      <c r="C939" s="8"/>
      <c r="D939" s="8"/>
      <c r="E939" s="8"/>
      <c r="F939" s="8"/>
      <c r="G939" s="8"/>
      <c r="H939" s="8"/>
      <c r="I939" s="27"/>
      <c r="J939" s="8"/>
      <c r="K939" s="8"/>
      <c r="L939" s="8"/>
      <c r="N939" s="8"/>
      <c r="O939" s="8"/>
    </row>
    <row r="940" spans="1:15">
      <c r="A940" s="26"/>
      <c r="B940" s="26"/>
      <c r="C940" s="8"/>
      <c r="D940" s="8"/>
      <c r="E940" s="8"/>
      <c r="F940" s="8"/>
      <c r="G940" s="8"/>
      <c r="H940" s="8"/>
      <c r="I940" s="27"/>
      <c r="J940" s="8"/>
      <c r="K940" s="8"/>
      <c r="L940" s="8"/>
      <c r="N940" s="8"/>
      <c r="O940" s="8"/>
    </row>
    <row r="941" spans="1:15">
      <c r="A941" s="26"/>
      <c r="B941" s="26"/>
      <c r="C941" s="8"/>
      <c r="D941" s="8"/>
      <c r="E941" s="8"/>
      <c r="F941" s="8"/>
      <c r="G941" s="8"/>
      <c r="H941" s="8"/>
      <c r="I941" s="27"/>
      <c r="J941" s="8"/>
      <c r="K941" s="8"/>
      <c r="L941" s="8"/>
      <c r="N941" s="8"/>
      <c r="O941" s="8"/>
    </row>
    <row r="942" spans="1:15">
      <c r="A942" s="26"/>
      <c r="B942" s="26"/>
      <c r="C942" s="8"/>
      <c r="D942" s="8"/>
      <c r="E942" s="8"/>
      <c r="F942" s="8"/>
      <c r="G942" s="8"/>
      <c r="H942" s="8"/>
      <c r="I942" s="27"/>
      <c r="J942" s="8"/>
      <c r="K942" s="8"/>
      <c r="L942" s="8"/>
      <c r="N942" s="8"/>
      <c r="O942" s="8"/>
    </row>
    <row r="943" spans="1:15">
      <c r="A943" s="26"/>
      <c r="B943" s="26"/>
      <c r="C943" s="8"/>
      <c r="D943" s="8"/>
      <c r="E943" s="8"/>
      <c r="F943" s="8"/>
      <c r="G943" s="8"/>
      <c r="H943" s="8"/>
      <c r="I943" s="27"/>
      <c r="J943" s="8"/>
      <c r="K943" s="8"/>
      <c r="L943" s="8"/>
      <c r="N943" s="8"/>
      <c r="O943" s="8"/>
    </row>
    <row r="944" spans="1:15">
      <c r="A944" s="26"/>
      <c r="B944" s="26"/>
      <c r="C944" s="8"/>
      <c r="D944" s="8"/>
      <c r="E944" s="8"/>
      <c r="F944" s="8"/>
      <c r="G944" s="8"/>
      <c r="H944" s="8"/>
      <c r="I944" s="27"/>
      <c r="J944" s="8"/>
      <c r="K944" s="8"/>
      <c r="L944" s="8"/>
      <c r="N944" s="8"/>
      <c r="O944" s="8"/>
    </row>
    <row r="945" spans="1:15">
      <c r="A945" s="26"/>
      <c r="B945" s="26"/>
      <c r="C945" s="8"/>
      <c r="D945" s="8"/>
      <c r="E945" s="8"/>
      <c r="F945" s="8"/>
      <c r="G945" s="8"/>
      <c r="H945" s="8"/>
      <c r="I945" s="27"/>
      <c r="J945" s="8"/>
      <c r="K945" s="8"/>
      <c r="L945" s="8"/>
      <c r="N945" s="8"/>
      <c r="O945" s="8"/>
    </row>
    <row r="946" spans="1:15">
      <c r="A946" s="26"/>
      <c r="B946" s="26"/>
      <c r="C946" s="8"/>
      <c r="D946" s="8"/>
      <c r="E946" s="8"/>
      <c r="F946" s="8"/>
      <c r="G946" s="8"/>
      <c r="H946" s="8"/>
      <c r="I946" s="27"/>
      <c r="J946" s="8"/>
      <c r="K946" s="8"/>
      <c r="L946" s="8"/>
      <c r="N946" s="8"/>
      <c r="O946" s="8"/>
    </row>
    <row r="947" spans="1:15">
      <c r="A947" s="26"/>
      <c r="B947" s="26"/>
      <c r="C947" s="8"/>
      <c r="D947" s="8"/>
      <c r="E947" s="8"/>
      <c r="F947" s="8"/>
      <c r="G947" s="8"/>
      <c r="H947" s="8"/>
      <c r="I947" s="27"/>
      <c r="J947" s="8"/>
      <c r="K947" s="8"/>
      <c r="L947" s="8"/>
      <c r="N947" s="8"/>
      <c r="O947" s="8"/>
    </row>
    <row r="948" spans="1:15">
      <c r="A948" s="26"/>
      <c r="B948" s="26"/>
      <c r="C948" s="8"/>
      <c r="D948" s="8"/>
      <c r="E948" s="8"/>
      <c r="F948" s="8"/>
      <c r="G948" s="8"/>
      <c r="H948" s="8"/>
      <c r="I948" s="27"/>
      <c r="J948" s="8"/>
      <c r="K948" s="8"/>
      <c r="L948" s="8"/>
      <c r="N948" s="8"/>
      <c r="O948" s="8"/>
    </row>
    <row r="949" spans="1:15">
      <c r="A949" s="26"/>
      <c r="B949" s="26"/>
      <c r="C949" s="8"/>
      <c r="D949" s="8"/>
      <c r="E949" s="8"/>
      <c r="F949" s="8"/>
      <c r="G949" s="8"/>
      <c r="H949" s="8"/>
      <c r="I949" s="27"/>
      <c r="J949" s="8"/>
      <c r="K949" s="8"/>
      <c r="L949" s="8"/>
      <c r="N949" s="8"/>
      <c r="O949" s="8"/>
    </row>
    <row r="950" spans="1:15">
      <c r="A950" s="26"/>
      <c r="B950" s="26"/>
      <c r="C950" s="8"/>
      <c r="D950" s="8"/>
      <c r="E950" s="8"/>
      <c r="F950" s="8"/>
      <c r="G950" s="8"/>
      <c r="H950" s="8"/>
      <c r="I950" s="27"/>
      <c r="J950" s="8"/>
      <c r="K950" s="8"/>
      <c r="L950" s="8"/>
      <c r="N950" s="8"/>
      <c r="O950" s="8"/>
    </row>
    <row r="951" spans="1:15">
      <c r="A951" s="26"/>
      <c r="B951" s="26"/>
      <c r="C951" s="8"/>
      <c r="D951" s="8"/>
      <c r="E951" s="8"/>
      <c r="F951" s="8"/>
      <c r="G951" s="8"/>
      <c r="H951" s="8"/>
      <c r="I951" s="27"/>
      <c r="J951" s="8"/>
      <c r="K951" s="8"/>
      <c r="L951" s="8"/>
      <c r="N951" s="8"/>
      <c r="O951" s="8"/>
    </row>
    <row r="952" spans="1:15">
      <c r="A952" s="26"/>
      <c r="B952" s="26"/>
      <c r="C952" s="8"/>
      <c r="D952" s="8"/>
      <c r="E952" s="8"/>
      <c r="F952" s="8"/>
      <c r="G952" s="8"/>
      <c r="H952" s="8"/>
      <c r="I952" s="27"/>
      <c r="J952" s="8"/>
      <c r="K952" s="8"/>
      <c r="L952" s="8"/>
      <c r="N952" s="8"/>
      <c r="O952" s="8"/>
    </row>
    <row r="953" spans="1:15">
      <c r="A953" s="26"/>
      <c r="B953" s="26"/>
      <c r="C953" s="8"/>
      <c r="D953" s="8"/>
      <c r="E953" s="8"/>
      <c r="F953" s="8"/>
      <c r="G953" s="8"/>
      <c r="H953" s="8"/>
      <c r="I953" s="27"/>
      <c r="J953" s="8"/>
      <c r="K953" s="8"/>
      <c r="L953" s="8"/>
      <c r="N953" s="8"/>
      <c r="O953" s="8"/>
    </row>
    <row r="954" spans="1:15">
      <c r="A954" s="26"/>
      <c r="B954" s="26"/>
      <c r="C954" s="8"/>
      <c r="D954" s="8"/>
      <c r="E954" s="8"/>
      <c r="F954" s="8"/>
      <c r="G954" s="8"/>
      <c r="H954" s="8"/>
      <c r="I954" s="27"/>
      <c r="J954" s="8"/>
      <c r="K954" s="8"/>
      <c r="L954" s="8"/>
      <c r="N954" s="8"/>
      <c r="O954" s="8"/>
    </row>
    <row r="955" spans="1:15">
      <c r="A955" s="26"/>
      <c r="B955" s="26"/>
      <c r="C955" s="8"/>
      <c r="D955" s="8"/>
      <c r="E955" s="8"/>
      <c r="F955" s="8"/>
      <c r="G955" s="8"/>
      <c r="H955" s="8"/>
      <c r="I955" s="27"/>
      <c r="J955" s="8"/>
      <c r="K955" s="8"/>
      <c r="L955" s="8"/>
      <c r="N955" s="8"/>
      <c r="O955" s="8"/>
    </row>
    <row r="956" spans="1:15">
      <c r="A956" s="26"/>
      <c r="B956" s="26"/>
      <c r="C956" s="8"/>
      <c r="D956" s="8"/>
      <c r="E956" s="8"/>
      <c r="F956" s="8"/>
      <c r="G956" s="8"/>
      <c r="H956" s="8"/>
      <c r="I956" s="27"/>
      <c r="J956" s="8"/>
      <c r="K956" s="8"/>
      <c r="L956" s="8"/>
      <c r="N956" s="8"/>
      <c r="O956" s="8"/>
    </row>
    <row r="957" spans="1:15">
      <c r="A957" s="26"/>
      <c r="B957" s="26"/>
      <c r="C957" s="8"/>
      <c r="D957" s="8"/>
      <c r="E957" s="8"/>
      <c r="F957" s="8"/>
      <c r="G957" s="8"/>
      <c r="H957" s="8"/>
      <c r="I957" s="27"/>
      <c r="J957" s="8"/>
      <c r="K957" s="8"/>
      <c r="L957" s="8"/>
      <c r="N957" s="8"/>
      <c r="O957" s="8"/>
    </row>
    <row r="958" spans="1:15">
      <c r="A958" s="26"/>
      <c r="B958" s="26"/>
      <c r="C958" s="8"/>
      <c r="D958" s="8"/>
      <c r="E958" s="8"/>
      <c r="F958" s="8"/>
      <c r="G958" s="8"/>
      <c r="H958" s="8"/>
      <c r="I958" s="27"/>
      <c r="J958" s="8"/>
      <c r="K958" s="8"/>
      <c r="L958" s="8"/>
      <c r="N958" s="8"/>
      <c r="O958" s="8"/>
    </row>
    <row r="959" spans="1:15">
      <c r="A959" s="26"/>
      <c r="B959" s="26"/>
      <c r="C959" s="8"/>
      <c r="D959" s="8"/>
      <c r="E959" s="8"/>
      <c r="F959" s="8"/>
      <c r="G959" s="8"/>
      <c r="H959" s="8"/>
      <c r="I959" s="27"/>
      <c r="J959" s="8"/>
      <c r="K959" s="8"/>
      <c r="L959" s="8"/>
      <c r="N959" s="8"/>
      <c r="O959" s="8"/>
    </row>
    <row r="960" spans="1:15">
      <c r="A960" s="26"/>
      <c r="B960" s="26"/>
      <c r="C960" s="8"/>
      <c r="D960" s="8"/>
      <c r="E960" s="8"/>
      <c r="F960" s="8"/>
      <c r="G960" s="8"/>
      <c r="H960" s="8"/>
      <c r="I960" s="27"/>
      <c r="J960" s="8"/>
      <c r="K960" s="8"/>
      <c r="L960" s="8"/>
      <c r="N960" s="8"/>
      <c r="O960" s="8"/>
    </row>
    <row r="961" spans="1:15">
      <c r="A961" s="26"/>
      <c r="B961" s="26"/>
      <c r="C961" s="8"/>
      <c r="D961" s="8"/>
      <c r="E961" s="8"/>
      <c r="F961" s="8"/>
      <c r="G961" s="8"/>
      <c r="H961" s="8"/>
      <c r="I961" s="27"/>
      <c r="J961" s="8"/>
      <c r="K961" s="8"/>
      <c r="L961" s="8"/>
      <c r="N961" s="8"/>
      <c r="O961" s="8"/>
    </row>
    <row r="962" spans="1:15">
      <c r="A962" s="26"/>
      <c r="B962" s="26"/>
      <c r="C962" s="8"/>
      <c r="D962" s="8"/>
      <c r="E962" s="8"/>
      <c r="F962" s="8"/>
      <c r="G962" s="8"/>
      <c r="H962" s="8"/>
      <c r="I962" s="27"/>
      <c r="J962" s="8"/>
      <c r="K962" s="8"/>
      <c r="L962" s="8"/>
      <c r="N962" s="8"/>
      <c r="O962" s="8"/>
    </row>
    <row r="963" spans="1:15">
      <c r="A963" s="26"/>
      <c r="B963" s="26"/>
      <c r="C963" s="8"/>
      <c r="D963" s="8"/>
      <c r="E963" s="8"/>
      <c r="F963" s="8"/>
      <c r="G963" s="8"/>
      <c r="H963" s="8"/>
      <c r="I963" s="27"/>
      <c r="J963" s="8"/>
      <c r="K963" s="8"/>
      <c r="L963" s="8"/>
      <c r="N963" s="8"/>
      <c r="O963" s="8"/>
    </row>
    <row r="964" spans="1:15">
      <c r="A964" s="26"/>
      <c r="B964" s="26"/>
      <c r="C964" s="8"/>
      <c r="D964" s="8"/>
      <c r="E964" s="8"/>
      <c r="F964" s="8"/>
      <c r="G964" s="8"/>
      <c r="H964" s="8"/>
      <c r="I964" s="27"/>
      <c r="J964" s="8"/>
      <c r="K964" s="8"/>
      <c r="L964" s="8"/>
      <c r="N964" s="8"/>
      <c r="O964" s="8"/>
    </row>
    <row r="965" spans="1:15">
      <c r="A965" s="26"/>
      <c r="B965" s="26"/>
      <c r="C965" s="8"/>
      <c r="D965" s="8"/>
      <c r="E965" s="8"/>
      <c r="F965" s="8"/>
      <c r="G965" s="8"/>
      <c r="H965" s="8"/>
      <c r="I965" s="27"/>
      <c r="J965" s="8"/>
      <c r="K965" s="8"/>
      <c r="L965" s="8"/>
      <c r="N965" s="8"/>
      <c r="O965" s="8"/>
    </row>
    <row r="966" spans="1:15">
      <c r="A966" s="26"/>
      <c r="B966" s="26"/>
      <c r="C966" s="8"/>
      <c r="D966" s="8"/>
      <c r="E966" s="8"/>
      <c r="F966" s="8"/>
      <c r="G966" s="8"/>
      <c r="H966" s="8"/>
      <c r="I966" s="27"/>
      <c r="J966" s="8"/>
      <c r="K966" s="8"/>
      <c r="L966" s="8"/>
      <c r="N966" s="8"/>
      <c r="O966" s="8"/>
    </row>
    <row r="967" spans="1:15">
      <c r="A967" s="26"/>
      <c r="B967" s="26"/>
      <c r="C967" s="8"/>
      <c r="D967" s="8"/>
      <c r="E967" s="8"/>
      <c r="F967" s="8"/>
      <c r="G967" s="8"/>
      <c r="H967" s="8"/>
      <c r="I967" s="27"/>
      <c r="J967" s="8"/>
      <c r="K967" s="8"/>
      <c r="L967" s="8"/>
      <c r="N967" s="8"/>
      <c r="O967" s="8"/>
    </row>
    <row r="968" spans="1:15">
      <c r="A968" s="26"/>
      <c r="B968" s="26"/>
      <c r="C968" s="8"/>
      <c r="D968" s="8"/>
      <c r="E968" s="8"/>
      <c r="F968" s="8"/>
      <c r="G968" s="8"/>
      <c r="H968" s="8"/>
      <c r="I968" s="27"/>
      <c r="J968" s="8"/>
      <c r="K968" s="8"/>
      <c r="L968" s="8"/>
      <c r="N968" s="8"/>
      <c r="O968" s="8"/>
    </row>
    <row r="969" spans="1:15">
      <c r="A969" s="26"/>
      <c r="B969" s="26"/>
      <c r="C969" s="8"/>
      <c r="D969" s="8"/>
      <c r="E969" s="8"/>
      <c r="F969" s="8"/>
      <c r="G969" s="8"/>
      <c r="H969" s="8"/>
      <c r="I969" s="27"/>
      <c r="J969" s="8"/>
      <c r="K969" s="8"/>
      <c r="L969" s="8"/>
      <c r="N969" s="8"/>
      <c r="O969" s="8"/>
    </row>
    <row r="970" spans="1:15">
      <c r="A970" s="26"/>
      <c r="B970" s="26"/>
      <c r="C970" s="8"/>
      <c r="D970" s="8"/>
      <c r="E970" s="8"/>
      <c r="F970" s="8"/>
      <c r="G970" s="8"/>
      <c r="H970" s="8"/>
      <c r="I970" s="27"/>
      <c r="J970" s="8"/>
      <c r="K970" s="8"/>
      <c r="L970" s="8"/>
      <c r="N970" s="8"/>
      <c r="O970" s="8"/>
    </row>
    <row r="971" spans="1:15">
      <c r="A971" s="26"/>
      <c r="B971" s="26"/>
      <c r="C971" s="8"/>
      <c r="D971" s="8"/>
      <c r="E971" s="8"/>
      <c r="F971" s="8"/>
      <c r="G971" s="8"/>
      <c r="H971" s="8"/>
      <c r="I971" s="27"/>
      <c r="J971" s="8"/>
      <c r="K971" s="8"/>
      <c r="L971" s="8"/>
      <c r="N971" s="8"/>
      <c r="O971" s="8"/>
    </row>
    <row r="972" spans="1:15">
      <c r="A972" s="26"/>
      <c r="B972" s="26"/>
      <c r="C972" s="8"/>
      <c r="D972" s="8"/>
      <c r="E972" s="8"/>
      <c r="F972" s="8"/>
      <c r="G972" s="8"/>
      <c r="H972" s="8"/>
      <c r="I972" s="27"/>
      <c r="J972" s="8"/>
      <c r="K972" s="8"/>
      <c r="L972" s="8"/>
      <c r="N972" s="8"/>
      <c r="O972" s="8"/>
    </row>
    <row r="973" spans="1:15">
      <c r="A973" s="26"/>
      <c r="B973" s="26"/>
      <c r="C973" s="8"/>
      <c r="D973" s="8"/>
      <c r="E973" s="8"/>
      <c r="F973" s="8"/>
      <c r="G973" s="8"/>
      <c r="H973" s="8"/>
      <c r="I973" s="27"/>
      <c r="J973" s="8"/>
      <c r="K973" s="8"/>
      <c r="L973" s="8"/>
      <c r="N973" s="8"/>
      <c r="O973" s="8"/>
    </row>
    <row r="974" spans="1:15">
      <c r="A974" s="26"/>
      <c r="B974" s="26"/>
      <c r="C974" s="8"/>
      <c r="D974" s="8"/>
      <c r="E974" s="8"/>
      <c r="F974" s="8"/>
      <c r="G974" s="8"/>
      <c r="H974" s="8"/>
      <c r="I974" s="27"/>
      <c r="J974" s="8"/>
      <c r="K974" s="8"/>
      <c r="L974" s="8"/>
      <c r="N974" s="8"/>
      <c r="O974" s="8"/>
    </row>
    <row r="975" spans="1:15">
      <c r="A975" s="26"/>
      <c r="B975" s="26"/>
      <c r="C975" s="8"/>
      <c r="D975" s="8"/>
      <c r="E975" s="8"/>
      <c r="F975" s="8"/>
      <c r="G975" s="8"/>
      <c r="H975" s="8"/>
      <c r="I975" s="27"/>
      <c r="J975" s="8"/>
      <c r="K975" s="8"/>
      <c r="L975" s="8"/>
      <c r="N975" s="8"/>
      <c r="O975" s="8"/>
    </row>
    <row r="976" spans="1:15">
      <c r="A976" s="26"/>
      <c r="B976" s="26"/>
      <c r="C976" s="8"/>
      <c r="D976" s="8"/>
      <c r="E976" s="8"/>
      <c r="F976" s="8"/>
      <c r="G976" s="8"/>
      <c r="H976" s="8"/>
      <c r="I976" s="27"/>
      <c r="J976" s="8"/>
      <c r="K976" s="8"/>
      <c r="L976" s="8"/>
      <c r="N976" s="8"/>
      <c r="O976" s="8"/>
    </row>
    <row r="977" spans="1:15">
      <c r="A977" s="26"/>
      <c r="B977" s="26"/>
      <c r="C977" s="8"/>
      <c r="D977" s="8"/>
      <c r="E977" s="8"/>
      <c r="F977" s="8"/>
      <c r="G977" s="8"/>
      <c r="H977" s="8"/>
      <c r="I977" s="27"/>
      <c r="J977" s="8"/>
      <c r="K977" s="8"/>
      <c r="L977" s="8"/>
      <c r="N977" s="8"/>
      <c r="O977" s="8"/>
    </row>
    <row r="978" spans="1:15">
      <c r="A978" s="26"/>
      <c r="B978" s="26"/>
      <c r="C978" s="8"/>
      <c r="D978" s="8"/>
      <c r="E978" s="8"/>
      <c r="F978" s="8"/>
      <c r="G978" s="8"/>
      <c r="H978" s="8"/>
      <c r="I978" s="27"/>
      <c r="J978" s="8"/>
      <c r="K978" s="8"/>
      <c r="L978" s="8"/>
      <c r="N978" s="8"/>
      <c r="O978" s="8"/>
    </row>
    <row r="979" spans="1:15">
      <c r="A979" s="26"/>
      <c r="B979" s="26"/>
      <c r="C979" s="8"/>
      <c r="D979" s="8"/>
      <c r="E979" s="8"/>
      <c r="F979" s="8"/>
      <c r="G979" s="8"/>
      <c r="H979" s="8"/>
      <c r="I979" s="27"/>
      <c r="J979" s="8"/>
      <c r="K979" s="8"/>
      <c r="L979" s="8"/>
      <c r="N979" s="8"/>
      <c r="O979" s="8"/>
    </row>
    <row r="980" spans="1:15">
      <c r="A980" s="26"/>
      <c r="B980" s="26"/>
      <c r="C980" s="8"/>
      <c r="D980" s="8"/>
      <c r="E980" s="8"/>
      <c r="F980" s="8"/>
      <c r="G980" s="8"/>
      <c r="H980" s="8"/>
      <c r="I980" s="27"/>
      <c r="J980" s="8"/>
      <c r="K980" s="8"/>
      <c r="L980" s="8"/>
      <c r="N980" s="8"/>
      <c r="O980" s="8"/>
    </row>
    <row r="981" spans="1:15">
      <c r="A981" s="26"/>
      <c r="B981" s="26"/>
      <c r="C981" s="8"/>
      <c r="D981" s="8"/>
      <c r="E981" s="8"/>
      <c r="F981" s="8"/>
      <c r="G981" s="8"/>
      <c r="H981" s="8"/>
      <c r="I981" s="27"/>
      <c r="J981" s="8"/>
      <c r="K981" s="8"/>
      <c r="L981" s="8"/>
      <c r="N981" s="8"/>
      <c r="O981" s="8"/>
    </row>
    <row r="982" spans="1:15">
      <c r="A982" s="26"/>
      <c r="B982" s="26"/>
      <c r="C982" s="8"/>
      <c r="D982" s="8"/>
      <c r="E982" s="8"/>
      <c r="F982" s="8"/>
      <c r="G982" s="8"/>
      <c r="H982" s="8"/>
      <c r="I982" s="27"/>
      <c r="J982" s="8"/>
      <c r="K982" s="8"/>
      <c r="L982" s="8"/>
      <c r="N982" s="8"/>
      <c r="O982" s="8"/>
    </row>
    <row r="983" spans="1:15">
      <c r="A983" s="26"/>
      <c r="B983" s="26"/>
      <c r="C983" s="8"/>
      <c r="D983" s="8"/>
      <c r="E983" s="8"/>
      <c r="F983" s="8"/>
      <c r="G983" s="8"/>
      <c r="H983" s="8"/>
      <c r="I983" s="27"/>
      <c r="J983" s="8"/>
      <c r="K983" s="8"/>
      <c r="L983" s="8"/>
      <c r="N983" s="8"/>
      <c r="O983" s="8"/>
    </row>
    <row r="984" spans="1:15">
      <c r="A984" s="26"/>
      <c r="B984" s="26"/>
      <c r="C984" s="8"/>
      <c r="D984" s="8"/>
      <c r="E984" s="8"/>
      <c r="F984" s="8"/>
      <c r="G984" s="8"/>
      <c r="H984" s="8"/>
      <c r="I984" s="27"/>
      <c r="J984" s="8"/>
      <c r="K984" s="8"/>
      <c r="L984" s="8"/>
      <c r="N984" s="8"/>
      <c r="O984" s="8"/>
    </row>
    <row r="985" spans="1:15">
      <c r="A985" s="26"/>
      <c r="B985" s="26"/>
      <c r="C985" s="8"/>
      <c r="D985" s="8"/>
      <c r="E985" s="8"/>
      <c r="F985" s="8"/>
      <c r="G985" s="8"/>
      <c r="H985" s="8"/>
      <c r="I985" s="27"/>
      <c r="J985" s="8"/>
      <c r="K985" s="8"/>
      <c r="L985" s="8"/>
      <c r="N985" s="8"/>
      <c r="O985" s="8"/>
    </row>
    <row r="986" spans="1:15">
      <c r="A986" s="26"/>
      <c r="B986" s="26"/>
      <c r="C986" s="8"/>
      <c r="D986" s="8"/>
      <c r="E986" s="8"/>
      <c r="F986" s="8"/>
      <c r="G986" s="8"/>
      <c r="H986" s="8"/>
      <c r="I986" s="27"/>
      <c r="J986" s="8"/>
      <c r="K986" s="8"/>
      <c r="L986" s="8"/>
      <c r="N986" s="8"/>
      <c r="O986" s="8"/>
    </row>
    <row r="987" spans="1:15">
      <c r="A987" s="26"/>
      <c r="B987" s="26"/>
      <c r="C987" s="8"/>
      <c r="D987" s="8"/>
      <c r="E987" s="8"/>
      <c r="F987" s="8"/>
      <c r="G987" s="8"/>
      <c r="H987" s="8"/>
      <c r="I987" s="27"/>
      <c r="J987" s="8"/>
      <c r="K987" s="8"/>
      <c r="L987" s="8"/>
      <c r="N987" s="8"/>
      <c r="O987" s="8"/>
    </row>
    <row r="988" spans="1:15">
      <c r="A988" s="26"/>
      <c r="B988" s="26"/>
      <c r="C988" s="8"/>
      <c r="D988" s="8"/>
      <c r="E988" s="8"/>
      <c r="F988" s="8"/>
      <c r="G988" s="8"/>
      <c r="H988" s="8"/>
      <c r="I988" s="27"/>
      <c r="J988" s="8"/>
      <c r="K988" s="8"/>
      <c r="L988" s="8"/>
      <c r="N988" s="8"/>
      <c r="O988" s="8"/>
    </row>
    <row r="989" spans="1:15">
      <c r="A989" s="26"/>
      <c r="B989" s="26"/>
      <c r="C989" s="8"/>
      <c r="D989" s="8"/>
      <c r="E989" s="8"/>
      <c r="F989" s="8"/>
      <c r="G989" s="8"/>
      <c r="H989" s="8"/>
      <c r="I989" s="27"/>
      <c r="J989" s="8"/>
      <c r="K989" s="8"/>
      <c r="L989" s="8"/>
      <c r="N989" s="8"/>
      <c r="O989" s="8"/>
    </row>
    <row r="990" spans="1:15">
      <c r="A990" s="26"/>
      <c r="B990" s="26"/>
      <c r="C990" s="8"/>
      <c r="D990" s="8"/>
      <c r="E990" s="8"/>
      <c r="F990" s="8"/>
      <c r="G990" s="8"/>
      <c r="H990" s="8"/>
      <c r="I990" s="27"/>
      <c r="J990" s="8"/>
      <c r="K990" s="8"/>
      <c r="L990" s="8"/>
      <c r="N990" s="8"/>
      <c r="O990" s="8"/>
    </row>
    <row r="991" spans="1:15">
      <c r="A991" s="26"/>
      <c r="B991" s="26"/>
      <c r="C991" s="8"/>
      <c r="D991" s="8"/>
      <c r="E991" s="8"/>
      <c r="F991" s="8"/>
      <c r="G991" s="8"/>
      <c r="H991" s="8"/>
      <c r="I991" s="27"/>
      <c r="J991" s="8"/>
      <c r="K991" s="8"/>
      <c r="L991" s="8"/>
      <c r="N991" s="8"/>
      <c r="O991" s="8"/>
    </row>
    <row r="992" spans="1:15">
      <c r="A992" s="26"/>
      <c r="B992" s="26"/>
      <c r="C992" s="8"/>
      <c r="D992" s="8"/>
      <c r="E992" s="8"/>
      <c r="F992" s="8"/>
      <c r="G992" s="8"/>
      <c r="H992" s="8"/>
      <c r="I992" s="27"/>
      <c r="J992" s="8"/>
      <c r="K992" s="8"/>
      <c r="L992" s="8"/>
      <c r="N992" s="8"/>
      <c r="O992" s="8"/>
    </row>
    <row r="993" spans="1:15">
      <c r="A993" s="26"/>
      <c r="B993" s="26"/>
      <c r="C993" s="8"/>
      <c r="D993" s="8"/>
      <c r="E993" s="8"/>
      <c r="F993" s="8"/>
      <c r="G993" s="8"/>
      <c r="H993" s="8"/>
      <c r="I993" s="27"/>
      <c r="J993" s="8"/>
      <c r="K993" s="8"/>
      <c r="L993" s="8"/>
      <c r="N993" s="8"/>
      <c r="O993" s="8"/>
    </row>
    <row r="994" spans="1:15">
      <c r="A994" s="26"/>
      <c r="B994" s="26"/>
      <c r="C994" s="8"/>
      <c r="D994" s="8"/>
      <c r="E994" s="8"/>
      <c r="F994" s="8"/>
      <c r="G994" s="8"/>
      <c r="H994" s="8"/>
      <c r="I994" s="27"/>
      <c r="J994" s="8"/>
      <c r="K994" s="8"/>
      <c r="L994" s="8"/>
      <c r="N994" s="8"/>
      <c r="O994" s="8"/>
    </row>
    <row r="995" spans="1:15">
      <c r="A995" s="26"/>
      <c r="B995" s="26"/>
      <c r="C995" s="8"/>
      <c r="D995" s="8"/>
      <c r="E995" s="8"/>
      <c r="F995" s="8"/>
      <c r="G995" s="8"/>
      <c r="H995" s="8"/>
      <c r="I995" s="27"/>
      <c r="J995" s="8"/>
      <c r="K995" s="8"/>
      <c r="L995" s="8"/>
      <c r="N995" s="8"/>
      <c r="O995" s="8"/>
    </row>
    <row r="996" spans="1:15">
      <c r="A996" s="26"/>
      <c r="B996" s="26"/>
      <c r="C996" s="8"/>
      <c r="D996" s="8"/>
      <c r="E996" s="8"/>
      <c r="F996" s="8"/>
      <c r="G996" s="8"/>
      <c r="H996" s="8"/>
      <c r="I996" s="27"/>
      <c r="J996" s="8"/>
      <c r="K996" s="8"/>
      <c r="L996" s="8"/>
      <c r="N996" s="8"/>
      <c r="O996" s="8"/>
    </row>
    <row r="997" spans="1:15">
      <c r="A997" s="26"/>
      <c r="B997" s="26"/>
      <c r="C997" s="8"/>
      <c r="D997" s="8"/>
      <c r="E997" s="8"/>
      <c r="F997" s="8"/>
      <c r="G997" s="8"/>
      <c r="H997" s="8"/>
      <c r="I997" s="27"/>
      <c r="J997" s="8"/>
      <c r="K997" s="8"/>
      <c r="L997" s="8"/>
      <c r="N997" s="8"/>
      <c r="O997" s="8"/>
    </row>
    <row r="998" spans="1:15">
      <c r="A998" s="26"/>
      <c r="B998" s="26"/>
      <c r="C998" s="8"/>
      <c r="D998" s="8"/>
      <c r="E998" s="8"/>
      <c r="F998" s="8"/>
      <c r="G998" s="8"/>
      <c r="H998" s="8"/>
      <c r="I998" s="27"/>
      <c r="J998" s="8"/>
      <c r="K998" s="8"/>
      <c r="L998" s="8"/>
      <c r="N998" s="8"/>
      <c r="O998" s="8"/>
    </row>
    <row r="999" spans="1:15">
      <c r="A999" s="26"/>
      <c r="B999" s="26"/>
      <c r="C999" s="8"/>
      <c r="D999" s="8"/>
      <c r="E999" s="8"/>
      <c r="F999" s="8"/>
      <c r="G999" s="8"/>
      <c r="H999" s="8"/>
      <c r="I999" s="27"/>
      <c r="J999" s="8"/>
      <c r="K999" s="8"/>
      <c r="L999" s="8"/>
      <c r="N999" s="8"/>
      <c r="O999" s="8"/>
    </row>
    <row r="1000" spans="1:15">
      <c r="A1000" s="26"/>
      <c r="B1000" s="26"/>
      <c r="C1000" s="8"/>
      <c r="D1000" s="8"/>
      <c r="E1000" s="8"/>
      <c r="F1000" s="8"/>
      <c r="G1000" s="8"/>
      <c r="H1000" s="8"/>
      <c r="I1000" s="27"/>
      <c r="J1000" s="8"/>
      <c r="K1000" s="8"/>
      <c r="L1000" s="8"/>
      <c r="N1000" s="8"/>
      <c r="O1000" s="8"/>
    </row>
    <row r="1001" spans="1:15">
      <c r="A1001" s="26"/>
      <c r="B1001" s="26"/>
      <c r="C1001" s="8"/>
      <c r="D1001" s="8"/>
      <c r="E1001" s="8"/>
      <c r="F1001" s="8"/>
      <c r="G1001" s="8"/>
      <c r="H1001" s="8"/>
      <c r="I1001" s="27"/>
      <c r="J1001" s="8"/>
      <c r="K1001" s="8"/>
      <c r="L1001" s="8"/>
      <c r="N1001" s="8"/>
      <c r="O1001" s="8"/>
    </row>
    <row r="1002" spans="1:15">
      <c r="A1002" s="26"/>
      <c r="B1002" s="26"/>
      <c r="C1002" s="8"/>
      <c r="D1002" s="8"/>
      <c r="E1002" s="8"/>
      <c r="F1002" s="8"/>
      <c r="G1002" s="8"/>
      <c r="H1002" s="8"/>
      <c r="I1002" s="27"/>
      <c r="J1002" s="8"/>
      <c r="K1002" s="8"/>
      <c r="L1002" s="8"/>
      <c r="N1002" s="8"/>
      <c r="O1002" s="8"/>
    </row>
    <row r="1003" spans="1:15">
      <c r="A1003" s="26"/>
      <c r="B1003" s="26"/>
      <c r="C1003" s="8"/>
      <c r="D1003" s="8"/>
      <c r="E1003" s="8"/>
      <c r="F1003" s="8"/>
      <c r="G1003" s="8"/>
      <c r="H1003" s="8"/>
      <c r="I1003" s="27"/>
      <c r="J1003" s="8"/>
      <c r="K1003" s="8"/>
      <c r="L1003" s="8"/>
      <c r="N1003" s="8"/>
      <c r="O1003" s="8"/>
    </row>
    <row r="1004" spans="1:15">
      <c r="A1004" s="26"/>
      <c r="B1004" s="26"/>
      <c r="C1004" s="8"/>
      <c r="D1004" s="8"/>
      <c r="E1004" s="8"/>
      <c r="F1004" s="8"/>
      <c r="G1004" s="8"/>
      <c r="H1004" s="8"/>
      <c r="I1004" s="27"/>
      <c r="J1004" s="8"/>
      <c r="K1004" s="8"/>
      <c r="L1004" s="8"/>
      <c r="N1004" s="8"/>
      <c r="O1004" s="8"/>
    </row>
    <row r="1005" spans="1:15">
      <c r="A1005" s="26"/>
      <c r="B1005" s="26"/>
      <c r="C1005" s="8"/>
      <c r="D1005" s="8"/>
      <c r="E1005" s="8"/>
      <c r="F1005" s="8"/>
      <c r="G1005" s="8"/>
      <c r="H1005" s="8"/>
      <c r="I1005" s="27"/>
      <c r="J1005" s="8"/>
      <c r="K1005" s="8"/>
      <c r="L1005" s="8"/>
      <c r="N1005" s="8"/>
      <c r="O1005" s="8"/>
    </row>
    <row r="1006" spans="1:15">
      <c r="A1006" s="26"/>
      <c r="B1006" s="26"/>
      <c r="C1006" s="8"/>
      <c r="D1006" s="8"/>
      <c r="E1006" s="8"/>
      <c r="F1006" s="8"/>
      <c r="G1006" s="8"/>
      <c r="H1006" s="8"/>
      <c r="I1006" s="27"/>
      <c r="J1006" s="8"/>
      <c r="K1006" s="8"/>
      <c r="L1006" s="8"/>
      <c r="N1006" s="8"/>
      <c r="O1006" s="8"/>
    </row>
    <row r="1007" spans="1:15">
      <c r="A1007" s="26"/>
      <c r="B1007" s="26"/>
      <c r="C1007" s="8"/>
      <c r="D1007" s="8"/>
      <c r="E1007" s="8"/>
      <c r="F1007" s="8"/>
      <c r="G1007" s="8"/>
      <c r="H1007" s="8"/>
      <c r="I1007" s="27"/>
      <c r="J1007" s="8"/>
      <c r="K1007" s="8"/>
      <c r="L1007" s="8"/>
      <c r="N1007" s="8"/>
      <c r="O1007" s="8"/>
    </row>
    <row r="1008" spans="1:15">
      <c r="A1008" s="26"/>
      <c r="B1008" s="26"/>
      <c r="C1008" s="8"/>
      <c r="D1008" s="8"/>
      <c r="E1008" s="8"/>
      <c r="F1008" s="8"/>
      <c r="G1008" s="8"/>
      <c r="H1008" s="8"/>
      <c r="I1008" s="27"/>
      <c r="J1008" s="8"/>
      <c r="K1008" s="8"/>
      <c r="L1008" s="8"/>
      <c r="N1008" s="8"/>
      <c r="O1008" s="8"/>
    </row>
    <row r="1009" spans="1:15">
      <c r="A1009" s="26"/>
      <c r="B1009" s="26"/>
      <c r="C1009" s="8"/>
      <c r="D1009" s="8"/>
      <c r="E1009" s="8"/>
      <c r="F1009" s="8"/>
      <c r="G1009" s="8"/>
      <c r="H1009" s="8"/>
      <c r="I1009" s="27"/>
      <c r="J1009" s="8"/>
      <c r="K1009" s="8"/>
      <c r="L1009" s="8"/>
      <c r="N1009" s="8"/>
      <c r="O1009" s="8"/>
    </row>
    <row r="1010" spans="1:15">
      <c r="A1010" s="26"/>
      <c r="B1010" s="26"/>
      <c r="C1010" s="8"/>
      <c r="D1010" s="8"/>
      <c r="E1010" s="8"/>
      <c r="F1010" s="8"/>
      <c r="G1010" s="8"/>
      <c r="H1010" s="8"/>
      <c r="I1010" s="27"/>
      <c r="J1010" s="8"/>
      <c r="K1010" s="8"/>
      <c r="L1010" s="8"/>
      <c r="N1010" s="8"/>
      <c r="O1010" s="8"/>
    </row>
    <row r="1011" spans="1:15">
      <c r="A1011" s="26"/>
      <c r="B1011" s="26"/>
      <c r="C1011" s="8"/>
      <c r="D1011" s="8"/>
      <c r="E1011" s="8"/>
      <c r="F1011" s="8"/>
      <c r="G1011" s="8"/>
      <c r="H1011" s="8"/>
      <c r="I1011" s="27"/>
      <c r="J1011" s="8"/>
      <c r="K1011" s="8"/>
      <c r="L1011" s="8"/>
      <c r="N1011" s="8"/>
      <c r="O1011" s="8"/>
    </row>
    <row r="1012" spans="1:15">
      <c r="A1012" s="26"/>
      <c r="B1012" s="26"/>
      <c r="C1012" s="8"/>
      <c r="D1012" s="8"/>
      <c r="E1012" s="8"/>
      <c r="F1012" s="8"/>
      <c r="G1012" s="8"/>
      <c r="H1012" s="8"/>
      <c r="I1012" s="27"/>
      <c r="J1012" s="8"/>
      <c r="K1012" s="8"/>
      <c r="L1012" s="8"/>
      <c r="N1012" s="8"/>
      <c r="O1012" s="8"/>
    </row>
    <row r="1013" spans="1:15">
      <c r="A1013" s="26"/>
      <c r="B1013" s="26"/>
      <c r="C1013" s="8"/>
      <c r="D1013" s="8"/>
      <c r="E1013" s="8"/>
      <c r="F1013" s="8"/>
      <c r="G1013" s="8"/>
      <c r="H1013" s="8"/>
      <c r="I1013" s="27"/>
      <c r="J1013" s="8"/>
      <c r="K1013" s="8"/>
      <c r="L1013" s="8"/>
      <c r="N1013" s="8"/>
      <c r="O1013" s="8"/>
    </row>
    <row r="1014" spans="1:15">
      <c r="A1014" s="26"/>
      <c r="B1014" s="26"/>
      <c r="C1014" s="8"/>
      <c r="D1014" s="8"/>
      <c r="E1014" s="8"/>
      <c r="F1014" s="8"/>
      <c r="G1014" s="8"/>
      <c r="H1014" s="8"/>
      <c r="I1014" s="27"/>
      <c r="J1014" s="8"/>
      <c r="K1014" s="8"/>
      <c r="L1014" s="8"/>
      <c r="N1014" s="8"/>
      <c r="O1014" s="8"/>
    </row>
    <row r="1015" spans="1:15">
      <c r="A1015" s="26"/>
      <c r="B1015" s="26"/>
      <c r="C1015" s="8"/>
      <c r="D1015" s="8"/>
      <c r="E1015" s="8"/>
      <c r="F1015" s="8"/>
      <c r="G1015" s="8"/>
      <c r="H1015" s="8"/>
      <c r="I1015" s="27"/>
      <c r="J1015" s="8"/>
      <c r="K1015" s="8"/>
      <c r="L1015" s="8"/>
      <c r="N1015" s="8"/>
      <c r="O1015" s="8"/>
    </row>
    <row r="1016" spans="1:15">
      <c r="A1016" s="26"/>
      <c r="B1016" s="26"/>
      <c r="C1016" s="8"/>
      <c r="D1016" s="8"/>
      <c r="E1016" s="8"/>
      <c r="F1016" s="8"/>
      <c r="G1016" s="8"/>
      <c r="H1016" s="8"/>
      <c r="I1016" s="27"/>
      <c r="J1016" s="8"/>
      <c r="K1016" s="8"/>
      <c r="L1016" s="8"/>
      <c r="N1016" s="8"/>
      <c r="O1016" s="8"/>
    </row>
    <row r="1017" spans="1:15">
      <c r="A1017" s="26"/>
      <c r="B1017" s="26"/>
      <c r="C1017" s="8"/>
      <c r="D1017" s="8"/>
      <c r="E1017" s="8"/>
      <c r="F1017" s="8"/>
      <c r="G1017" s="8"/>
      <c r="H1017" s="8"/>
      <c r="I1017" s="27"/>
      <c r="J1017" s="8"/>
      <c r="K1017" s="8"/>
      <c r="L1017" s="8"/>
      <c r="N1017" s="8"/>
      <c r="O1017" s="8"/>
    </row>
    <row r="1018" spans="1:15">
      <c r="A1018" s="26"/>
      <c r="B1018" s="26"/>
      <c r="C1018" s="8"/>
      <c r="D1018" s="8"/>
      <c r="E1018" s="8"/>
      <c r="F1018" s="8"/>
      <c r="G1018" s="8"/>
      <c r="H1018" s="8"/>
      <c r="I1018" s="27"/>
      <c r="J1018" s="8"/>
      <c r="K1018" s="8"/>
      <c r="L1018" s="8"/>
      <c r="N1018" s="8"/>
      <c r="O1018" s="8"/>
    </row>
    <row r="1019" spans="1:15">
      <c r="A1019" s="26"/>
      <c r="B1019" s="26"/>
      <c r="C1019" s="8"/>
      <c r="D1019" s="8"/>
      <c r="E1019" s="8"/>
      <c r="F1019" s="8"/>
      <c r="G1019" s="8"/>
      <c r="H1019" s="8"/>
      <c r="I1019" s="27"/>
      <c r="J1019" s="8"/>
      <c r="K1019" s="8"/>
      <c r="L1019" s="8"/>
      <c r="N1019" s="8"/>
      <c r="O1019" s="8"/>
    </row>
    <row r="1020" spans="1:15">
      <c r="A1020" s="26"/>
      <c r="B1020" s="26"/>
      <c r="C1020" s="8"/>
      <c r="D1020" s="8"/>
      <c r="E1020" s="8"/>
      <c r="F1020" s="8"/>
      <c r="G1020" s="8"/>
      <c r="H1020" s="8"/>
      <c r="I1020" s="27"/>
      <c r="J1020" s="8"/>
      <c r="K1020" s="8"/>
      <c r="L1020" s="8"/>
      <c r="N1020" s="8"/>
      <c r="O1020" s="8"/>
    </row>
    <row r="1021" spans="1:15">
      <c r="A1021" s="26"/>
      <c r="B1021" s="26"/>
      <c r="C1021" s="8"/>
      <c r="D1021" s="8"/>
      <c r="E1021" s="8"/>
      <c r="F1021" s="8"/>
      <c r="G1021" s="8"/>
      <c r="H1021" s="8"/>
      <c r="I1021" s="27"/>
      <c r="J1021" s="8"/>
      <c r="K1021" s="8"/>
      <c r="L1021" s="8"/>
      <c r="N1021" s="8"/>
      <c r="O1021" s="8"/>
    </row>
    <row r="1022" spans="1:15">
      <c r="A1022" s="26"/>
      <c r="B1022" s="26"/>
      <c r="C1022" s="8"/>
      <c r="D1022" s="8"/>
      <c r="E1022" s="8"/>
      <c r="F1022" s="8"/>
      <c r="G1022" s="8"/>
      <c r="H1022" s="8"/>
      <c r="I1022" s="27"/>
      <c r="J1022" s="8"/>
      <c r="K1022" s="8"/>
      <c r="L1022" s="8"/>
      <c r="N1022" s="8"/>
      <c r="O1022" s="8"/>
    </row>
    <row r="1023" spans="1:15">
      <c r="A1023" s="26"/>
      <c r="B1023" s="26"/>
      <c r="C1023" s="8"/>
      <c r="D1023" s="8"/>
      <c r="E1023" s="8"/>
      <c r="F1023" s="8"/>
      <c r="G1023" s="8"/>
      <c r="H1023" s="8"/>
      <c r="I1023" s="27"/>
      <c r="J1023" s="8"/>
      <c r="K1023" s="8"/>
      <c r="L1023" s="8"/>
      <c r="N1023" s="8"/>
      <c r="O1023" s="8"/>
    </row>
    <row r="1024" spans="1:15">
      <c r="A1024" s="26"/>
      <c r="B1024" s="26"/>
      <c r="C1024" s="8"/>
      <c r="D1024" s="8"/>
      <c r="E1024" s="8"/>
      <c r="F1024" s="8"/>
      <c r="G1024" s="8"/>
      <c r="H1024" s="8"/>
      <c r="I1024" s="27"/>
      <c r="J1024" s="8"/>
      <c r="K1024" s="8"/>
      <c r="L1024" s="8"/>
      <c r="N1024" s="8"/>
      <c r="O1024" s="8"/>
    </row>
    <row r="1025" spans="1:15">
      <c r="A1025" s="26"/>
      <c r="B1025" s="26"/>
      <c r="C1025" s="8"/>
      <c r="D1025" s="8"/>
      <c r="E1025" s="8"/>
      <c r="F1025" s="8"/>
      <c r="G1025" s="8"/>
      <c r="H1025" s="8"/>
      <c r="I1025" s="27"/>
      <c r="J1025" s="8"/>
      <c r="K1025" s="8"/>
      <c r="L1025" s="8"/>
      <c r="N1025" s="8"/>
      <c r="O1025" s="8"/>
    </row>
    <row r="1026" spans="1:15">
      <c r="A1026" s="26"/>
      <c r="B1026" s="26"/>
      <c r="C1026" s="8"/>
      <c r="D1026" s="8"/>
      <c r="E1026" s="8"/>
      <c r="F1026" s="8"/>
      <c r="G1026" s="8"/>
      <c r="H1026" s="8"/>
      <c r="I1026" s="27"/>
      <c r="J1026" s="8"/>
      <c r="K1026" s="8"/>
      <c r="L1026" s="8"/>
      <c r="N1026" s="8"/>
      <c r="O1026" s="8"/>
    </row>
    <row r="1027" spans="1:15">
      <c r="A1027" s="26"/>
      <c r="B1027" s="26"/>
      <c r="C1027" s="8"/>
      <c r="D1027" s="8"/>
      <c r="E1027" s="8"/>
      <c r="F1027" s="8"/>
      <c r="G1027" s="8"/>
      <c r="H1027" s="8"/>
      <c r="I1027" s="27"/>
      <c r="J1027" s="8"/>
      <c r="K1027" s="8"/>
      <c r="L1027" s="8"/>
      <c r="N1027" s="8"/>
      <c r="O1027" s="8"/>
    </row>
    <row r="1028" spans="1:15">
      <c r="A1028" s="26"/>
      <c r="B1028" s="26"/>
      <c r="C1028" s="8"/>
      <c r="D1028" s="8"/>
      <c r="E1028" s="8"/>
      <c r="F1028" s="8"/>
      <c r="G1028" s="8"/>
      <c r="H1028" s="8"/>
      <c r="I1028" s="27"/>
      <c r="J1028" s="8"/>
      <c r="K1028" s="8"/>
      <c r="L1028" s="8"/>
      <c r="N1028" s="8"/>
      <c r="O1028" s="8"/>
    </row>
    <row r="1029" spans="1:15">
      <c r="A1029" s="26"/>
      <c r="B1029" s="26"/>
      <c r="C1029" s="8"/>
      <c r="D1029" s="8"/>
      <c r="E1029" s="8"/>
      <c r="F1029" s="8"/>
      <c r="G1029" s="8"/>
      <c r="H1029" s="8"/>
      <c r="I1029" s="27"/>
      <c r="J1029" s="8"/>
      <c r="K1029" s="8"/>
      <c r="L1029" s="8"/>
      <c r="N1029" s="8"/>
      <c r="O1029" s="8"/>
    </row>
    <row r="1030" spans="1:15">
      <c r="A1030" s="26"/>
      <c r="B1030" s="26"/>
      <c r="C1030" s="8"/>
      <c r="D1030" s="8"/>
      <c r="E1030" s="8"/>
      <c r="F1030" s="8"/>
      <c r="G1030" s="8"/>
      <c r="H1030" s="8"/>
      <c r="I1030" s="27"/>
      <c r="J1030" s="8"/>
      <c r="K1030" s="8"/>
      <c r="L1030" s="8"/>
      <c r="N1030" s="8"/>
      <c r="O1030" s="8"/>
    </row>
    <row r="1031" spans="1:15">
      <c r="A1031" s="26"/>
      <c r="B1031" s="26"/>
      <c r="C1031" s="8"/>
      <c r="D1031" s="8"/>
      <c r="E1031" s="8"/>
      <c r="F1031" s="8"/>
      <c r="G1031" s="8"/>
      <c r="H1031" s="8"/>
      <c r="I1031" s="27"/>
      <c r="J1031" s="8"/>
      <c r="K1031" s="8"/>
      <c r="L1031" s="8"/>
      <c r="N1031" s="8"/>
      <c r="O1031" s="8"/>
    </row>
    <row r="1032" spans="1:15">
      <c r="A1032" s="26"/>
      <c r="B1032" s="26"/>
      <c r="C1032" s="8"/>
      <c r="D1032" s="8"/>
      <c r="E1032" s="8"/>
      <c r="F1032" s="8"/>
      <c r="G1032" s="8"/>
      <c r="H1032" s="8"/>
      <c r="I1032" s="27"/>
      <c r="J1032" s="8"/>
      <c r="K1032" s="8"/>
      <c r="L1032" s="8"/>
      <c r="N1032" s="8"/>
      <c r="O1032" s="8"/>
    </row>
    <row r="1033" spans="1:15">
      <c r="A1033" s="26"/>
      <c r="B1033" s="26"/>
      <c r="C1033" s="8"/>
      <c r="D1033" s="8"/>
      <c r="E1033" s="8"/>
      <c r="F1033" s="8"/>
      <c r="G1033" s="8"/>
      <c r="H1033" s="8"/>
      <c r="I1033" s="27"/>
      <c r="J1033" s="8"/>
      <c r="K1033" s="8"/>
      <c r="L1033" s="8"/>
      <c r="N1033" s="8"/>
      <c r="O1033" s="8"/>
    </row>
    <row r="1034" spans="1:15">
      <c r="A1034" s="26"/>
      <c r="B1034" s="26"/>
      <c r="C1034" s="8"/>
      <c r="D1034" s="8"/>
      <c r="E1034" s="8"/>
      <c r="F1034" s="8"/>
      <c r="G1034" s="8"/>
      <c r="H1034" s="8"/>
      <c r="I1034" s="27"/>
      <c r="J1034" s="8"/>
      <c r="K1034" s="8"/>
      <c r="L1034" s="8"/>
      <c r="N1034" s="8"/>
      <c r="O1034" s="8"/>
    </row>
    <row r="1035" spans="1:15">
      <c r="A1035" s="26"/>
      <c r="B1035" s="26"/>
      <c r="C1035" s="8"/>
      <c r="D1035" s="8"/>
      <c r="E1035" s="8"/>
      <c r="F1035" s="8"/>
      <c r="G1035" s="8"/>
      <c r="H1035" s="8"/>
      <c r="I1035" s="27"/>
      <c r="J1035" s="8"/>
      <c r="K1035" s="8"/>
      <c r="L1035" s="8"/>
      <c r="N1035" s="8"/>
      <c r="O1035" s="8"/>
    </row>
    <row r="1036" spans="1:15">
      <c r="A1036" s="26"/>
      <c r="B1036" s="26"/>
      <c r="C1036" s="8"/>
      <c r="D1036" s="8"/>
      <c r="E1036" s="8"/>
      <c r="F1036" s="8"/>
      <c r="G1036" s="8"/>
      <c r="H1036" s="8"/>
      <c r="I1036" s="27"/>
      <c r="J1036" s="8"/>
      <c r="K1036" s="8"/>
      <c r="L1036" s="8"/>
      <c r="N1036" s="8"/>
      <c r="O1036" s="8"/>
    </row>
    <row r="1037" spans="1:15">
      <c r="A1037" s="26"/>
      <c r="B1037" s="26"/>
      <c r="C1037" s="8"/>
      <c r="D1037" s="8"/>
      <c r="E1037" s="8"/>
      <c r="F1037" s="8"/>
      <c r="G1037" s="8"/>
      <c r="H1037" s="8"/>
      <c r="I1037" s="27"/>
      <c r="J1037" s="8"/>
      <c r="K1037" s="8"/>
      <c r="L1037" s="8"/>
      <c r="N1037" s="8"/>
      <c r="O1037" s="8"/>
    </row>
    <row r="1038" spans="1:15">
      <c r="A1038" s="26"/>
      <c r="B1038" s="26"/>
      <c r="C1038" s="8"/>
      <c r="D1038" s="8"/>
      <c r="E1038" s="8"/>
      <c r="F1038" s="8"/>
      <c r="G1038" s="8"/>
      <c r="H1038" s="8"/>
      <c r="I1038" s="27"/>
      <c r="J1038" s="8"/>
      <c r="K1038" s="8"/>
      <c r="L1038" s="8"/>
      <c r="N1038" s="8"/>
      <c r="O1038" s="8"/>
    </row>
    <row r="1039" spans="1:15">
      <c r="A1039" s="26"/>
      <c r="B1039" s="26"/>
      <c r="C1039" s="8"/>
      <c r="D1039" s="8"/>
      <c r="E1039" s="8"/>
      <c r="F1039" s="8"/>
      <c r="G1039" s="8"/>
      <c r="H1039" s="8"/>
      <c r="I1039" s="27"/>
      <c r="J1039" s="8"/>
      <c r="K1039" s="8"/>
      <c r="L1039" s="8"/>
      <c r="N1039" s="8"/>
      <c r="O1039" s="8"/>
    </row>
    <row r="1040" spans="1:15">
      <c r="A1040" s="26"/>
      <c r="B1040" s="26"/>
      <c r="C1040" s="8"/>
      <c r="D1040" s="8"/>
      <c r="E1040" s="8"/>
      <c r="F1040" s="8"/>
      <c r="G1040" s="8"/>
      <c r="H1040" s="8"/>
      <c r="I1040" s="27"/>
      <c r="J1040" s="8"/>
      <c r="K1040" s="8"/>
      <c r="L1040" s="8"/>
      <c r="N1040" s="8"/>
      <c r="O1040" s="8"/>
    </row>
    <row r="1041" spans="1:15">
      <c r="A1041" s="26"/>
      <c r="B1041" s="26"/>
      <c r="C1041" s="8"/>
      <c r="D1041" s="8"/>
      <c r="E1041" s="8"/>
      <c r="F1041" s="8"/>
      <c r="G1041" s="8"/>
      <c r="H1041" s="8"/>
      <c r="I1041" s="27"/>
      <c r="J1041" s="8"/>
      <c r="K1041" s="8"/>
      <c r="L1041" s="8"/>
      <c r="N1041" s="8"/>
      <c r="O1041" s="8"/>
    </row>
    <row r="1042" spans="1:15">
      <c r="A1042" s="26"/>
      <c r="B1042" s="26"/>
      <c r="C1042" s="8"/>
      <c r="D1042" s="8"/>
      <c r="E1042" s="8"/>
      <c r="F1042" s="8"/>
      <c r="G1042" s="8"/>
      <c r="H1042" s="8"/>
      <c r="I1042" s="27"/>
      <c r="J1042" s="8"/>
      <c r="K1042" s="8"/>
      <c r="L1042" s="8"/>
      <c r="N1042" s="8"/>
      <c r="O1042" s="8"/>
    </row>
    <row r="1043" spans="1:15">
      <c r="A1043" s="26"/>
      <c r="B1043" s="26"/>
      <c r="C1043" s="8"/>
      <c r="D1043" s="8"/>
      <c r="E1043" s="8"/>
      <c r="F1043" s="8"/>
      <c r="G1043" s="8"/>
      <c r="H1043" s="8"/>
      <c r="I1043" s="27"/>
      <c r="J1043" s="8"/>
      <c r="K1043" s="8"/>
      <c r="L1043" s="8"/>
      <c r="N1043" s="8"/>
      <c r="O1043" s="8"/>
    </row>
    <row r="1044" spans="1:15">
      <c r="A1044" s="26"/>
      <c r="B1044" s="26"/>
      <c r="C1044" s="8"/>
      <c r="D1044" s="8"/>
      <c r="E1044" s="8"/>
      <c r="F1044" s="8"/>
      <c r="G1044" s="8"/>
      <c r="H1044" s="8"/>
      <c r="I1044" s="27"/>
      <c r="J1044" s="8"/>
      <c r="K1044" s="8"/>
      <c r="L1044" s="8"/>
      <c r="N1044" s="8"/>
      <c r="O1044" s="8"/>
    </row>
    <row r="1045" spans="1:15">
      <c r="A1045" s="26"/>
      <c r="B1045" s="26"/>
      <c r="C1045" s="8"/>
      <c r="D1045" s="8"/>
      <c r="E1045" s="8"/>
      <c r="F1045" s="8"/>
      <c r="G1045" s="8"/>
      <c r="H1045" s="8"/>
      <c r="I1045" s="27"/>
      <c r="J1045" s="8"/>
      <c r="K1045" s="8"/>
      <c r="L1045" s="8"/>
      <c r="N1045" s="8"/>
      <c r="O1045" s="8"/>
    </row>
    <row r="1046" spans="1:15">
      <c r="A1046" s="26"/>
      <c r="B1046" s="26"/>
      <c r="C1046" s="8"/>
      <c r="D1046" s="8"/>
      <c r="E1046" s="8"/>
      <c r="F1046" s="8"/>
      <c r="G1046" s="8"/>
      <c r="H1046" s="8"/>
      <c r="I1046" s="27"/>
      <c r="J1046" s="8"/>
      <c r="K1046" s="8"/>
      <c r="L1046" s="8"/>
      <c r="N1046" s="8"/>
      <c r="O1046" s="8"/>
    </row>
    <row r="1047" spans="1:15">
      <c r="A1047" s="26"/>
      <c r="B1047" s="26"/>
      <c r="C1047" s="8"/>
      <c r="D1047" s="8"/>
      <c r="E1047" s="8"/>
      <c r="F1047" s="8"/>
      <c r="G1047" s="8"/>
      <c r="H1047" s="8"/>
      <c r="I1047" s="27"/>
      <c r="J1047" s="8"/>
      <c r="K1047" s="8"/>
      <c r="L1047" s="8"/>
      <c r="N1047" s="8"/>
      <c r="O1047" s="8"/>
    </row>
    <row r="1048" spans="1:15">
      <c r="A1048" s="26"/>
      <c r="B1048" s="26"/>
      <c r="C1048" s="8"/>
      <c r="D1048" s="8"/>
      <c r="E1048" s="8"/>
      <c r="F1048" s="8"/>
      <c r="G1048" s="8"/>
      <c r="H1048" s="8"/>
      <c r="I1048" s="27"/>
      <c r="J1048" s="8"/>
      <c r="K1048" s="8"/>
      <c r="L1048" s="8"/>
      <c r="N1048" s="8"/>
      <c r="O1048" s="8"/>
    </row>
    <row r="1049" spans="1:15">
      <c r="A1049" s="26"/>
      <c r="B1049" s="26"/>
      <c r="C1049" s="8"/>
      <c r="D1049" s="8"/>
      <c r="E1049" s="8"/>
      <c r="F1049" s="8"/>
      <c r="G1049" s="8"/>
      <c r="H1049" s="8"/>
      <c r="I1049" s="27"/>
      <c r="J1049" s="8"/>
      <c r="K1049" s="8"/>
      <c r="L1049" s="8"/>
      <c r="N1049" s="8"/>
      <c r="O1049" s="8"/>
    </row>
    <row r="1050" spans="1:15">
      <c r="A1050" s="26"/>
      <c r="B1050" s="26"/>
      <c r="C1050" s="8"/>
      <c r="D1050" s="8"/>
      <c r="E1050" s="8"/>
      <c r="F1050" s="8"/>
      <c r="G1050" s="8"/>
      <c r="H1050" s="8"/>
      <c r="I1050" s="27"/>
      <c r="J1050" s="8"/>
      <c r="K1050" s="8"/>
      <c r="L1050" s="8"/>
      <c r="N1050" s="8"/>
      <c r="O1050" s="8"/>
    </row>
    <row r="1051" spans="1:15">
      <c r="A1051" s="26"/>
      <c r="B1051" s="26"/>
      <c r="C1051" s="8"/>
      <c r="D1051" s="8"/>
      <c r="E1051" s="8"/>
      <c r="F1051" s="8"/>
      <c r="G1051" s="8"/>
      <c r="H1051" s="8"/>
      <c r="I1051" s="27"/>
      <c r="J1051" s="8"/>
      <c r="K1051" s="8"/>
      <c r="L1051" s="8"/>
      <c r="N1051" s="8"/>
      <c r="O1051" s="8"/>
    </row>
    <row r="1052" spans="1:15">
      <c r="A1052" s="26"/>
      <c r="B1052" s="26"/>
      <c r="C1052" s="8"/>
      <c r="D1052" s="8"/>
      <c r="E1052" s="8"/>
      <c r="F1052" s="8"/>
      <c r="G1052" s="8"/>
      <c r="H1052" s="8"/>
      <c r="I1052" s="27"/>
      <c r="J1052" s="8"/>
      <c r="K1052" s="8"/>
      <c r="L1052" s="8"/>
      <c r="N1052" s="8"/>
      <c r="O1052" s="8"/>
    </row>
    <row r="1053" spans="1:15">
      <c r="A1053" s="26"/>
      <c r="B1053" s="26"/>
      <c r="C1053" s="8"/>
      <c r="D1053" s="8"/>
      <c r="E1053" s="8"/>
      <c r="F1053" s="8"/>
      <c r="G1053" s="8"/>
      <c r="H1053" s="8"/>
      <c r="I1053" s="27"/>
      <c r="J1053" s="8"/>
      <c r="K1053" s="8"/>
      <c r="L1053" s="8"/>
      <c r="N1053" s="8"/>
      <c r="O1053" s="8"/>
    </row>
    <row r="1054" spans="1:15">
      <c r="A1054" s="26"/>
      <c r="B1054" s="26"/>
      <c r="C1054" s="8"/>
      <c r="D1054" s="8"/>
      <c r="E1054" s="8"/>
      <c r="F1054" s="8"/>
      <c r="G1054" s="8"/>
      <c r="H1054" s="8"/>
      <c r="I1054" s="27"/>
      <c r="J1054" s="8"/>
      <c r="K1054" s="8"/>
      <c r="L1054" s="8"/>
      <c r="N1054" s="8"/>
      <c r="O1054" s="8"/>
    </row>
    <row r="1055" spans="1:15">
      <c r="A1055" s="26"/>
      <c r="B1055" s="26"/>
      <c r="C1055" s="8"/>
      <c r="D1055" s="8"/>
      <c r="E1055" s="8"/>
      <c r="F1055" s="8"/>
      <c r="G1055" s="8"/>
      <c r="H1055" s="8"/>
      <c r="I1055" s="27"/>
      <c r="J1055" s="8"/>
      <c r="K1055" s="8"/>
      <c r="L1055" s="8"/>
      <c r="N1055" s="8"/>
      <c r="O1055" s="8"/>
    </row>
    <row r="1056" spans="1:15">
      <c r="A1056" s="26"/>
      <c r="B1056" s="26"/>
      <c r="C1056" s="8"/>
      <c r="D1056" s="8"/>
      <c r="E1056" s="8"/>
      <c r="F1056" s="8"/>
      <c r="G1056" s="8"/>
      <c r="H1056" s="8"/>
      <c r="I1056" s="27"/>
      <c r="J1056" s="8"/>
      <c r="K1056" s="8"/>
      <c r="L1056" s="8"/>
      <c r="N1056" s="8"/>
      <c r="O1056" s="8"/>
    </row>
    <row r="1057" spans="1:15">
      <c r="A1057" s="26"/>
      <c r="B1057" s="26"/>
      <c r="C1057" s="8"/>
      <c r="D1057" s="8"/>
      <c r="E1057" s="8"/>
      <c r="F1057" s="8"/>
      <c r="G1057" s="8"/>
      <c r="H1057" s="8"/>
      <c r="I1057" s="27"/>
      <c r="J1057" s="8"/>
      <c r="K1057" s="8"/>
      <c r="L1057" s="8"/>
      <c r="N1057" s="8"/>
      <c r="O1057" s="8"/>
    </row>
    <row r="1058" spans="1:15">
      <c r="A1058" s="26"/>
      <c r="B1058" s="26"/>
      <c r="C1058" s="8"/>
      <c r="D1058" s="8"/>
      <c r="E1058" s="8"/>
      <c r="F1058" s="8"/>
      <c r="G1058" s="8"/>
      <c r="H1058" s="8"/>
      <c r="I1058" s="27"/>
      <c r="J1058" s="8"/>
      <c r="K1058" s="8"/>
      <c r="L1058" s="8"/>
      <c r="N1058" s="8"/>
      <c r="O1058" s="8"/>
    </row>
    <row r="1059" spans="1:15">
      <c r="A1059" s="26"/>
      <c r="B1059" s="26"/>
      <c r="C1059" s="8"/>
      <c r="D1059" s="8"/>
      <c r="E1059" s="8"/>
      <c r="F1059" s="8"/>
      <c r="G1059" s="8"/>
      <c r="H1059" s="8"/>
      <c r="I1059" s="27"/>
      <c r="J1059" s="8"/>
      <c r="K1059" s="8"/>
      <c r="L1059" s="8"/>
      <c r="N1059" s="8"/>
      <c r="O1059" s="8"/>
    </row>
    <row r="1060" spans="1:15">
      <c r="A1060" s="26"/>
      <c r="B1060" s="26"/>
      <c r="C1060" s="8"/>
      <c r="D1060" s="8"/>
      <c r="E1060" s="8"/>
      <c r="F1060" s="8"/>
      <c r="G1060" s="8"/>
      <c r="H1060" s="8"/>
      <c r="I1060" s="27"/>
      <c r="J1060" s="8"/>
      <c r="K1060" s="8"/>
      <c r="L1060" s="8"/>
      <c r="N1060" s="8"/>
      <c r="O1060" s="8"/>
    </row>
    <row r="1061" spans="1:15">
      <c r="A1061" s="26"/>
      <c r="B1061" s="26"/>
      <c r="C1061" s="8"/>
      <c r="D1061" s="8"/>
      <c r="E1061" s="8"/>
      <c r="F1061" s="8"/>
      <c r="G1061" s="8"/>
      <c r="H1061" s="8"/>
      <c r="I1061" s="27"/>
      <c r="J1061" s="8"/>
      <c r="K1061" s="8"/>
      <c r="L1061" s="8"/>
      <c r="N1061" s="8"/>
      <c r="O1061" s="8"/>
    </row>
    <row r="1062" spans="1:15">
      <c r="A1062" s="26"/>
      <c r="B1062" s="26"/>
      <c r="C1062" s="8"/>
      <c r="D1062" s="8"/>
      <c r="E1062" s="8"/>
      <c r="F1062" s="8"/>
      <c r="G1062" s="8"/>
      <c r="H1062" s="8"/>
      <c r="I1062" s="27"/>
      <c r="J1062" s="8"/>
      <c r="K1062" s="8"/>
      <c r="L1062" s="8"/>
      <c r="N1062" s="8"/>
      <c r="O1062" s="8"/>
    </row>
    <row r="1063" spans="1:15">
      <c r="A1063" s="26"/>
      <c r="B1063" s="26"/>
      <c r="C1063" s="8"/>
      <c r="D1063" s="8"/>
      <c r="E1063" s="8"/>
      <c r="F1063" s="8"/>
      <c r="G1063" s="8"/>
      <c r="H1063" s="8"/>
      <c r="I1063" s="27"/>
      <c r="J1063" s="8"/>
      <c r="K1063" s="8"/>
      <c r="L1063" s="8"/>
      <c r="N1063" s="8"/>
      <c r="O1063" s="8"/>
    </row>
    <row r="1064" spans="1:15">
      <c r="A1064" s="26"/>
      <c r="B1064" s="26"/>
      <c r="C1064" s="8"/>
      <c r="D1064" s="8"/>
      <c r="E1064" s="8"/>
      <c r="F1064" s="8"/>
      <c r="G1064" s="8"/>
      <c r="H1064" s="8"/>
      <c r="I1064" s="27"/>
      <c r="J1064" s="8"/>
      <c r="K1064" s="8"/>
      <c r="L1064" s="8"/>
      <c r="N1064" s="8"/>
      <c r="O1064" s="8"/>
    </row>
    <row r="1065" spans="1:15">
      <c r="A1065" s="26"/>
      <c r="B1065" s="26"/>
      <c r="C1065" s="8"/>
      <c r="D1065" s="8"/>
      <c r="E1065" s="8"/>
      <c r="F1065" s="8"/>
      <c r="G1065" s="8"/>
      <c r="H1065" s="8"/>
      <c r="I1065" s="27"/>
      <c r="J1065" s="8"/>
      <c r="K1065" s="8"/>
      <c r="L1065" s="8"/>
      <c r="N1065" s="8"/>
      <c r="O1065" s="8"/>
    </row>
    <row r="1066" spans="1:15">
      <c r="A1066" s="26"/>
      <c r="B1066" s="26"/>
      <c r="C1066" s="8"/>
      <c r="D1066" s="8"/>
      <c r="E1066" s="8"/>
      <c r="F1066" s="8"/>
      <c r="G1066" s="8"/>
      <c r="H1066" s="8"/>
      <c r="I1066" s="27"/>
      <c r="J1066" s="8"/>
      <c r="K1066" s="8"/>
      <c r="L1066" s="8"/>
      <c r="N1066" s="8"/>
      <c r="O1066" s="8"/>
    </row>
    <row r="1067" spans="1:15">
      <c r="A1067" s="26"/>
      <c r="B1067" s="26"/>
      <c r="C1067" s="8"/>
      <c r="D1067" s="8"/>
      <c r="E1067" s="8"/>
      <c r="F1067" s="8"/>
      <c r="G1067" s="8"/>
      <c r="H1067" s="8"/>
      <c r="I1067" s="27"/>
      <c r="J1067" s="8"/>
      <c r="K1067" s="8"/>
      <c r="L1067" s="8"/>
      <c r="N1067" s="8"/>
      <c r="O1067" s="8"/>
    </row>
    <row r="1068" spans="1:15">
      <c r="A1068" s="26"/>
      <c r="B1068" s="26"/>
      <c r="C1068" s="8"/>
      <c r="D1068" s="8"/>
      <c r="E1068" s="8"/>
      <c r="F1068" s="8"/>
      <c r="G1068" s="8"/>
      <c r="H1068" s="8"/>
      <c r="I1068" s="27"/>
      <c r="J1068" s="8"/>
      <c r="K1068" s="8"/>
      <c r="L1068" s="8"/>
      <c r="N1068" s="8"/>
      <c r="O1068" s="8"/>
    </row>
    <row r="1069" spans="1:15">
      <c r="A1069" s="26"/>
      <c r="B1069" s="26"/>
      <c r="C1069" s="8"/>
      <c r="D1069" s="8"/>
      <c r="E1069" s="8"/>
      <c r="F1069" s="8"/>
      <c r="G1069" s="8"/>
      <c r="H1069" s="8"/>
      <c r="I1069" s="27"/>
      <c r="J1069" s="8"/>
      <c r="K1069" s="8"/>
      <c r="L1069" s="8"/>
      <c r="N1069" s="8"/>
      <c r="O1069" s="8"/>
    </row>
    <row r="1070" spans="1:15">
      <c r="A1070" s="26"/>
      <c r="B1070" s="26"/>
      <c r="C1070" s="8"/>
      <c r="D1070" s="8"/>
      <c r="E1070" s="8"/>
      <c r="F1070" s="8"/>
      <c r="G1070" s="8"/>
      <c r="H1070" s="8"/>
      <c r="I1070" s="27"/>
      <c r="J1070" s="8"/>
      <c r="K1070" s="8"/>
      <c r="L1070" s="8"/>
      <c r="N1070" s="8"/>
      <c r="O1070" s="8"/>
    </row>
    <row r="1071" spans="1:15">
      <c r="A1071" s="26"/>
      <c r="B1071" s="26"/>
      <c r="C1071" s="8"/>
      <c r="D1071" s="8"/>
      <c r="E1071" s="8"/>
      <c r="F1071" s="8"/>
      <c r="G1071" s="8"/>
      <c r="H1071" s="8"/>
      <c r="I1071" s="27"/>
      <c r="J1071" s="8"/>
      <c r="K1071" s="8"/>
      <c r="L1071" s="8"/>
      <c r="N1071" s="8"/>
      <c r="O1071" s="8"/>
    </row>
    <row r="1072" spans="1:15">
      <c r="A1072" s="26"/>
      <c r="B1072" s="26"/>
      <c r="C1072" s="8"/>
      <c r="D1072" s="8"/>
      <c r="E1072" s="8"/>
      <c r="F1072" s="8"/>
      <c r="G1072" s="8"/>
      <c r="H1072" s="8"/>
      <c r="I1072" s="27"/>
      <c r="J1072" s="8"/>
      <c r="K1072" s="8"/>
      <c r="L1072" s="8"/>
      <c r="N1072" s="8"/>
      <c r="O1072" s="8"/>
    </row>
    <row r="1073" spans="1:15">
      <c r="A1073" s="26"/>
      <c r="B1073" s="26"/>
      <c r="C1073" s="8"/>
      <c r="D1073" s="8"/>
      <c r="E1073" s="8"/>
      <c r="F1073" s="8"/>
      <c r="G1073" s="8"/>
      <c r="H1073" s="8"/>
      <c r="I1073" s="27"/>
      <c r="J1073" s="8"/>
      <c r="K1073" s="8"/>
      <c r="L1073" s="8"/>
      <c r="N1073" s="8"/>
      <c r="O1073" s="8"/>
    </row>
    <row r="1074" spans="1:15">
      <c r="A1074" s="26"/>
      <c r="B1074" s="26"/>
      <c r="C1074" s="8"/>
      <c r="D1074" s="8"/>
      <c r="E1074" s="8"/>
      <c r="F1074" s="8"/>
      <c r="G1074" s="8"/>
      <c r="H1074" s="8"/>
      <c r="I1074" s="27"/>
      <c r="J1074" s="8"/>
      <c r="K1074" s="8"/>
      <c r="L1074" s="8"/>
      <c r="N1074" s="8"/>
      <c r="O1074" s="8"/>
    </row>
    <row r="1075" spans="1:15">
      <c r="A1075" s="26"/>
      <c r="B1075" s="26"/>
      <c r="C1075" s="8"/>
      <c r="D1075" s="8"/>
      <c r="E1075" s="8"/>
      <c r="F1075" s="8"/>
      <c r="G1075" s="8"/>
      <c r="H1075" s="8"/>
      <c r="I1075" s="27"/>
      <c r="J1075" s="8"/>
      <c r="K1075" s="8"/>
      <c r="L1075" s="8"/>
      <c r="N1075" s="8"/>
      <c r="O1075" s="8"/>
    </row>
    <row r="1076" spans="1:15">
      <c r="A1076" s="26"/>
      <c r="B1076" s="26"/>
      <c r="C1076" s="8"/>
      <c r="D1076" s="8"/>
      <c r="E1076" s="8"/>
      <c r="F1076" s="8"/>
      <c r="G1076" s="8"/>
      <c r="H1076" s="8"/>
      <c r="I1076" s="27"/>
      <c r="J1076" s="8"/>
      <c r="K1076" s="8"/>
      <c r="L1076" s="8"/>
      <c r="N1076" s="8"/>
      <c r="O1076" s="8"/>
    </row>
    <row r="1077" spans="1:15">
      <c r="A1077" s="26"/>
      <c r="B1077" s="26"/>
      <c r="C1077" s="8"/>
      <c r="D1077" s="8"/>
      <c r="E1077" s="8"/>
      <c r="F1077" s="8"/>
      <c r="G1077" s="8"/>
      <c r="H1077" s="8"/>
      <c r="I1077" s="27"/>
      <c r="J1077" s="8"/>
      <c r="K1077" s="8"/>
      <c r="L1077" s="8"/>
      <c r="N1077" s="8"/>
      <c r="O1077" s="8"/>
    </row>
    <row r="1078" spans="1:15">
      <c r="A1078" s="26"/>
      <c r="B1078" s="26"/>
      <c r="C1078" s="8"/>
      <c r="D1078" s="8"/>
      <c r="E1078" s="8"/>
      <c r="F1078" s="8"/>
      <c r="G1078" s="8"/>
      <c r="H1078" s="8"/>
      <c r="I1078" s="27"/>
      <c r="J1078" s="8"/>
      <c r="K1078" s="8"/>
      <c r="L1078" s="8"/>
      <c r="N1078" s="8"/>
      <c r="O1078" s="8"/>
    </row>
    <row r="1079" spans="1:15">
      <c r="A1079" s="26"/>
      <c r="B1079" s="26"/>
      <c r="C1079" s="8"/>
      <c r="D1079" s="8"/>
      <c r="E1079" s="8"/>
      <c r="F1079" s="8"/>
      <c r="G1079" s="8"/>
      <c r="H1079" s="8"/>
      <c r="I1079" s="27"/>
      <c r="J1079" s="8"/>
      <c r="K1079" s="8"/>
      <c r="L1079" s="8"/>
      <c r="N1079" s="8"/>
      <c r="O1079" s="8"/>
    </row>
    <row r="1080" spans="1:15">
      <c r="A1080" s="26"/>
      <c r="B1080" s="26"/>
      <c r="C1080" s="8"/>
      <c r="D1080" s="8"/>
      <c r="E1080" s="8"/>
      <c r="F1080" s="8"/>
      <c r="G1080" s="8"/>
      <c r="H1080" s="8"/>
      <c r="I1080" s="27"/>
      <c r="J1080" s="8"/>
      <c r="K1080" s="8"/>
      <c r="L1080" s="8"/>
      <c r="N1080" s="8"/>
      <c r="O1080" s="8"/>
    </row>
    <row r="1081" spans="1:15">
      <c r="A1081" s="26"/>
      <c r="B1081" s="26"/>
      <c r="C1081" s="8"/>
      <c r="D1081" s="8"/>
      <c r="E1081" s="8"/>
      <c r="F1081" s="8"/>
      <c r="G1081" s="8"/>
      <c r="H1081" s="8"/>
      <c r="I1081" s="27"/>
      <c r="J1081" s="8"/>
      <c r="K1081" s="8"/>
      <c r="L1081" s="8"/>
      <c r="N1081" s="8"/>
      <c r="O1081" s="8"/>
    </row>
    <row r="1082" spans="1:15">
      <c r="A1082" s="26"/>
      <c r="B1082" s="26"/>
      <c r="C1082" s="8"/>
      <c r="D1082" s="8"/>
      <c r="E1082" s="8"/>
      <c r="F1082" s="8"/>
      <c r="G1082" s="8"/>
      <c r="H1082" s="8"/>
      <c r="I1082" s="27"/>
      <c r="J1082" s="8"/>
      <c r="K1082" s="8"/>
      <c r="L1082" s="8"/>
      <c r="N1082" s="8"/>
      <c r="O1082" s="8"/>
    </row>
    <row r="1083" spans="1:15">
      <c r="A1083" s="26"/>
      <c r="B1083" s="26"/>
      <c r="C1083" s="8"/>
      <c r="D1083" s="8"/>
      <c r="E1083" s="8"/>
      <c r="F1083" s="8"/>
      <c r="G1083" s="8"/>
      <c r="H1083" s="8"/>
      <c r="I1083" s="27"/>
      <c r="J1083" s="8"/>
      <c r="K1083" s="8"/>
      <c r="L1083" s="8"/>
      <c r="N1083" s="8"/>
      <c r="O1083" s="8"/>
    </row>
    <row r="1084" spans="1:15">
      <c r="A1084" s="26"/>
      <c r="B1084" s="26"/>
      <c r="C1084" s="8"/>
      <c r="D1084" s="8"/>
      <c r="E1084" s="8"/>
      <c r="F1084" s="8"/>
      <c r="G1084" s="8"/>
      <c r="H1084" s="8"/>
      <c r="I1084" s="27"/>
      <c r="J1084" s="8"/>
      <c r="K1084" s="8"/>
      <c r="L1084" s="8"/>
      <c r="N1084" s="8"/>
      <c r="O1084" s="8"/>
    </row>
    <row r="1085" spans="1:15">
      <c r="A1085" s="26"/>
      <c r="B1085" s="26"/>
      <c r="C1085" s="8"/>
      <c r="D1085" s="8"/>
      <c r="E1085" s="8"/>
      <c r="F1085" s="8"/>
      <c r="G1085" s="8"/>
      <c r="H1085" s="8"/>
      <c r="I1085" s="27"/>
      <c r="J1085" s="8"/>
      <c r="K1085" s="8"/>
      <c r="L1085" s="8"/>
      <c r="N1085" s="8"/>
      <c r="O1085" s="8"/>
    </row>
    <row r="1086" spans="1:15">
      <c r="A1086" s="26"/>
      <c r="B1086" s="26"/>
      <c r="C1086" s="8"/>
      <c r="D1086" s="8"/>
      <c r="E1086" s="8"/>
      <c r="F1086" s="8"/>
      <c r="G1086" s="8"/>
      <c r="H1086" s="8"/>
      <c r="I1086" s="27"/>
      <c r="J1086" s="8"/>
      <c r="K1086" s="8"/>
      <c r="L1086" s="8"/>
      <c r="N1086" s="8"/>
      <c r="O1086" s="8"/>
    </row>
    <row r="1087" spans="1:15">
      <c r="A1087" s="26"/>
      <c r="B1087" s="26"/>
      <c r="C1087" s="8"/>
      <c r="D1087" s="8"/>
      <c r="E1087" s="8"/>
      <c r="F1087" s="8"/>
      <c r="G1087" s="8"/>
      <c r="H1087" s="8"/>
      <c r="I1087" s="27"/>
      <c r="J1087" s="8"/>
      <c r="K1087" s="8"/>
      <c r="L1087" s="8"/>
      <c r="N1087" s="8"/>
      <c r="O1087" s="8"/>
    </row>
    <row r="1088" spans="1:15">
      <c r="A1088" s="26"/>
      <c r="B1088" s="26"/>
      <c r="C1088" s="8"/>
      <c r="D1088" s="8"/>
      <c r="E1088" s="8"/>
      <c r="F1088" s="8"/>
      <c r="G1088" s="8"/>
      <c r="H1088" s="8"/>
      <c r="I1088" s="27"/>
      <c r="J1088" s="8"/>
      <c r="K1088" s="8"/>
      <c r="L1088" s="8"/>
      <c r="N1088" s="8"/>
      <c r="O1088" s="8"/>
    </row>
    <row r="1089" spans="1:15">
      <c r="A1089" s="26"/>
      <c r="B1089" s="26"/>
      <c r="C1089" s="8"/>
      <c r="D1089" s="8"/>
      <c r="E1089" s="8"/>
      <c r="F1089" s="8"/>
      <c r="G1089" s="8"/>
      <c r="H1089" s="8"/>
      <c r="I1089" s="27"/>
      <c r="J1089" s="8"/>
      <c r="K1089" s="8"/>
      <c r="L1089" s="8"/>
      <c r="N1089" s="8"/>
      <c r="O1089" s="8"/>
    </row>
    <row r="1090" spans="1:15">
      <c r="A1090" s="26"/>
      <c r="B1090" s="26"/>
      <c r="C1090" s="8"/>
      <c r="D1090" s="8"/>
      <c r="E1090" s="8"/>
      <c r="F1090" s="8"/>
      <c r="G1090" s="8"/>
      <c r="H1090" s="8"/>
      <c r="I1090" s="27"/>
      <c r="J1090" s="8"/>
      <c r="K1090" s="8"/>
      <c r="L1090" s="8"/>
      <c r="N1090" s="8"/>
      <c r="O1090" s="8"/>
    </row>
    <row r="1091" spans="1:15">
      <c r="A1091" s="26"/>
      <c r="B1091" s="26"/>
      <c r="C1091" s="8"/>
      <c r="D1091" s="8"/>
      <c r="E1091" s="8"/>
      <c r="F1091" s="8"/>
      <c r="G1091" s="8"/>
      <c r="H1091" s="8"/>
      <c r="I1091" s="27"/>
      <c r="J1091" s="8"/>
      <c r="K1091" s="8"/>
      <c r="L1091" s="8"/>
      <c r="N1091" s="8"/>
      <c r="O1091" s="8"/>
    </row>
    <row r="1092" spans="1:15">
      <c r="A1092" s="26"/>
      <c r="B1092" s="26"/>
      <c r="C1092" s="8"/>
      <c r="D1092" s="8"/>
      <c r="E1092" s="8"/>
      <c r="F1092" s="8"/>
      <c r="G1092" s="8"/>
      <c r="H1092" s="8"/>
      <c r="I1092" s="27"/>
      <c r="J1092" s="8"/>
      <c r="K1092" s="8"/>
      <c r="L1092" s="8"/>
      <c r="N1092" s="8"/>
      <c r="O1092" s="8"/>
    </row>
    <row r="1093" spans="1:15">
      <c r="A1093" s="26"/>
      <c r="B1093" s="26"/>
      <c r="C1093" s="8"/>
      <c r="D1093" s="8"/>
      <c r="E1093" s="8"/>
      <c r="F1093" s="8"/>
      <c r="G1093" s="8"/>
      <c r="H1093" s="8"/>
      <c r="I1093" s="27"/>
      <c r="J1093" s="8"/>
      <c r="K1093" s="8"/>
      <c r="L1093" s="8"/>
      <c r="N1093" s="8"/>
      <c r="O1093" s="8"/>
    </row>
    <row r="1094" spans="1:15">
      <c r="A1094" s="26"/>
      <c r="B1094" s="26"/>
      <c r="C1094" s="8"/>
      <c r="D1094" s="8"/>
      <c r="E1094" s="8"/>
      <c r="F1094" s="8"/>
      <c r="G1094" s="8"/>
      <c r="H1094" s="8"/>
      <c r="I1094" s="27"/>
      <c r="J1094" s="8"/>
      <c r="K1094" s="8"/>
      <c r="L1094" s="8"/>
      <c r="N1094" s="8"/>
      <c r="O1094" s="8"/>
    </row>
    <row r="1095" spans="1:15">
      <c r="A1095" s="26"/>
      <c r="B1095" s="26"/>
      <c r="C1095" s="8"/>
      <c r="D1095" s="8"/>
      <c r="E1095" s="8"/>
      <c r="F1095" s="8"/>
      <c r="G1095" s="8"/>
      <c r="H1095" s="8"/>
      <c r="I1095" s="27"/>
      <c r="J1095" s="8"/>
      <c r="K1095" s="8"/>
      <c r="L1095" s="8"/>
      <c r="N1095" s="8"/>
      <c r="O1095" s="8"/>
    </row>
    <row r="1096" spans="1:15">
      <c r="A1096" s="26"/>
      <c r="B1096" s="26"/>
      <c r="C1096" s="8"/>
      <c r="D1096" s="8"/>
      <c r="E1096" s="8"/>
      <c r="F1096" s="8"/>
      <c r="G1096" s="8"/>
      <c r="H1096" s="8"/>
      <c r="I1096" s="27"/>
      <c r="J1096" s="8"/>
      <c r="K1096" s="8"/>
      <c r="L1096" s="8"/>
      <c r="N1096" s="8"/>
      <c r="O1096" s="8"/>
    </row>
    <row r="1097" spans="1:15">
      <c r="A1097" s="26"/>
      <c r="B1097" s="26"/>
      <c r="C1097" s="8"/>
      <c r="D1097" s="8"/>
      <c r="E1097" s="8"/>
      <c r="F1097" s="8"/>
      <c r="G1097" s="8"/>
      <c r="H1097" s="8"/>
      <c r="I1097" s="27"/>
      <c r="J1097" s="8"/>
      <c r="K1097" s="8"/>
      <c r="L1097" s="8"/>
      <c r="N1097" s="8"/>
      <c r="O1097" s="8"/>
    </row>
    <row r="1098" spans="1:15">
      <c r="A1098" s="26"/>
      <c r="B1098" s="26"/>
      <c r="C1098" s="8"/>
      <c r="D1098" s="8"/>
      <c r="E1098" s="8"/>
      <c r="F1098" s="8"/>
      <c r="G1098" s="8"/>
      <c r="H1098" s="8"/>
      <c r="I1098" s="27"/>
      <c r="J1098" s="8"/>
      <c r="K1098" s="8"/>
      <c r="L1098" s="8"/>
      <c r="N1098" s="8"/>
      <c r="O1098" s="8"/>
    </row>
    <row r="1099" spans="1:15">
      <c r="A1099" s="26"/>
      <c r="B1099" s="26"/>
      <c r="C1099" s="8"/>
      <c r="D1099" s="8"/>
      <c r="E1099" s="8"/>
      <c r="F1099" s="8"/>
      <c r="G1099" s="8"/>
      <c r="H1099" s="8"/>
      <c r="I1099" s="27"/>
      <c r="J1099" s="8"/>
      <c r="K1099" s="8"/>
      <c r="L1099" s="8"/>
      <c r="N1099" s="8"/>
      <c r="O1099" s="8"/>
    </row>
    <row r="1100" spans="1:15">
      <c r="A1100" s="26"/>
      <c r="B1100" s="26"/>
      <c r="C1100" s="8"/>
      <c r="D1100" s="8"/>
      <c r="E1100" s="8"/>
      <c r="F1100" s="8"/>
      <c r="G1100" s="8"/>
      <c r="H1100" s="8"/>
      <c r="I1100" s="27"/>
      <c r="J1100" s="8"/>
      <c r="K1100" s="8"/>
      <c r="L1100" s="8"/>
      <c r="N1100" s="8"/>
      <c r="O1100" s="8"/>
    </row>
    <row r="1101" spans="1:15">
      <c r="A1101" s="26"/>
      <c r="B1101" s="26"/>
      <c r="C1101" s="8"/>
      <c r="D1101" s="8"/>
      <c r="E1101" s="8"/>
      <c r="F1101" s="8"/>
      <c r="G1101" s="8"/>
      <c r="H1101" s="8"/>
      <c r="I1101" s="27"/>
      <c r="J1101" s="8"/>
      <c r="K1101" s="8"/>
      <c r="L1101" s="8"/>
      <c r="N1101" s="8"/>
      <c r="O1101" s="8"/>
    </row>
    <row r="1102" spans="1:15">
      <c r="A1102" s="26"/>
      <c r="B1102" s="26"/>
      <c r="C1102" s="8"/>
      <c r="D1102" s="8"/>
      <c r="E1102" s="8"/>
      <c r="F1102" s="8"/>
      <c r="G1102" s="8"/>
      <c r="H1102" s="8"/>
      <c r="I1102" s="27"/>
      <c r="J1102" s="8"/>
      <c r="K1102" s="8"/>
      <c r="L1102" s="8"/>
      <c r="N1102" s="8"/>
      <c r="O1102" s="8"/>
    </row>
    <row r="1103" spans="1:15">
      <c r="A1103" s="26"/>
      <c r="B1103" s="26"/>
      <c r="C1103" s="8"/>
      <c r="D1103" s="8"/>
      <c r="E1103" s="8"/>
      <c r="F1103" s="8"/>
      <c r="G1103" s="8"/>
      <c r="H1103" s="8"/>
      <c r="I1103" s="27"/>
      <c r="J1103" s="8"/>
      <c r="K1103" s="8"/>
      <c r="L1103" s="8"/>
      <c r="N1103" s="8"/>
      <c r="O1103" s="8"/>
    </row>
    <row r="1104" spans="1:15">
      <c r="A1104" s="26"/>
      <c r="B1104" s="26"/>
      <c r="C1104" s="8"/>
      <c r="D1104" s="8"/>
      <c r="E1104" s="8"/>
      <c r="F1104" s="8"/>
      <c r="G1104" s="8"/>
      <c r="H1104" s="8"/>
      <c r="I1104" s="27"/>
      <c r="J1104" s="8"/>
      <c r="K1104" s="8"/>
      <c r="L1104" s="8"/>
      <c r="N1104" s="8"/>
      <c r="O1104" s="8"/>
    </row>
    <row r="1105" spans="1:15">
      <c r="A1105" s="26"/>
      <c r="B1105" s="26"/>
      <c r="C1105" s="8"/>
      <c r="D1105" s="8"/>
      <c r="E1105" s="8"/>
      <c r="F1105" s="8"/>
      <c r="G1105" s="8"/>
      <c r="H1105" s="8"/>
      <c r="I1105" s="27"/>
      <c r="J1105" s="8"/>
      <c r="K1105" s="8"/>
      <c r="L1105" s="8"/>
      <c r="N1105" s="8"/>
      <c r="O1105" s="8"/>
    </row>
    <row r="1106" spans="1:15">
      <c r="A1106" s="26"/>
      <c r="B1106" s="26"/>
      <c r="C1106" s="8"/>
      <c r="D1106" s="8"/>
      <c r="E1106" s="8"/>
      <c r="F1106" s="8"/>
      <c r="G1106" s="8"/>
      <c r="H1106" s="8"/>
      <c r="I1106" s="27"/>
      <c r="J1106" s="8"/>
      <c r="K1106" s="8"/>
      <c r="L1106" s="8"/>
      <c r="N1106" s="8"/>
      <c r="O1106" s="8"/>
    </row>
    <row r="1107" spans="1:15">
      <c r="A1107" s="26"/>
      <c r="B1107" s="26"/>
      <c r="C1107" s="8"/>
      <c r="D1107" s="8"/>
      <c r="E1107" s="8"/>
      <c r="F1107" s="8"/>
      <c r="G1107" s="8"/>
      <c r="H1107" s="8"/>
      <c r="I1107" s="27"/>
      <c r="J1107" s="8"/>
      <c r="K1107" s="8"/>
      <c r="L1107" s="8"/>
      <c r="N1107" s="8"/>
      <c r="O1107" s="8"/>
    </row>
    <row r="1108" spans="1:15">
      <c r="A1108" s="26"/>
      <c r="B1108" s="26"/>
      <c r="C1108" s="8"/>
      <c r="D1108" s="8"/>
      <c r="E1108" s="8"/>
      <c r="F1108" s="8"/>
      <c r="G1108" s="8"/>
      <c r="H1108" s="8"/>
      <c r="I1108" s="27"/>
      <c r="J1108" s="8"/>
      <c r="K1108" s="8"/>
      <c r="L1108" s="8"/>
      <c r="N1108" s="8"/>
      <c r="O1108" s="8"/>
    </row>
    <row r="1109" spans="1:15">
      <c r="A1109" s="26"/>
      <c r="B1109" s="26"/>
      <c r="C1109" s="8"/>
      <c r="D1109" s="8"/>
      <c r="E1109" s="8"/>
      <c r="F1109" s="8"/>
      <c r="G1109" s="8"/>
      <c r="H1109" s="8"/>
      <c r="I1109" s="27"/>
      <c r="J1109" s="8"/>
      <c r="K1109" s="8"/>
      <c r="L1109" s="8"/>
      <c r="N1109" s="8"/>
      <c r="O1109" s="8"/>
    </row>
    <row r="1110" spans="1:15">
      <c r="A1110" s="26"/>
      <c r="B1110" s="26"/>
      <c r="C1110" s="8"/>
      <c r="D1110" s="8"/>
      <c r="E1110" s="8"/>
      <c r="F1110" s="8"/>
      <c r="G1110" s="8"/>
      <c r="H1110" s="8"/>
      <c r="I1110" s="27"/>
      <c r="J1110" s="8"/>
      <c r="K1110" s="8"/>
      <c r="L1110" s="8"/>
      <c r="N1110" s="8"/>
      <c r="O1110" s="8"/>
    </row>
    <row r="1111" spans="1:15">
      <c r="A1111" s="26"/>
      <c r="B1111" s="26"/>
      <c r="C1111" s="8"/>
      <c r="D1111" s="8"/>
      <c r="E1111" s="8"/>
      <c r="F1111" s="8"/>
      <c r="G1111" s="8"/>
      <c r="H1111" s="8"/>
      <c r="I1111" s="27"/>
      <c r="J1111" s="8"/>
      <c r="K1111" s="8"/>
      <c r="L1111" s="8"/>
      <c r="N1111" s="8"/>
      <c r="O1111" s="8"/>
    </row>
    <row r="1112" spans="1:15">
      <c r="A1112" s="26"/>
      <c r="B1112" s="26"/>
      <c r="C1112" s="8"/>
      <c r="D1112" s="8"/>
      <c r="E1112" s="8"/>
      <c r="F1112" s="8"/>
      <c r="G1112" s="8"/>
      <c r="H1112" s="8"/>
      <c r="I1112" s="27"/>
      <c r="J1112" s="8"/>
      <c r="K1112" s="8"/>
      <c r="L1112" s="8"/>
      <c r="N1112" s="8"/>
      <c r="O1112" s="8"/>
    </row>
    <row r="1113" spans="1:15">
      <c r="A1113" s="26"/>
      <c r="B1113" s="26"/>
      <c r="C1113" s="8"/>
      <c r="D1113" s="8"/>
      <c r="E1113" s="8"/>
      <c r="F1113" s="8"/>
      <c r="G1113" s="8"/>
      <c r="H1113" s="8"/>
      <c r="I1113" s="27"/>
      <c r="J1113" s="8"/>
      <c r="K1113" s="8"/>
      <c r="L1113" s="8"/>
      <c r="N1113" s="8"/>
      <c r="O1113" s="8"/>
    </row>
    <row r="1114" spans="1:15">
      <c r="A1114" s="26"/>
      <c r="B1114" s="26"/>
      <c r="C1114" s="8"/>
      <c r="D1114" s="8"/>
      <c r="E1114" s="8"/>
      <c r="F1114" s="8"/>
      <c r="G1114" s="8"/>
      <c r="H1114" s="8"/>
      <c r="I1114" s="27"/>
      <c r="J1114" s="8"/>
      <c r="K1114" s="8"/>
      <c r="L1114" s="8"/>
      <c r="N1114" s="8"/>
      <c r="O1114" s="8"/>
    </row>
    <row r="1115" spans="1:15">
      <c r="A1115" s="26"/>
      <c r="B1115" s="26"/>
      <c r="C1115" s="8"/>
      <c r="D1115" s="8"/>
      <c r="E1115" s="8"/>
      <c r="F1115" s="8"/>
      <c r="G1115" s="8"/>
      <c r="H1115" s="8"/>
      <c r="I1115" s="27"/>
      <c r="J1115" s="8"/>
      <c r="K1115" s="8"/>
      <c r="L1115" s="8"/>
      <c r="N1115" s="8"/>
      <c r="O1115" s="8"/>
    </row>
    <row r="1116" spans="1:15">
      <c r="A1116" s="26"/>
      <c r="B1116" s="26"/>
      <c r="C1116" s="8"/>
      <c r="D1116" s="8"/>
      <c r="E1116" s="8"/>
      <c r="F1116" s="8"/>
      <c r="G1116" s="8"/>
      <c r="H1116" s="8"/>
      <c r="I1116" s="27"/>
      <c r="J1116" s="8"/>
      <c r="K1116" s="8"/>
      <c r="L1116" s="8"/>
      <c r="N1116" s="8"/>
      <c r="O1116" s="8"/>
    </row>
    <row r="1117" spans="1:15">
      <c r="A1117" s="26"/>
      <c r="B1117" s="26"/>
      <c r="C1117" s="8"/>
      <c r="D1117" s="8"/>
      <c r="E1117" s="8"/>
      <c r="F1117" s="8"/>
      <c r="G1117" s="8"/>
      <c r="H1117" s="8"/>
      <c r="I1117" s="27"/>
      <c r="J1117" s="8"/>
      <c r="K1117" s="8"/>
      <c r="L1117" s="8"/>
      <c r="N1117" s="8"/>
      <c r="O1117" s="8"/>
    </row>
    <row r="1118" spans="1:15">
      <c r="A1118" s="26"/>
      <c r="B1118" s="26"/>
      <c r="C1118" s="8"/>
      <c r="D1118" s="8"/>
      <c r="E1118" s="8"/>
      <c r="F1118" s="8"/>
      <c r="G1118" s="8"/>
      <c r="H1118" s="8"/>
      <c r="I1118" s="27"/>
      <c r="J1118" s="8"/>
      <c r="K1118" s="8"/>
      <c r="L1118" s="8"/>
      <c r="N1118" s="8"/>
      <c r="O1118" s="8"/>
    </row>
    <row r="1119" spans="1:15">
      <c r="A1119" s="26"/>
      <c r="B1119" s="26"/>
      <c r="C1119" s="8"/>
      <c r="D1119" s="8"/>
      <c r="E1119" s="8"/>
      <c r="F1119" s="8"/>
      <c r="G1119" s="8"/>
      <c r="H1119" s="8"/>
      <c r="I1119" s="27"/>
      <c r="J1119" s="8"/>
      <c r="K1119" s="8"/>
      <c r="L1119" s="8"/>
      <c r="N1119" s="8"/>
      <c r="O1119" s="8"/>
    </row>
    <row r="1120" spans="1:15">
      <c r="A1120" s="26"/>
      <c r="B1120" s="26"/>
      <c r="C1120" s="8"/>
      <c r="D1120" s="8"/>
      <c r="E1120" s="8"/>
      <c r="F1120" s="8"/>
      <c r="G1120" s="8"/>
      <c r="H1120" s="8"/>
      <c r="I1120" s="27"/>
      <c r="J1120" s="8"/>
      <c r="K1120" s="8"/>
      <c r="L1120" s="8"/>
      <c r="N1120" s="8"/>
      <c r="O1120" s="8"/>
    </row>
    <row r="1121" spans="1:15">
      <c r="A1121" s="26"/>
      <c r="B1121" s="26"/>
      <c r="C1121" s="8"/>
      <c r="D1121" s="8"/>
      <c r="E1121" s="8"/>
      <c r="F1121" s="8"/>
      <c r="G1121" s="8"/>
      <c r="H1121" s="8"/>
      <c r="I1121" s="27"/>
      <c r="J1121" s="8"/>
      <c r="K1121" s="8"/>
      <c r="L1121" s="8"/>
      <c r="N1121" s="8"/>
      <c r="O1121" s="8"/>
    </row>
    <row r="1122" spans="1:15">
      <c r="A1122" s="26"/>
      <c r="B1122" s="26"/>
      <c r="C1122" s="8"/>
      <c r="D1122" s="8"/>
      <c r="E1122" s="8"/>
      <c r="F1122" s="8"/>
      <c r="G1122" s="8"/>
      <c r="H1122" s="8"/>
      <c r="I1122" s="27"/>
      <c r="J1122" s="8"/>
      <c r="K1122" s="8"/>
      <c r="L1122" s="8"/>
      <c r="N1122" s="8"/>
      <c r="O1122" s="8"/>
    </row>
    <row r="1123" spans="1:15">
      <c r="A1123" s="26"/>
      <c r="B1123" s="26"/>
      <c r="C1123" s="8"/>
      <c r="D1123" s="8"/>
      <c r="E1123" s="8"/>
      <c r="F1123" s="8"/>
      <c r="G1123" s="8"/>
      <c r="H1123" s="8"/>
      <c r="I1123" s="27"/>
      <c r="J1123" s="8"/>
      <c r="K1123" s="8"/>
      <c r="L1123" s="8"/>
      <c r="N1123" s="8"/>
      <c r="O1123" s="8"/>
    </row>
    <row r="1124" spans="1:15">
      <c r="A1124" s="26"/>
      <c r="B1124" s="26"/>
      <c r="C1124" s="8"/>
      <c r="D1124" s="8"/>
      <c r="E1124" s="8"/>
      <c r="F1124" s="8"/>
      <c r="G1124" s="8"/>
      <c r="H1124" s="8"/>
      <c r="I1124" s="27"/>
      <c r="J1124" s="8"/>
      <c r="K1124" s="8"/>
      <c r="L1124" s="8"/>
      <c r="N1124" s="8"/>
      <c r="O1124" s="8"/>
    </row>
    <row r="1125" spans="1:15">
      <c r="A1125" s="26"/>
      <c r="B1125" s="26"/>
      <c r="C1125" s="8"/>
      <c r="D1125" s="8"/>
      <c r="E1125" s="8"/>
      <c r="F1125" s="8"/>
      <c r="G1125" s="8"/>
      <c r="H1125" s="8"/>
      <c r="I1125" s="27"/>
      <c r="J1125" s="8"/>
      <c r="K1125" s="8"/>
      <c r="L1125" s="8"/>
      <c r="N1125" s="8"/>
      <c r="O1125" s="8"/>
    </row>
    <row r="1126" spans="1:15">
      <c r="A1126" s="26"/>
      <c r="B1126" s="26"/>
      <c r="C1126" s="8"/>
      <c r="D1126" s="8"/>
      <c r="E1126" s="8"/>
      <c r="F1126" s="8"/>
      <c r="G1126" s="8"/>
      <c r="H1126" s="8"/>
      <c r="I1126" s="27"/>
      <c r="J1126" s="8"/>
      <c r="K1126" s="8"/>
      <c r="L1126" s="8"/>
      <c r="N1126" s="8"/>
      <c r="O1126" s="8"/>
    </row>
    <row r="1127" spans="1:15">
      <c r="A1127" s="26"/>
      <c r="B1127" s="26"/>
      <c r="C1127" s="8"/>
      <c r="D1127" s="8"/>
      <c r="E1127" s="8"/>
      <c r="F1127" s="8"/>
      <c r="G1127" s="8"/>
      <c r="H1127" s="8"/>
      <c r="I1127" s="27"/>
      <c r="J1127" s="8"/>
      <c r="K1127" s="8"/>
      <c r="L1127" s="8"/>
      <c r="N1127" s="8"/>
      <c r="O1127" s="8"/>
    </row>
    <row r="1128" spans="1:15">
      <c r="A1128" s="26"/>
      <c r="B1128" s="26"/>
      <c r="C1128" s="8"/>
      <c r="D1128" s="8"/>
      <c r="E1128" s="8"/>
      <c r="F1128" s="8"/>
      <c r="G1128" s="8"/>
      <c r="H1128" s="8"/>
      <c r="I1128" s="27"/>
      <c r="J1128" s="8"/>
      <c r="K1128" s="8"/>
      <c r="L1128" s="8"/>
      <c r="N1128" s="8"/>
      <c r="O1128" s="8"/>
    </row>
    <row r="1129" spans="1:15">
      <c r="A1129" s="26"/>
      <c r="B1129" s="26"/>
      <c r="C1129" s="8"/>
      <c r="D1129" s="8"/>
      <c r="E1129" s="8"/>
      <c r="F1129" s="8"/>
      <c r="G1129" s="8"/>
      <c r="H1129" s="8"/>
      <c r="I1129" s="27"/>
      <c r="J1129" s="8"/>
      <c r="K1129" s="8"/>
      <c r="L1129" s="8"/>
      <c r="N1129" s="8"/>
      <c r="O1129" s="8"/>
    </row>
    <row r="1130" spans="1:15">
      <c r="A1130" s="26"/>
      <c r="B1130" s="26"/>
      <c r="C1130" s="8"/>
      <c r="D1130" s="8"/>
      <c r="E1130" s="8"/>
      <c r="F1130" s="8"/>
      <c r="G1130" s="8"/>
      <c r="H1130" s="8"/>
      <c r="I1130" s="27"/>
      <c r="J1130" s="8"/>
      <c r="K1130" s="8"/>
      <c r="L1130" s="8"/>
      <c r="N1130" s="8"/>
      <c r="O1130" s="8"/>
    </row>
    <row r="1131" spans="1:15">
      <c r="A1131" s="26"/>
      <c r="B1131" s="26"/>
      <c r="C1131" s="8"/>
      <c r="D1131" s="8"/>
      <c r="E1131" s="8"/>
      <c r="F1131" s="8"/>
      <c r="G1131" s="8"/>
      <c r="H1131" s="8"/>
      <c r="I1131" s="27"/>
      <c r="J1131" s="8"/>
      <c r="K1131" s="8"/>
      <c r="L1131" s="8"/>
      <c r="N1131" s="8"/>
      <c r="O1131" s="8"/>
    </row>
    <row r="1132" spans="1:15">
      <c r="A1132" s="26"/>
      <c r="B1132" s="26"/>
      <c r="C1132" s="8"/>
      <c r="D1132" s="8"/>
      <c r="E1132" s="8"/>
      <c r="F1132" s="8"/>
      <c r="G1132" s="8"/>
      <c r="H1132" s="8"/>
      <c r="I1132" s="27"/>
      <c r="J1132" s="8"/>
      <c r="K1132" s="8"/>
      <c r="L1132" s="8"/>
      <c r="N1132" s="8"/>
      <c r="O1132" s="8"/>
    </row>
    <row r="1133" spans="1:15">
      <c r="A1133" s="26"/>
      <c r="B1133" s="26"/>
      <c r="C1133" s="8"/>
      <c r="D1133" s="8"/>
      <c r="E1133" s="8"/>
      <c r="F1133" s="8"/>
      <c r="G1133" s="8"/>
      <c r="H1133" s="8"/>
      <c r="I1133" s="27"/>
      <c r="J1133" s="8"/>
      <c r="K1133" s="8"/>
      <c r="L1133" s="8"/>
      <c r="N1133" s="8"/>
      <c r="O1133" s="8"/>
    </row>
    <row r="1134" spans="1:15">
      <c r="A1134" s="26"/>
      <c r="B1134" s="26"/>
      <c r="C1134" s="8"/>
      <c r="D1134" s="8"/>
      <c r="E1134" s="8"/>
      <c r="F1134" s="8"/>
      <c r="G1134" s="8"/>
      <c r="H1134" s="8"/>
      <c r="I1134" s="27"/>
      <c r="J1134" s="8"/>
      <c r="K1134" s="8"/>
      <c r="L1134" s="8"/>
      <c r="N1134" s="8"/>
      <c r="O1134" s="8"/>
    </row>
    <row r="1135" spans="1:15">
      <c r="A1135" s="26"/>
      <c r="B1135" s="26"/>
      <c r="C1135" s="8"/>
      <c r="D1135" s="8"/>
      <c r="E1135" s="8"/>
      <c r="F1135" s="8"/>
      <c r="G1135" s="8"/>
      <c r="H1135" s="8"/>
      <c r="I1135" s="27"/>
      <c r="J1135" s="8"/>
      <c r="K1135" s="8"/>
      <c r="L1135" s="8"/>
      <c r="N1135" s="8"/>
      <c r="O1135" s="8"/>
    </row>
    <row r="1136" spans="1:15">
      <c r="A1136" s="26"/>
      <c r="B1136" s="26"/>
      <c r="C1136" s="8"/>
      <c r="D1136" s="8"/>
      <c r="E1136" s="8"/>
      <c r="F1136" s="8"/>
      <c r="G1136" s="8"/>
      <c r="H1136" s="8"/>
      <c r="I1136" s="27"/>
      <c r="J1136" s="8"/>
      <c r="K1136" s="8"/>
      <c r="L1136" s="8"/>
      <c r="N1136" s="8"/>
      <c r="O1136" s="8"/>
    </row>
    <row r="1137" spans="1:15">
      <c r="A1137" s="26"/>
      <c r="B1137" s="26"/>
      <c r="C1137" s="8"/>
      <c r="D1137" s="8"/>
      <c r="E1137" s="8"/>
      <c r="F1137" s="8"/>
      <c r="G1137" s="8"/>
      <c r="H1137" s="8"/>
      <c r="I1137" s="27"/>
      <c r="J1137" s="8"/>
      <c r="K1137" s="8"/>
      <c r="L1137" s="8"/>
      <c r="N1137" s="8"/>
      <c r="O1137" s="8"/>
    </row>
    <row r="1138" spans="1:15">
      <c r="A1138" s="26"/>
      <c r="B1138" s="26"/>
      <c r="C1138" s="8"/>
      <c r="D1138" s="8"/>
      <c r="E1138" s="8"/>
      <c r="F1138" s="8"/>
      <c r="G1138" s="8"/>
      <c r="H1138" s="8"/>
      <c r="I1138" s="27"/>
      <c r="J1138" s="8"/>
      <c r="K1138" s="8"/>
      <c r="L1138" s="8"/>
      <c r="N1138" s="8"/>
      <c r="O1138" s="8"/>
    </row>
    <row r="1139" spans="1:15">
      <c r="A1139" s="26"/>
      <c r="B1139" s="26"/>
      <c r="C1139" s="8"/>
      <c r="D1139" s="8"/>
      <c r="E1139" s="8"/>
      <c r="F1139" s="8"/>
      <c r="G1139" s="8"/>
      <c r="H1139" s="8"/>
      <c r="I1139" s="27"/>
      <c r="J1139" s="8"/>
      <c r="K1139" s="8"/>
      <c r="L1139" s="8"/>
      <c r="N1139" s="8"/>
      <c r="O1139" s="8"/>
    </row>
    <row r="1140" spans="1:15">
      <c r="A1140" s="26"/>
      <c r="B1140" s="26"/>
      <c r="C1140" s="8"/>
      <c r="D1140" s="8"/>
      <c r="E1140" s="8"/>
      <c r="F1140" s="8"/>
      <c r="G1140" s="8"/>
      <c r="H1140" s="8"/>
      <c r="I1140" s="27"/>
      <c r="J1140" s="8"/>
      <c r="K1140" s="8"/>
      <c r="L1140" s="8"/>
      <c r="N1140" s="8"/>
      <c r="O1140" s="8"/>
    </row>
    <row r="1141" spans="1:15">
      <c r="A1141" s="26"/>
      <c r="B1141" s="26"/>
      <c r="C1141" s="8"/>
      <c r="D1141" s="8"/>
      <c r="E1141" s="8"/>
      <c r="F1141" s="8"/>
      <c r="G1141" s="8"/>
      <c r="H1141" s="8"/>
      <c r="I1141" s="27"/>
      <c r="J1141" s="8"/>
      <c r="K1141" s="8"/>
      <c r="L1141" s="8"/>
      <c r="N1141" s="8"/>
      <c r="O1141" s="8"/>
    </row>
    <row r="1142" spans="1:15">
      <c r="A1142" s="26"/>
      <c r="B1142" s="26"/>
      <c r="C1142" s="8"/>
      <c r="D1142" s="8"/>
      <c r="E1142" s="8"/>
      <c r="F1142" s="8"/>
      <c r="G1142" s="8"/>
      <c r="H1142" s="8"/>
      <c r="I1142" s="27"/>
      <c r="J1142" s="8"/>
      <c r="K1142" s="8"/>
      <c r="L1142" s="8"/>
      <c r="N1142" s="8"/>
      <c r="O1142" s="8"/>
    </row>
    <row r="1143" spans="1:15">
      <c r="A1143" s="26"/>
      <c r="B1143" s="26"/>
      <c r="C1143" s="8"/>
      <c r="D1143" s="8"/>
      <c r="E1143" s="8"/>
      <c r="F1143" s="8"/>
      <c r="G1143" s="8"/>
      <c r="H1143" s="8"/>
      <c r="I1143" s="27"/>
      <c r="J1143" s="8"/>
      <c r="K1143" s="8"/>
      <c r="L1143" s="8"/>
      <c r="N1143" s="8"/>
      <c r="O1143" s="8"/>
    </row>
    <row r="1144" spans="1:15">
      <c r="A1144" s="26"/>
      <c r="B1144" s="26"/>
      <c r="C1144" s="8"/>
      <c r="D1144" s="8"/>
      <c r="E1144" s="8"/>
      <c r="F1144" s="8"/>
      <c r="G1144" s="8"/>
      <c r="H1144" s="8"/>
      <c r="I1144" s="27"/>
      <c r="J1144" s="8"/>
      <c r="K1144" s="8"/>
      <c r="L1144" s="8"/>
      <c r="N1144" s="8"/>
      <c r="O1144" s="8"/>
    </row>
    <row r="1145" spans="1:15">
      <c r="A1145" s="26"/>
      <c r="B1145" s="26"/>
      <c r="C1145" s="8"/>
      <c r="D1145" s="8"/>
      <c r="E1145" s="8"/>
      <c r="F1145" s="8"/>
      <c r="G1145" s="8"/>
      <c r="H1145" s="8"/>
      <c r="I1145" s="27"/>
      <c r="J1145" s="8"/>
      <c r="K1145" s="8"/>
      <c r="L1145" s="8"/>
      <c r="N1145" s="8"/>
      <c r="O1145" s="8"/>
    </row>
    <row r="1146" spans="1:15">
      <c r="A1146" s="26"/>
      <c r="B1146" s="26"/>
      <c r="C1146" s="8"/>
      <c r="D1146" s="8"/>
      <c r="E1146" s="8"/>
      <c r="F1146" s="8"/>
      <c r="G1146" s="8"/>
      <c r="H1146" s="8"/>
      <c r="I1146" s="27"/>
      <c r="J1146" s="8"/>
      <c r="K1146" s="8"/>
      <c r="L1146" s="8"/>
      <c r="N1146" s="8"/>
      <c r="O1146" s="8"/>
    </row>
    <row r="1147" spans="1:15">
      <c r="A1147" s="26"/>
      <c r="B1147" s="26"/>
      <c r="C1147" s="8"/>
      <c r="D1147" s="8"/>
      <c r="E1147" s="8"/>
      <c r="F1147" s="8"/>
      <c r="G1147" s="8"/>
      <c r="H1147" s="8"/>
      <c r="I1147" s="27"/>
      <c r="J1147" s="8"/>
      <c r="K1147" s="8"/>
      <c r="L1147" s="8"/>
      <c r="N1147" s="8"/>
      <c r="O1147" s="8"/>
    </row>
    <row r="1148" spans="1:15">
      <c r="A1148" s="26"/>
      <c r="B1148" s="26"/>
      <c r="C1148" s="8"/>
      <c r="D1148" s="8"/>
      <c r="E1148" s="8"/>
      <c r="F1148" s="8"/>
      <c r="G1148" s="8"/>
      <c r="H1148" s="8"/>
      <c r="I1148" s="27"/>
      <c r="J1148" s="8"/>
      <c r="K1148" s="8"/>
      <c r="L1148" s="8"/>
      <c r="N1148" s="8"/>
      <c r="O1148" s="8"/>
    </row>
    <row r="1149" spans="1:15">
      <c r="A1149" s="26"/>
      <c r="B1149" s="26"/>
      <c r="C1149" s="8"/>
      <c r="D1149" s="8"/>
      <c r="E1149" s="8"/>
      <c r="F1149" s="8"/>
      <c r="G1149" s="8"/>
      <c r="H1149" s="8"/>
      <c r="I1149" s="27"/>
      <c r="J1149" s="8"/>
      <c r="K1149" s="8"/>
      <c r="L1149" s="8"/>
      <c r="N1149" s="8"/>
      <c r="O1149" s="8"/>
    </row>
    <row r="1150" spans="1:15">
      <c r="A1150" s="26"/>
      <c r="B1150" s="26"/>
      <c r="C1150" s="8"/>
      <c r="D1150" s="8"/>
      <c r="E1150" s="8"/>
      <c r="F1150" s="8"/>
      <c r="G1150" s="8"/>
      <c r="H1150" s="8"/>
      <c r="I1150" s="27"/>
      <c r="J1150" s="8"/>
      <c r="K1150" s="8"/>
      <c r="L1150" s="8"/>
      <c r="N1150" s="8"/>
      <c r="O1150" s="8"/>
    </row>
    <row r="1151" spans="1:15">
      <c r="A1151" s="26"/>
      <c r="B1151" s="26"/>
      <c r="C1151" s="8"/>
      <c r="D1151" s="8"/>
      <c r="E1151" s="8"/>
      <c r="F1151" s="8"/>
      <c r="G1151" s="8"/>
      <c r="H1151" s="8"/>
      <c r="I1151" s="27"/>
      <c r="J1151" s="8"/>
      <c r="K1151" s="8"/>
      <c r="L1151" s="8"/>
      <c r="N1151" s="8"/>
      <c r="O1151" s="8"/>
    </row>
    <row r="1152" spans="1:15">
      <c r="A1152" s="26"/>
      <c r="B1152" s="26"/>
      <c r="C1152" s="8"/>
      <c r="D1152" s="8"/>
      <c r="E1152" s="8"/>
      <c r="F1152" s="8"/>
      <c r="G1152" s="8"/>
      <c r="H1152" s="8"/>
      <c r="I1152" s="27"/>
      <c r="J1152" s="8"/>
      <c r="K1152" s="8"/>
      <c r="L1152" s="8"/>
      <c r="N1152" s="8"/>
      <c r="O1152" s="8"/>
    </row>
    <row r="1153" spans="1:15">
      <c r="A1153" s="26"/>
      <c r="B1153" s="26"/>
      <c r="C1153" s="8"/>
      <c r="D1153" s="8"/>
      <c r="E1153" s="8"/>
      <c r="F1153" s="8"/>
      <c r="G1153" s="8"/>
      <c r="H1153" s="8"/>
      <c r="I1153" s="27"/>
      <c r="J1153" s="8"/>
      <c r="K1153" s="8"/>
      <c r="L1153" s="8"/>
      <c r="N1153" s="8"/>
      <c r="O1153" s="8"/>
    </row>
    <row r="1154" spans="1:15">
      <c r="A1154" s="26"/>
      <c r="B1154" s="26"/>
      <c r="C1154" s="8"/>
      <c r="D1154" s="8"/>
      <c r="E1154" s="8"/>
      <c r="F1154" s="8"/>
      <c r="G1154" s="8"/>
      <c r="H1154" s="8"/>
      <c r="I1154" s="27"/>
      <c r="J1154" s="8"/>
      <c r="K1154" s="8"/>
      <c r="L1154" s="8"/>
      <c r="N1154" s="8"/>
      <c r="O1154" s="8"/>
    </row>
    <row r="1155" spans="1:15">
      <c r="A1155" s="26"/>
      <c r="B1155" s="26"/>
      <c r="C1155" s="8"/>
      <c r="D1155" s="8"/>
      <c r="E1155" s="8"/>
      <c r="F1155" s="8"/>
      <c r="G1155" s="8"/>
      <c r="H1155" s="8"/>
      <c r="I1155" s="27"/>
      <c r="J1155" s="8"/>
      <c r="K1155" s="8"/>
      <c r="L1155" s="8"/>
      <c r="N1155" s="8"/>
      <c r="O1155" s="8"/>
    </row>
    <row r="1156" spans="1:15">
      <c r="A1156" s="26"/>
      <c r="B1156" s="26"/>
      <c r="C1156" s="8"/>
      <c r="D1156" s="8"/>
      <c r="E1156" s="8"/>
      <c r="F1156" s="8"/>
      <c r="G1156" s="8"/>
      <c r="H1156" s="8"/>
      <c r="I1156" s="27"/>
      <c r="J1156" s="8"/>
      <c r="K1156" s="8"/>
      <c r="L1156" s="8"/>
      <c r="N1156" s="8"/>
      <c r="O1156" s="8"/>
    </row>
    <row r="1157" spans="1:15">
      <c r="A1157" s="26"/>
      <c r="B1157" s="26"/>
      <c r="C1157" s="8"/>
      <c r="D1157" s="8"/>
      <c r="E1157" s="8"/>
      <c r="F1157" s="8"/>
      <c r="G1157" s="8"/>
      <c r="H1157" s="8"/>
      <c r="I1157" s="27"/>
      <c r="J1157" s="8"/>
      <c r="K1157" s="8"/>
      <c r="L1157" s="8"/>
      <c r="N1157" s="8"/>
      <c r="O1157" s="8"/>
    </row>
    <row r="1158" spans="1:15">
      <c r="A1158" s="26"/>
      <c r="B1158" s="26"/>
      <c r="C1158" s="8"/>
      <c r="D1158" s="8"/>
      <c r="E1158" s="8"/>
      <c r="F1158" s="8"/>
      <c r="G1158" s="8"/>
      <c r="H1158" s="8"/>
      <c r="I1158" s="27"/>
      <c r="J1158" s="8"/>
      <c r="K1158" s="8"/>
      <c r="L1158" s="8"/>
      <c r="N1158" s="8"/>
      <c r="O1158" s="8"/>
    </row>
    <row r="1159" spans="1:15">
      <c r="A1159" s="26"/>
      <c r="B1159" s="26"/>
      <c r="C1159" s="8"/>
      <c r="D1159" s="8"/>
      <c r="E1159" s="8"/>
      <c r="F1159" s="8"/>
      <c r="G1159" s="8"/>
      <c r="H1159" s="8"/>
      <c r="I1159" s="27"/>
      <c r="J1159" s="8"/>
      <c r="K1159" s="8"/>
      <c r="L1159" s="8"/>
      <c r="N1159" s="8"/>
      <c r="O1159" s="8"/>
    </row>
    <row r="1160" spans="1:15">
      <c r="A1160" s="26"/>
      <c r="B1160" s="26"/>
      <c r="C1160" s="8"/>
      <c r="D1160" s="8"/>
      <c r="E1160" s="8"/>
      <c r="F1160" s="8"/>
      <c r="G1160" s="8"/>
      <c r="H1160" s="8"/>
      <c r="I1160" s="27"/>
      <c r="J1160" s="8"/>
      <c r="K1160" s="8"/>
      <c r="L1160" s="8"/>
      <c r="N1160" s="8"/>
      <c r="O1160" s="8"/>
    </row>
    <row r="1161" spans="1:15">
      <c r="A1161" s="26"/>
      <c r="B1161" s="26"/>
      <c r="C1161" s="8"/>
      <c r="D1161" s="8"/>
      <c r="E1161" s="8"/>
      <c r="F1161" s="8"/>
      <c r="G1161" s="8"/>
      <c r="H1161" s="8"/>
      <c r="I1161" s="27"/>
      <c r="J1161" s="8"/>
      <c r="K1161" s="8"/>
      <c r="L1161" s="8"/>
      <c r="N1161" s="8"/>
      <c r="O1161" s="8"/>
    </row>
    <row r="1162" spans="1:15">
      <c r="A1162" s="26"/>
      <c r="B1162" s="26"/>
      <c r="C1162" s="8"/>
      <c r="D1162" s="8"/>
      <c r="E1162" s="8"/>
      <c r="F1162" s="8"/>
      <c r="G1162" s="8"/>
      <c r="H1162" s="8"/>
      <c r="I1162" s="27"/>
      <c r="J1162" s="8"/>
      <c r="K1162" s="8"/>
      <c r="L1162" s="8"/>
      <c r="N1162" s="8"/>
      <c r="O1162" s="8"/>
    </row>
    <row r="1163" spans="1:15">
      <c r="A1163" s="26"/>
      <c r="B1163" s="26"/>
      <c r="C1163" s="8"/>
      <c r="D1163" s="8"/>
      <c r="E1163" s="8"/>
      <c r="F1163" s="8"/>
      <c r="G1163" s="8"/>
      <c r="H1163" s="8"/>
      <c r="I1163" s="27"/>
      <c r="J1163" s="8"/>
      <c r="K1163" s="8"/>
      <c r="L1163" s="8"/>
      <c r="N1163" s="8"/>
      <c r="O1163" s="8"/>
    </row>
    <row r="1164" spans="1:15">
      <c r="A1164" s="26"/>
      <c r="B1164" s="26"/>
      <c r="C1164" s="8"/>
      <c r="D1164" s="8"/>
      <c r="E1164" s="8"/>
      <c r="F1164" s="8"/>
      <c r="G1164" s="8"/>
      <c r="H1164" s="8"/>
      <c r="I1164" s="27"/>
      <c r="J1164" s="8"/>
      <c r="K1164" s="8"/>
      <c r="L1164" s="8"/>
      <c r="N1164" s="8"/>
      <c r="O1164" s="8"/>
    </row>
    <row r="1165" spans="1:15">
      <c r="A1165" s="26"/>
      <c r="B1165" s="26"/>
      <c r="C1165" s="8"/>
      <c r="D1165" s="8"/>
      <c r="E1165" s="8"/>
      <c r="F1165" s="8"/>
      <c r="G1165" s="8"/>
      <c r="H1165" s="8"/>
      <c r="I1165" s="27"/>
      <c r="J1165" s="8"/>
      <c r="K1165" s="8"/>
      <c r="L1165" s="8"/>
      <c r="N1165" s="8"/>
      <c r="O1165" s="8"/>
    </row>
    <row r="1166" spans="1:15">
      <c r="A1166" s="26"/>
      <c r="B1166" s="26"/>
      <c r="C1166" s="8"/>
      <c r="D1166" s="8"/>
      <c r="E1166" s="8"/>
      <c r="F1166" s="8"/>
      <c r="G1166" s="8"/>
      <c r="H1166" s="8"/>
      <c r="I1166" s="27"/>
      <c r="J1166" s="8"/>
      <c r="K1166" s="8"/>
      <c r="L1166" s="8"/>
      <c r="N1166" s="8"/>
      <c r="O1166" s="8"/>
    </row>
    <row r="1167" spans="1:15">
      <c r="A1167" s="26"/>
      <c r="B1167" s="26"/>
      <c r="C1167" s="8"/>
      <c r="D1167" s="8"/>
      <c r="E1167" s="8"/>
      <c r="F1167" s="8"/>
      <c r="G1167" s="8"/>
      <c r="H1167" s="8"/>
      <c r="I1167" s="27"/>
      <c r="J1167" s="8"/>
      <c r="K1167" s="8"/>
      <c r="L1167" s="8"/>
      <c r="N1167" s="8"/>
      <c r="O1167" s="8"/>
    </row>
    <row r="1168" spans="1:15">
      <c r="A1168" s="26"/>
      <c r="B1168" s="26"/>
      <c r="C1168" s="8"/>
      <c r="D1168" s="8"/>
      <c r="E1168" s="8"/>
      <c r="F1168" s="8"/>
      <c r="G1168" s="8"/>
      <c r="H1168" s="8"/>
      <c r="I1168" s="27"/>
      <c r="J1168" s="8"/>
      <c r="K1168" s="8"/>
      <c r="L1168" s="8"/>
      <c r="N1168" s="8"/>
      <c r="O1168" s="8"/>
    </row>
    <row r="1169" spans="1:15">
      <c r="A1169" s="26"/>
      <c r="B1169" s="26"/>
      <c r="C1169" s="8"/>
      <c r="D1169" s="8"/>
      <c r="E1169" s="8"/>
      <c r="F1169" s="8"/>
      <c r="G1169" s="8"/>
      <c r="H1169" s="8"/>
      <c r="I1169" s="27"/>
      <c r="J1169" s="8"/>
      <c r="K1169" s="8"/>
      <c r="L1169" s="8"/>
      <c r="N1169" s="8"/>
      <c r="O1169" s="8"/>
    </row>
    <row r="1170" spans="1:15">
      <c r="A1170" s="26"/>
      <c r="B1170" s="26"/>
      <c r="C1170" s="8"/>
      <c r="D1170" s="8"/>
      <c r="E1170" s="8"/>
      <c r="F1170" s="8"/>
      <c r="G1170" s="8"/>
      <c r="H1170" s="8"/>
      <c r="I1170" s="27"/>
      <c r="J1170" s="8"/>
      <c r="K1170" s="8"/>
      <c r="L1170" s="8"/>
      <c r="N1170" s="8"/>
      <c r="O1170" s="8"/>
    </row>
    <row r="1171" spans="1:15">
      <c r="A1171" s="26"/>
      <c r="B1171" s="26"/>
      <c r="C1171" s="8"/>
      <c r="D1171" s="8"/>
      <c r="E1171" s="8"/>
      <c r="F1171" s="8"/>
      <c r="G1171" s="8"/>
      <c r="H1171" s="8"/>
      <c r="I1171" s="27"/>
      <c r="J1171" s="8"/>
      <c r="K1171" s="8"/>
      <c r="L1171" s="8"/>
      <c r="N1171" s="8"/>
      <c r="O1171" s="8"/>
    </row>
    <row r="1172" spans="1:15">
      <c r="A1172" s="26"/>
      <c r="B1172" s="26"/>
      <c r="C1172" s="8"/>
      <c r="D1172" s="8"/>
      <c r="E1172" s="8"/>
      <c r="F1172" s="8"/>
      <c r="G1172" s="8"/>
      <c r="H1172" s="8"/>
      <c r="I1172" s="27"/>
      <c r="J1172" s="8"/>
      <c r="K1172" s="8"/>
      <c r="L1172" s="8"/>
      <c r="N1172" s="8"/>
      <c r="O1172" s="8"/>
    </row>
    <row r="1173" spans="1:15">
      <c r="A1173" s="26"/>
      <c r="B1173" s="26"/>
      <c r="C1173" s="8"/>
      <c r="D1173" s="8"/>
      <c r="E1173" s="8"/>
      <c r="F1173" s="8"/>
      <c r="G1173" s="8"/>
      <c r="H1173" s="8"/>
      <c r="I1173" s="27"/>
      <c r="J1173" s="8"/>
      <c r="K1173" s="8"/>
      <c r="L1173" s="8"/>
      <c r="N1173" s="8"/>
      <c r="O1173" s="8"/>
    </row>
    <row r="1174" spans="1:15">
      <c r="A1174" s="26"/>
      <c r="B1174" s="26"/>
      <c r="C1174" s="8"/>
      <c r="D1174" s="8"/>
      <c r="E1174" s="8"/>
      <c r="F1174" s="8"/>
      <c r="G1174" s="8"/>
      <c r="H1174" s="8"/>
      <c r="I1174" s="27"/>
      <c r="J1174" s="8"/>
      <c r="K1174" s="8"/>
      <c r="L1174" s="8"/>
      <c r="N1174" s="8"/>
      <c r="O1174" s="8"/>
    </row>
    <row r="1175" spans="1:15">
      <c r="A1175" s="26"/>
      <c r="B1175" s="26"/>
      <c r="C1175" s="8"/>
      <c r="D1175" s="8"/>
      <c r="E1175" s="8"/>
      <c r="F1175" s="8"/>
      <c r="G1175" s="8"/>
      <c r="H1175" s="8"/>
      <c r="I1175" s="27"/>
      <c r="J1175" s="8"/>
      <c r="K1175" s="8"/>
      <c r="L1175" s="8"/>
      <c r="N1175" s="8"/>
      <c r="O1175" s="8"/>
    </row>
    <row r="1176" spans="1:15">
      <c r="A1176" s="26"/>
      <c r="B1176" s="26"/>
      <c r="C1176" s="8"/>
      <c r="D1176" s="8"/>
      <c r="E1176" s="8"/>
      <c r="F1176" s="8"/>
      <c r="G1176" s="8"/>
      <c r="H1176" s="8"/>
      <c r="I1176" s="27"/>
      <c r="J1176" s="8"/>
      <c r="K1176" s="8"/>
      <c r="L1176" s="8"/>
      <c r="N1176" s="8"/>
      <c r="O1176" s="8"/>
    </row>
    <row r="1177" spans="1:15">
      <c r="A1177" s="26"/>
      <c r="B1177" s="26"/>
      <c r="C1177" s="8"/>
      <c r="D1177" s="8"/>
      <c r="E1177" s="8"/>
      <c r="F1177" s="8"/>
      <c r="G1177" s="8"/>
      <c r="H1177" s="8"/>
      <c r="I1177" s="27"/>
      <c r="J1177" s="8"/>
      <c r="K1177" s="8"/>
      <c r="L1177" s="8"/>
      <c r="N1177" s="8"/>
      <c r="O1177" s="8"/>
    </row>
    <row r="1178" spans="1:15">
      <c r="A1178" s="26"/>
      <c r="B1178" s="26"/>
      <c r="C1178" s="8"/>
      <c r="D1178" s="8"/>
      <c r="E1178" s="8"/>
      <c r="F1178" s="8"/>
      <c r="G1178" s="8"/>
      <c r="H1178" s="8"/>
      <c r="I1178" s="27"/>
      <c r="J1178" s="8"/>
      <c r="K1178" s="8"/>
      <c r="L1178" s="8"/>
      <c r="N1178" s="8"/>
      <c r="O1178" s="8"/>
    </row>
    <row r="1179" spans="1:15">
      <c r="A1179" s="26"/>
      <c r="B1179" s="26"/>
      <c r="C1179" s="8"/>
      <c r="D1179" s="8"/>
      <c r="E1179" s="8"/>
      <c r="F1179" s="8"/>
      <c r="G1179" s="8"/>
      <c r="H1179" s="8"/>
      <c r="I1179" s="27"/>
      <c r="J1179" s="8"/>
      <c r="K1179" s="8"/>
      <c r="L1179" s="8"/>
      <c r="N1179" s="8"/>
      <c r="O1179" s="8"/>
    </row>
    <row r="1180" spans="1:15">
      <c r="A1180" s="26"/>
      <c r="B1180" s="26"/>
      <c r="C1180" s="8"/>
      <c r="D1180" s="8"/>
      <c r="E1180" s="8"/>
      <c r="F1180" s="8"/>
      <c r="G1180" s="8"/>
      <c r="H1180" s="8"/>
      <c r="I1180" s="27"/>
      <c r="J1180" s="8"/>
      <c r="K1180" s="8"/>
      <c r="L1180" s="8"/>
      <c r="N1180" s="8"/>
      <c r="O1180" s="8"/>
    </row>
    <row r="1181" spans="1:15">
      <c r="A1181" s="26"/>
      <c r="B1181" s="26"/>
      <c r="C1181" s="8"/>
      <c r="D1181" s="8"/>
      <c r="E1181" s="8"/>
      <c r="F1181" s="8"/>
      <c r="G1181" s="8"/>
      <c r="H1181" s="8"/>
      <c r="I1181" s="27"/>
      <c r="J1181" s="8"/>
      <c r="K1181" s="8"/>
      <c r="L1181" s="8"/>
      <c r="N1181" s="8"/>
      <c r="O1181" s="8"/>
    </row>
    <row r="1182" spans="1:15">
      <c r="A1182" s="26"/>
      <c r="B1182" s="26"/>
      <c r="C1182" s="8"/>
      <c r="D1182" s="8"/>
      <c r="E1182" s="8"/>
      <c r="F1182" s="8"/>
      <c r="G1182" s="8"/>
      <c r="H1182" s="8"/>
      <c r="I1182" s="27"/>
      <c r="J1182" s="8"/>
      <c r="K1182" s="8"/>
      <c r="L1182" s="8"/>
      <c r="N1182" s="8"/>
      <c r="O1182" s="8"/>
    </row>
    <row r="1183" spans="1:15">
      <c r="A1183" s="26"/>
      <c r="B1183" s="26"/>
      <c r="C1183" s="8"/>
      <c r="D1183" s="8"/>
      <c r="E1183" s="8"/>
      <c r="F1183" s="8"/>
      <c r="G1183" s="8"/>
      <c r="H1183" s="8"/>
      <c r="I1183" s="27"/>
      <c r="J1183" s="8"/>
      <c r="K1183" s="8"/>
      <c r="L1183" s="8"/>
      <c r="N1183" s="8"/>
      <c r="O1183" s="8"/>
    </row>
    <row r="1184" spans="1:15">
      <c r="A1184" s="26"/>
      <c r="B1184" s="26"/>
      <c r="C1184" s="8"/>
      <c r="D1184" s="8"/>
      <c r="E1184" s="8"/>
      <c r="F1184" s="8"/>
      <c r="G1184" s="8"/>
      <c r="H1184" s="8"/>
      <c r="I1184" s="27"/>
      <c r="J1184" s="8"/>
      <c r="K1184" s="8"/>
      <c r="L1184" s="8"/>
      <c r="N1184" s="8"/>
      <c r="O1184" s="8"/>
    </row>
    <row r="1185" spans="1:15">
      <c r="A1185" s="26"/>
      <c r="B1185" s="26"/>
      <c r="C1185" s="8"/>
      <c r="D1185" s="8"/>
      <c r="E1185" s="8"/>
      <c r="F1185" s="8"/>
      <c r="G1185" s="8"/>
      <c r="H1185" s="8"/>
      <c r="I1185" s="27"/>
      <c r="J1185" s="8"/>
      <c r="K1185" s="8"/>
      <c r="L1185" s="8"/>
      <c r="N1185" s="8"/>
      <c r="O1185" s="8"/>
    </row>
    <row r="1186" spans="1:15">
      <c r="A1186" s="26"/>
      <c r="B1186" s="26"/>
      <c r="C1186" s="8"/>
      <c r="D1186" s="8"/>
      <c r="E1186" s="8"/>
      <c r="F1186" s="8"/>
      <c r="G1186" s="8"/>
      <c r="H1186" s="8"/>
      <c r="I1186" s="27"/>
      <c r="J1186" s="8"/>
      <c r="K1186" s="8"/>
      <c r="L1186" s="8"/>
      <c r="N1186" s="8"/>
      <c r="O1186" s="8"/>
    </row>
    <row r="1187" spans="1:15">
      <c r="A1187" s="26"/>
      <c r="B1187" s="26"/>
      <c r="C1187" s="8"/>
      <c r="D1187" s="8"/>
      <c r="E1187" s="8"/>
      <c r="F1187" s="8"/>
      <c r="G1187" s="8"/>
      <c r="H1187" s="8"/>
      <c r="I1187" s="27"/>
      <c r="J1187" s="8"/>
      <c r="K1187" s="8"/>
      <c r="L1187" s="8"/>
      <c r="N1187" s="8"/>
      <c r="O1187" s="8"/>
    </row>
    <row r="1188" spans="1:15">
      <c r="A1188" s="26"/>
      <c r="B1188" s="26"/>
      <c r="C1188" s="8"/>
      <c r="D1188" s="8"/>
      <c r="E1188" s="8"/>
      <c r="F1188" s="8"/>
      <c r="G1188" s="8"/>
      <c r="H1188" s="8"/>
      <c r="I1188" s="27"/>
      <c r="J1188" s="8"/>
      <c r="K1188" s="8"/>
      <c r="L1188" s="8"/>
      <c r="N1188" s="8"/>
      <c r="O1188" s="8"/>
    </row>
    <row r="1189" spans="1:15">
      <c r="A1189" s="26"/>
      <c r="B1189" s="26"/>
      <c r="C1189" s="8"/>
      <c r="D1189" s="8"/>
      <c r="E1189" s="8"/>
      <c r="F1189" s="8"/>
      <c r="G1189" s="8"/>
      <c r="H1189" s="8"/>
      <c r="I1189" s="27"/>
      <c r="J1189" s="8"/>
      <c r="K1189" s="8"/>
      <c r="L1189" s="8"/>
      <c r="N1189" s="8"/>
      <c r="O1189" s="8"/>
    </row>
    <row r="1190" spans="1:15">
      <c r="A1190" s="26"/>
      <c r="B1190" s="26"/>
      <c r="C1190" s="8"/>
      <c r="D1190" s="8"/>
      <c r="E1190" s="8"/>
      <c r="F1190" s="8"/>
      <c r="G1190" s="8"/>
      <c r="H1190" s="8"/>
      <c r="I1190" s="27"/>
      <c r="J1190" s="8"/>
      <c r="K1190" s="8"/>
      <c r="L1190" s="8"/>
      <c r="N1190" s="8"/>
      <c r="O1190" s="8"/>
    </row>
    <row r="1191" spans="1:15">
      <c r="A1191" s="26"/>
      <c r="B1191" s="26"/>
      <c r="C1191" s="8"/>
      <c r="D1191" s="8"/>
      <c r="E1191" s="8"/>
      <c r="F1191" s="8"/>
      <c r="G1191" s="8"/>
      <c r="H1191" s="8"/>
      <c r="I1191" s="27"/>
      <c r="J1191" s="8"/>
      <c r="K1191" s="8"/>
      <c r="L1191" s="8"/>
      <c r="N1191" s="8"/>
      <c r="O1191" s="8"/>
    </row>
    <row r="1192" spans="1:15">
      <c r="A1192" s="26"/>
      <c r="B1192" s="26"/>
      <c r="C1192" s="8"/>
      <c r="D1192" s="8"/>
      <c r="E1192" s="8"/>
      <c r="F1192" s="8"/>
      <c r="G1192" s="8"/>
      <c r="H1192" s="8"/>
      <c r="I1192" s="27"/>
      <c r="J1192" s="8"/>
      <c r="K1192" s="8"/>
      <c r="L1192" s="8"/>
      <c r="N1192" s="8"/>
      <c r="O1192" s="8"/>
    </row>
    <row r="1193" spans="1:15">
      <c r="A1193" s="26"/>
      <c r="B1193" s="26"/>
      <c r="C1193" s="8"/>
      <c r="D1193" s="8"/>
      <c r="E1193" s="8"/>
      <c r="F1193" s="8"/>
      <c r="G1193" s="8"/>
      <c r="H1193" s="8"/>
      <c r="I1193" s="27"/>
      <c r="J1193" s="8"/>
      <c r="K1193" s="8"/>
      <c r="L1193" s="8"/>
      <c r="N1193" s="8"/>
      <c r="O1193" s="8"/>
    </row>
    <row r="1194" spans="1:15">
      <c r="A1194" s="26"/>
      <c r="B1194" s="26"/>
      <c r="C1194" s="8"/>
      <c r="D1194" s="8"/>
      <c r="E1194" s="8"/>
      <c r="F1194" s="8"/>
      <c r="G1194" s="8"/>
      <c r="H1194" s="8"/>
      <c r="I1194" s="27"/>
      <c r="J1194" s="8"/>
      <c r="K1194" s="8"/>
      <c r="L1194" s="8"/>
      <c r="N1194" s="8"/>
      <c r="O1194" s="8"/>
    </row>
    <row r="1195" spans="1:15">
      <c r="A1195" s="26"/>
      <c r="B1195" s="26"/>
      <c r="C1195" s="8"/>
      <c r="D1195" s="8"/>
      <c r="E1195" s="8"/>
      <c r="F1195" s="8"/>
      <c r="G1195" s="8"/>
      <c r="H1195" s="8"/>
      <c r="I1195" s="27"/>
      <c r="J1195" s="8"/>
      <c r="K1195" s="8"/>
      <c r="L1195" s="8"/>
      <c r="N1195" s="8"/>
      <c r="O1195" s="8"/>
    </row>
    <row r="1196" spans="1:15">
      <c r="A1196" s="26"/>
      <c r="B1196" s="26"/>
      <c r="C1196" s="8"/>
      <c r="D1196" s="8"/>
      <c r="E1196" s="8"/>
      <c r="F1196" s="8"/>
      <c r="G1196" s="8"/>
      <c r="H1196" s="8"/>
      <c r="I1196" s="27"/>
      <c r="J1196" s="8"/>
      <c r="K1196" s="8"/>
      <c r="L1196" s="8"/>
      <c r="N1196" s="8"/>
      <c r="O1196" s="8"/>
    </row>
    <row r="1197" spans="1:15">
      <c r="A1197" s="26"/>
      <c r="B1197" s="26"/>
      <c r="C1197" s="8"/>
      <c r="D1197" s="8"/>
      <c r="E1197" s="8"/>
      <c r="F1197" s="8"/>
      <c r="G1197" s="8"/>
      <c r="H1197" s="8"/>
      <c r="I1197" s="27"/>
      <c r="J1197" s="8"/>
      <c r="K1197" s="8"/>
      <c r="L1197" s="8"/>
      <c r="N1197" s="8"/>
      <c r="O1197" s="8"/>
    </row>
    <row r="1198" spans="1:15">
      <c r="A1198" s="26"/>
      <c r="B1198" s="26"/>
      <c r="C1198" s="8"/>
      <c r="D1198" s="8"/>
      <c r="E1198" s="8"/>
      <c r="F1198" s="8"/>
      <c r="G1198" s="8"/>
      <c r="H1198" s="8"/>
      <c r="I1198" s="27"/>
      <c r="J1198" s="8"/>
      <c r="K1198" s="8"/>
      <c r="L1198" s="8"/>
      <c r="N1198" s="8"/>
      <c r="O1198" s="8"/>
    </row>
    <row r="1199" spans="1:15">
      <c r="A1199" s="26"/>
      <c r="B1199" s="26"/>
      <c r="C1199" s="8"/>
      <c r="D1199" s="8"/>
      <c r="E1199" s="8"/>
      <c r="F1199" s="8"/>
      <c r="G1199" s="8"/>
      <c r="H1199" s="8"/>
      <c r="I1199" s="27"/>
      <c r="J1199" s="8"/>
      <c r="K1199" s="8"/>
      <c r="L1199" s="8"/>
      <c r="N1199" s="8"/>
      <c r="O1199" s="8"/>
    </row>
    <row r="1200" spans="1:15">
      <c r="A1200" s="26"/>
      <c r="B1200" s="26"/>
      <c r="C1200" s="8"/>
      <c r="D1200" s="8"/>
      <c r="E1200" s="8"/>
      <c r="F1200" s="8"/>
      <c r="G1200" s="8"/>
      <c r="H1200" s="8"/>
      <c r="I1200" s="27"/>
      <c r="J1200" s="8"/>
      <c r="K1200" s="8"/>
      <c r="L1200" s="8"/>
      <c r="N1200" s="8"/>
      <c r="O1200" s="8"/>
    </row>
    <row r="1201" spans="1:15">
      <c r="A1201" s="26"/>
      <c r="B1201" s="26"/>
      <c r="C1201" s="8"/>
      <c r="D1201" s="8"/>
      <c r="E1201" s="8"/>
      <c r="F1201" s="8"/>
      <c r="G1201" s="8"/>
      <c r="H1201" s="8"/>
      <c r="I1201" s="27"/>
      <c r="J1201" s="8"/>
      <c r="K1201" s="8"/>
      <c r="L1201" s="8"/>
      <c r="N1201" s="8"/>
      <c r="O1201" s="8"/>
    </row>
    <row r="1202" spans="1:15">
      <c r="A1202" s="26"/>
      <c r="B1202" s="26"/>
      <c r="C1202" s="8"/>
      <c r="D1202" s="8"/>
      <c r="E1202" s="8"/>
      <c r="F1202" s="8"/>
      <c r="G1202" s="8"/>
      <c r="H1202" s="8"/>
      <c r="I1202" s="27"/>
      <c r="J1202" s="8"/>
      <c r="K1202" s="8"/>
      <c r="L1202" s="8"/>
      <c r="N1202" s="8"/>
      <c r="O1202" s="8"/>
    </row>
    <row r="1203" spans="1:15">
      <c r="A1203" s="26"/>
      <c r="B1203" s="26"/>
      <c r="C1203" s="8"/>
      <c r="D1203" s="8"/>
      <c r="E1203" s="8"/>
      <c r="F1203" s="8"/>
      <c r="G1203" s="8"/>
      <c r="H1203" s="8"/>
      <c r="I1203" s="27"/>
      <c r="J1203" s="8"/>
      <c r="K1203" s="8"/>
      <c r="L1203" s="8"/>
      <c r="N1203" s="8"/>
      <c r="O1203" s="8"/>
    </row>
    <row r="1204" spans="1:15">
      <c r="A1204" s="26"/>
      <c r="B1204" s="26"/>
      <c r="C1204" s="8"/>
      <c r="D1204" s="8"/>
      <c r="E1204" s="8"/>
      <c r="F1204" s="8"/>
      <c r="G1204" s="8"/>
      <c r="H1204" s="8"/>
      <c r="I1204" s="27"/>
      <c r="J1204" s="8"/>
      <c r="K1204" s="8"/>
      <c r="L1204" s="8"/>
      <c r="N1204" s="8"/>
      <c r="O1204" s="8"/>
    </row>
    <row r="1205" spans="1:15">
      <c r="A1205" s="26"/>
      <c r="B1205" s="26"/>
      <c r="C1205" s="8"/>
      <c r="D1205" s="8"/>
      <c r="E1205" s="8"/>
      <c r="F1205" s="8"/>
      <c r="G1205" s="8"/>
      <c r="H1205" s="8"/>
      <c r="I1205" s="27"/>
      <c r="J1205" s="8"/>
      <c r="K1205" s="8"/>
      <c r="L1205" s="8"/>
      <c r="N1205" s="8"/>
      <c r="O1205" s="8"/>
    </row>
    <row r="1206" spans="1:15">
      <c r="A1206" s="26"/>
      <c r="B1206" s="26"/>
      <c r="C1206" s="8"/>
      <c r="D1206" s="8"/>
      <c r="E1206" s="8"/>
      <c r="F1206" s="8"/>
      <c r="G1206" s="8"/>
      <c r="H1206" s="8"/>
      <c r="I1206" s="27"/>
      <c r="J1206" s="8"/>
      <c r="K1206" s="8"/>
      <c r="L1206" s="8"/>
      <c r="N1206" s="8"/>
      <c r="O1206" s="8"/>
    </row>
    <row r="1207" spans="1:15">
      <c r="A1207" s="26"/>
      <c r="B1207" s="26"/>
      <c r="C1207" s="8"/>
      <c r="D1207" s="8"/>
      <c r="E1207" s="8"/>
      <c r="F1207" s="8"/>
      <c r="G1207" s="8"/>
      <c r="H1207" s="8"/>
      <c r="I1207" s="27"/>
      <c r="J1207" s="8"/>
      <c r="K1207" s="8"/>
      <c r="L1207" s="8"/>
      <c r="N1207" s="8"/>
      <c r="O1207" s="8"/>
    </row>
    <row r="1208" spans="1:15">
      <c r="A1208" s="26"/>
      <c r="B1208" s="26"/>
      <c r="C1208" s="8"/>
      <c r="D1208" s="8"/>
      <c r="E1208" s="8"/>
      <c r="F1208" s="8"/>
      <c r="G1208" s="8"/>
      <c r="H1208" s="8"/>
      <c r="I1208" s="27"/>
      <c r="J1208" s="8"/>
      <c r="K1208" s="8"/>
      <c r="L1208" s="8"/>
      <c r="N1208" s="8"/>
      <c r="O1208" s="8"/>
    </row>
    <row r="1209" spans="1:15">
      <c r="A1209" s="26"/>
      <c r="B1209" s="26"/>
      <c r="C1209" s="8"/>
      <c r="D1209" s="8"/>
      <c r="E1209" s="8"/>
      <c r="F1209" s="8"/>
      <c r="G1209" s="8"/>
      <c r="H1209" s="8"/>
      <c r="I1209" s="27"/>
      <c r="J1209" s="8"/>
      <c r="K1209" s="8"/>
      <c r="L1209" s="8"/>
      <c r="N1209" s="8"/>
      <c r="O1209" s="8"/>
    </row>
    <row r="1210" spans="1:15">
      <c r="A1210" s="26"/>
      <c r="B1210" s="26"/>
      <c r="C1210" s="8"/>
      <c r="D1210" s="8"/>
      <c r="E1210" s="8"/>
      <c r="F1210" s="8"/>
      <c r="G1210" s="8"/>
      <c r="H1210" s="8"/>
      <c r="I1210" s="27"/>
      <c r="J1210" s="8"/>
      <c r="K1210" s="8"/>
      <c r="L1210" s="8"/>
      <c r="N1210" s="8"/>
      <c r="O1210" s="8"/>
    </row>
    <row r="1211" spans="1:15">
      <c r="A1211" s="26"/>
      <c r="B1211" s="26"/>
      <c r="C1211" s="8"/>
      <c r="D1211" s="8"/>
      <c r="E1211" s="8"/>
      <c r="F1211" s="8"/>
      <c r="G1211" s="8"/>
      <c r="H1211" s="8"/>
      <c r="I1211" s="27"/>
      <c r="J1211" s="8"/>
      <c r="K1211" s="8"/>
      <c r="L1211" s="8"/>
      <c r="N1211" s="8"/>
      <c r="O1211" s="8"/>
    </row>
    <row r="1212" spans="1:15">
      <c r="A1212" s="26"/>
      <c r="B1212" s="26"/>
      <c r="C1212" s="8"/>
      <c r="D1212" s="8"/>
      <c r="E1212" s="8"/>
      <c r="F1212" s="8"/>
      <c r="G1212" s="8"/>
      <c r="H1212" s="8"/>
      <c r="I1212" s="27"/>
      <c r="J1212" s="8"/>
      <c r="K1212" s="8"/>
      <c r="L1212" s="8"/>
      <c r="N1212" s="8"/>
      <c r="O1212" s="8"/>
    </row>
    <row r="1213" spans="1:15">
      <c r="A1213" s="26"/>
      <c r="B1213" s="26"/>
      <c r="C1213" s="8"/>
      <c r="D1213" s="8"/>
      <c r="E1213" s="8"/>
      <c r="F1213" s="8"/>
      <c r="G1213" s="8"/>
      <c r="H1213" s="8"/>
      <c r="I1213" s="27"/>
      <c r="J1213" s="8"/>
      <c r="K1213" s="8"/>
      <c r="L1213" s="8"/>
      <c r="N1213" s="8"/>
      <c r="O1213" s="8"/>
    </row>
    <row r="1214" spans="1:15">
      <c r="A1214" s="26"/>
      <c r="B1214" s="26"/>
      <c r="C1214" s="8"/>
      <c r="D1214" s="8"/>
      <c r="E1214" s="8"/>
      <c r="F1214" s="8"/>
      <c r="G1214" s="8"/>
      <c r="H1214" s="8"/>
      <c r="I1214" s="27"/>
      <c r="J1214" s="8"/>
      <c r="K1214" s="8"/>
      <c r="L1214" s="8"/>
      <c r="N1214" s="8"/>
      <c r="O1214" s="8"/>
    </row>
    <row r="1215" spans="1:15">
      <c r="A1215" s="26"/>
      <c r="B1215" s="26"/>
      <c r="C1215" s="8"/>
      <c r="D1215" s="8"/>
      <c r="E1215" s="8"/>
      <c r="F1215" s="8"/>
      <c r="G1215" s="8"/>
      <c r="H1215" s="8"/>
      <c r="I1215" s="27"/>
      <c r="J1215" s="8"/>
      <c r="K1215" s="8"/>
      <c r="L1215" s="8"/>
      <c r="N1215" s="8"/>
      <c r="O1215" s="8"/>
    </row>
    <row r="1216" spans="1:15">
      <c r="A1216" s="26"/>
      <c r="B1216" s="26"/>
      <c r="C1216" s="8"/>
      <c r="D1216" s="8"/>
      <c r="E1216" s="8"/>
      <c r="F1216" s="8"/>
      <c r="G1216" s="8"/>
      <c r="H1216" s="8"/>
      <c r="I1216" s="27"/>
      <c r="J1216" s="8"/>
      <c r="K1216" s="8"/>
      <c r="L1216" s="8"/>
      <c r="N1216" s="8"/>
      <c r="O1216" s="8"/>
    </row>
    <row r="1217" spans="1:15">
      <c r="A1217" s="26"/>
      <c r="B1217" s="26"/>
      <c r="C1217" s="8"/>
      <c r="D1217" s="8"/>
      <c r="E1217" s="8"/>
      <c r="F1217" s="8"/>
      <c r="G1217" s="8"/>
      <c r="H1217" s="8"/>
      <c r="I1217" s="27"/>
      <c r="J1217" s="8"/>
      <c r="K1217" s="8"/>
      <c r="L1217" s="8"/>
      <c r="N1217" s="8"/>
      <c r="O1217" s="8"/>
    </row>
    <row r="1218" spans="1:15">
      <c r="A1218" s="26"/>
      <c r="B1218" s="26"/>
      <c r="C1218" s="8"/>
      <c r="D1218" s="8"/>
      <c r="E1218" s="8"/>
      <c r="F1218" s="8"/>
      <c r="G1218" s="8"/>
      <c r="H1218" s="8"/>
      <c r="I1218" s="27"/>
      <c r="J1218" s="8"/>
      <c r="K1218" s="8"/>
      <c r="L1218" s="8"/>
      <c r="N1218" s="8"/>
      <c r="O1218" s="8"/>
    </row>
    <row r="1219" spans="1:15">
      <c r="A1219" s="26"/>
      <c r="B1219" s="26"/>
      <c r="C1219" s="8"/>
      <c r="D1219" s="8"/>
      <c r="E1219" s="8"/>
      <c r="F1219" s="8"/>
      <c r="G1219" s="8"/>
      <c r="H1219" s="8"/>
      <c r="I1219" s="27"/>
      <c r="J1219" s="8"/>
      <c r="K1219" s="8"/>
      <c r="L1219" s="8"/>
      <c r="N1219" s="8"/>
      <c r="O1219" s="8"/>
    </row>
    <row r="1220" spans="1:15">
      <c r="A1220" s="26"/>
      <c r="B1220" s="26"/>
      <c r="C1220" s="8"/>
      <c r="D1220" s="8"/>
      <c r="E1220" s="8"/>
      <c r="F1220" s="8"/>
      <c r="G1220" s="8"/>
      <c r="H1220" s="8"/>
      <c r="I1220" s="27"/>
      <c r="J1220" s="8"/>
      <c r="K1220" s="8"/>
      <c r="L1220" s="8"/>
      <c r="N1220" s="8"/>
      <c r="O1220" s="8"/>
    </row>
    <row r="1221" spans="1:15">
      <c r="A1221" s="26"/>
      <c r="B1221" s="26"/>
      <c r="C1221" s="8"/>
      <c r="D1221" s="8"/>
      <c r="E1221" s="8"/>
      <c r="F1221" s="8"/>
      <c r="G1221" s="8"/>
      <c r="H1221" s="8"/>
      <c r="I1221" s="27"/>
      <c r="J1221" s="8"/>
      <c r="K1221" s="8"/>
      <c r="L1221" s="8"/>
      <c r="N1221" s="8"/>
      <c r="O1221" s="8"/>
    </row>
    <row r="1222" spans="1:15">
      <c r="A1222" s="26"/>
      <c r="B1222" s="26"/>
      <c r="C1222" s="8"/>
      <c r="D1222" s="8"/>
      <c r="E1222" s="8"/>
      <c r="F1222" s="8"/>
      <c r="G1222" s="8"/>
      <c r="H1222" s="8"/>
      <c r="I1222" s="27"/>
      <c r="J1222" s="8"/>
      <c r="K1222" s="8"/>
      <c r="L1222" s="8"/>
      <c r="N1222" s="8"/>
      <c r="O1222" s="8"/>
    </row>
    <row r="1223" spans="1:15">
      <c r="A1223" s="26"/>
      <c r="B1223" s="26"/>
      <c r="C1223" s="8"/>
      <c r="D1223" s="8"/>
      <c r="E1223" s="8"/>
      <c r="F1223" s="8"/>
      <c r="G1223" s="8"/>
      <c r="H1223" s="8"/>
      <c r="I1223" s="27"/>
      <c r="J1223" s="8"/>
      <c r="K1223" s="8"/>
      <c r="L1223" s="8"/>
      <c r="N1223" s="8"/>
      <c r="O1223" s="8"/>
    </row>
    <row r="1224" spans="1:15">
      <c r="A1224" s="26"/>
      <c r="B1224" s="26"/>
      <c r="C1224" s="8"/>
      <c r="D1224" s="8"/>
      <c r="E1224" s="8"/>
      <c r="F1224" s="8"/>
      <c r="G1224" s="8"/>
      <c r="H1224" s="8"/>
      <c r="I1224" s="27"/>
      <c r="J1224" s="8"/>
      <c r="K1224" s="8"/>
      <c r="L1224" s="8"/>
      <c r="N1224" s="8"/>
      <c r="O1224" s="8"/>
    </row>
    <row r="1225" spans="1:15">
      <c r="A1225" s="26"/>
      <c r="B1225" s="26"/>
      <c r="C1225" s="8"/>
      <c r="D1225" s="8"/>
      <c r="E1225" s="8"/>
      <c r="F1225" s="8"/>
      <c r="G1225" s="8"/>
      <c r="H1225" s="8"/>
      <c r="I1225" s="27"/>
      <c r="J1225" s="8"/>
      <c r="K1225" s="8"/>
      <c r="L1225" s="8"/>
      <c r="N1225" s="8"/>
      <c r="O1225" s="8"/>
    </row>
    <row r="1226" spans="1:15">
      <c r="A1226" s="26"/>
      <c r="B1226" s="26"/>
      <c r="C1226" s="8"/>
      <c r="D1226" s="8"/>
      <c r="E1226" s="8"/>
      <c r="F1226" s="8"/>
      <c r="G1226" s="8"/>
      <c r="H1226" s="8"/>
      <c r="I1226" s="27"/>
      <c r="J1226" s="8"/>
      <c r="K1226" s="8"/>
      <c r="L1226" s="8"/>
      <c r="N1226" s="8"/>
      <c r="O1226" s="8"/>
    </row>
    <row r="1227" spans="1:15">
      <c r="A1227" s="26"/>
      <c r="B1227" s="26"/>
      <c r="C1227" s="8"/>
      <c r="D1227" s="8"/>
      <c r="E1227" s="8"/>
      <c r="F1227" s="8"/>
      <c r="G1227" s="8"/>
      <c r="H1227" s="8"/>
      <c r="I1227" s="27"/>
      <c r="J1227" s="8"/>
      <c r="K1227" s="8"/>
      <c r="L1227" s="8"/>
      <c r="N1227" s="8"/>
      <c r="O1227" s="8"/>
    </row>
    <row r="1228" spans="1:15">
      <c r="A1228" s="26"/>
      <c r="B1228" s="26"/>
      <c r="C1228" s="8"/>
      <c r="D1228" s="8"/>
      <c r="E1228" s="8"/>
      <c r="F1228" s="8"/>
      <c r="G1228" s="8"/>
      <c r="H1228" s="8"/>
      <c r="I1228" s="27"/>
      <c r="J1228" s="8"/>
      <c r="K1228" s="8"/>
      <c r="L1228" s="8"/>
      <c r="N1228" s="8"/>
      <c r="O1228" s="8"/>
    </row>
    <row r="1229" spans="1:15">
      <c r="A1229" s="26"/>
      <c r="B1229" s="26"/>
      <c r="C1229" s="8"/>
      <c r="D1229" s="8"/>
      <c r="E1229" s="8"/>
      <c r="F1229" s="8"/>
      <c r="G1229" s="8"/>
      <c r="H1229" s="8"/>
      <c r="I1229" s="27"/>
      <c r="J1229" s="8"/>
      <c r="K1229" s="8"/>
      <c r="L1229" s="8"/>
      <c r="N1229" s="8"/>
      <c r="O1229" s="8"/>
    </row>
    <row r="1230" spans="1:15">
      <c r="A1230" s="26"/>
      <c r="B1230" s="26"/>
      <c r="C1230" s="8"/>
      <c r="D1230" s="8"/>
      <c r="E1230" s="8"/>
      <c r="F1230" s="8"/>
      <c r="G1230" s="8"/>
      <c r="H1230" s="8"/>
      <c r="I1230" s="27"/>
      <c r="J1230" s="8"/>
      <c r="K1230" s="8"/>
      <c r="L1230" s="8"/>
      <c r="N1230" s="8"/>
      <c r="O1230" s="8"/>
    </row>
    <row r="1231" spans="1:15">
      <c r="A1231" s="26"/>
      <c r="B1231" s="26"/>
      <c r="C1231" s="8"/>
      <c r="D1231" s="8"/>
      <c r="E1231" s="8"/>
      <c r="F1231" s="8"/>
      <c r="G1231" s="8"/>
      <c r="H1231" s="8"/>
      <c r="I1231" s="27"/>
      <c r="J1231" s="8"/>
      <c r="K1231" s="8"/>
      <c r="L1231" s="8"/>
      <c r="N1231" s="8"/>
      <c r="O1231" s="8"/>
    </row>
    <row r="1232" spans="1:15">
      <c r="A1232" s="26"/>
      <c r="B1232" s="26"/>
      <c r="C1232" s="8"/>
      <c r="D1232" s="8"/>
      <c r="E1232" s="8"/>
      <c r="F1232" s="8"/>
      <c r="G1232" s="8"/>
      <c r="H1232" s="8"/>
      <c r="I1232" s="27"/>
      <c r="J1232" s="8"/>
      <c r="K1232" s="8"/>
      <c r="L1232" s="8"/>
      <c r="N1232" s="8"/>
      <c r="O1232" s="8"/>
    </row>
    <row r="1233" spans="1:15">
      <c r="A1233" s="26"/>
      <c r="B1233" s="26"/>
      <c r="C1233" s="8"/>
      <c r="D1233" s="8"/>
      <c r="E1233" s="8"/>
      <c r="F1233" s="8"/>
      <c r="G1233" s="8"/>
      <c r="H1233" s="8"/>
      <c r="I1233" s="27"/>
      <c r="J1233" s="8"/>
      <c r="K1233" s="8"/>
      <c r="L1233" s="8"/>
      <c r="N1233" s="8"/>
      <c r="O1233" s="8"/>
    </row>
    <row r="1234" spans="1:15">
      <c r="A1234" s="26"/>
      <c r="B1234" s="26"/>
      <c r="C1234" s="8"/>
      <c r="D1234" s="8"/>
      <c r="E1234" s="8"/>
      <c r="F1234" s="8"/>
      <c r="G1234" s="8"/>
      <c r="H1234" s="8"/>
      <c r="I1234" s="27"/>
      <c r="J1234" s="8"/>
      <c r="K1234" s="8"/>
      <c r="L1234" s="8"/>
      <c r="N1234" s="8"/>
      <c r="O1234" s="8"/>
    </row>
    <row r="1235" spans="1:15">
      <c r="A1235" s="26"/>
      <c r="B1235" s="26"/>
      <c r="C1235" s="8"/>
      <c r="D1235" s="8"/>
      <c r="E1235" s="8"/>
      <c r="F1235" s="8"/>
      <c r="G1235" s="8"/>
      <c r="H1235" s="8"/>
      <c r="I1235" s="27"/>
      <c r="J1235" s="8"/>
      <c r="K1235" s="8"/>
      <c r="L1235" s="8"/>
      <c r="N1235" s="8"/>
      <c r="O1235" s="8"/>
    </row>
    <row r="1236" spans="1:15">
      <c r="A1236" s="26"/>
      <c r="B1236" s="26"/>
      <c r="C1236" s="8"/>
      <c r="D1236" s="8"/>
      <c r="E1236" s="8"/>
      <c r="F1236" s="8"/>
      <c r="G1236" s="8"/>
      <c r="H1236" s="8"/>
      <c r="I1236" s="27"/>
      <c r="J1236" s="8"/>
      <c r="K1236" s="8"/>
      <c r="L1236" s="8"/>
      <c r="N1236" s="8"/>
      <c r="O1236" s="8"/>
    </row>
    <row r="1237" spans="1:15">
      <c r="A1237" s="26"/>
      <c r="B1237" s="26"/>
      <c r="C1237" s="8"/>
      <c r="D1237" s="8"/>
      <c r="E1237" s="8"/>
      <c r="F1237" s="8"/>
      <c r="G1237" s="8"/>
      <c r="H1237" s="8"/>
      <c r="I1237" s="27"/>
      <c r="J1237" s="8"/>
      <c r="K1237" s="8"/>
      <c r="L1237" s="8"/>
      <c r="N1237" s="8"/>
      <c r="O1237" s="8"/>
    </row>
    <row r="1238" spans="1:15">
      <c r="A1238" s="26"/>
      <c r="B1238" s="26"/>
      <c r="C1238" s="8"/>
      <c r="D1238" s="8"/>
      <c r="E1238" s="8"/>
      <c r="F1238" s="8"/>
      <c r="G1238" s="8"/>
      <c r="H1238" s="8"/>
      <c r="I1238" s="27"/>
      <c r="J1238" s="8"/>
      <c r="K1238" s="8"/>
      <c r="L1238" s="8"/>
      <c r="N1238" s="8"/>
      <c r="O1238" s="8"/>
    </row>
    <row r="1239" spans="1:15">
      <c r="A1239" s="26"/>
      <c r="B1239" s="26"/>
      <c r="C1239" s="8"/>
      <c r="D1239" s="8"/>
      <c r="E1239" s="8"/>
      <c r="F1239" s="8"/>
      <c r="G1239" s="8"/>
      <c r="H1239" s="8"/>
      <c r="I1239" s="27"/>
      <c r="J1239" s="8"/>
      <c r="K1239" s="8"/>
      <c r="L1239" s="8"/>
      <c r="N1239" s="8"/>
      <c r="O1239" s="8"/>
    </row>
    <row r="1240" spans="1:15">
      <c r="A1240" s="26"/>
      <c r="B1240" s="26"/>
      <c r="C1240" s="8"/>
      <c r="D1240" s="8"/>
      <c r="E1240" s="8"/>
      <c r="F1240" s="8"/>
      <c r="G1240" s="8"/>
      <c r="H1240" s="8"/>
      <c r="I1240" s="27"/>
      <c r="J1240" s="8"/>
      <c r="K1240" s="8"/>
      <c r="L1240" s="8"/>
      <c r="N1240" s="8"/>
      <c r="O1240" s="8"/>
    </row>
    <row r="1241" spans="1:15">
      <c r="A1241" s="26"/>
      <c r="B1241" s="26"/>
      <c r="C1241" s="8"/>
      <c r="D1241" s="8"/>
      <c r="E1241" s="8"/>
      <c r="F1241" s="8"/>
      <c r="G1241" s="8"/>
      <c r="H1241" s="8"/>
      <c r="I1241" s="27"/>
      <c r="J1241" s="8"/>
      <c r="K1241" s="8"/>
      <c r="L1241" s="8"/>
      <c r="N1241" s="8"/>
      <c r="O1241" s="8"/>
    </row>
    <row r="1242" spans="1:15">
      <c r="A1242" s="26"/>
      <c r="B1242" s="26"/>
      <c r="C1242" s="8"/>
      <c r="D1242" s="8"/>
      <c r="E1242" s="8"/>
      <c r="F1242" s="8"/>
      <c r="G1242" s="8"/>
      <c r="H1242" s="8"/>
      <c r="I1242" s="27"/>
      <c r="J1242" s="8"/>
      <c r="K1242" s="8"/>
      <c r="L1242" s="8"/>
      <c r="N1242" s="8"/>
      <c r="O1242" s="8"/>
    </row>
    <row r="1243" spans="1:15">
      <c r="A1243" s="26"/>
      <c r="B1243" s="26"/>
      <c r="C1243" s="8"/>
      <c r="D1243" s="8"/>
      <c r="E1243" s="8"/>
      <c r="F1243" s="8"/>
      <c r="G1243" s="8"/>
      <c r="H1243" s="8"/>
      <c r="I1243" s="27"/>
      <c r="J1243" s="8"/>
      <c r="K1243" s="8"/>
      <c r="L1243" s="8"/>
      <c r="N1243" s="8"/>
      <c r="O1243" s="8"/>
    </row>
    <row r="1244" spans="1:15">
      <c r="A1244" s="26"/>
      <c r="B1244" s="26"/>
      <c r="C1244" s="8"/>
      <c r="D1244" s="8"/>
      <c r="E1244" s="8"/>
      <c r="F1244" s="8"/>
      <c r="G1244" s="8"/>
      <c r="H1244" s="8"/>
      <c r="I1244" s="27"/>
      <c r="J1244" s="8"/>
      <c r="K1244" s="8"/>
      <c r="L1244" s="8"/>
      <c r="N1244" s="8"/>
      <c r="O1244" s="8"/>
    </row>
    <row r="1245" spans="1:15">
      <c r="A1245" s="26"/>
      <c r="B1245" s="26"/>
      <c r="C1245" s="8"/>
      <c r="D1245" s="8"/>
      <c r="E1245" s="8"/>
      <c r="F1245" s="8"/>
      <c r="G1245" s="8"/>
      <c r="H1245" s="8"/>
      <c r="I1245" s="27"/>
      <c r="J1245" s="8"/>
      <c r="K1245" s="8"/>
      <c r="L1245" s="8"/>
      <c r="N1245" s="8"/>
      <c r="O1245" s="8"/>
    </row>
    <row r="1246" spans="1:15">
      <c r="A1246" s="26"/>
      <c r="B1246" s="26"/>
      <c r="C1246" s="8"/>
      <c r="D1246" s="8"/>
      <c r="E1246" s="8"/>
      <c r="F1246" s="8"/>
      <c r="G1246" s="8"/>
      <c r="H1246" s="8"/>
      <c r="I1246" s="27"/>
      <c r="J1246" s="8"/>
      <c r="K1246" s="8"/>
      <c r="L1246" s="8"/>
      <c r="N1246" s="8"/>
      <c r="O1246" s="8"/>
    </row>
    <row r="1247" spans="1:15">
      <c r="A1247" s="26"/>
      <c r="B1247" s="26"/>
      <c r="C1247" s="8"/>
      <c r="D1247" s="8"/>
      <c r="E1247" s="8"/>
      <c r="F1247" s="8"/>
      <c r="G1247" s="8"/>
      <c r="H1247" s="8"/>
      <c r="I1247" s="27"/>
      <c r="J1247" s="8"/>
      <c r="K1247" s="8"/>
      <c r="L1247" s="8"/>
      <c r="N1247" s="8"/>
      <c r="O1247" s="8"/>
    </row>
    <row r="1248" spans="1:15">
      <c r="A1248" s="26"/>
      <c r="B1248" s="26"/>
      <c r="C1248" s="8"/>
      <c r="D1248" s="8"/>
      <c r="E1248" s="8"/>
      <c r="F1248" s="8"/>
      <c r="G1248" s="8"/>
      <c r="H1248" s="8"/>
      <c r="I1248" s="27"/>
      <c r="J1248" s="8"/>
      <c r="K1248" s="8"/>
      <c r="L1248" s="8"/>
      <c r="N1248" s="8"/>
      <c r="O1248" s="8"/>
    </row>
    <row r="1249" spans="1:15">
      <c r="A1249" s="26"/>
      <c r="B1249" s="26"/>
      <c r="C1249" s="8"/>
      <c r="D1249" s="8"/>
      <c r="E1249" s="8"/>
      <c r="F1249" s="8"/>
      <c r="G1249" s="8"/>
      <c r="H1249" s="8"/>
      <c r="I1249" s="27"/>
      <c r="J1249" s="8"/>
      <c r="K1249" s="8"/>
      <c r="L1249" s="8"/>
      <c r="N1249" s="8"/>
      <c r="O1249" s="8"/>
    </row>
    <row r="1250" spans="1:15">
      <c r="A1250" s="26"/>
      <c r="B1250" s="26"/>
      <c r="C1250" s="8"/>
      <c r="D1250" s="8"/>
      <c r="E1250" s="8"/>
      <c r="F1250" s="8"/>
      <c r="G1250" s="8"/>
      <c r="H1250" s="8"/>
      <c r="I1250" s="27"/>
      <c r="J1250" s="8"/>
      <c r="K1250" s="8"/>
      <c r="L1250" s="8"/>
      <c r="N1250" s="8"/>
      <c r="O1250" s="8"/>
    </row>
    <row r="1251" spans="1:15">
      <c r="A1251" s="26"/>
      <c r="B1251" s="26"/>
      <c r="C1251" s="8"/>
      <c r="D1251" s="8"/>
      <c r="E1251" s="8"/>
      <c r="F1251" s="8"/>
      <c r="G1251" s="8"/>
      <c r="H1251" s="8"/>
      <c r="I1251" s="27"/>
      <c r="J1251" s="8"/>
      <c r="K1251" s="8"/>
      <c r="L1251" s="8"/>
      <c r="N1251" s="8"/>
      <c r="O1251" s="8"/>
    </row>
    <row r="1252" spans="1:15">
      <c r="A1252" s="26"/>
      <c r="B1252" s="26"/>
      <c r="C1252" s="8"/>
      <c r="D1252" s="8"/>
      <c r="E1252" s="8"/>
      <c r="F1252" s="8"/>
      <c r="G1252" s="8"/>
      <c r="H1252" s="8"/>
      <c r="I1252" s="27"/>
      <c r="J1252" s="8"/>
      <c r="K1252" s="8"/>
      <c r="L1252" s="8"/>
      <c r="N1252" s="8"/>
      <c r="O1252" s="8"/>
    </row>
    <row r="1253" spans="1:15">
      <c r="A1253" s="26"/>
      <c r="B1253" s="26"/>
      <c r="C1253" s="8"/>
      <c r="D1253" s="8"/>
      <c r="E1253" s="8"/>
      <c r="F1253" s="8"/>
      <c r="G1253" s="8"/>
      <c r="H1253" s="8"/>
      <c r="I1253" s="27"/>
      <c r="J1253" s="8"/>
      <c r="K1253" s="8"/>
      <c r="L1253" s="8"/>
      <c r="N1253" s="8"/>
      <c r="O1253" s="8"/>
    </row>
    <row r="1254" spans="1:15">
      <c r="A1254" s="26"/>
      <c r="B1254" s="26"/>
      <c r="C1254" s="8"/>
      <c r="D1254" s="8"/>
      <c r="E1254" s="8"/>
      <c r="F1254" s="8"/>
      <c r="G1254" s="8"/>
      <c r="H1254" s="8"/>
      <c r="I1254" s="27"/>
      <c r="J1254" s="8"/>
      <c r="K1254" s="8"/>
      <c r="L1254" s="8"/>
      <c r="N1254" s="8"/>
      <c r="O1254" s="8"/>
    </row>
    <row r="1255" spans="1:15">
      <c r="A1255" s="26"/>
      <c r="B1255" s="26"/>
      <c r="C1255" s="8"/>
      <c r="D1255" s="8"/>
      <c r="E1255" s="8"/>
      <c r="F1255" s="8"/>
      <c r="G1255" s="8"/>
      <c r="H1255" s="8"/>
      <c r="I1255" s="27"/>
      <c r="J1255" s="8"/>
      <c r="K1255" s="8"/>
      <c r="L1255" s="8"/>
      <c r="N1255" s="8"/>
      <c r="O1255" s="8"/>
    </row>
    <row r="1256" spans="1:15">
      <c r="A1256" s="26"/>
      <c r="B1256" s="26"/>
      <c r="C1256" s="8"/>
      <c r="D1256" s="8"/>
      <c r="E1256" s="8"/>
      <c r="F1256" s="8"/>
      <c r="G1256" s="8"/>
      <c r="H1256" s="8"/>
      <c r="I1256" s="27"/>
      <c r="J1256" s="8"/>
      <c r="K1256" s="8"/>
      <c r="L1256" s="8"/>
      <c r="N1256" s="8"/>
      <c r="O1256" s="8"/>
    </row>
    <row r="1257" spans="1:15">
      <c r="A1257" s="26"/>
      <c r="B1257" s="26"/>
      <c r="C1257" s="8"/>
      <c r="D1257" s="8"/>
      <c r="E1257" s="8"/>
      <c r="F1257" s="8"/>
      <c r="G1257" s="8"/>
      <c r="H1257" s="8"/>
      <c r="I1257" s="27"/>
      <c r="J1257" s="8"/>
      <c r="K1257" s="8"/>
      <c r="L1257" s="8"/>
      <c r="N1257" s="8"/>
      <c r="O1257" s="8"/>
    </row>
    <row r="1258" spans="1:15">
      <c r="A1258" s="26"/>
      <c r="B1258" s="26"/>
      <c r="C1258" s="8"/>
      <c r="D1258" s="8"/>
      <c r="E1258" s="8"/>
      <c r="F1258" s="8"/>
      <c r="G1258" s="8"/>
      <c r="H1258" s="8"/>
      <c r="I1258" s="27"/>
      <c r="J1258" s="8"/>
      <c r="K1258" s="8"/>
      <c r="L1258" s="8"/>
      <c r="N1258" s="8"/>
      <c r="O1258" s="8"/>
    </row>
    <row r="1259" spans="1:15">
      <c r="A1259" s="26"/>
      <c r="B1259" s="26"/>
      <c r="C1259" s="8"/>
      <c r="D1259" s="8"/>
      <c r="E1259" s="8"/>
      <c r="F1259" s="8"/>
      <c r="G1259" s="8"/>
      <c r="H1259" s="8"/>
      <c r="I1259" s="27"/>
      <c r="J1259" s="8"/>
      <c r="K1259" s="8"/>
      <c r="L1259" s="8"/>
      <c r="N1259" s="8"/>
      <c r="O1259" s="8"/>
    </row>
    <row r="1260" spans="1:15">
      <c r="A1260" s="26"/>
      <c r="B1260" s="26"/>
      <c r="C1260" s="8"/>
      <c r="D1260" s="8"/>
      <c r="E1260" s="8"/>
      <c r="F1260" s="8"/>
      <c r="G1260" s="8"/>
      <c r="H1260" s="8"/>
      <c r="I1260" s="27"/>
      <c r="J1260" s="8"/>
      <c r="K1260" s="8"/>
      <c r="L1260" s="8"/>
      <c r="N1260" s="8"/>
      <c r="O1260" s="8"/>
    </row>
    <row r="1261" spans="1:15">
      <c r="A1261" s="26"/>
      <c r="B1261" s="26"/>
      <c r="C1261" s="8"/>
      <c r="D1261" s="8"/>
      <c r="E1261" s="8"/>
      <c r="F1261" s="8"/>
      <c r="G1261" s="8"/>
      <c r="H1261" s="8"/>
      <c r="I1261" s="27"/>
      <c r="J1261" s="8"/>
      <c r="K1261" s="8"/>
      <c r="L1261" s="8"/>
      <c r="N1261" s="8"/>
      <c r="O1261" s="8"/>
    </row>
    <row r="1262" spans="1:15">
      <c r="A1262" s="26"/>
      <c r="B1262" s="26"/>
      <c r="C1262" s="8"/>
      <c r="D1262" s="8"/>
      <c r="E1262" s="8"/>
      <c r="F1262" s="8"/>
      <c r="G1262" s="8"/>
      <c r="H1262" s="8"/>
      <c r="I1262" s="27"/>
      <c r="J1262" s="8"/>
      <c r="K1262" s="8"/>
      <c r="L1262" s="8"/>
      <c r="N1262" s="8"/>
      <c r="O1262" s="8"/>
    </row>
    <row r="1263" spans="1:15">
      <c r="A1263" s="26"/>
      <c r="B1263" s="26"/>
      <c r="C1263" s="8"/>
      <c r="D1263" s="8"/>
      <c r="E1263" s="8"/>
      <c r="F1263" s="8"/>
      <c r="G1263" s="8"/>
      <c r="H1263" s="8"/>
      <c r="I1263" s="27"/>
      <c r="J1263" s="8"/>
      <c r="K1263" s="8"/>
      <c r="L1263" s="8"/>
      <c r="N1263" s="8"/>
      <c r="O1263" s="8"/>
    </row>
    <row r="1264" spans="1:15">
      <c r="A1264" s="26"/>
      <c r="B1264" s="26"/>
      <c r="C1264" s="8"/>
      <c r="D1264" s="8"/>
      <c r="E1264" s="8"/>
      <c r="F1264" s="8"/>
      <c r="G1264" s="8"/>
      <c r="H1264" s="8"/>
      <c r="I1264" s="27"/>
      <c r="J1264" s="8"/>
      <c r="K1264" s="8"/>
      <c r="L1264" s="8"/>
      <c r="N1264" s="8"/>
      <c r="O1264" s="8"/>
    </row>
    <row r="1265" spans="1:15">
      <c r="A1265" s="26"/>
      <c r="B1265" s="26"/>
      <c r="C1265" s="8"/>
      <c r="D1265" s="8"/>
      <c r="E1265" s="8"/>
      <c r="F1265" s="8"/>
      <c r="G1265" s="8"/>
      <c r="H1265" s="8"/>
      <c r="I1265" s="27"/>
      <c r="J1265" s="8"/>
      <c r="K1265" s="8"/>
      <c r="L1265" s="8"/>
      <c r="N1265" s="8"/>
      <c r="O1265" s="8"/>
    </row>
    <row r="1266" spans="1:15">
      <c r="A1266" s="26"/>
      <c r="B1266" s="26"/>
      <c r="C1266" s="8"/>
      <c r="D1266" s="8"/>
      <c r="E1266" s="8"/>
      <c r="F1266" s="8"/>
      <c r="G1266" s="8"/>
      <c r="H1266" s="8"/>
      <c r="I1266" s="27"/>
      <c r="J1266" s="8"/>
      <c r="K1266" s="8"/>
      <c r="L1266" s="8"/>
      <c r="N1266" s="8"/>
      <c r="O1266" s="8"/>
    </row>
    <row r="1267" spans="1:15">
      <c r="A1267" s="26"/>
      <c r="B1267" s="26"/>
      <c r="C1267" s="8"/>
      <c r="D1267" s="8"/>
      <c r="E1267" s="8"/>
      <c r="F1267" s="8"/>
      <c r="G1267" s="8"/>
      <c r="H1267" s="8"/>
      <c r="I1267" s="27"/>
      <c r="J1267" s="8"/>
      <c r="K1267" s="8"/>
      <c r="L1267" s="8"/>
      <c r="N1267" s="8"/>
      <c r="O1267" s="8"/>
    </row>
    <row r="1268" spans="1:15">
      <c r="A1268" s="26"/>
      <c r="B1268" s="26"/>
      <c r="C1268" s="8"/>
      <c r="D1268" s="8"/>
      <c r="E1268" s="8"/>
      <c r="F1268" s="8"/>
      <c r="G1268" s="8"/>
      <c r="H1268" s="8"/>
      <c r="I1268" s="27"/>
      <c r="J1268" s="8"/>
      <c r="K1268" s="8"/>
      <c r="L1268" s="8"/>
      <c r="N1268" s="8"/>
      <c r="O1268" s="8"/>
    </row>
    <row r="1269" spans="1:15">
      <c r="A1269" s="26"/>
      <c r="B1269" s="26"/>
      <c r="C1269" s="8"/>
      <c r="D1269" s="8"/>
      <c r="E1269" s="8"/>
      <c r="F1269" s="8"/>
      <c r="G1269" s="8"/>
      <c r="H1269" s="8"/>
      <c r="I1269" s="27"/>
      <c r="J1269" s="8"/>
      <c r="K1269" s="8"/>
      <c r="L1269" s="8"/>
      <c r="N1269" s="8"/>
      <c r="O1269" s="8"/>
    </row>
    <row r="1270" spans="1:15">
      <c r="A1270" s="26"/>
      <c r="B1270" s="26"/>
      <c r="C1270" s="8"/>
      <c r="D1270" s="8"/>
      <c r="E1270" s="8"/>
      <c r="F1270" s="8"/>
      <c r="G1270" s="8"/>
      <c r="H1270" s="8"/>
      <c r="I1270" s="27"/>
      <c r="J1270" s="8"/>
      <c r="K1270" s="8"/>
      <c r="L1270" s="8"/>
      <c r="N1270" s="8"/>
      <c r="O1270" s="8"/>
    </row>
    <row r="1271" spans="1:15">
      <c r="A1271" s="26"/>
      <c r="B1271" s="26"/>
      <c r="C1271" s="8"/>
      <c r="D1271" s="8"/>
      <c r="E1271" s="8"/>
      <c r="F1271" s="8"/>
      <c r="G1271" s="8"/>
      <c r="H1271" s="8"/>
      <c r="I1271" s="27"/>
      <c r="J1271" s="8"/>
      <c r="K1271" s="8"/>
      <c r="L1271" s="8"/>
      <c r="N1271" s="8"/>
      <c r="O1271" s="8"/>
    </row>
    <row r="1272" spans="1:15">
      <c r="A1272" s="26"/>
      <c r="B1272" s="26"/>
      <c r="C1272" s="8"/>
      <c r="D1272" s="8"/>
      <c r="E1272" s="8"/>
      <c r="F1272" s="8"/>
      <c r="G1272" s="8"/>
      <c r="H1272" s="8"/>
      <c r="I1272" s="27"/>
      <c r="J1272" s="8"/>
      <c r="K1272" s="8"/>
      <c r="L1272" s="8"/>
      <c r="N1272" s="8"/>
      <c r="O1272" s="8"/>
    </row>
    <row r="1273" spans="1:15">
      <c r="A1273" s="26"/>
      <c r="B1273" s="26"/>
      <c r="C1273" s="8"/>
      <c r="D1273" s="8"/>
      <c r="E1273" s="8"/>
      <c r="F1273" s="8"/>
      <c r="G1273" s="8"/>
      <c r="H1273" s="8"/>
      <c r="I1273" s="27"/>
      <c r="J1273" s="8"/>
      <c r="K1273" s="8"/>
      <c r="L1273" s="8"/>
      <c r="N1273" s="8"/>
      <c r="O1273" s="8"/>
    </row>
    <row r="1274" spans="1:15">
      <c r="A1274" s="26"/>
      <c r="B1274" s="26"/>
      <c r="C1274" s="8"/>
      <c r="D1274" s="8"/>
      <c r="E1274" s="8"/>
      <c r="F1274" s="8"/>
      <c r="G1274" s="8"/>
      <c r="H1274" s="8"/>
      <c r="I1274" s="27"/>
      <c r="J1274" s="8"/>
      <c r="K1274" s="8"/>
      <c r="L1274" s="8"/>
      <c r="N1274" s="8"/>
      <c r="O1274" s="8"/>
    </row>
    <row r="1275" spans="1:15">
      <c r="A1275" s="26"/>
      <c r="B1275" s="26"/>
      <c r="C1275" s="8"/>
      <c r="D1275" s="8"/>
      <c r="E1275" s="8"/>
      <c r="F1275" s="8"/>
      <c r="G1275" s="8"/>
      <c r="H1275" s="8"/>
      <c r="I1275" s="27"/>
      <c r="J1275" s="8"/>
      <c r="K1275" s="8"/>
      <c r="L1275" s="8"/>
      <c r="N1275" s="8"/>
      <c r="O1275" s="8"/>
    </row>
    <row r="1276" spans="1:15">
      <c r="A1276" s="26"/>
      <c r="B1276" s="26"/>
      <c r="C1276" s="8"/>
      <c r="D1276" s="8"/>
      <c r="E1276" s="8"/>
      <c r="F1276" s="8"/>
      <c r="G1276" s="8"/>
      <c r="H1276" s="8"/>
      <c r="I1276" s="27"/>
      <c r="J1276" s="8"/>
      <c r="K1276" s="8"/>
      <c r="L1276" s="8"/>
      <c r="N1276" s="8"/>
      <c r="O1276" s="8"/>
    </row>
    <row r="1277" spans="1:15">
      <c r="A1277" s="26"/>
      <c r="B1277" s="26"/>
      <c r="C1277" s="8"/>
      <c r="D1277" s="8"/>
      <c r="E1277" s="8"/>
      <c r="F1277" s="8"/>
      <c r="G1277" s="8"/>
      <c r="H1277" s="8"/>
      <c r="I1277" s="27"/>
      <c r="J1277" s="8"/>
      <c r="K1277" s="8"/>
      <c r="L1277" s="8"/>
      <c r="N1277" s="8"/>
      <c r="O1277" s="8"/>
    </row>
    <row r="1278" spans="1:15">
      <c r="A1278" s="26"/>
      <c r="B1278" s="26"/>
      <c r="C1278" s="8"/>
      <c r="D1278" s="8"/>
      <c r="E1278" s="8"/>
      <c r="F1278" s="8"/>
      <c r="G1278" s="8"/>
      <c r="H1278" s="8"/>
      <c r="I1278" s="27"/>
      <c r="J1278" s="8"/>
      <c r="K1278" s="8"/>
      <c r="L1278" s="8"/>
      <c r="N1278" s="8"/>
      <c r="O1278" s="8"/>
    </row>
    <row r="1279" spans="1:15">
      <c r="A1279" s="26"/>
      <c r="B1279" s="26"/>
      <c r="C1279" s="8"/>
      <c r="D1279" s="8"/>
      <c r="E1279" s="8"/>
      <c r="F1279" s="8"/>
      <c r="G1279" s="8"/>
      <c r="H1279" s="8"/>
      <c r="I1279" s="27"/>
      <c r="J1279" s="8"/>
      <c r="K1279" s="8"/>
      <c r="L1279" s="8"/>
      <c r="N1279" s="8"/>
      <c r="O1279" s="8"/>
    </row>
    <row r="1280" spans="1:15">
      <c r="A1280" s="26"/>
      <c r="B1280" s="26"/>
      <c r="C1280" s="8"/>
      <c r="D1280" s="8"/>
      <c r="E1280" s="8"/>
      <c r="F1280" s="8"/>
      <c r="G1280" s="8"/>
      <c r="H1280" s="8"/>
      <c r="I1280" s="27"/>
      <c r="J1280" s="8"/>
      <c r="K1280" s="8"/>
      <c r="L1280" s="8"/>
      <c r="N1280" s="8"/>
      <c r="O1280" s="8"/>
    </row>
    <row r="1281" spans="1:15">
      <c r="A1281" s="26"/>
      <c r="B1281" s="26"/>
      <c r="C1281" s="8"/>
      <c r="D1281" s="8"/>
      <c r="E1281" s="8"/>
      <c r="F1281" s="8"/>
      <c r="G1281" s="8"/>
      <c r="H1281" s="8"/>
      <c r="I1281" s="27"/>
      <c r="J1281" s="8"/>
      <c r="K1281" s="8"/>
      <c r="L1281" s="8"/>
      <c r="N1281" s="8"/>
      <c r="O1281" s="8"/>
    </row>
    <row r="1282" spans="1:15">
      <c r="A1282" s="26"/>
      <c r="B1282" s="26"/>
      <c r="C1282" s="8"/>
      <c r="D1282" s="8"/>
      <c r="E1282" s="8"/>
      <c r="F1282" s="8"/>
      <c r="G1282" s="8"/>
      <c r="H1282" s="8"/>
      <c r="I1282" s="27"/>
      <c r="J1282" s="8"/>
      <c r="K1282" s="8"/>
      <c r="L1282" s="8"/>
      <c r="N1282" s="8"/>
      <c r="O1282" s="8"/>
    </row>
    <row r="1283" spans="1:15">
      <c r="A1283" s="26"/>
      <c r="B1283" s="26"/>
      <c r="C1283" s="8"/>
      <c r="D1283" s="8"/>
      <c r="E1283" s="8"/>
      <c r="F1283" s="8"/>
      <c r="G1283" s="8"/>
      <c r="H1283" s="8"/>
      <c r="I1283" s="27"/>
      <c r="J1283" s="8"/>
      <c r="K1283" s="8"/>
      <c r="L1283" s="8"/>
      <c r="N1283" s="8"/>
      <c r="O1283" s="8"/>
    </row>
    <row r="1284" spans="1:15">
      <c r="A1284" s="26"/>
      <c r="B1284" s="26"/>
      <c r="C1284" s="8"/>
      <c r="D1284" s="8"/>
      <c r="E1284" s="8"/>
      <c r="F1284" s="8"/>
      <c r="G1284" s="8"/>
      <c r="H1284" s="8"/>
      <c r="I1284" s="27"/>
      <c r="J1284" s="8"/>
      <c r="K1284" s="8"/>
      <c r="L1284" s="8"/>
      <c r="N1284" s="8"/>
      <c r="O1284" s="8"/>
    </row>
    <row r="1285" spans="1:15">
      <c r="A1285" s="26"/>
      <c r="B1285" s="26"/>
      <c r="C1285" s="8"/>
      <c r="D1285" s="8"/>
      <c r="E1285" s="8"/>
      <c r="F1285" s="8"/>
      <c r="G1285" s="8"/>
      <c r="H1285" s="8"/>
      <c r="I1285" s="27"/>
      <c r="J1285" s="8"/>
      <c r="K1285" s="8"/>
      <c r="L1285" s="8"/>
      <c r="N1285" s="8"/>
      <c r="O1285" s="8"/>
    </row>
    <row r="1286" spans="1:15">
      <c r="A1286" s="26"/>
      <c r="B1286" s="26"/>
      <c r="C1286" s="8"/>
      <c r="D1286" s="8"/>
      <c r="E1286" s="8"/>
      <c r="F1286" s="8"/>
      <c r="G1286" s="8"/>
      <c r="H1286" s="8"/>
      <c r="I1286" s="27"/>
      <c r="J1286" s="8"/>
      <c r="K1286" s="8"/>
      <c r="L1286" s="8"/>
      <c r="N1286" s="8"/>
      <c r="O1286" s="8"/>
    </row>
    <row r="1287" spans="1:15">
      <c r="A1287" s="26"/>
      <c r="B1287" s="26"/>
      <c r="C1287" s="8"/>
      <c r="D1287" s="8"/>
      <c r="E1287" s="8"/>
      <c r="F1287" s="8"/>
      <c r="G1287" s="8"/>
      <c r="H1287" s="8"/>
      <c r="I1287" s="27"/>
      <c r="J1287" s="8"/>
      <c r="K1287" s="8"/>
      <c r="L1287" s="8"/>
      <c r="N1287" s="8"/>
      <c r="O1287" s="8"/>
    </row>
    <row r="1288" spans="1:15">
      <c r="A1288" s="26"/>
      <c r="B1288" s="26"/>
      <c r="C1288" s="8"/>
      <c r="D1288" s="8"/>
      <c r="E1288" s="8"/>
      <c r="F1288" s="8"/>
      <c r="G1288" s="8"/>
      <c r="H1288" s="8"/>
      <c r="I1288" s="27"/>
      <c r="J1288" s="8"/>
      <c r="K1288" s="8"/>
      <c r="L1288" s="8"/>
      <c r="N1288" s="8"/>
      <c r="O1288" s="8"/>
    </row>
    <row r="1289" spans="1:15">
      <c r="A1289" s="26"/>
      <c r="B1289" s="26"/>
      <c r="C1289" s="8"/>
      <c r="D1289" s="8"/>
      <c r="E1289" s="8"/>
      <c r="F1289" s="8"/>
      <c r="G1289" s="8"/>
      <c r="H1289" s="8"/>
      <c r="I1289" s="27"/>
      <c r="J1289" s="8"/>
      <c r="K1289" s="8"/>
      <c r="L1289" s="8"/>
      <c r="N1289" s="8"/>
      <c r="O1289" s="8"/>
    </row>
    <row r="1290" spans="1:15">
      <c r="A1290" s="26"/>
      <c r="B1290" s="26"/>
      <c r="C1290" s="8"/>
      <c r="D1290" s="8"/>
      <c r="E1290" s="8"/>
      <c r="F1290" s="8"/>
      <c r="G1290" s="8"/>
      <c r="H1290" s="8"/>
      <c r="I1290" s="27"/>
      <c r="J1290" s="8"/>
      <c r="K1290" s="8"/>
      <c r="L1290" s="8"/>
      <c r="N1290" s="8"/>
      <c r="O1290" s="8"/>
    </row>
    <row r="1291" spans="1:15">
      <c r="A1291" s="26"/>
      <c r="B1291" s="26"/>
      <c r="C1291" s="8"/>
      <c r="D1291" s="8"/>
      <c r="E1291" s="8"/>
      <c r="F1291" s="8"/>
      <c r="G1291" s="8"/>
      <c r="H1291" s="8"/>
      <c r="I1291" s="27"/>
      <c r="J1291" s="8"/>
      <c r="K1291" s="8"/>
      <c r="L1291" s="8"/>
      <c r="N1291" s="8"/>
      <c r="O1291" s="8"/>
    </row>
    <row r="1292" spans="1:15">
      <c r="A1292" s="26"/>
      <c r="B1292" s="26"/>
      <c r="C1292" s="8"/>
      <c r="D1292" s="8"/>
      <c r="E1292" s="8"/>
      <c r="F1292" s="8"/>
      <c r="G1292" s="8"/>
      <c r="H1292" s="8"/>
      <c r="I1292" s="27"/>
      <c r="J1292" s="8"/>
      <c r="K1292" s="8"/>
      <c r="L1292" s="8"/>
      <c r="N1292" s="8"/>
      <c r="O1292" s="8"/>
    </row>
    <row r="1293" spans="1:15">
      <c r="A1293" s="26"/>
      <c r="B1293" s="26"/>
      <c r="C1293" s="8"/>
      <c r="D1293" s="8"/>
      <c r="E1293" s="8"/>
      <c r="F1293" s="8"/>
      <c r="G1293" s="8"/>
      <c r="H1293" s="8"/>
      <c r="I1293" s="27"/>
      <c r="J1293" s="8"/>
      <c r="K1293" s="8"/>
      <c r="L1293" s="8"/>
      <c r="N1293" s="8"/>
      <c r="O1293" s="8"/>
    </row>
    <row r="1294" spans="1:15">
      <c r="A1294" s="26"/>
      <c r="B1294" s="26"/>
      <c r="C1294" s="8"/>
      <c r="D1294" s="8"/>
      <c r="E1294" s="8"/>
      <c r="F1294" s="8"/>
      <c r="G1294" s="8"/>
      <c r="H1294" s="8"/>
      <c r="I1294" s="27"/>
      <c r="J1294" s="8"/>
      <c r="K1294" s="8"/>
      <c r="L1294" s="8"/>
      <c r="N1294" s="8"/>
      <c r="O1294" s="8"/>
    </row>
    <row r="1295" spans="1:15">
      <c r="A1295" s="26"/>
      <c r="B1295" s="26"/>
      <c r="C1295" s="8"/>
      <c r="D1295" s="8"/>
      <c r="E1295" s="8"/>
      <c r="F1295" s="8"/>
      <c r="G1295" s="8"/>
      <c r="H1295" s="8"/>
      <c r="I1295" s="27"/>
      <c r="J1295" s="8"/>
      <c r="K1295" s="8"/>
      <c r="L1295" s="8"/>
      <c r="N1295" s="8"/>
      <c r="O1295" s="8"/>
    </row>
    <row r="1296" spans="1:15">
      <c r="A1296" s="26"/>
      <c r="B1296" s="26"/>
      <c r="C1296" s="8"/>
      <c r="D1296" s="8"/>
      <c r="E1296" s="8"/>
      <c r="F1296" s="8"/>
      <c r="G1296" s="8"/>
      <c r="H1296" s="8"/>
      <c r="I1296" s="27"/>
      <c r="J1296" s="8"/>
      <c r="K1296" s="8"/>
      <c r="L1296" s="8"/>
      <c r="N1296" s="8"/>
      <c r="O1296" s="8"/>
    </row>
    <row r="1297" spans="1:15">
      <c r="A1297" s="26"/>
      <c r="B1297" s="26"/>
      <c r="C1297" s="8"/>
      <c r="D1297" s="8"/>
      <c r="E1297" s="8"/>
      <c r="F1297" s="8"/>
      <c r="G1297" s="8"/>
      <c r="H1297" s="8"/>
      <c r="I1297" s="27"/>
      <c r="J1297" s="8"/>
      <c r="K1297" s="8"/>
      <c r="L1297" s="8"/>
      <c r="N1297" s="8"/>
      <c r="O1297" s="8"/>
    </row>
    <row r="1298" spans="1:15">
      <c r="A1298" s="26"/>
      <c r="B1298" s="26"/>
      <c r="C1298" s="8"/>
      <c r="D1298" s="8"/>
      <c r="E1298" s="8"/>
      <c r="F1298" s="8"/>
      <c r="G1298" s="8"/>
      <c r="H1298" s="8"/>
      <c r="I1298" s="27"/>
      <c r="J1298" s="8"/>
      <c r="K1298" s="8"/>
      <c r="L1298" s="8"/>
      <c r="N1298" s="8"/>
      <c r="O1298" s="8"/>
    </row>
    <row r="1299" spans="1:15">
      <c r="A1299" s="26"/>
      <c r="B1299" s="26"/>
      <c r="C1299" s="8"/>
      <c r="D1299" s="8"/>
      <c r="E1299" s="8"/>
      <c r="F1299" s="8"/>
      <c r="G1299" s="8"/>
      <c r="H1299" s="8"/>
      <c r="I1299" s="27"/>
      <c r="J1299" s="8"/>
      <c r="K1299" s="8"/>
      <c r="L1299" s="8"/>
      <c r="N1299" s="8"/>
      <c r="O1299" s="8"/>
    </row>
    <row r="1300" spans="1:15">
      <c r="A1300" s="26"/>
      <c r="B1300" s="26"/>
      <c r="C1300" s="8"/>
      <c r="D1300" s="8"/>
      <c r="E1300" s="8"/>
      <c r="F1300" s="8"/>
      <c r="G1300" s="8"/>
      <c r="H1300" s="8"/>
      <c r="I1300" s="27"/>
      <c r="J1300" s="8"/>
      <c r="K1300" s="8"/>
      <c r="L1300" s="8"/>
      <c r="N1300" s="8"/>
      <c r="O1300" s="8"/>
    </row>
    <row r="1301" spans="1:15">
      <c r="A1301" s="26"/>
      <c r="B1301" s="26"/>
      <c r="C1301" s="8"/>
      <c r="D1301" s="8"/>
      <c r="E1301" s="8"/>
      <c r="F1301" s="8"/>
      <c r="G1301" s="8"/>
      <c r="H1301" s="8"/>
      <c r="I1301" s="27"/>
      <c r="J1301" s="8"/>
      <c r="K1301" s="8"/>
      <c r="L1301" s="8"/>
      <c r="N1301" s="8"/>
      <c r="O1301" s="8"/>
    </row>
    <row r="1302" spans="1:15">
      <c r="A1302" s="26"/>
      <c r="B1302" s="26"/>
      <c r="C1302" s="8"/>
      <c r="D1302" s="8"/>
      <c r="E1302" s="8"/>
      <c r="F1302" s="8"/>
      <c r="G1302" s="8"/>
      <c r="H1302" s="8"/>
      <c r="I1302" s="27"/>
      <c r="J1302" s="8"/>
      <c r="K1302" s="8"/>
      <c r="L1302" s="8"/>
      <c r="N1302" s="8"/>
      <c r="O1302" s="8"/>
    </row>
    <row r="1303" spans="1:15">
      <c r="A1303" s="26"/>
      <c r="B1303" s="26"/>
      <c r="C1303" s="8"/>
      <c r="D1303" s="8"/>
      <c r="E1303" s="8"/>
      <c r="F1303" s="8"/>
      <c r="G1303" s="8"/>
      <c r="H1303" s="8"/>
      <c r="I1303" s="27"/>
      <c r="J1303" s="8"/>
      <c r="K1303" s="8"/>
      <c r="L1303" s="8"/>
      <c r="N1303" s="8"/>
      <c r="O1303" s="8"/>
    </row>
    <row r="1304" spans="1:15">
      <c r="A1304" s="26"/>
      <c r="B1304" s="26"/>
      <c r="C1304" s="8"/>
      <c r="D1304" s="8"/>
      <c r="E1304" s="8"/>
      <c r="F1304" s="8"/>
      <c r="G1304" s="8"/>
      <c r="H1304" s="8"/>
      <c r="I1304" s="27"/>
      <c r="J1304" s="8"/>
      <c r="K1304" s="8"/>
      <c r="L1304" s="8"/>
      <c r="N1304" s="8"/>
      <c r="O1304" s="8"/>
    </row>
    <row r="1305" spans="1:15">
      <c r="A1305" s="26"/>
      <c r="B1305" s="26"/>
      <c r="C1305" s="8"/>
      <c r="D1305" s="8"/>
      <c r="E1305" s="8"/>
      <c r="F1305" s="8"/>
      <c r="G1305" s="8"/>
      <c r="H1305" s="8"/>
      <c r="I1305" s="27"/>
      <c r="J1305" s="8"/>
      <c r="K1305" s="8"/>
      <c r="L1305" s="8"/>
      <c r="N1305" s="8"/>
      <c r="O1305" s="8"/>
    </row>
    <row r="1306" spans="1:15">
      <c r="A1306" s="26"/>
      <c r="B1306" s="26"/>
      <c r="C1306" s="8"/>
      <c r="D1306" s="8"/>
      <c r="E1306" s="8"/>
      <c r="F1306" s="8"/>
      <c r="G1306" s="8"/>
      <c r="H1306" s="8"/>
      <c r="I1306" s="27"/>
      <c r="J1306" s="8"/>
      <c r="K1306" s="8"/>
      <c r="L1306" s="8"/>
      <c r="N1306" s="8"/>
      <c r="O1306" s="8"/>
    </row>
    <row r="1307" spans="1:15">
      <c r="A1307" s="26"/>
      <c r="B1307" s="26"/>
      <c r="C1307" s="8"/>
      <c r="D1307" s="8"/>
      <c r="E1307" s="8"/>
      <c r="F1307" s="8"/>
      <c r="G1307" s="8"/>
      <c r="H1307" s="8"/>
      <c r="I1307" s="27"/>
      <c r="J1307" s="8"/>
      <c r="K1307" s="8"/>
      <c r="L1307" s="8"/>
      <c r="N1307" s="8"/>
      <c r="O1307" s="8"/>
    </row>
    <row r="1308" spans="1:15">
      <c r="A1308" s="26"/>
      <c r="B1308" s="26"/>
      <c r="C1308" s="8"/>
      <c r="D1308" s="8"/>
      <c r="E1308" s="8"/>
      <c r="F1308" s="8"/>
      <c r="G1308" s="8"/>
      <c r="H1308" s="8"/>
      <c r="I1308" s="27"/>
      <c r="J1308" s="8"/>
      <c r="K1308" s="8"/>
      <c r="L1308" s="8"/>
      <c r="N1308" s="8"/>
      <c r="O1308" s="8"/>
    </row>
    <row r="1309" spans="1:15">
      <c r="A1309" s="26"/>
      <c r="B1309" s="26"/>
      <c r="C1309" s="8"/>
      <c r="D1309" s="8"/>
      <c r="E1309" s="8"/>
      <c r="F1309" s="8"/>
      <c r="G1309" s="8"/>
      <c r="H1309" s="8"/>
      <c r="I1309" s="27"/>
      <c r="J1309" s="8"/>
      <c r="K1309" s="8"/>
      <c r="L1309" s="8"/>
      <c r="N1309" s="8"/>
      <c r="O1309" s="8"/>
    </row>
    <row r="1310" spans="1:15">
      <c r="A1310" s="26"/>
      <c r="B1310" s="26"/>
      <c r="C1310" s="8"/>
      <c r="D1310" s="8"/>
      <c r="E1310" s="8"/>
      <c r="F1310" s="8"/>
      <c r="G1310" s="8"/>
      <c r="H1310" s="8"/>
      <c r="I1310" s="27"/>
      <c r="J1310" s="8"/>
      <c r="K1310" s="8"/>
      <c r="L1310" s="8"/>
      <c r="N1310" s="8"/>
      <c r="O1310" s="8"/>
    </row>
    <row r="1311" spans="1:15">
      <c r="A1311" s="26"/>
      <c r="B1311" s="26"/>
      <c r="C1311" s="8"/>
      <c r="D1311" s="8"/>
      <c r="E1311" s="8"/>
      <c r="F1311" s="8"/>
      <c r="G1311" s="8"/>
      <c r="H1311" s="8"/>
      <c r="I1311" s="27"/>
      <c r="J1311" s="8"/>
      <c r="K1311" s="8"/>
      <c r="L1311" s="8"/>
      <c r="N1311" s="8"/>
      <c r="O1311" s="8"/>
    </row>
    <row r="1312" spans="1:15">
      <c r="A1312" s="26"/>
      <c r="B1312" s="26"/>
      <c r="C1312" s="8"/>
      <c r="D1312" s="8"/>
      <c r="E1312" s="8"/>
      <c r="F1312" s="8"/>
      <c r="G1312" s="8"/>
      <c r="H1312" s="8"/>
      <c r="I1312" s="27"/>
      <c r="J1312" s="8"/>
      <c r="K1312" s="8"/>
      <c r="L1312" s="8"/>
      <c r="N1312" s="8"/>
      <c r="O1312" s="8"/>
    </row>
    <row r="1313" spans="1:15">
      <c r="A1313" s="26"/>
      <c r="B1313" s="26"/>
      <c r="C1313" s="8"/>
      <c r="D1313" s="8"/>
      <c r="E1313" s="8"/>
      <c r="F1313" s="8"/>
      <c r="G1313" s="8"/>
      <c r="H1313" s="8"/>
      <c r="I1313" s="27"/>
      <c r="J1313" s="8"/>
      <c r="K1313" s="8"/>
      <c r="L1313" s="8"/>
      <c r="N1313" s="8"/>
      <c r="O1313" s="8"/>
    </row>
    <row r="1314" spans="1:15">
      <c r="A1314" s="26"/>
      <c r="B1314" s="26"/>
      <c r="C1314" s="8"/>
      <c r="D1314" s="8"/>
      <c r="E1314" s="8"/>
      <c r="F1314" s="8"/>
      <c r="G1314" s="8"/>
      <c r="H1314" s="8"/>
      <c r="I1314" s="27"/>
      <c r="J1314" s="8"/>
      <c r="K1314" s="8"/>
      <c r="L1314" s="8"/>
      <c r="N1314" s="8"/>
      <c r="O1314" s="8"/>
    </row>
    <row r="1315" spans="1:15">
      <c r="A1315" s="26"/>
      <c r="B1315" s="26"/>
      <c r="C1315" s="8"/>
      <c r="D1315" s="8"/>
      <c r="E1315" s="8"/>
      <c r="F1315" s="8"/>
      <c r="G1315" s="8"/>
      <c r="H1315" s="8"/>
      <c r="I1315" s="27"/>
      <c r="J1315" s="8"/>
      <c r="K1315" s="8"/>
      <c r="L1315" s="8"/>
      <c r="N1315" s="8"/>
      <c r="O1315" s="8"/>
    </row>
    <row r="1316" spans="1:15">
      <c r="A1316" s="26"/>
      <c r="B1316" s="26"/>
      <c r="C1316" s="8"/>
      <c r="D1316" s="8"/>
      <c r="E1316" s="8"/>
      <c r="F1316" s="8"/>
      <c r="G1316" s="8"/>
      <c r="H1316" s="8"/>
      <c r="I1316" s="27"/>
      <c r="J1316" s="8"/>
      <c r="K1316" s="8"/>
      <c r="L1316" s="8"/>
      <c r="N1316" s="8"/>
      <c r="O1316" s="8"/>
    </row>
    <row r="1317" spans="1:15">
      <c r="A1317" s="26"/>
      <c r="B1317" s="26"/>
      <c r="C1317" s="8"/>
      <c r="D1317" s="8"/>
      <c r="E1317" s="8"/>
      <c r="F1317" s="8"/>
      <c r="G1317" s="8"/>
      <c r="H1317" s="8"/>
      <c r="I1317" s="27"/>
      <c r="J1317" s="8"/>
      <c r="K1317" s="8"/>
      <c r="L1317" s="8"/>
      <c r="N1317" s="8"/>
      <c r="O1317" s="8"/>
    </row>
    <row r="1318" spans="1:15">
      <c r="A1318" s="26"/>
      <c r="B1318" s="26"/>
      <c r="C1318" s="8"/>
      <c r="D1318" s="8"/>
      <c r="E1318" s="8"/>
      <c r="F1318" s="8"/>
      <c r="G1318" s="8"/>
      <c r="H1318" s="8"/>
      <c r="I1318" s="27"/>
      <c r="J1318" s="8"/>
      <c r="K1318" s="8"/>
      <c r="L1318" s="8"/>
      <c r="N1318" s="8"/>
      <c r="O1318" s="8"/>
    </row>
    <row r="1319" spans="1:15">
      <c r="A1319" s="26"/>
      <c r="B1319" s="26"/>
      <c r="C1319" s="8"/>
      <c r="D1319" s="8"/>
      <c r="E1319" s="8"/>
      <c r="F1319" s="8"/>
      <c r="G1319" s="8"/>
      <c r="H1319" s="8"/>
      <c r="I1319" s="27"/>
      <c r="J1319" s="8"/>
      <c r="K1319" s="8"/>
      <c r="L1319" s="8"/>
      <c r="N1319" s="8"/>
      <c r="O1319" s="8"/>
    </row>
    <row r="1320" spans="1:15">
      <c r="A1320" s="26"/>
      <c r="B1320" s="26"/>
      <c r="C1320" s="8"/>
      <c r="D1320" s="8"/>
      <c r="E1320" s="8"/>
      <c r="F1320" s="8"/>
      <c r="G1320" s="8"/>
      <c r="H1320" s="8"/>
      <c r="I1320" s="27"/>
      <c r="J1320" s="8"/>
      <c r="K1320" s="8"/>
      <c r="L1320" s="8"/>
      <c r="N1320" s="8"/>
      <c r="O1320" s="8"/>
    </row>
    <row r="1321" spans="1:15">
      <c r="A1321" s="26"/>
      <c r="B1321" s="26"/>
      <c r="C1321" s="8"/>
      <c r="D1321" s="8"/>
      <c r="E1321" s="8"/>
      <c r="F1321" s="8"/>
      <c r="G1321" s="8"/>
      <c r="H1321" s="8"/>
      <c r="I1321" s="27"/>
      <c r="J1321" s="8"/>
      <c r="K1321" s="8"/>
      <c r="L1321" s="8"/>
      <c r="N1321" s="8"/>
      <c r="O1321" s="8"/>
    </row>
    <row r="1322" spans="1:15">
      <c r="A1322" s="26"/>
      <c r="B1322" s="26"/>
      <c r="C1322" s="8"/>
      <c r="D1322" s="8"/>
      <c r="E1322" s="8"/>
      <c r="F1322" s="8"/>
      <c r="G1322" s="8"/>
      <c r="H1322" s="8"/>
      <c r="I1322" s="27"/>
      <c r="J1322" s="8"/>
      <c r="K1322" s="8"/>
      <c r="L1322" s="8"/>
      <c r="N1322" s="8"/>
      <c r="O1322" s="8"/>
    </row>
    <row r="1323" spans="1:15">
      <c r="A1323" s="26"/>
      <c r="B1323" s="26"/>
      <c r="C1323" s="8"/>
      <c r="D1323" s="8"/>
      <c r="E1323" s="8"/>
      <c r="F1323" s="8"/>
      <c r="G1323" s="8"/>
      <c r="H1323" s="8"/>
      <c r="I1323" s="27"/>
      <c r="J1323" s="8"/>
      <c r="K1323" s="8"/>
      <c r="L1323" s="8"/>
      <c r="N1323" s="8"/>
      <c r="O1323" s="8"/>
    </row>
    <row r="1324" spans="1:15">
      <c r="A1324" s="26"/>
      <c r="B1324" s="26"/>
      <c r="C1324" s="8"/>
      <c r="D1324" s="8"/>
      <c r="E1324" s="8"/>
      <c r="F1324" s="8"/>
      <c r="G1324" s="8"/>
      <c r="H1324" s="8"/>
      <c r="I1324" s="27"/>
      <c r="J1324" s="8"/>
      <c r="K1324" s="8"/>
      <c r="L1324" s="8"/>
      <c r="N1324" s="8"/>
      <c r="O1324" s="8"/>
    </row>
    <row r="1325" spans="1:15">
      <c r="A1325" s="26"/>
      <c r="B1325" s="26"/>
      <c r="C1325" s="8"/>
      <c r="D1325" s="8"/>
      <c r="E1325" s="8"/>
      <c r="F1325" s="8"/>
      <c r="G1325" s="8"/>
      <c r="H1325" s="8"/>
      <c r="I1325" s="27"/>
      <c r="J1325" s="8"/>
      <c r="K1325" s="8"/>
      <c r="L1325" s="8"/>
      <c r="N1325" s="8"/>
      <c r="O1325" s="8"/>
    </row>
    <row r="1326" spans="1:15">
      <c r="A1326" s="26"/>
      <c r="B1326" s="26"/>
      <c r="C1326" s="8"/>
      <c r="D1326" s="8"/>
      <c r="E1326" s="8"/>
      <c r="F1326" s="8"/>
      <c r="G1326" s="8"/>
      <c r="H1326" s="8"/>
      <c r="I1326" s="27"/>
      <c r="J1326" s="8"/>
      <c r="K1326" s="8"/>
      <c r="L1326" s="8"/>
      <c r="N1326" s="8"/>
      <c r="O1326" s="8"/>
    </row>
    <row r="1327" spans="1:15">
      <c r="A1327" s="26"/>
      <c r="B1327" s="26"/>
      <c r="C1327" s="8"/>
      <c r="D1327" s="8"/>
      <c r="E1327" s="8"/>
      <c r="F1327" s="8"/>
      <c r="G1327" s="8"/>
      <c r="H1327" s="8"/>
      <c r="I1327" s="27"/>
      <c r="J1327" s="8"/>
      <c r="K1327" s="8"/>
      <c r="L1327" s="8"/>
      <c r="N1327" s="8"/>
      <c r="O1327" s="8"/>
    </row>
    <row r="1328" spans="1:15">
      <c r="A1328" s="26"/>
      <c r="B1328" s="26"/>
      <c r="C1328" s="8"/>
      <c r="D1328" s="8"/>
      <c r="E1328" s="8"/>
      <c r="F1328" s="8"/>
      <c r="G1328" s="8"/>
      <c r="H1328" s="8"/>
      <c r="I1328" s="27"/>
      <c r="J1328" s="8"/>
      <c r="K1328" s="8"/>
      <c r="L1328" s="8"/>
      <c r="N1328" s="8"/>
      <c r="O1328" s="8"/>
    </row>
    <row r="1329" spans="1:15">
      <c r="A1329" s="26"/>
      <c r="B1329" s="26"/>
      <c r="C1329" s="8"/>
      <c r="D1329" s="8"/>
      <c r="E1329" s="8"/>
      <c r="F1329" s="8"/>
      <c r="G1329" s="8"/>
      <c r="H1329" s="8"/>
      <c r="I1329" s="27"/>
      <c r="J1329" s="8"/>
      <c r="K1329" s="8"/>
      <c r="L1329" s="8"/>
      <c r="N1329" s="8"/>
      <c r="O1329" s="8"/>
    </row>
    <row r="1330" spans="1:15">
      <c r="A1330" s="26"/>
      <c r="B1330" s="26"/>
      <c r="C1330" s="8"/>
      <c r="D1330" s="8"/>
      <c r="E1330" s="8"/>
      <c r="F1330" s="8"/>
      <c r="G1330" s="8"/>
      <c r="H1330" s="8"/>
      <c r="I1330" s="27"/>
      <c r="J1330" s="8"/>
      <c r="K1330" s="8"/>
      <c r="L1330" s="8"/>
      <c r="N1330" s="8"/>
      <c r="O1330" s="8"/>
    </row>
    <row r="1331" spans="1:15">
      <c r="A1331" s="26"/>
      <c r="B1331" s="26"/>
      <c r="C1331" s="8"/>
      <c r="D1331" s="8"/>
      <c r="E1331" s="8"/>
      <c r="F1331" s="8"/>
      <c r="G1331" s="8"/>
      <c r="H1331" s="8"/>
      <c r="I1331" s="27"/>
      <c r="J1331" s="8"/>
      <c r="K1331" s="8"/>
      <c r="L1331" s="8"/>
      <c r="N1331" s="8"/>
      <c r="O1331" s="8"/>
    </row>
    <row r="1332" spans="1:15">
      <c r="A1332" s="26"/>
      <c r="B1332" s="26"/>
      <c r="C1332" s="8"/>
      <c r="D1332" s="8"/>
      <c r="E1332" s="8"/>
      <c r="F1332" s="8"/>
      <c r="G1332" s="8"/>
      <c r="H1332" s="8"/>
      <c r="I1332" s="27"/>
      <c r="J1332" s="8"/>
      <c r="K1332" s="8"/>
      <c r="L1332" s="8"/>
      <c r="N1332" s="8"/>
      <c r="O1332" s="8"/>
    </row>
    <row r="1333" spans="1:15">
      <c r="A1333" s="26"/>
      <c r="B1333" s="26"/>
      <c r="C1333" s="8"/>
      <c r="D1333" s="8"/>
      <c r="E1333" s="8"/>
      <c r="F1333" s="8"/>
      <c r="G1333" s="8"/>
      <c r="H1333" s="8"/>
      <c r="I1333" s="27"/>
      <c r="J1333" s="8"/>
      <c r="K1333" s="8"/>
      <c r="L1333" s="8"/>
      <c r="N1333" s="8"/>
      <c r="O1333" s="8"/>
    </row>
    <row r="1334" spans="1:15">
      <c r="A1334" s="26"/>
      <c r="B1334" s="26"/>
      <c r="C1334" s="8"/>
      <c r="D1334" s="8"/>
      <c r="E1334" s="8"/>
      <c r="F1334" s="8"/>
      <c r="G1334" s="8"/>
      <c r="H1334" s="8"/>
      <c r="I1334" s="27"/>
      <c r="J1334" s="8"/>
      <c r="K1334" s="8"/>
      <c r="L1334" s="8"/>
      <c r="N1334" s="8"/>
      <c r="O1334" s="8"/>
    </row>
    <row r="1335" spans="1:15">
      <c r="A1335" s="26"/>
      <c r="B1335" s="26"/>
      <c r="C1335" s="8"/>
      <c r="D1335" s="8"/>
      <c r="E1335" s="8"/>
      <c r="F1335" s="8"/>
      <c r="G1335" s="8"/>
      <c r="H1335" s="8"/>
      <c r="I1335" s="27"/>
      <c r="J1335" s="8"/>
      <c r="K1335" s="8"/>
      <c r="L1335" s="8"/>
      <c r="N1335" s="8"/>
      <c r="O1335" s="8"/>
    </row>
    <row r="1336" spans="1:15">
      <c r="A1336" s="26"/>
      <c r="B1336" s="26"/>
      <c r="C1336" s="8"/>
      <c r="D1336" s="8"/>
      <c r="E1336" s="8"/>
      <c r="F1336" s="8"/>
      <c r="G1336" s="8"/>
      <c r="H1336" s="8"/>
      <c r="I1336" s="27"/>
      <c r="J1336" s="8"/>
      <c r="K1336" s="8"/>
      <c r="L1336" s="8"/>
      <c r="N1336" s="8"/>
      <c r="O1336" s="8"/>
    </row>
    <row r="1337" spans="1:15">
      <c r="A1337" s="26"/>
      <c r="B1337" s="26"/>
      <c r="C1337" s="8"/>
      <c r="D1337" s="8"/>
      <c r="E1337" s="8"/>
      <c r="F1337" s="8"/>
      <c r="G1337" s="8"/>
      <c r="H1337" s="8"/>
      <c r="I1337" s="27"/>
      <c r="J1337" s="8"/>
      <c r="K1337" s="8"/>
      <c r="L1337" s="8"/>
      <c r="N1337" s="8"/>
      <c r="O1337" s="8"/>
    </row>
    <row r="1338" spans="1:15">
      <c r="A1338" s="26"/>
      <c r="B1338" s="26"/>
      <c r="C1338" s="8"/>
      <c r="D1338" s="8"/>
      <c r="E1338" s="8"/>
      <c r="F1338" s="8"/>
      <c r="G1338" s="8"/>
      <c r="H1338" s="8"/>
      <c r="I1338" s="27"/>
      <c r="J1338" s="8"/>
      <c r="K1338" s="8"/>
      <c r="L1338" s="8"/>
      <c r="N1338" s="8"/>
      <c r="O1338" s="8"/>
    </row>
    <row r="1339" spans="1:15">
      <c r="A1339" s="26"/>
      <c r="B1339" s="26"/>
      <c r="C1339" s="8"/>
      <c r="D1339" s="8"/>
      <c r="E1339" s="8"/>
      <c r="F1339" s="8"/>
      <c r="G1339" s="8"/>
      <c r="H1339" s="8"/>
      <c r="I1339" s="27"/>
      <c r="J1339" s="8"/>
      <c r="K1339" s="8"/>
      <c r="L1339" s="8"/>
      <c r="N1339" s="8"/>
      <c r="O1339" s="8"/>
    </row>
    <row r="1340" spans="1:15">
      <c r="A1340" s="26"/>
      <c r="B1340" s="26"/>
      <c r="C1340" s="8"/>
      <c r="D1340" s="8"/>
      <c r="E1340" s="8"/>
      <c r="F1340" s="8"/>
      <c r="G1340" s="8"/>
      <c r="H1340" s="8"/>
      <c r="I1340" s="27"/>
      <c r="J1340" s="8"/>
      <c r="K1340" s="8"/>
      <c r="L1340" s="8"/>
      <c r="N1340" s="8"/>
      <c r="O1340" s="8"/>
    </row>
    <row r="1341" spans="1:15">
      <c r="A1341" s="26"/>
      <c r="B1341" s="26"/>
      <c r="C1341" s="8"/>
      <c r="D1341" s="8"/>
      <c r="E1341" s="8"/>
      <c r="F1341" s="8"/>
      <c r="G1341" s="8"/>
      <c r="H1341" s="8"/>
      <c r="I1341" s="27"/>
      <c r="J1341" s="8"/>
      <c r="K1341" s="8"/>
      <c r="L1341" s="8"/>
      <c r="N1341" s="8"/>
      <c r="O1341" s="8"/>
    </row>
    <row r="1342" spans="1:15">
      <c r="A1342" s="26"/>
      <c r="B1342" s="26"/>
      <c r="C1342" s="8"/>
      <c r="D1342" s="8"/>
      <c r="E1342" s="8"/>
      <c r="F1342" s="8"/>
      <c r="G1342" s="8"/>
      <c r="H1342" s="8"/>
      <c r="I1342" s="27"/>
      <c r="J1342" s="8"/>
      <c r="K1342" s="8"/>
      <c r="L1342" s="8"/>
      <c r="N1342" s="8"/>
      <c r="O1342" s="8"/>
    </row>
    <row r="1343" spans="1:15">
      <c r="A1343" s="26"/>
      <c r="B1343" s="26"/>
      <c r="C1343" s="8"/>
      <c r="D1343" s="8"/>
      <c r="E1343" s="8"/>
      <c r="F1343" s="8"/>
      <c r="G1343" s="8"/>
      <c r="H1343" s="8"/>
      <c r="I1343" s="27"/>
      <c r="J1343" s="8"/>
      <c r="K1343" s="8"/>
      <c r="L1343" s="8"/>
      <c r="N1343" s="8"/>
      <c r="O1343" s="8"/>
    </row>
    <row r="1344" spans="1:15">
      <c r="A1344" s="26"/>
      <c r="B1344" s="26"/>
      <c r="C1344" s="8"/>
      <c r="D1344" s="8"/>
      <c r="E1344" s="8"/>
      <c r="F1344" s="8"/>
      <c r="G1344" s="8"/>
      <c r="H1344" s="8"/>
      <c r="I1344" s="27"/>
      <c r="J1344" s="8"/>
      <c r="K1344" s="8"/>
      <c r="L1344" s="8"/>
      <c r="N1344" s="8"/>
      <c r="O1344" s="8"/>
    </row>
    <row r="1345" spans="1:15">
      <c r="A1345" s="26"/>
      <c r="B1345" s="26"/>
      <c r="C1345" s="8"/>
      <c r="D1345" s="8"/>
      <c r="E1345" s="8"/>
      <c r="F1345" s="8"/>
      <c r="G1345" s="8"/>
      <c r="H1345" s="8"/>
      <c r="I1345" s="27"/>
      <c r="J1345" s="8"/>
      <c r="K1345" s="8"/>
      <c r="L1345" s="8"/>
      <c r="N1345" s="8"/>
      <c r="O1345" s="8"/>
    </row>
    <row r="1346" spans="1:15">
      <c r="A1346" s="26"/>
      <c r="B1346" s="26"/>
      <c r="C1346" s="8"/>
      <c r="D1346" s="8"/>
      <c r="E1346" s="8"/>
      <c r="F1346" s="8"/>
      <c r="G1346" s="8"/>
      <c r="H1346" s="8"/>
      <c r="I1346" s="27"/>
      <c r="J1346" s="8"/>
      <c r="K1346" s="8"/>
      <c r="L1346" s="8"/>
      <c r="N1346" s="8"/>
      <c r="O1346" s="8"/>
    </row>
    <row r="1347" spans="1:15">
      <c r="A1347" s="26"/>
      <c r="B1347" s="26"/>
      <c r="C1347" s="8"/>
      <c r="D1347" s="8"/>
      <c r="E1347" s="8"/>
      <c r="F1347" s="8"/>
      <c r="G1347" s="8"/>
      <c r="H1347" s="8"/>
      <c r="I1347" s="27"/>
      <c r="J1347" s="8"/>
      <c r="K1347" s="8"/>
      <c r="L1347" s="8"/>
      <c r="N1347" s="8"/>
      <c r="O1347" s="8"/>
    </row>
    <row r="1348" spans="1:15">
      <c r="A1348" s="26"/>
      <c r="B1348" s="26"/>
      <c r="C1348" s="8"/>
      <c r="D1348" s="8"/>
      <c r="E1348" s="8"/>
      <c r="F1348" s="8"/>
      <c r="G1348" s="8"/>
      <c r="H1348" s="8"/>
      <c r="I1348" s="27"/>
      <c r="J1348" s="8"/>
      <c r="K1348" s="8"/>
      <c r="L1348" s="8"/>
      <c r="N1348" s="8"/>
      <c r="O1348" s="8"/>
    </row>
    <row r="1349" spans="1:15">
      <c r="A1349" s="26"/>
      <c r="B1349" s="26"/>
      <c r="C1349" s="8"/>
      <c r="D1349" s="8"/>
      <c r="E1349" s="8"/>
      <c r="F1349" s="8"/>
      <c r="G1349" s="8"/>
      <c r="H1349" s="8"/>
      <c r="I1349" s="27"/>
      <c r="J1349" s="8"/>
      <c r="K1349" s="8"/>
      <c r="L1349" s="8"/>
      <c r="N1349" s="8"/>
      <c r="O1349" s="8"/>
    </row>
    <row r="1350" spans="1:15">
      <c r="A1350" s="26"/>
      <c r="B1350" s="26"/>
      <c r="C1350" s="8"/>
      <c r="D1350" s="8"/>
      <c r="E1350" s="8"/>
      <c r="F1350" s="8"/>
      <c r="G1350" s="8"/>
      <c r="H1350" s="8"/>
      <c r="I1350" s="27"/>
      <c r="J1350" s="8"/>
      <c r="K1350" s="8"/>
      <c r="L1350" s="8"/>
      <c r="N1350" s="8"/>
      <c r="O1350" s="8"/>
    </row>
    <row r="1351" spans="1:15">
      <c r="A1351" s="26"/>
      <c r="B1351" s="26"/>
      <c r="C1351" s="8"/>
      <c r="D1351" s="8"/>
      <c r="E1351" s="8"/>
      <c r="F1351" s="8"/>
      <c r="G1351" s="8"/>
      <c r="H1351" s="8"/>
      <c r="I1351" s="27"/>
      <c r="J1351" s="8"/>
      <c r="K1351" s="8"/>
      <c r="L1351" s="8"/>
      <c r="N1351" s="8"/>
      <c r="O1351" s="8"/>
    </row>
    <row r="1352" spans="1:15">
      <c r="A1352" s="26"/>
      <c r="B1352" s="26"/>
      <c r="C1352" s="8"/>
      <c r="D1352" s="8"/>
      <c r="E1352" s="8"/>
      <c r="F1352" s="8"/>
      <c r="G1352" s="8"/>
      <c r="H1352" s="8"/>
      <c r="I1352" s="27"/>
      <c r="J1352" s="8"/>
      <c r="K1352" s="8"/>
      <c r="L1352" s="8"/>
      <c r="N1352" s="8"/>
      <c r="O1352" s="8"/>
    </row>
    <row r="1353" spans="1:15">
      <c r="A1353" s="26"/>
      <c r="B1353" s="26"/>
      <c r="C1353" s="8"/>
      <c r="D1353" s="8"/>
      <c r="E1353" s="8"/>
      <c r="F1353" s="8"/>
      <c r="G1353" s="8"/>
      <c r="H1353" s="8"/>
      <c r="I1353" s="27"/>
      <c r="J1353" s="8"/>
      <c r="K1353" s="8"/>
      <c r="L1353" s="8"/>
      <c r="N1353" s="8"/>
      <c r="O1353" s="8"/>
    </row>
    <row r="1354" spans="1:15">
      <c r="A1354" s="26"/>
      <c r="B1354" s="26"/>
      <c r="C1354" s="8"/>
      <c r="D1354" s="8"/>
      <c r="E1354" s="8"/>
      <c r="F1354" s="8"/>
      <c r="G1354" s="8"/>
      <c r="H1354" s="8"/>
      <c r="I1354" s="27"/>
      <c r="J1354" s="8"/>
      <c r="K1354" s="8"/>
      <c r="L1354" s="8"/>
      <c r="N1354" s="8"/>
      <c r="O1354" s="8"/>
    </row>
    <row r="1355" spans="1:15">
      <c r="A1355" s="26"/>
      <c r="B1355" s="26"/>
      <c r="C1355" s="8"/>
      <c r="D1355" s="8"/>
      <c r="E1355" s="8"/>
      <c r="F1355" s="8"/>
      <c r="G1355" s="8"/>
      <c r="H1355" s="8"/>
      <c r="I1355" s="27"/>
      <c r="J1355" s="8"/>
      <c r="K1355" s="8"/>
      <c r="L1355" s="8"/>
      <c r="N1355" s="8"/>
      <c r="O1355" s="8"/>
    </row>
    <row r="1356" spans="1:15">
      <c r="A1356" s="26"/>
      <c r="B1356" s="26"/>
      <c r="C1356" s="8"/>
      <c r="D1356" s="8"/>
      <c r="E1356" s="8"/>
      <c r="F1356" s="8"/>
      <c r="G1356" s="8"/>
      <c r="H1356" s="8"/>
      <c r="I1356" s="27"/>
      <c r="J1356" s="8"/>
      <c r="K1356" s="8"/>
      <c r="L1356" s="8"/>
      <c r="N1356" s="8"/>
      <c r="O1356" s="8"/>
    </row>
    <row r="1357" spans="1:15">
      <c r="A1357" s="26"/>
      <c r="B1357" s="26"/>
      <c r="C1357" s="8"/>
      <c r="D1357" s="8"/>
      <c r="E1357" s="8"/>
      <c r="F1357" s="8"/>
      <c r="G1357" s="8"/>
      <c r="H1357" s="8"/>
      <c r="I1357" s="27"/>
      <c r="J1357" s="8"/>
      <c r="K1357" s="8"/>
      <c r="L1357" s="8"/>
      <c r="N1357" s="8"/>
      <c r="O1357" s="8"/>
    </row>
    <row r="1358" spans="1:15">
      <c r="A1358" s="26"/>
      <c r="B1358" s="26"/>
      <c r="C1358" s="8"/>
      <c r="D1358" s="8"/>
      <c r="E1358" s="8"/>
      <c r="F1358" s="8"/>
      <c r="G1358" s="8"/>
      <c r="H1358" s="8"/>
      <c r="I1358" s="27"/>
      <c r="J1358" s="8"/>
      <c r="K1358" s="8"/>
      <c r="L1358" s="8"/>
      <c r="N1358" s="8"/>
      <c r="O1358" s="8"/>
    </row>
    <row r="1359" spans="1:15">
      <c r="A1359" s="26"/>
      <c r="B1359" s="26"/>
      <c r="C1359" s="8"/>
      <c r="D1359" s="8"/>
      <c r="E1359" s="8"/>
      <c r="F1359" s="8"/>
      <c r="G1359" s="8"/>
      <c r="H1359" s="8"/>
      <c r="I1359" s="27"/>
      <c r="J1359" s="8"/>
      <c r="K1359" s="8"/>
      <c r="L1359" s="8"/>
      <c r="N1359" s="8"/>
      <c r="O1359" s="8"/>
    </row>
    <row r="1360" spans="1:15">
      <c r="A1360" s="26"/>
      <c r="B1360" s="26"/>
      <c r="C1360" s="8"/>
      <c r="D1360" s="8"/>
      <c r="E1360" s="8"/>
      <c r="F1360" s="8"/>
      <c r="G1360" s="8"/>
      <c r="H1360" s="8"/>
      <c r="I1360" s="27"/>
      <c r="J1360" s="8"/>
      <c r="K1360" s="8"/>
      <c r="L1360" s="8"/>
      <c r="N1360" s="8"/>
      <c r="O1360" s="8"/>
    </row>
    <row r="1361" spans="1:15">
      <c r="A1361" s="26"/>
      <c r="B1361" s="26"/>
      <c r="C1361" s="8"/>
      <c r="D1361" s="8"/>
      <c r="E1361" s="8"/>
      <c r="F1361" s="8"/>
      <c r="G1361" s="8"/>
      <c r="H1361" s="8"/>
      <c r="I1361" s="27"/>
      <c r="J1361" s="8"/>
      <c r="K1361" s="8"/>
      <c r="L1361" s="8"/>
      <c r="N1361" s="8"/>
      <c r="O1361" s="8"/>
    </row>
    <row r="1362" spans="1:15">
      <c r="A1362" s="26"/>
      <c r="B1362" s="26"/>
      <c r="C1362" s="8"/>
      <c r="D1362" s="8"/>
      <c r="E1362" s="8"/>
      <c r="F1362" s="8"/>
      <c r="G1362" s="8"/>
      <c r="H1362" s="8"/>
      <c r="I1362" s="27"/>
      <c r="J1362" s="8"/>
      <c r="K1362" s="8"/>
      <c r="L1362" s="8"/>
      <c r="N1362" s="8"/>
      <c r="O1362" s="8"/>
    </row>
    <row r="1363" spans="1:15">
      <c r="A1363" s="26"/>
      <c r="B1363" s="26"/>
      <c r="C1363" s="8"/>
      <c r="D1363" s="8"/>
      <c r="E1363" s="8"/>
      <c r="F1363" s="8"/>
      <c r="G1363" s="8"/>
      <c r="H1363" s="8"/>
      <c r="I1363" s="27"/>
      <c r="J1363" s="8"/>
      <c r="K1363" s="8"/>
      <c r="L1363" s="8"/>
      <c r="N1363" s="8"/>
      <c r="O1363" s="8"/>
    </row>
    <row r="1364" spans="1:15">
      <c r="A1364" s="26"/>
      <c r="B1364" s="26"/>
      <c r="C1364" s="8"/>
      <c r="D1364" s="8"/>
      <c r="E1364" s="8"/>
      <c r="F1364" s="8"/>
      <c r="G1364" s="8"/>
      <c r="H1364" s="8"/>
      <c r="I1364" s="27"/>
      <c r="J1364" s="8"/>
      <c r="K1364" s="8"/>
      <c r="L1364" s="8"/>
      <c r="N1364" s="8"/>
      <c r="O1364" s="8"/>
    </row>
    <row r="1365" spans="1:15">
      <c r="A1365" s="26"/>
      <c r="B1365" s="26"/>
      <c r="C1365" s="8"/>
      <c r="D1365" s="8"/>
      <c r="E1365" s="8"/>
      <c r="F1365" s="8"/>
      <c r="G1365" s="8"/>
      <c r="H1365" s="8"/>
      <c r="I1365" s="27"/>
      <c r="J1365" s="8"/>
      <c r="K1365" s="8"/>
      <c r="L1365" s="8"/>
      <c r="N1365" s="8"/>
      <c r="O1365" s="8"/>
    </row>
    <row r="1366" spans="1:15">
      <c r="A1366" s="26"/>
      <c r="B1366" s="26"/>
      <c r="C1366" s="8"/>
      <c r="D1366" s="8"/>
      <c r="E1366" s="8"/>
      <c r="F1366" s="8"/>
      <c r="G1366" s="8"/>
      <c r="H1366" s="8"/>
      <c r="I1366" s="27"/>
      <c r="J1366" s="8"/>
      <c r="K1366" s="8"/>
      <c r="L1366" s="8"/>
      <c r="N1366" s="8"/>
      <c r="O1366" s="8"/>
    </row>
    <row r="1367" spans="1:15">
      <c r="A1367" s="26"/>
      <c r="B1367" s="26"/>
      <c r="C1367" s="8"/>
      <c r="D1367" s="8"/>
      <c r="E1367" s="8"/>
      <c r="F1367" s="8"/>
      <c r="G1367" s="8"/>
      <c r="H1367" s="8"/>
      <c r="I1367" s="27"/>
      <c r="J1367" s="8"/>
      <c r="K1367" s="8"/>
      <c r="L1367" s="8"/>
      <c r="N1367" s="8"/>
      <c r="O1367" s="8"/>
    </row>
    <row r="1368" spans="1:15">
      <c r="A1368" s="26"/>
      <c r="B1368" s="26"/>
      <c r="C1368" s="8"/>
      <c r="D1368" s="8"/>
      <c r="E1368" s="8"/>
      <c r="F1368" s="8"/>
      <c r="G1368" s="8"/>
      <c r="H1368" s="8"/>
      <c r="I1368" s="27"/>
      <c r="J1368" s="8"/>
      <c r="K1368" s="8"/>
      <c r="L1368" s="8"/>
      <c r="N1368" s="8"/>
      <c r="O1368" s="8"/>
    </row>
    <row r="1369" spans="1:15">
      <c r="A1369" s="26"/>
      <c r="B1369" s="26"/>
      <c r="C1369" s="8"/>
      <c r="D1369" s="8"/>
      <c r="E1369" s="8"/>
      <c r="F1369" s="8"/>
      <c r="G1369" s="8"/>
      <c r="H1369" s="8"/>
      <c r="I1369" s="27"/>
      <c r="J1369" s="8"/>
      <c r="K1369" s="8"/>
      <c r="L1369" s="8"/>
      <c r="N1369" s="8"/>
      <c r="O1369" s="8"/>
    </row>
    <row r="1370" spans="1:15">
      <c r="A1370" s="26"/>
      <c r="B1370" s="26"/>
      <c r="C1370" s="8"/>
      <c r="D1370" s="8"/>
      <c r="E1370" s="8"/>
      <c r="F1370" s="8"/>
      <c r="G1370" s="8"/>
      <c r="H1370" s="8"/>
      <c r="I1370" s="27"/>
      <c r="J1370" s="8"/>
      <c r="K1370" s="8"/>
      <c r="L1370" s="8"/>
      <c r="N1370" s="8"/>
      <c r="O1370" s="8"/>
    </row>
    <row r="1371" spans="1:15">
      <c r="A1371" s="26"/>
      <c r="B1371" s="26"/>
      <c r="C1371" s="8"/>
      <c r="D1371" s="8"/>
      <c r="E1371" s="8"/>
      <c r="F1371" s="8"/>
      <c r="G1371" s="8"/>
      <c r="H1371" s="8"/>
      <c r="I1371" s="27"/>
      <c r="J1371" s="8"/>
      <c r="K1371" s="8"/>
      <c r="L1371" s="8"/>
      <c r="N1371" s="8"/>
      <c r="O1371" s="8"/>
    </row>
    <row r="1372" spans="1:15">
      <c r="A1372" s="26"/>
      <c r="B1372" s="26"/>
      <c r="C1372" s="8"/>
      <c r="D1372" s="8"/>
      <c r="E1372" s="8"/>
      <c r="F1372" s="8"/>
      <c r="G1372" s="8"/>
      <c r="H1372" s="8"/>
      <c r="I1372" s="27"/>
      <c r="J1372" s="8"/>
      <c r="K1372" s="8"/>
      <c r="L1372" s="8"/>
      <c r="N1372" s="8"/>
      <c r="O1372" s="8"/>
    </row>
    <row r="1373" spans="1:15">
      <c r="A1373" s="26"/>
      <c r="B1373" s="26"/>
      <c r="C1373" s="8"/>
      <c r="D1373" s="8"/>
      <c r="E1373" s="8"/>
      <c r="F1373" s="8"/>
      <c r="G1373" s="8"/>
      <c r="H1373" s="8"/>
      <c r="I1373" s="27"/>
      <c r="J1373" s="8"/>
      <c r="K1373" s="8"/>
      <c r="L1373" s="8"/>
      <c r="N1373" s="8"/>
      <c r="O1373" s="8"/>
    </row>
    <row r="1374" spans="1:15">
      <c r="A1374" s="26"/>
      <c r="B1374" s="26"/>
      <c r="C1374" s="8"/>
      <c r="D1374" s="8"/>
      <c r="E1374" s="8"/>
      <c r="F1374" s="8"/>
      <c r="G1374" s="8"/>
      <c r="H1374" s="8"/>
      <c r="I1374" s="27"/>
      <c r="J1374" s="8"/>
      <c r="K1374" s="8"/>
      <c r="L1374" s="8"/>
      <c r="N1374" s="8"/>
      <c r="O1374" s="8"/>
    </row>
    <row r="1375" spans="1:15">
      <c r="A1375" s="26"/>
      <c r="B1375" s="26"/>
      <c r="C1375" s="8"/>
      <c r="D1375" s="8"/>
      <c r="E1375" s="8"/>
      <c r="F1375" s="8"/>
      <c r="G1375" s="8"/>
      <c r="H1375" s="8"/>
      <c r="I1375" s="27"/>
      <c r="J1375" s="8"/>
      <c r="K1375" s="8"/>
      <c r="L1375" s="8"/>
      <c r="N1375" s="8"/>
      <c r="O1375" s="8"/>
    </row>
    <row r="1376" spans="1:15">
      <c r="A1376" s="26"/>
      <c r="B1376" s="26"/>
      <c r="C1376" s="8"/>
      <c r="D1376" s="8"/>
      <c r="E1376" s="8"/>
      <c r="F1376" s="8"/>
      <c r="G1376" s="8"/>
      <c r="H1376" s="8"/>
      <c r="I1376" s="27"/>
      <c r="J1376" s="8"/>
      <c r="K1376" s="8"/>
      <c r="L1376" s="8"/>
      <c r="N1376" s="8"/>
      <c r="O1376" s="8"/>
    </row>
    <row r="1377" spans="1:15">
      <c r="A1377" s="26"/>
      <c r="B1377" s="26"/>
      <c r="C1377" s="8"/>
      <c r="D1377" s="8"/>
      <c r="E1377" s="8"/>
      <c r="F1377" s="8"/>
      <c r="G1377" s="8"/>
      <c r="H1377" s="8"/>
      <c r="I1377" s="27"/>
      <c r="J1377" s="8"/>
      <c r="K1377" s="8"/>
      <c r="L1377" s="8"/>
      <c r="N1377" s="8"/>
      <c r="O1377" s="8"/>
    </row>
    <row r="1378" spans="1:15">
      <c r="A1378" s="26"/>
      <c r="B1378" s="26"/>
      <c r="C1378" s="8"/>
      <c r="D1378" s="8"/>
      <c r="E1378" s="8"/>
      <c r="F1378" s="8"/>
      <c r="G1378" s="8"/>
      <c r="H1378" s="8"/>
      <c r="I1378" s="27"/>
      <c r="J1378" s="8"/>
      <c r="K1378" s="8"/>
      <c r="L1378" s="8"/>
      <c r="N1378" s="8"/>
      <c r="O1378" s="8"/>
    </row>
    <row r="1379" spans="1:15">
      <c r="A1379" s="26"/>
      <c r="B1379" s="26"/>
      <c r="C1379" s="8"/>
      <c r="D1379" s="8"/>
      <c r="E1379" s="8"/>
      <c r="F1379" s="8"/>
      <c r="G1379" s="8"/>
      <c r="H1379" s="8"/>
      <c r="I1379" s="27"/>
      <c r="J1379" s="8"/>
      <c r="K1379" s="8"/>
      <c r="L1379" s="8"/>
      <c r="N1379" s="8"/>
      <c r="O1379" s="8"/>
    </row>
    <row r="1380" spans="1:15">
      <c r="A1380" s="26"/>
      <c r="B1380" s="26"/>
      <c r="C1380" s="8"/>
      <c r="D1380" s="8"/>
      <c r="E1380" s="8"/>
      <c r="F1380" s="8"/>
      <c r="G1380" s="8"/>
      <c r="H1380" s="8"/>
      <c r="I1380" s="27"/>
      <c r="J1380" s="8"/>
      <c r="K1380" s="8"/>
      <c r="L1380" s="8"/>
      <c r="N1380" s="8"/>
      <c r="O1380" s="8"/>
    </row>
    <row r="1381" spans="1:15">
      <c r="A1381" s="26"/>
      <c r="B1381" s="26"/>
      <c r="C1381" s="8"/>
      <c r="D1381" s="8"/>
      <c r="E1381" s="8"/>
      <c r="F1381" s="8"/>
      <c r="G1381" s="8"/>
      <c r="H1381" s="8"/>
      <c r="I1381" s="27"/>
      <c r="J1381" s="8"/>
      <c r="K1381" s="8"/>
      <c r="L1381" s="8"/>
      <c r="N1381" s="8"/>
      <c r="O1381" s="8"/>
    </row>
    <row r="1382" spans="1:15">
      <c r="A1382" s="26"/>
      <c r="B1382" s="26"/>
      <c r="C1382" s="8"/>
      <c r="D1382" s="8"/>
      <c r="E1382" s="8"/>
      <c r="F1382" s="8"/>
      <c r="G1382" s="8"/>
      <c r="H1382" s="8"/>
      <c r="I1382" s="27"/>
      <c r="J1382" s="8"/>
      <c r="K1382" s="8"/>
      <c r="L1382" s="8"/>
      <c r="N1382" s="8"/>
      <c r="O1382" s="8"/>
    </row>
    <row r="1383" spans="1:15">
      <c r="A1383" s="26"/>
      <c r="B1383" s="26"/>
      <c r="C1383" s="8"/>
      <c r="D1383" s="8"/>
      <c r="E1383" s="8"/>
      <c r="F1383" s="8"/>
      <c r="G1383" s="8"/>
      <c r="H1383" s="8"/>
      <c r="I1383" s="27"/>
      <c r="J1383" s="8"/>
      <c r="K1383" s="8"/>
      <c r="L1383" s="8"/>
      <c r="N1383" s="8"/>
      <c r="O1383" s="8"/>
    </row>
    <row r="1384" spans="1:15">
      <c r="A1384" s="26"/>
      <c r="B1384" s="26"/>
      <c r="C1384" s="8"/>
      <c r="D1384" s="8"/>
      <c r="E1384" s="8"/>
      <c r="F1384" s="8"/>
      <c r="G1384" s="8"/>
      <c r="H1384" s="8"/>
      <c r="I1384" s="27"/>
      <c r="J1384" s="8"/>
      <c r="K1384" s="8"/>
      <c r="L1384" s="8"/>
      <c r="N1384" s="8"/>
      <c r="O1384" s="8"/>
    </row>
    <row r="1385" spans="1:15">
      <c r="A1385" s="26"/>
      <c r="B1385" s="26"/>
      <c r="C1385" s="8"/>
      <c r="D1385" s="8"/>
      <c r="E1385" s="8"/>
      <c r="F1385" s="8"/>
      <c r="G1385" s="8"/>
      <c r="H1385" s="8"/>
      <c r="I1385" s="27"/>
      <c r="J1385" s="8"/>
      <c r="K1385" s="8"/>
      <c r="L1385" s="8"/>
      <c r="N1385" s="8"/>
      <c r="O1385" s="8"/>
    </row>
    <row r="1386" spans="1:15">
      <c r="A1386" s="26"/>
      <c r="B1386" s="26"/>
      <c r="C1386" s="8"/>
      <c r="D1386" s="8"/>
      <c r="E1386" s="8"/>
      <c r="F1386" s="8"/>
      <c r="G1386" s="8"/>
      <c r="H1386" s="8"/>
      <c r="I1386" s="27"/>
      <c r="J1386" s="8"/>
      <c r="K1386" s="8"/>
      <c r="L1386" s="8"/>
      <c r="N1386" s="8"/>
      <c r="O1386" s="8"/>
    </row>
    <row r="1387" spans="1:15">
      <c r="A1387" s="26"/>
      <c r="B1387" s="26"/>
      <c r="C1387" s="8"/>
      <c r="D1387" s="8"/>
      <c r="E1387" s="8"/>
      <c r="F1387" s="8"/>
      <c r="G1387" s="8"/>
      <c r="H1387" s="8"/>
      <c r="I1387" s="27"/>
      <c r="J1387" s="8"/>
      <c r="K1387" s="8"/>
      <c r="L1387" s="8"/>
      <c r="N1387" s="8"/>
      <c r="O1387" s="8"/>
    </row>
    <row r="1388" spans="1:15">
      <c r="A1388" s="26"/>
      <c r="B1388" s="26"/>
      <c r="C1388" s="8"/>
      <c r="D1388" s="8"/>
      <c r="E1388" s="8"/>
      <c r="F1388" s="8"/>
      <c r="G1388" s="8"/>
      <c r="H1388" s="8"/>
      <c r="I1388" s="27"/>
      <c r="J1388" s="8"/>
      <c r="K1388" s="8"/>
      <c r="L1388" s="8"/>
      <c r="N1388" s="8"/>
      <c r="O1388" s="8"/>
    </row>
    <row r="1389" spans="1:15">
      <c r="A1389" s="26"/>
      <c r="B1389" s="26"/>
      <c r="C1389" s="8"/>
      <c r="D1389" s="8"/>
      <c r="E1389" s="8"/>
      <c r="F1389" s="8"/>
      <c r="G1389" s="8"/>
      <c r="H1389" s="8"/>
      <c r="I1389" s="27"/>
      <c r="J1389" s="8"/>
      <c r="K1389" s="8"/>
      <c r="L1389" s="8"/>
      <c r="N1389" s="8"/>
      <c r="O1389" s="8"/>
    </row>
    <row r="1390" spans="1:15">
      <c r="A1390" s="26"/>
      <c r="B1390" s="26"/>
      <c r="C1390" s="8"/>
      <c r="D1390" s="8"/>
      <c r="E1390" s="8"/>
      <c r="F1390" s="8"/>
      <c r="G1390" s="8"/>
      <c r="H1390" s="8"/>
      <c r="I1390" s="27"/>
      <c r="J1390" s="8"/>
      <c r="K1390" s="8"/>
      <c r="L1390" s="8"/>
      <c r="N1390" s="8"/>
      <c r="O1390" s="8"/>
    </row>
    <row r="1391" spans="1:15">
      <c r="A1391" s="26"/>
      <c r="B1391" s="26"/>
      <c r="C1391" s="8"/>
      <c r="D1391" s="8"/>
      <c r="E1391" s="8"/>
      <c r="F1391" s="8"/>
      <c r="G1391" s="8"/>
      <c r="H1391" s="8"/>
      <c r="I1391" s="27"/>
      <c r="J1391" s="8"/>
      <c r="K1391" s="8"/>
      <c r="L1391" s="8"/>
      <c r="N1391" s="8"/>
      <c r="O1391" s="8"/>
    </row>
    <row r="1392" spans="1:15">
      <c r="A1392" s="26"/>
      <c r="B1392" s="26"/>
      <c r="C1392" s="8"/>
      <c r="D1392" s="8"/>
      <c r="E1392" s="8"/>
      <c r="F1392" s="8"/>
      <c r="G1392" s="8"/>
      <c r="H1392" s="8"/>
      <c r="I1392" s="27"/>
      <c r="J1392" s="8"/>
      <c r="K1392" s="8"/>
      <c r="L1392" s="8"/>
      <c r="N1392" s="8"/>
      <c r="O1392" s="8"/>
    </row>
    <row r="1393" spans="1:15">
      <c r="A1393" s="26"/>
      <c r="B1393" s="26"/>
      <c r="C1393" s="8"/>
      <c r="D1393" s="8"/>
      <c r="E1393" s="8"/>
      <c r="F1393" s="8"/>
      <c r="G1393" s="8"/>
      <c r="H1393" s="8"/>
      <c r="I1393" s="27"/>
      <c r="J1393" s="8"/>
      <c r="K1393" s="8"/>
      <c r="L1393" s="8"/>
      <c r="N1393" s="8"/>
      <c r="O1393" s="8"/>
    </row>
    <row r="1394" spans="1:15">
      <c r="A1394" s="26"/>
      <c r="B1394" s="26"/>
      <c r="C1394" s="8"/>
      <c r="D1394" s="8"/>
      <c r="E1394" s="8"/>
      <c r="F1394" s="8"/>
      <c r="G1394" s="8"/>
      <c r="H1394" s="8"/>
      <c r="I1394" s="27"/>
      <c r="J1394" s="8"/>
      <c r="K1394" s="8"/>
      <c r="L1394" s="8"/>
      <c r="N1394" s="8"/>
      <c r="O1394" s="8"/>
    </row>
    <row r="1395" spans="1:15">
      <c r="A1395" s="26"/>
      <c r="B1395" s="26"/>
      <c r="C1395" s="8"/>
      <c r="D1395" s="8"/>
      <c r="E1395" s="8"/>
      <c r="F1395" s="8"/>
      <c r="G1395" s="8"/>
      <c r="H1395" s="8"/>
      <c r="I1395" s="27"/>
      <c r="J1395" s="8"/>
      <c r="K1395" s="8"/>
      <c r="L1395" s="8"/>
      <c r="N1395" s="8"/>
      <c r="O1395" s="8"/>
    </row>
    <row r="1396" spans="1:15">
      <c r="A1396" s="26"/>
      <c r="B1396" s="26"/>
      <c r="C1396" s="8"/>
      <c r="D1396" s="8"/>
      <c r="E1396" s="8"/>
      <c r="F1396" s="8"/>
      <c r="G1396" s="8"/>
      <c r="H1396" s="8"/>
      <c r="I1396" s="27"/>
      <c r="J1396" s="8"/>
      <c r="K1396" s="8"/>
      <c r="L1396" s="8"/>
      <c r="N1396" s="8"/>
      <c r="O1396" s="8"/>
    </row>
    <row r="1397" spans="1:15">
      <c r="A1397" s="26"/>
      <c r="B1397" s="26"/>
      <c r="C1397" s="8"/>
      <c r="D1397" s="8"/>
      <c r="E1397" s="8"/>
      <c r="F1397" s="8"/>
      <c r="G1397" s="8"/>
      <c r="H1397" s="8"/>
      <c r="I1397" s="27"/>
      <c r="J1397" s="8"/>
      <c r="K1397" s="8"/>
      <c r="L1397" s="8"/>
      <c r="N1397" s="8"/>
      <c r="O1397" s="8"/>
    </row>
    <row r="1398" spans="1:15">
      <c r="A1398" s="26"/>
      <c r="B1398" s="26"/>
      <c r="C1398" s="8"/>
      <c r="D1398" s="8"/>
      <c r="E1398" s="8"/>
      <c r="F1398" s="8"/>
      <c r="G1398" s="8"/>
      <c r="H1398" s="8"/>
      <c r="I1398" s="27"/>
      <c r="J1398" s="8"/>
      <c r="K1398" s="8"/>
      <c r="L1398" s="8"/>
      <c r="N1398" s="8"/>
      <c r="O1398" s="8"/>
    </row>
    <row r="1399" spans="1:15">
      <c r="A1399" s="26"/>
      <c r="B1399" s="26"/>
      <c r="C1399" s="8"/>
      <c r="D1399" s="8"/>
      <c r="E1399" s="8"/>
      <c r="F1399" s="8"/>
      <c r="G1399" s="8"/>
      <c r="H1399" s="8"/>
      <c r="I1399" s="27"/>
      <c r="J1399" s="8"/>
      <c r="K1399" s="8"/>
      <c r="L1399" s="8"/>
      <c r="N1399" s="8"/>
      <c r="O1399" s="8"/>
    </row>
    <row r="1400" spans="1:15">
      <c r="A1400" s="26"/>
      <c r="B1400" s="26"/>
      <c r="C1400" s="8"/>
      <c r="D1400" s="8"/>
      <c r="E1400" s="8"/>
      <c r="F1400" s="8"/>
      <c r="G1400" s="8"/>
      <c r="H1400" s="8"/>
      <c r="I1400" s="27"/>
      <c r="J1400" s="8"/>
      <c r="K1400" s="8"/>
      <c r="L1400" s="8"/>
      <c r="N1400" s="8"/>
      <c r="O1400" s="8"/>
    </row>
    <row r="1401" spans="1:15">
      <c r="A1401" s="26"/>
      <c r="B1401" s="26"/>
      <c r="C1401" s="8"/>
      <c r="D1401" s="8"/>
      <c r="E1401" s="8"/>
      <c r="F1401" s="8"/>
      <c r="G1401" s="8"/>
      <c r="H1401" s="8"/>
      <c r="I1401" s="27"/>
      <c r="J1401" s="8"/>
      <c r="K1401" s="8"/>
      <c r="L1401" s="8"/>
      <c r="N1401" s="8"/>
      <c r="O1401" s="8"/>
    </row>
    <row r="1402" spans="1:15">
      <c r="A1402" s="26"/>
      <c r="B1402" s="26"/>
      <c r="C1402" s="8"/>
      <c r="D1402" s="8"/>
      <c r="E1402" s="8"/>
      <c r="F1402" s="8"/>
      <c r="G1402" s="8"/>
      <c r="H1402" s="8"/>
      <c r="I1402" s="27"/>
      <c r="J1402" s="8"/>
      <c r="K1402" s="8"/>
      <c r="L1402" s="8"/>
      <c r="N1402" s="8"/>
      <c r="O1402" s="8"/>
    </row>
    <row r="1403" spans="1:15">
      <c r="A1403" s="26"/>
      <c r="B1403" s="26"/>
      <c r="C1403" s="8"/>
      <c r="D1403" s="8"/>
      <c r="E1403" s="8"/>
      <c r="F1403" s="8"/>
      <c r="G1403" s="8"/>
      <c r="H1403" s="8"/>
      <c r="I1403" s="27"/>
      <c r="J1403" s="8"/>
      <c r="K1403" s="8"/>
      <c r="L1403" s="8"/>
      <c r="N1403" s="8"/>
      <c r="O1403" s="8"/>
    </row>
    <row r="1404" spans="1:15">
      <c r="A1404" s="26"/>
      <c r="B1404" s="26"/>
      <c r="C1404" s="8"/>
      <c r="D1404" s="8"/>
      <c r="E1404" s="8"/>
      <c r="F1404" s="8"/>
      <c r="G1404" s="8"/>
      <c r="H1404" s="8"/>
      <c r="I1404" s="27"/>
      <c r="J1404" s="8"/>
      <c r="K1404" s="8"/>
      <c r="L1404" s="8"/>
      <c r="N1404" s="8"/>
      <c r="O1404" s="8"/>
    </row>
    <row r="1405" spans="1:15">
      <c r="A1405" s="26"/>
      <c r="B1405" s="26"/>
      <c r="C1405" s="8"/>
      <c r="D1405" s="8"/>
      <c r="E1405" s="8"/>
      <c r="F1405" s="8"/>
      <c r="G1405" s="8"/>
      <c r="H1405" s="8"/>
      <c r="I1405" s="27"/>
      <c r="J1405" s="8"/>
      <c r="K1405" s="8"/>
      <c r="L1405" s="8"/>
      <c r="N1405" s="8"/>
      <c r="O1405" s="8"/>
    </row>
    <row r="1406" spans="1:15">
      <c r="A1406" s="26"/>
      <c r="B1406" s="26"/>
      <c r="C1406" s="8"/>
      <c r="D1406" s="8"/>
      <c r="E1406" s="8"/>
      <c r="F1406" s="8"/>
      <c r="G1406" s="8"/>
      <c r="H1406" s="8"/>
      <c r="I1406" s="27"/>
      <c r="J1406" s="8"/>
      <c r="K1406" s="8"/>
      <c r="L1406" s="8"/>
      <c r="N1406" s="8"/>
      <c r="O1406" s="8"/>
    </row>
    <row r="1407" spans="1:15">
      <c r="A1407" s="26"/>
      <c r="B1407" s="26"/>
      <c r="C1407" s="8"/>
      <c r="D1407" s="8"/>
      <c r="E1407" s="8"/>
      <c r="F1407" s="8"/>
      <c r="G1407" s="8"/>
      <c r="H1407" s="8"/>
      <c r="I1407" s="27"/>
      <c r="J1407" s="8"/>
      <c r="K1407" s="8"/>
      <c r="L1407" s="8"/>
      <c r="N1407" s="8"/>
      <c r="O1407" s="8"/>
    </row>
    <row r="1408" spans="1:15">
      <c r="A1408" s="26"/>
      <c r="B1408" s="26"/>
      <c r="C1408" s="8"/>
      <c r="D1408" s="8"/>
      <c r="E1408" s="8"/>
      <c r="F1408" s="8"/>
      <c r="G1408" s="8"/>
      <c r="H1408" s="8"/>
      <c r="I1408" s="27"/>
      <c r="J1408" s="8"/>
      <c r="K1408" s="8"/>
      <c r="L1408" s="8"/>
      <c r="N1408" s="8"/>
      <c r="O1408" s="8"/>
    </row>
    <row r="1409" spans="1:15">
      <c r="A1409" s="26"/>
      <c r="B1409" s="26"/>
      <c r="C1409" s="8"/>
      <c r="D1409" s="8"/>
      <c r="E1409" s="8"/>
      <c r="F1409" s="8"/>
      <c r="G1409" s="8"/>
      <c r="H1409" s="8"/>
      <c r="I1409" s="27"/>
      <c r="J1409" s="8"/>
      <c r="K1409" s="8"/>
      <c r="L1409" s="8"/>
      <c r="N1409" s="8"/>
      <c r="O1409" s="8"/>
    </row>
    <row r="1410" spans="1:15">
      <c r="A1410" s="26"/>
      <c r="B1410" s="26"/>
      <c r="C1410" s="8"/>
      <c r="D1410" s="8"/>
      <c r="E1410" s="8"/>
      <c r="F1410" s="8"/>
      <c r="G1410" s="8"/>
      <c r="H1410" s="8"/>
      <c r="I1410" s="27"/>
      <c r="J1410" s="8"/>
      <c r="K1410" s="8"/>
      <c r="L1410" s="8"/>
      <c r="N1410" s="8"/>
      <c r="O1410" s="8"/>
    </row>
    <row r="1411" spans="1:15">
      <c r="A1411" s="26"/>
      <c r="B1411" s="26"/>
      <c r="C1411" s="8"/>
      <c r="D1411" s="8"/>
      <c r="E1411" s="8"/>
      <c r="F1411" s="8"/>
      <c r="G1411" s="8"/>
      <c r="H1411" s="8"/>
      <c r="I1411" s="27"/>
      <c r="J1411" s="8"/>
      <c r="K1411" s="8"/>
      <c r="L1411" s="8"/>
      <c r="N1411" s="8"/>
      <c r="O1411" s="8"/>
    </row>
    <row r="1412" spans="1:15">
      <c r="A1412" s="26"/>
      <c r="B1412" s="26"/>
      <c r="C1412" s="8"/>
      <c r="D1412" s="8"/>
      <c r="E1412" s="8"/>
      <c r="F1412" s="8"/>
      <c r="G1412" s="8"/>
      <c r="H1412" s="8"/>
      <c r="I1412" s="27"/>
      <c r="J1412" s="8"/>
      <c r="K1412" s="8"/>
      <c r="L1412" s="8"/>
      <c r="N1412" s="8"/>
      <c r="O1412" s="8"/>
    </row>
    <row r="1413" spans="1:15">
      <c r="A1413" s="26"/>
      <c r="B1413" s="26"/>
      <c r="C1413" s="8"/>
      <c r="D1413" s="8"/>
      <c r="E1413" s="8"/>
      <c r="F1413" s="8"/>
      <c r="G1413" s="8"/>
      <c r="H1413" s="8"/>
      <c r="I1413" s="27"/>
      <c r="J1413" s="8"/>
      <c r="K1413" s="8"/>
      <c r="L1413" s="8"/>
      <c r="N1413" s="8"/>
      <c r="O1413" s="8"/>
    </row>
    <row r="1414" spans="1:15">
      <c r="A1414" s="26"/>
      <c r="B1414" s="26"/>
      <c r="C1414" s="8"/>
      <c r="D1414" s="8"/>
      <c r="E1414" s="8"/>
      <c r="F1414" s="8"/>
      <c r="G1414" s="8"/>
      <c r="H1414" s="8"/>
      <c r="I1414" s="27"/>
      <c r="J1414" s="8"/>
      <c r="K1414" s="8"/>
      <c r="L1414" s="8"/>
      <c r="N1414" s="8"/>
      <c r="O1414" s="8"/>
    </row>
    <row r="1415" spans="1:15">
      <c r="A1415" s="26"/>
      <c r="B1415" s="26"/>
      <c r="C1415" s="8"/>
      <c r="D1415" s="8"/>
      <c r="E1415" s="8"/>
      <c r="F1415" s="8"/>
      <c r="G1415" s="8"/>
      <c r="H1415" s="8"/>
      <c r="I1415" s="27"/>
      <c r="J1415" s="8"/>
      <c r="K1415" s="8"/>
      <c r="L1415" s="8"/>
      <c r="N1415" s="8"/>
      <c r="O1415" s="8"/>
    </row>
    <row r="1416" spans="1:15">
      <c r="A1416" s="26"/>
      <c r="B1416" s="26"/>
      <c r="C1416" s="8"/>
      <c r="D1416" s="8"/>
      <c r="E1416" s="8"/>
      <c r="F1416" s="8"/>
      <c r="G1416" s="8"/>
      <c r="H1416" s="8"/>
      <c r="I1416" s="27"/>
      <c r="J1416" s="8"/>
      <c r="K1416" s="8"/>
      <c r="L1416" s="8"/>
      <c r="N1416" s="8"/>
      <c r="O1416" s="8"/>
    </row>
    <row r="1417" spans="1:15">
      <c r="A1417" s="26"/>
      <c r="B1417" s="26"/>
      <c r="C1417" s="8"/>
      <c r="D1417" s="8"/>
      <c r="E1417" s="8"/>
      <c r="F1417" s="8"/>
      <c r="G1417" s="8"/>
      <c r="H1417" s="8"/>
      <c r="I1417" s="27"/>
      <c r="J1417" s="8"/>
      <c r="K1417" s="8"/>
      <c r="L1417" s="8"/>
      <c r="N1417" s="8"/>
      <c r="O1417" s="8"/>
    </row>
    <row r="1418" spans="1:15">
      <c r="A1418" s="26"/>
      <c r="B1418" s="26"/>
      <c r="C1418" s="8"/>
      <c r="D1418" s="8"/>
      <c r="E1418" s="8"/>
      <c r="F1418" s="8"/>
      <c r="G1418" s="8"/>
      <c r="H1418" s="8"/>
      <c r="I1418" s="27"/>
      <c r="J1418" s="8"/>
      <c r="K1418" s="8"/>
      <c r="L1418" s="8"/>
      <c r="N1418" s="8"/>
      <c r="O1418" s="8"/>
    </row>
    <row r="1419" spans="1:15">
      <c r="A1419" s="26"/>
      <c r="B1419" s="26"/>
      <c r="C1419" s="8"/>
      <c r="D1419" s="8"/>
      <c r="E1419" s="8"/>
      <c r="F1419" s="8"/>
      <c r="G1419" s="8"/>
      <c r="H1419" s="8"/>
      <c r="I1419" s="27"/>
      <c r="J1419" s="8"/>
      <c r="K1419" s="8"/>
      <c r="L1419" s="8"/>
      <c r="N1419" s="8"/>
      <c r="O1419" s="8"/>
    </row>
    <row r="1420" spans="1:15">
      <c r="A1420" s="26"/>
      <c r="B1420" s="26"/>
      <c r="C1420" s="8"/>
      <c r="D1420" s="8"/>
      <c r="E1420" s="8"/>
      <c r="F1420" s="8"/>
      <c r="G1420" s="8"/>
      <c r="H1420" s="8"/>
      <c r="I1420" s="27"/>
      <c r="J1420" s="8"/>
      <c r="K1420" s="8"/>
      <c r="L1420" s="8"/>
      <c r="N1420" s="8"/>
      <c r="O1420" s="8"/>
    </row>
    <row r="1421" spans="1:15">
      <c r="A1421" s="26"/>
      <c r="B1421" s="26"/>
      <c r="C1421" s="8"/>
      <c r="D1421" s="8"/>
      <c r="E1421" s="8"/>
      <c r="F1421" s="8"/>
      <c r="G1421" s="8"/>
      <c r="H1421" s="8"/>
      <c r="I1421" s="27"/>
      <c r="J1421" s="8"/>
      <c r="K1421" s="8"/>
      <c r="L1421" s="8"/>
      <c r="N1421" s="8"/>
      <c r="O1421" s="8"/>
    </row>
    <row r="1422" spans="1:15">
      <c r="A1422" s="26"/>
      <c r="B1422" s="26"/>
      <c r="C1422" s="8"/>
      <c r="D1422" s="8"/>
      <c r="E1422" s="8"/>
      <c r="F1422" s="8"/>
      <c r="G1422" s="8"/>
      <c r="H1422" s="8"/>
      <c r="I1422" s="27"/>
      <c r="J1422" s="8"/>
      <c r="K1422" s="8"/>
      <c r="L1422" s="8"/>
      <c r="N1422" s="8"/>
      <c r="O1422" s="8"/>
    </row>
    <row r="1423" spans="1:15">
      <c r="A1423" s="26"/>
      <c r="B1423" s="26"/>
      <c r="C1423" s="8"/>
      <c r="D1423" s="8"/>
      <c r="E1423" s="8"/>
      <c r="F1423" s="8"/>
      <c r="G1423" s="8"/>
      <c r="H1423" s="8"/>
      <c r="I1423" s="27"/>
      <c r="J1423" s="8"/>
      <c r="K1423" s="8"/>
      <c r="L1423" s="8"/>
      <c r="N1423" s="8"/>
      <c r="O1423" s="8"/>
    </row>
    <row r="1424" spans="1:15">
      <c r="A1424" s="26"/>
      <c r="B1424" s="26"/>
      <c r="C1424" s="8"/>
      <c r="D1424" s="8"/>
      <c r="E1424" s="8"/>
      <c r="F1424" s="8"/>
      <c r="G1424" s="8"/>
      <c r="H1424" s="8"/>
      <c r="I1424" s="27"/>
      <c r="J1424" s="8"/>
      <c r="K1424" s="8"/>
      <c r="L1424" s="8"/>
      <c r="N1424" s="8"/>
      <c r="O1424" s="8"/>
    </row>
    <row r="1425" spans="1:15">
      <c r="A1425" s="26"/>
      <c r="B1425" s="26"/>
      <c r="C1425" s="8"/>
      <c r="D1425" s="8"/>
      <c r="E1425" s="8"/>
      <c r="F1425" s="8"/>
      <c r="G1425" s="8"/>
      <c r="H1425" s="8"/>
      <c r="I1425" s="27"/>
      <c r="J1425" s="8"/>
      <c r="K1425" s="8"/>
      <c r="L1425" s="8"/>
      <c r="N1425" s="8"/>
      <c r="O1425" s="8"/>
    </row>
    <row r="1426" spans="1:15">
      <c r="A1426" s="26"/>
      <c r="B1426" s="26"/>
      <c r="C1426" s="8"/>
      <c r="D1426" s="8"/>
      <c r="E1426" s="8"/>
      <c r="F1426" s="8"/>
      <c r="G1426" s="8"/>
      <c r="H1426" s="8"/>
      <c r="I1426" s="27"/>
      <c r="J1426" s="8"/>
      <c r="K1426" s="8"/>
      <c r="L1426" s="8"/>
      <c r="N1426" s="8"/>
      <c r="O1426" s="8"/>
    </row>
    <row r="1427" spans="1:15">
      <c r="A1427" s="26"/>
      <c r="B1427" s="26"/>
      <c r="C1427" s="8"/>
      <c r="D1427" s="8"/>
      <c r="E1427" s="8"/>
      <c r="F1427" s="8"/>
      <c r="G1427" s="8"/>
      <c r="H1427" s="8"/>
      <c r="I1427" s="27"/>
      <c r="J1427" s="8"/>
      <c r="K1427" s="8"/>
      <c r="L1427" s="8"/>
      <c r="N1427" s="8"/>
      <c r="O1427" s="8"/>
    </row>
    <row r="1428" spans="1:15">
      <c r="A1428" s="26"/>
      <c r="B1428" s="26"/>
      <c r="C1428" s="8"/>
      <c r="D1428" s="8"/>
      <c r="E1428" s="8"/>
      <c r="F1428" s="8"/>
      <c r="G1428" s="8"/>
      <c r="H1428" s="8"/>
      <c r="I1428" s="27"/>
      <c r="J1428" s="8"/>
      <c r="K1428" s="8"/>
      <c r="L1428" s="8"/>
      <c r="N1428" s="8"/>
      <c r="O1428" s="8"/>
    </row>
    <row r="1429" spans="1:15">
      <c r="A1429" s="26"/>
      <c r="B1429" s="26"/>
      <c r="C1429" s="8"/>
      <c r="D1429" s="8"/>
      <c r="E1429" s="8"/>
      <c r="F1429" s="8"/>
      <c r="G1429" s="8"/>
      <c r="H1429" s="8"/>
      <c r="I1429" s="27"/>
      <c r="J1429" s="8"/>
      <c r="K1429" s="8"/>
      <c r="L1429" s="8"/>
      <c r="N1429" s="8"/>
      <c r="O1429" s="8"/>
    </row>
    <row r="1430" spans="1:15">
      <c r="A1430" s="26"/>
      <c r="B1430" s="26"/>
      <c r="C1430" s="8"/>
      <c r="D1430" s="8"/>
      <c r="E1430" s="8"/>
      <c r="F1430" s="8"/>
      <c r="G1430" s="8"/>
      <c r="H1430" s="8"/>
      <c r="I1430" s="27"/>
      <c r="J1430" s="8"/>
      <c r="K1430" s="8"/>
      <c r="L1430" s="8"/>
      <c r="N1430" s="8"/>
      <c r="O1430" s="8"/>
    </row>
    <row r="1431" spans="1:15">
      <c r="A1431" s="26"/>
      <c r="B1431" s="26"/>
      <c r="C1431" s="8"/>
      <c r="D1431" s="8"/>
      <c r="E1431" s="8"/>
      <c r="F1431" s="8"/>
      <c r="G1431" s="8"/>
      <c r="H1431" s="8"/>
      <c r="I1431" s="27"/>
      <c r="J1431" s="8"/>
      <c r="K1431" s="8"/>
      <c r="L1431" s="8"/>
      <c r="N1431" s="8"/>
      <c r="O1431" s="8"/>
    </row>
    <row r="1432" spans="1:15">
      <c r="A1432" s="26"/>
      <c r="B1432" s="26"/>
      <c r="C1432" s="8"/>
      <c r="D1432" s="8"/>
      <c r="E1432" s="8"/>
      <c r="F1432" s="8"/>
      <c r="G1432" s="8"/>
      <c r="H1432" s="8"/>
      <c r="I1432" s="27"/>
      <c r="J1432" s="8"/>
      <c r="K1432" s="8"/>
      <c r="L1432" s="8"/>
      <c r="N1432" s="8"/>
      <c r="O1432" s="8"/>
    </row>
    <row r="1433" spans="1:15">
      <c r="A1433" s="26"/>
      <c r="B1433" s="26"/>
      <c r="C1433" s="8"/>
      <c r="D1433" s="8"/>
      <c r="E1433" s="8"/>
      <c r="F1433" s="8"/>
      <c r="G1433" s="8"/>
      <c r="H1433" s="8"/>
      <c r="I1433" s="27"/>
      <c r="J1433" s="8"/>
      <c r="K1433" s="8"/>
      <c r="L1433" s="8"/>
      <c r="N1433" s="8"/>
      <c r="O1433" s="8"/>
    </row>
    <row r="1434" spans="1:15">
      <c r="A1434" s="26"/>
      <c r="B1434" s="26"/>
      <c r="C1434" s="8"/>
      <c r="D1434" s="8"/>
      <c r="E1434" s="8"/>
      <c r="F1434" s="8"/>
      <c r="G1434" s="8"/>
      <c r="H1434" s="8"/>
      <c r="I1434" s="27"/>
      <c r="J1434" s="8"/>
      <c r="K1434" s="8"/>
      <c r="L1434" s="8"/>
      <c r="N1434" s="8"/>
      <c r="O1434" s="8"/>
    </row>
    <row r="1435" spans="1:15">
      <c r="A1435" s="26"/>
      <c r="B1435" s="26"/>
      <c r="C1435" s="8"/>
      <c r="D1435" s="8"/>
      <c r="E1435" s="8"/>
      <c r="F1435" s="8"/>
      <c r="G1435" s="8"/>
      <c r="H1435" s="8"/>
      <c r="I1435" s="27"/>
      <c r="J1435" s="8"/>
      <c r="K1435" s="8"/>
      <c r="L1435" s="8"/>
      <c r="N1435" s="8"/>
      <c r="O1435" s="8"/>
    </row>
    <row r="1436" spans="1:15">
      <c r="A1436" s="26"/>
      <c r="B1436" s="26"/>
      <c r="C1436" s="8"/>
      <c r="D1436" s="8"/>
      <c r="E1436" s="8"/>
      <c r="F1436" s="8"/>
      <c r="G1436" s="8"/>
      <c r="H1436" s="8"/>
      <c r="I1436" s="27"/>
      <c r="J1436" s="8"/>
      <c r="K1436" s="8"/>
      <c r="L1436" s="8"/>
      <c r="N1436" s="8"/>
      <c r="O1436" s="8"/>
    </row>
    <row r="1437" spans="1:15">
      <c r="A1437" s="26"/>
      <c r="B1437" s="26"/>
      <c r="C1437" s="8"/>
      <c r="D1437" s="8"/>
      <c r="E1437" s="8"/>
      <c r="F1437" s="8"/>
      <c r="G1437" s="8"/>
      <c r="H1437" s="8"/>
      <c r="I1437" s="27"/>
      <c r="J1437" s="8"/>
      <c r="K1437" s="8"/>
      <c r="L1437" s="8"/>
      <c r="N1437" s="8"/>
      <c r="O1437" s="8"/>
    </row>
    <row r="1438" spans="1:15">
      <c r="A1438" s="26"/>
      <c r="B1438" s="26"/>
      <c r="C1438" s="8"/>
      <c r="D1438" s="8"/>
      <c r="E1438" s="8"/>
      <c r="F1438" s="8"/>
      <c r="G1438" s="8"/>
      <c r="H1438" s="8"/>
      <c r="I1438" s="27"/>
      <c r="J1438" s="8"/>
      <c r="K1438" s="8"/>
      <c r="L1438" s="8"/>
      <c r="N1438" s="8"/>
      <c r="O1438" s="8"/>
    </row>
    <row r="1439" spans="1:15">
      <c r="A1439" s="26"/>
      <c r="B1439" s="26"/>
      <c r="C1439" s="8"/>
      <c r="D1439" s="8"/>
      <c r="E1439" s="8"/>
      <c r="F1439" s="8"/>
      <c r="G1439" s="8"/>
      <c r="H1439" s="8"/>
      <c r="I1439" s="27"/>
      <c r="J1439" s="8"/>
      <c r="K1439" s="8"/>
      <c r="L1439" s="8"/>
      <c r="N1439" s="8"/>
      <c r="O1439" s="8"/>
    </row>
    <row r="1440" spans="1:15">
      <c r="A1440" s="26"/>
      <c r="B1440" s="26"/>
      <c r="C1440" s="8"/>
      <c r="D1440" s="8"/>
      <c r="E1440" s="8"/>
      <c r="F1440" s="8"/>
      <c r="G1440" s="8"/>
      <c r="H1440" s="8"/>
      <c r="I1440" s="27"/>
      <c r="J1440" s="8"/>
      <c r="K1440" s="8"/>
      <c r="L1440" s="8"/>
      <c r="N1440" s="8"/>
      <c r="O1440" s="8"/>
    </row>
    <row r="1441" spans="1:15">
      <c r="A1441" s="26"/>
      <c r="B1441" s="26"/>
      <c r="C1441" s="8"/>
      <c r="D1441" s="8"/>
      <c r="E1441" s="8"/>
      <c r="F1441" s="8"/>
      <c r="G1441" s="8"/>
      <c r="H1441" s="8"/>
      <c r="I1441" s="27"/>
      <c r="J1441" s="8"/>
      <c r="K1441" s="8"/>
      <c r="L1441" s="8"/>
      <c r="N1441" s="8"/>
      <c r="O1441" s="8"/>
    </row>
    <row r="1442" spans="1:15">
      <c r="A1442" s="26"/>
      <c r="B1442" s="26"/>
      <c r="C1442" s="8"/>
      <c r="D1442" s="8"/>
      <c r="E1442" s="8"/>
      <c r="F1442" s="8"/>
      <c r="G1442" s="8"/>
      <c r="H1442" s="8"/>
      <c r="I1442" s="27"/>
      <c r="J1442" s="8"/>
      <c r="K1442" s="8"/>
      <c r="L1442" s="8"/>
      <c r="N1442" s="8"/>
      <c r="O1442" s="8"/>
    </row>
    <row r="1443" spans="1:15">
      <c r="A1443" s="26"/>
      <c r="B1443" s="26"/>
      <c r="C1443" s="8"/>
      <c r="D1443" s="8"/>
      <c r="E1443" s="8"/>
      <c r="F1443" s="8"/>
      <c r="G1443" s="8"/>
      <c r="H1443" s="8"/>
      <c r="I1443" s="27"/>
      <c r="J1443" s="8"/>
      <c r="K1443" s="8"/>
      <c r="L1443" s="8"/>
      <c r="N1443" s="8"/>
      <c r="O1443" s="8"/>
    </row>
    <row r="1444" spans="1:15">
      <c r="A1444" s="26"/>
      <c r="B1444" s="26"/>
      <c r="C1444" s="8"/>
      <c r="D1444" s="8"/>
      <c r="E1444" s="8"/>
      <c r="F1444" s="8"/>
      <c r="G1444" s="8"/>
      <c r="H1444" s="8"/>
      <c r="I1444" s="27"/>
      <c r="J1444" s="8"/>
      <c r="K1444" s="8"/>
      <c r="L1444" s="8"/>
      <c r="N1444" s="8"/>
      <c r="O1444" s="8"/>
    </row>
    <row r="1445" spans="1:15">
      <c r="A1445" s="26"/>
      <c r="B1445" s="26"/>
      <c r="C1445" s="8"/>
      <c r="D1445" s="8"/>
      <c r="E1445" s="8"/>
      <c r="F1445" s="8"/>
      <c r="G1445" s="8"/>
      <c r="H1445" s="8"/>
      <c r="I1445" s="27"/>
      <c r="J1445" s="8"/>
      <c r="K1445" s="8"/>
      <c r="L1445" s="8"/>
      <c r="N1445" s="8"/>
      <c r="O1445" s="8"/>
    </row>
    <row r="1446" spans="1:15">
      <c r="A1446" s="26"/>
      <c r="B1446" s="26"/>
      <c r="C1446" s="8"/>
      <c r="D1446" s="8"/>
      <c r="E1446" s="8"/>
      <c r="F1446" s="8"/>
      <c r="G1446" s="8"/>
      <c r="H1446" s="8"/>
      <c r="I1446" s="27"/>
      <c r="J1446" s="8"/>
      <c r="K1446" s="8"/>
      <c r="L1446" s="8"/>
      <c r="N1446" s="8"/>
      <c r="O1446" s="8"/>
    </row>
    <row r="1447" spans="1:15">
      <c r="A1447" s="26"/>
      <c r="B1447" s="26"/>
      <c r="C1447" s="8"/>
      <c r="D1447" s="8"/>
      <c r="E1447" s="8"/>
      <c r="F1447" s="8"/>
      <c r="G1447" s="8"/>
      <c r="H1447" s="8"/>
      <c r="I1447" s="27"/>
      <c r="J1447" s="8"/>
      <c r="K1447" s="8"/>
      <c r="L1447" s="8"/>
      <c r="N1447" s="8"/>
      <c r="O1447" s="8"/>
    </row>
    <row r="1448" spans="1:15">
      <c r="A1448" s="26"/>
      <c r="B1448" s="26"/>
      <c r="C1448" s="8"/>
      <c r="D1448" s="8"/>
      <c r="E1448" s="8"/>
      <c r="F1448" s="8"/>
      <c r="G1448" s="8"/>
      <c r="H1448" s="8"/>
      <c r="I1448" s="27"/>
      <c r="J1448" s="8"/>
      <c r="K1448" s="8"/>
      <c r="L1448" s="8"/>
      <c r="N1448" s="8"/>
      <c r="O1448" s="8"/>
    </row>
    <row r="1449" spans="1:15">
      <c r="A1449" s="26"/>
      <c r="B1449" s="26"/>
      <c r="C1449" s="8"/>
      <c r="D1449" s="8"/>
      <c r="E1449" s="8"/>
      <c r="F1449" s="8"/>
      <c r="G1449" s="8"/>
      <c r="H1449" s="8"/>
      <c r="I1449" s="27"/>
      <c r="J1449" s="8"/>
      <c r="K1449" s="8"/>
      <c r="L1449" s="8"/>
      <c r="N1449" s="8"/>
      <c r="O1449" s="8"/>
    </row>
    <row r="1450" spans="1:15">
      <c r="A1450" s="26"/>
      <c r="B1450" s="26"/>
      <c r="C1450" s="8"/>
      <c r="D1450" s="8"/>
      <c r="E1450" s="8"/>
      <c r="F1450" s="8"/>
      <c r="G1450" s="8"/>
      <c r="H1450" s="8"/>
      <c r="I1450" s="27"/>
      <c r="J1450" s="8"/>
      <c r="K1450" s="8"/>
      <c r="L1450" s="8"/>
      <c r="N1450" s="8"/>
      <c r="O1450" s="8"/>
    </row>
    <row r="1451" spans="1:15">
      <c r="A1451" s="26"/>
      <c r="B1451" s="26"/>
      <c r="C1451" s="8"/>
      <c r="D1451" s="8"/>
      <c r="E1451" s="8"/>
      <c r="F1451" s="8"/>
      <c r="G1451" s="8"/>
      <c r="H1451" s="8"/>
      <c r="I1451" s="27"/>
      <c r="J1451" s="8"/>
      <c r="K1451" s="8"/>
      <c r="L1451" s="8"/>
      <c r="N1451" s="8"/>
      <c r="O1451" s="8"/>
    </row>
    <row r="1452" spans="1:15">
      <c r="A1452" s="26"/>
      <c r="B1452" s="26"/>
      <c r="C1452" s="8"/>
      <c r="D1452" s="8"/>
      <c r="E1452" s="8"/>
      <c r="F1452" s="8"/>
      <c r="G1452" s="8"/>
      <c r="H1452" s="8"/>
      <c r="I1452" s="27"/>
      <c r="J1452" s="8"/>
      <c r="K1452" s="8"/>
      <c r="L1452" s="8"/>
      <c r="N1452" s="8"/>
      <c r="O1452" s="8"/>
    </row>
    <row r="1453" spans="1:15">
      <c r="A1453" s="26"/>
      <c r="B1453" s="26"/>
      <c r="C1453" s="8"/>
      <c r="D1453" s="8"/>
      <c r="E1453" s="8"/>
      <c r="F1453" s="8"/>
      <c r="G1453" s="8"/>
      <c r="H1453" s="8"/>
      <c r="I1453" s="27"/>
      <c r="J1453" s="8"/>
      <c r="K1453" s="8"/>
      <c r="L1453" s="8"/>
      <c r="N1453" s="8"/>
      <c r="O1453" s="8"/>
    </row>
    <row r="1454" spans="1:15">
      <c r="A1454" s="26"/>
      <c r="B1454" s="26"/>
      <c r="C1454" s="8"/>
      <c r="D1454" s="8"/>
      <c r="E1454" s="8"/>
      <c r="F1454" s="8"/>
      <c r="G1454" s="8"/>
      <c r="H1454" s="8"/>
      <c r="I1454" s="27"/>
      <c r="J1454" s="8"/>
      <c r="K1454" s="8"/>
      <c r="L1454" s="8"/>
      <c r="N1454" s="8"/>
      <c r="O1454" s="8"/>
    </row>
    <row r="1455" spans="1:15">
      <c r="A1455" s="26"/>
      <c r="B1455" s="26"/>
      <c r="C1455" s="8"/>
      <c r="D1455" s="8"/>
      <c r="E1455" s="8"/>
      <c r="F1455" s="8"/>
      <c r="G1455" s="8"/>
      <c r="H1455" s="8"/>
      <c r="I1455" s="27"/>
      <c r="J1455" s="8"/>
      <c r="K1455" s="8"/>
      <c r="L1455" s="8"/>
      <c r="N1455" s="8"/>
      <c r="O1455" s="8"/>
    </row>
    <row r="1456" spans="1:15">
      <c r="A1456" s="26"/>
      <c r="B1456" s="26"/>
      <c r="C1456" s="8"/>
      <c r="D1456" s="8"/>
      <c r="E1456" s="8"/>
      <c r="F1456" s="8"/>
      <c r="G1456" s="8"/>
      <c r="H1456" s="8"/>
      <c r="I1456" s="27"/>
      <c r="J1456" s="8"/>
      <c r="K1456" s="8"/>
      <c r="L1456" s="8"/>
      <c r="N1456" s="8"/>
      <c r="O1456" s="8"/>
    </row>
    <row r="1457" spans="1:15">
      <c r="A1457" s="26"/>
      <c r="B1457" s="26"/>
      <c r="C1457" s="8"/>
      <c r="D1457" s="8"/>
      <c r="E1457" s="8"/>
      <c r="F1457" s="8"/>
      <c r="G1457" s="8"/>
      <c r="H1457" s="8"/>
      <c r="I1457" s="27"/>
      <c r="J1457" s="8"/>
      <c r="K1457" s="8"/>
      <c r="L1457" s="8"/>
      <c r="N1457" s="8"/>
      <c r="O1457" s="8"/>
    </row>
    <row r="1458" spans="1:15">
      <c r="A1458" s="26"/>
      <c r="B1458" s="26"/>
      <c r="C1458" s="8"/>
      <c r="D1458" s="8"/>
      <c r="E1458" s="8"/>
      <c r="F1458" s="8"/>
      <c r="G1458" s="8"/>
      <c r="H1458" s="8"/>
      <c r="I1458" s="27"/>
      <c r="J1458" s="8"/>
      <c r="K1458" s="8"/>
      <c r="L1458" s="8"/>
      <c r="N1458" s="8"/>
      <c r="O1458" s="8"/>
    </row>
    <row r="1459" spans="1:15">
      <c r="A1459" s="26"/>
      <c r="B1459" s="26"/>
      <c r="C1459" s="8"/>
      <c r="D1459" s="8"/>
      <c r="E1459" s="8"/>
      <c r="F1459" s="8"/>
      <c r="G1459" s="8"/>
      <c r="H1459" s="8"/>
      <c r="I1459" s="27"/>
      <c r="J1459" s="8"/>
      <c r="K1459" s="8"/>
      <c r="L1459" s="8"/>
      <c r="N1459" s="8"/>
      <c r="O1459" s="8"/>
    </row>
    <row r="1460" spans="1:15">
      <c r="A1460" s="26"/>
      <c r="B1460" s="26"/>
      <c r="C1460" s="8"/>
      <c r="D1460" s="8"/>
      <c r="E1460" s="8"/>
      <c r="F1460" s="8"/>
      <c r="G1460" s="8"/>
      <c r="H1460" s="8"/>
      <c r="I1460" s="27"/>
      <c r="J1460" s="8"/>
      <c r="K1460" s="8"/>
      <c r="L1460" s="8"/>
      <c r="N1460" s="8"/>
      <c r="O1460" s="8"/>
    </row>
    <row r="1461" spans="1:15">
      <c r="A1461" s="26"/>
      <c r="B1461" s="26"/>
      <c r="C1461" s="8"/>
      <c r="D1461" s="8"/>
      <c r="E1461" s="8"/>
      <c r="F1461" s="8"/>
      <c r="G1461" s="8"/>
      <c r="H1461" s="8"/>
      <c r="I1461" s="27"/>
      <c r="J1461" s="8"/>
      <c r="K1461" s="8"/>
      <c r="L1461" s="8"/>
      <c r="N1461" s="8"/>
      <c r="O1461" s="8"/>
    </row>
    <row r="1462" spans="1:15">
      <c r="A1462" s="26"/>
      <c r="B1462" s="26"/>
      <c r="C1462" s="8"/>
      <c r="D1462" s="8"/>
      <c r="E1462" s="8"/>
      <c r="F1462" s="8"/>
      <c r="G1462" s="8"/>
      <c r="H1462" s="8"/>
      <c r="I1462" s="27"/>
      <c r="J1462" s="8"/>
      <c r="K1462" s="8"/>
      <c r="L1462" s="8"/>
      <c r="N1462" s="8"/>
      <c r="O1462" s="8"/>
    </row>
    <row r="1463" spans="1:15">
      <c r="A1463" s="26"/>
      <c r="B1463" s="26"/>
      <c r="C1463" s="8"/>
      <c r="D1463" s="8"/>
      <c r="E1463" s="8"/>
      <c r="F1463" s="8"/>
      <c r="G1463" s="8"/>
      <c r="H1463" s="8"/>
      <c r="I1463" s="27"/>
      <c r="J1463" s="8"/>
      <c r="K1463" s="8"/>
      <c r="L1463" s="8"/>
      <c r="N1463" s="8"/>
      <c r="O1463" s="8"/>
    </row>
    <row r="1464" spans="1:15">
      <c r="A1464" s="26"/>
      <c r="B1464" s="26"/>
      <c r="C1464" s="8"/>
      <c r="D1464" s="8"/>
      <c r="E1464" s="8"/>
      <c r="F1464" s="8"/>
      <c r="G1464" s="8"/>
      <c r="H1464" s="8"/>
      <c r="I1464" s="27"/>
      <c r="J1464" s="8"/>
      <c r="K1464" s="8"/>
      <c r="L1464" s="8"/>
      <c r="N1464" s="8"/>
      <c r="O1464" s="8"/>
    </row>
    <row r="1465" spans="1:15">
      <c r="A1465" s="26"/>
      <c r="B1465" s="26"/>
      <c r="C1465" s="8"/>
      <c r="D1465" s="8"/>
      <c r="E1465" s="8"/>
      <c r="F1465" s="8"/>
      <c r="G1465" s="8"/>
      <c r="H1465" s="8"/>
      <c r="I1465" s="27"/>
      <c r="J1465" s="8"/>
      <c r="K1465" s="8"/>
      <c r="L1465" s="8"/>
      <c r="N1465" s="8"/>
      <c r="O1465" s="8"/>
    </row>
    <row r="1466" spans="1:15">
      <c r="A1466" s="26"/>
      <c r="B1466" s="26"/>
      <c r="C1466" s="8"/>
      <c r="D1466" s="8"/>
      <c r="E1466" s="8"/>
      <c r="F1466" s="8"/>
      <c r="G1466" s="8"/>
      <c r="H1466" s="8"/>
      <c r="I1466" s="27"/>
      <c r="J1466" s="8"/>
      <c r="K1466" s="8"/>
      <c r="L1466" s="8"/>
      <c r="N1466" s="8"/>
      <c r="O1466" s="8"/>
    </row>
    <row r="1467" spans="1:15">
      <c r="A1467" s="26"/>
      <c r="B1467" s="26"/>
      <c r="C1467" s="8"/>
      <c r="D1467" s="8"/>
      <c r="E1467" s="8"/>
      <c r="F1467" s="8"/>
      <c r="G1467" s="8"/>
      <c r="H1467" s="8"/>
      <c r="I1467" s="27"/>
      <c r="J1467" s="8"/>
      <c r="K1467" s="8"/>
      <c r="L1467" s="8"/>
      <c r="N1467" s="8"/>
      <c r="O1467" s="8"/>
    </row>
    <row r="1468" spans="1:15">
      <c r="A1468" s="26"/>
      <c r="B1468" s="26"/>
      <c r="C1468" s="8"/>
      <c r="D1468" s="8"/>
      <c r="E1468" s="8"/>
      <c r="F1468" s="8"/>
      <c r="G1468" s="8"/>
      <c r="H1468" s="8"/>
      <c r="I1468" s="27"/>
      <c r="J1468" s="8"/>
      <c r="K1468" s="8"/>
      <c r="L1468" s="8"/>
      <c r="N1468" s="8"/>
      <c r="O1468" s="8"/>
    </row>
    <row r="1469" spans="1:15">
      <c r="A1469" s="26"/>
      <c r="B1469" s="26"/>
      <c r="C1469" s="8"/>
      <c r="D1469" s="8"/>
      <c r="E1469" s="8"/>
      <c r="F1469" s="8"/>
      <c r="G1469" s="8"/>
      <c r="H1469" s="8"/>
      <c r="I1469" s="27"/>
      <c r="J1469" s="8"/>
      <c r="K1469" s="8"/>
      <c r="L1469" s="8"/>
      <c r="N1469" s="8"/>
      <c r="O1469" s="8"/>
    </row>
    <row r="1470" spans="1:15">
      <c r="A1470" s="26"/>
      <c r="B1470" s="26"/>
      <c r="C1470" s="8"/>
      <c r="D1470" s="8"/>
      <c r="E1470" s="8"/>
      <c r="F1470" s="8"/>
      <c r="G1470" s="8"/>
      <c r="H1470" s="8"/>
      <c r="I1470" s="27"/>
      <c r="J1470" s="8"/>
      <c r="K1470" s="8"/>
      <c r="L1470" s="8"/>
      <c r="N1470" s="8"/>
      <c r="O1470" s="8"/>
    </row>
    <row r="1471" spans="1:15">
      <c r="A1471" s="26"/>
      <c r="B1471" s="26"/>
      <c r="C1471" s="8"/>
      <c r="D1471" s="8"/>
      <c r="E1471" s="8"/>
      <c r="F1471" s="8"/>
      <c r="G1471" s="8"/>
      <c r="H1471" s="8"/>
      <c r="I1471" s="27"/>
      <c r="J1471" s="8"/>
      <c r="K1471" s="8"/>
      <c r="L1471" s="8"/>
      <c r="N1471" s="8"/>
      <c r="O1471" s="8"/>
    </row>
    <row r="1472" spans="1:15">
      <c r="A1472" s="26"/>
      <c r="B1472" s="26"/>
      <c r="C1472" s="8"/>
      <c r="D1472" s="8"/>
      <c r="E1472" s="8"/>
      <c r="F1472" s="8"/>
      <c r="G1472" s="8"/>
      <c r="H1472" s="8"/>
      <c r="I1472" s="27"/>
      <c r="J1472" s="8"/>
      <c r="K1472" s="8"/>
      <c r="L1472" s="8"/>
      <c r="N1472" s="8"/>
      <c r="O1472" s="8"/>
    </row>
    <row r="1473" spans="1:15">
      <c r="A1473" s="26"/>
      <c r="B1473" s="26"/>
      <c r="C1473" s="8"/>
      <c r="D1473" s="8"/>
      <c r="E1473" s="8"/>
      <c r="F1473" s="8"/>
      <c r="G1473" s="8"/>
      <c r="H1473" s="8"/>
      <c r="I1473" s="27"/>
      <c r="J1473" s="8"/>
      <c r="K1473" s="8"/>
      <c r="L1473" s="8"/>
      <c r="N1473" s="8"/>
      <c r="O1473" s="8"/>
    </row>
    <row r="1474" spans="1:15">
      <c r="A1474" s="26"/>
      <c r="B1474" s="26"/>
      <c r="C1474" s="8"/>
      <c r="D1474" s="8"/>
      <c r="E1474" s="8"/>
      <c r="F1474" s="8"/>
      <c r="G1474" s="8"/>
      <c r="H1474" s="8"/>
      <c r="I1474" s="27"/>
      <c r="J1474" s="8"/>
      <c r="K1474" s="8"/>
      <c r="L1474" s="8"/>
      <c r="N1474" s="8"/>
      <c r="O1474" s="8"/>
    </row>
    <row r="1475" spans="1:15">
      <c r="A1475" s="26"/>
      <c r="B1475" s="26"/>
      <c r="C1475" s="8"/>
      <c r="D1475" s="8"/>
      <c r="E1475" s="8"/>
      <c r="F1475" s="8"/>
      <c r="G1475" s="8"/>
      <c r="H1475" s="8"/>
      <c r="I1475" s="27"/>
      <c r="J1475" s="8"/>
      <c r="K1475" s="8"/>
      <c r="L1475" s="8"/>
      <c r="N1475" s="8"/>
      <c r="O1475" s="8"/>
    </row>
    <row r="1476" spans="1:15">
      <c r="A1476" s="26"/>
      <c r="B1476" s="26"/>
      <c r="C1476" s="8"/>
      <c r="D1476" s="8"/>
      <c r="E1476" s="8"/>
      <c r="F1476" s="8"/>
      <c r="G1476" s="8"/>
      <c r="H1476" s="8"/>
      <c r="I1476" s="27"/>
      <c r="J1476" s="8"/>
      <c r="K1476" s="8"/>
      <c r="L1476" s="8"/>
      <c r="N1476" s="8"/>
      <c r="O1476" s="8"/>
    </row>
    <row r="1477" spans="1:15">
      <c r="A1477" s="26"/>
      <c r="B1477" s="26"/>
      <c r="C1477" s="8"/>
      <c r="D1477" s="8"/>
      <c r="E1477" s="8"/>
      <c r="F1477" s="8"/>
      <c r="G1477" s="8"/>
      <c r="H1477" s="8"/>
      <c r="I1477" s="27"/>
      <c r="J1477" s="8"/>
      <c r="K1477" s="8"/>
      <c r="L1477" s="8"/>
      <c r="N1477" s="8"/>
      <c r="O1477" s="8"/>
    </row>
    <row r="1478" spans="1:15">
      <c r="A1478" s="26"/>
      <c r="B1478" s="26"/>
      <c r="C1478" s="8"/>
      <c r="D1478" s="8"/>
      <c r="E1478" s="8"/>
      <c r="F1478" s="8"/>
      <c r="G1478" s="8"/>
      <c r="H1478" s="8"/>
      <c r="I1478" s="27"/>
      <c r="J1478" s="8"/>
      <c r="K1478" s="8"/>
      <c r="L1478" s="8"/>
      <c r="N1478" s="8"/>
      <c r="O1478" s="8"/>
    </row>
    <row r="1479" spans="1:15">
      <c r="A1479" s="26"/>
      <c r="B1479" s="26"/>
      <c r="C1479" s="8"/>
      <c r="D1479" s="8"/>
      <c r="E1479" s="8"/>
      <c r="F1479" s="8"/>
      <c r="G1479" s="8"/>
      <c r="H1479" s="8"/>
      <c r="I1479" s="27"/>
      <c r="J1479" s="8"/>
      <c r="K1479" s="8"/>
      <c r="L1479" s="8"/>
      <c r="N1479" s="8"/>
      <c r="O1479" s="8"/>
    </row>
    <row r="1480" spans="1:15">
      <c r="A1480" s="26"/>
      <c r="B1480" s="26"/>
      <c r="C1480" s="8"/>
      <c r="D1480" s="8"/>
      <c r="E1480" s="8"/>
      <c r="F1480" s="8"/>
      <c r="G1480" s="8"/>
      <c r="H1480" s="8"/>
      <c r="I1480" s="27"/>
      <c r="J1480" s="8"/>
      <c r="K1480" s="8"/>
      <c r="L1480" s="8"/>
      <c r="N1480" s="8"/>
      <c r="O1480" s="8"/>
    </row>
    <row r="1481" spans="1:15">
      <c r="A1481" s="26"/>
      <c r="B1481" s="26"/>
      <c r="C1481" s="8"/>
      <c r="D1481" s="8"/>
      <c r="E1481" s="8"/>
      <c r="F1481" s="8"/>
      <c r="G1481" s="8"/>
      <c r="H1481" s="8"/>
      <c r="I1481" s="27"/>
      <c r="J1481" s="8"/>
      <c r="K1481" s="8"/>
      <c r="L1481" s="8"/>
      <c r="N1481" s="8"/>
      <c r="O1481" s="8"/>
    </row>
    <row r="1482" spans="1:15">
      <c r="A1482" s="26"/>
      <c r="B1482" s="26"/>
      <c r="C1482" s="8"/>
      <c r="D1482" s="8"/>
      <c r="E1482" s="8"/>
      <c r="F1482" s="8"/>
      <c r="G1482" s="8"/>
      <c r="H1482" s="8"/>
      <c r="I1482" s="27"/>
      <c r="J1482" s="8"/>
      <c r="K1482" s="8"/>
      <c r="L1482" s="8"/>
      <c r="N1482" s="8"/>
      <c r="O1482" s="8"/>
    </row>
    <row r="1483" spans="1:15">
      <c r="A1483" s="26"/>
      <c r="B1483" s="26"/>
      <c r="C1483" s="8"/>
      <c r="D1483" s="8"/>
      <c r="E1483" s="8"/>
      <c r="F1483" s="8"/>
      <c r="G1483" s="8"/>
      <c r="H1483" s="8"/>
      <c r="I1483" s="27"/>
      <c r="J1483" s="8"/>
      <c r="K1483" s="8"/>
      <c r="L1483" s="8"/>
      <c r="N1483" s="8"/>
      <c r="O1483" s="8"/>
    </row>
    <row r="1484" spans="1:15">
      <c r="A1484" s="26"/>
      <c r="B1484" s="26"/>
      <c r="C1484" s="8"/>
      <c r="D1484" s="8"/>
      <c r="E1484" s="8"/>
      <c r="F1484" s="8"/>
      <c r="G1484" s="8"/>
      <c r="H1484" s="8"/>
      <c r="I1484" s="27"/>
      <c r="J1484" s="8"/>
      <c r="K1484" s="8"/>
      <c r="L1484" s="8"/>
      <c r="N1484" s="8"/>
      <c r="O1484" s="8"/>
    </row>
    <row r="1485" spans="1:15">
      <c r="A1485" s="26"/>
      <c r="B1485" s="26"/>
      <c r="C1485" s="8"/>
      <c r="D1485" s="8"/>
      <c r="E1485" s="8"/>
      <c r="F1485" s="8"/>
      <c r="G1485" s="8"/>
      <c r="H1485" s="8"/>
      <c r="I1485" s="27"/>
      <c r="J1485" s="8"/>
      <c r="K1485" s="8"/>
      <c r="L1485" s="8"/>
      <c r="N1485" s="8"/>
      <c r="O1485" s="8"/>
    </row>
    <row r="1486" spans="1:15">
      <c r="A1486" s="26"/>
      <c r="B1486" s="26"/>
      <c r="C1486" s="8"/>
      <c r="D1486" s="8"/>
      <c r="E1486" s="8"/>
      <c r="F1486" s="8"/>
      <c r="G1486" s="8"/>
      <c r="H1486" s="8"/>
      <c r="I1486" s="27"/>
      <c r="J1486" s="8"/>
      <c r="K1486" s="8"/>
      <c r="L1486" s="8"/>
      <c r="N1486" s="8"/>
      <c r="O1486" s="8"/>
    </row>
    <row r="1487" spans="1:15">
      <c r="A1487" s="26"/>
      <c r="B1487" s="26"/>
      <c r="C1487" s="8"/>
      <c r="D1487" s="8"/>
      <c r="E1487" s="8"/>
      <c r="F1487" s="8"/>
      <c r="G1487" s="8"/>
      <c r="H1487" s="8"/>
      <c r="I1487" s="27"/>
      <c r="J1487" s="8"/>
      <c r="K1487" s="8"/>
      <c r="L1487" s="8"/>
      <c r="N1487" s="8"/>
      <c r="O1487" s="8"/>
    </row>
    <row r="1488" spans="1:15">
      <c r="A1488" s="26"/>
      <c r="B1488" s="26"/>
      <c r="C1488" s="8"/>
      <c r="D1488" s="8"/>
      <c r="E1488" s="8"/>
      <c r="F1488" s="8"/>
      <c r="G1488" s="8"/>
      <c r="H1488" s="8"/>
      <c r="I1488" s="27"/>
      <c r="J1488" s="8"/>
      <c r="K1488" s="8"/>
      <c r="L1488" s="8"/>
      <c r="N1488" s="8"/>
      <c r="O1488" s="8"/>
    </row>
    <row r="1489" spans="1:15">
      <c r="A1489" s="26"/>
      <c r="B1489" s="26"/>
      <c r="C1489" s="8"/>
      <c r="D1489" s="8"/>
      <c r="E1489" s="8"/>
      <c r="F1489" s="8"/>
      <c r="G1489" s="8"/>
      <c r="H1489" s="8"/>
      <c r="I1489" s="27"/>
      <c r="J1489" s="8"/>
      <c r="K1489" s="8"/>
      <c r="L1489" s="8"/>
      <c r="N1489" s="8"/>
      <c r="O1489" s="8"/>
    </row>
    <row r="1490" spans="1:15">
      <c r="A1490" s="26"/>
      <c r="B1490" s="26"/>
      <c r="C1490" s="8"/>
      <c r="D1490" s="8"/>
      <c r="E1490" s="8"/>
      <c r="F1490" s="8"/>
      <c r="G1490" s="8"/>
      <c r="H1490" s="8"/>
      <c r="I1490" s="27"/>
      <c r="J1490" s="8"/>
      <c r="K1490" s="8"/>
      <c r="L1490" s="8"/>
      <c r="N1490" s="8"/>
      <c r="O1490" s="8"/>
    </row>
    <row r="1491" spans="1:15">
      <c r="A1491" s="26"/>
      <c r="B1491" s="26"/>
      <c r="C1491" s="8"/>
      <c r="D1491" s="8"/>
      <c r="E1491" s="8"/>
      <c r="F1491" s="8"/>
      <c r="G1491" s="8"/>
      <c r="H1491" s="8"/>
      <c r="I1491" s="27"/>
      <c r="J1491" s="8"/>
      <c r="K1491" s="8"/>
      <c r="L1491" s="8"/>
      <c r="N1491" s="8"/>
      <c r="O1491" s="8"/>
    </row>
    <row r="1492" spans="1:15">
      <c r="A1492" s="26"/>
      <c r="B1492" s="26"/>
      <c r="C1492" s="8"/>
      <c r="D1492" s="8"/>
      <c r="E1492" s="8"/>
      <c r="F1492" s="8"/>
      <c r="G1492" s="8"/>
      <c r="H1492" s="8"/>
      <c r="I1492" s="27"/>
      <c r="J1492" s="8"/>
      <c r="K1492" s="8"/>
      <c r="L1492" s="8"/>
      <c r="N1492" s="8"/>
      <c r="O1492" s="8"/>
    </row>
    <row r="1493" spans="1:15">
      <c r="A1493" s="26"/>
      <c r="B1493" s="26"/>
      <c r="C1493" s="8"/>
      <c r="D1493" s="8"/>
      <c r="E1493" s="8"/>
      <c r="F1493" s="8"/>
      <c r="G1493" s="8"/>
      <c r="H1493" s="8"/>
      <c r="I1493" s="27"/>
      <c r="J1493" s="8"/>
      <c r="K1493" s="8"/>
      <c r="L1493" s="8"/>
      <c r="N1493" s="8"/>
      <c r="O1493" s="8"/>
    </row>
    <row r="1494" spans="1:15">
      <c r="A1494" s="26"/>
      <c r="B1494" s="26"/>
      <c r="C1494" s="8"/>
      <c r="D1494" s="8"/>
      <c r="E1494" s="8"/>
      <c r="F1494" s="8"/>
      <c r="G1494" s="8"/>
      <c r="H1494" s="8"/>
      <c r="I1494" s="27"/>
      <c r="J1494" s="8"/>
      <c r="K1494" s="8"/>
      <c r="L1494" s="8"/>
      <c r="N1494" s="8"/>
      <c r="O1494" s="8"/>
    </row>
    <row r="1495" spans="1:15">
      <c r="A1495" s="26"/>
      <c r="B1495" s="26"/>
      <c r="C1495" s="8"/>
      <c r="D1495" s="8"/>
      <c r="E1495" s="8"/>
      <c r="F1495" s="8"/>
      <c r="G1495" s="8"/>
      <c r="H1495" s="8"/>
      <c r="I1495" s="27"/>
      <c r="J1495" s="8"/>
      <c r="K1495" s="8"/>
      <c r="L1495" s="8"/>
      <c r="N1495" s="8"/>
      <c r="O1495" s="8"/>
    </row>
    <row r="1496" spans="1:15">
      <c r="A1496" s="26"/>
      <c r="B1496" s="26"/>
      <c r="C1496" s="8"/>
      <c r="D1496" s="8"/>
      <c r="E1496" s="8"/>
      <c r="F1496" s="8"/>
      <c r="G1496" s="8"/>
      <c r="H1496" s="8"/>
      <c r="I1496" s="27"/>
      <c r="J1496" s="8"/>
      <c r="K1496" s="8"/>
      <c r="L1496" s="8"/>
      <c r="N1496" s="8"/>
      <c r="O1496" s="8"/>
    </row>
    <row r="1497" spans="1:15">
      <c r="A1497" s="26"/>
      <c r="B1497" s="26"/>
      <c r="C1497" s="8"/>
      <c r="D1497" s="8"/>
      <c r="E1497" s="8"/>
      <c r="F1497" s="8"/>
      <c r="G1497" s="8"/>
      <c r="H1497" s="8"/>
      <c r="I1497" s="27"/>
      <c r="J1497" s="8"/>
      <c r="K1497" s="8"/>
      <c r="L1497" s="8"/>
      <c r="N1497" s="8"/>
      <c r="O1497" s="8"/>
    </row>
    <row r="1498" spans="1:15">
      <c r="A1498" s="26"/>
      <c r="B1498" s="26"/>
      <c r="C1498" s="8"/>
      <c r="D1498" s="8"/>
      <c r="E1498" s="8"/>
      <c r="F1498" s="8"/>
      <c r="G1498" s="8"/>
      <c r="H1498" s="8"/>
      <c r="I1498" s="27"/>
      <c r="J1498" s="8"/>
      <c r="K1498" s="8"/>
      <c r="L1498" s="8"/>
      <c r="N1498" s="8"/>
      <c r="O1498" s="8"/>
    </row>
    <row r="1499" spans="1:15">
      <c r="A1499" s="26"/>
      <c r="B1499" s="26"/>
      <c r="C1499" s="8"/>
      <c r="D1499" s="8"/>
      <c r="E1499" s="8"/>
      <c r="F1499" s="8"/>
      <c r="G1499" s="8"/>
      <c r="H1499" s="8"/>
      <c r="I1499" s="27"/>
      <c r="J1499" s="8"/>
      <c r="K1499" s="8"/>
      <c r="L1499" s="8"/>
      <c r="N1499" s="8"/>
      <c r="O1499" s="8"/>
    </row>
    <row r="1500" spans="1:15">
      <c r="A1500" s="26"/>
      <c r="B1500" s="26"/>
      <c r="C1500" s="8"/>
      <c r="D1500" s="8"/>
      <c r="E1500" s="8"/>
      <c r="F1500" s="8"/>
      <c r="G1500" s="8"/>
      <c r="H1500" s="8"/>
      <c r="I1500" s="27"/>
      <c r="J1500" s="8"/>
      <c r="K1500" s="8"/>
      <c r="L1500" s="8"/>
      <c r="N1500" s="8"/>
      <c r="O1500" s="8"/>
    </row>
    <row r="1501" spans="1:15">
      <c r="A1501" s="26"/>
      <c r="B1501" s="26"/>
      <c r="C1501" s="8"/>
      <c r="D1501" s="8"/>
      <c r="E1501" s="8"/>
      <c r="F1501" s="8"/>
      <c r="G1501" s="8"/>
      <c r="H1501" s="8"/>
      <c r="I1501" s="27"/>
      <c r="J1501" s="8"/>
      <c r="K1501" s="8"/>
      <c r="L1501" s="8"/>
      <c r="N1501" s="8"/>
      <c r="O1501" s="8"/>
    </row>
    <row r="1502" spans="1:15">
      <c r="A1502" s="26"/>
      <c r="B1502" s="26"/>
      <c r="C1502" s="8"/>
      <c r="D1502" s="8"/>
      <c r="E1502" s="8"/>
      <c r="F1502" s="8"/>
      <c r="G1502" s="8"/>
      <c r="H1502" s="8"/>
      <c r="I1502" s="27"/>
      <c r="J1502" s="8"/>
      <c r="K1502" s="8"/>
      <c r="L1502" s="8"/>
      <c r="N1502" s="8"/>
      <c r="O1502" s="8"/>
    </row>
    <row r="1503" spans="1:15">
      <c r="A1503" s="26"/>
      <c r="B1503" s="26"/>
      <c r="C1503" s="8"/>
      <c r="D1503" s="8"/>
      <c r="E1503" s="8"/>
      <c r="F1503" s="8"/>
      <c r="G1503" s="8"/>
      <c r="H1503" s="8"/>
      <c r="I1503" s="27"/>
      <c r="J1503" s="8"/>
      <c r="K1503" s="8"/>
      <c r="L1503" s="8"/>
      <c r="N1503" s="8"/>
      <c r="O1503" s="8"/>
    </row>
    <row r="1504" spans="1:15">
      <c r="A1504" s="26"/>
      <c r="B1504" s="26"/>
      <c r="C1504" s="8"/>
      <c r="D1504" s="8"/>
      <c r="E1504" s="8"/>
      <c r="F1504" s="8"/>
      <c r="G1504" s="8"/>
      <c r="H1504" s="8"/>
      <c r="I1504" s="27"/>
      <c r="J1504" s="8"/>
      <c r="K1504" s="8"/>
      <c r="L1504" s="8"/>
      <c r="N1504" s="8"/>
      <c r="O1504" s="8"/>
    </row>
    <row r="1505" spans="1:15">
      <c r="A1505" s="26"/>
      <c r="B1505" s="26"/>
      <c r="C1505" s="8"/>
      <c r="D1505" s="8"/>
      <c r="E1505" s="8"/>
      <c r="F1505" s="8"/>
      <c r="G1505" s="8"/>
      <c r="H1505" s="8"/>
      <c r="I1505" s="27"/>
      <c r="J1505" s="8"/>
      <c r="K1505" s="8"/>
      <c r="L1505" s="8"/>
      <c r="N1505" s="8"/>
      <c r="O1505" s="8"/>
    </row>
    <row r="1506" spans="1:15">
      <c r="A1506" s="26"/>
      <c r="B1506" s="26"/>
      <c r="C1506" s="8"/>
      <c r="D1506" s="8"/>
      <c r="E1506" s="8"/>
      <c r="F1506" s="8"/>
      <c r="G1506" s="8"/>
      <c r="H1506" s="8"/>
      <c r="I1506" s="27"/>
      <c r="J1506" s="8"/>
      <c r="K1506" s="8"/>
      <c r="L1506" s="8"/>
      <c r="N1506" s="8"/>
      <c r="O1506" s="8"/>
    </row>
    <row r="1507" spans="1:15">
      <c r="A1507" s="26"/>
      <c r="B1507" s="26"/>
      <c r="C1507" s="8"/>
      <c r="D1507" s="8"/>
      <c r="E1507" s="8"/>
      <c r="F1507" s="8"/>
      <c r="G1507" s="8"/>
      <c r="H1507" s="8"/>
      <c r="I1507" s="27"/>
      <c r="J1507" s="8"/>
      <c r="K1507" s="8"/>
      <c r="L1507" s="8"/>
      <c r="N1507" s="8"/>
      <c r="O1507" s="8"/>
    </row>
    <row r="1508" spans="1:15">
      <c r="A1508" s="26"/>
      <c r="B1508" s="26"/>
      <c r="C1508" s="8"/>
      <c r="D1508" s="8"/>
      <c r="E1508" s="8"/>
      <c r="F1508" s="8"/>
      <c r="G1508" s="8"/>
      <c r="H1508" s="8"/>
      <c r="I1508" s="27"/>
      <c r="J1508" s="8"/>
      <c r="K1508" s="8"/>
      <c r="L1508" s="8"/>
      <c r="N1508" s="8"/>
      <c r="O1508" s="8"/>
    </row>
    <row r="1509" spans="1:15">
      <c r="A1509" s="26"/>
      <c r="B1509" s="26"/>
      <c r="C1509" s="8"/>
      <c r="D1509" s="8"/>
      <c r="E1509" s="8"/>
      <c r="F1509" s="8"/>
      <c r="G1509" s="8"/>
      <c r="H1509" s="8"/>
      <c r="I1509" s="27"/>
      <c r="J1509" s="8"/>
      <c r="K1509" s="8"/>
      <c r="L1509" s="8"/>
      <c r="N1509" s="8"/>
      <c r="O1509" s="8"/>
    </row>
    <row r="1510" spans="1:15">
      <c r="A1510" s="26"/>
      <c r="B1510" s="26"/>
      <c r="C1510" s="8"/>
      <c r="D1510" s="8"/>
      <c r="E1510" s="8"/>
      <c r="F1510" s="8"/>
      <c r="G1510" s="8"/>
      <c r="H1510" s="8"/>
      <c r="I1510" s="27"/>
      <c r="J1510" s="8"/>
      <c r="K1510" s="8"/>
      <c r="L1510" s="8"/>
      <c r="N1510" s="8"/>
      <c r="O1510" s="8"/>
    </row>
    <row r="1511" spans="1:15">
      <c r="A1511" s="26"/>
      <c r="B1511" s="26"/>
      <c r="C1511" s="8"/>
      <c r="D1511" s="8"/>
      <c r="E1511" s="8"/>
      <c r="F1511" s="8"/>
      <c r="G1511" s="8"/>
      <c r="H1511" s="8"/>
      <c r="I1511" s="27"/>
      <c r="J1511" s="8"/>
      <c r="K1511" s="8"/>
      <c r="L1511" s="8"/>
      <c r="N1511" s="8"/>
      <c r="O1511" s="8"/>
    </row>
    <row r="1512" spans="1:15">
      <c r="A1512" s="26"/>
      <c r="B1512" s="26"/>
      <c r="C1512" s="8"/>
      <c r="D1512" s="8"/>
      <c r="E1512" s="8"/>
      <c r="F1512" s="8"/>
      <c r="G1512" s="8"/>
      <c r="H1512" s="8"/>
      <c r="I1512" s="27"/>
      <c r="J1512" s="8"/>
      <c r="K1512" s="8"/>
      <c r="L1512" s="8"/>
      <c r="N1512" s="8"/>
      <c r="O1512" s="8"/>
    </row>
    <row r="1513" spans="1:15">
      <c r="A1513" s="26"/>
      <c r="B1513" s="26"/>
      <c r="C1513" s="8"/>
      <c r="D1513" s="8"/>
      <c r="E1513" s="8"/>
      <c r="F1513" s="8"/>
      <c r="G1513" s="8"/>
      <c r="H1513" s="8"/>
      <c r="I1513" s="27"/>
      <c r="J1513" s="8"/>
      <c r="K1513" s="8"/>
      <c r="L1513" s="8"/>
      <c r="N1513" s="8"/>
      <c r="O1513" s="8"/>
    </row>
    <row r="1514" spans="1:15">
      <c r="A1514" s="26"/>
      <c r="B1514" s="26"/>
      <c r="C1514" s="8"/>
      <c r="D1514" s="8"/>
      <c r="E1514" s="8"/>
      <c r="F1514" s="8"/>
      <c r="G1514" s="8"/>
      <c r="H1514" s="8"/>
      <c r="I1514" s="27"/>
      <c r="J1514" s="8"/>
      <c r="K1514" s="8"/>
      <c r="L1514" s="8"/>
      <c r="N1514" s="8"/>
      <c r="O1514" s="8"/>
    </row>
    <row r="1515" spans="1:15">
      <c r="A1515" s="26"/>
      <c r="B1515" s="26"/>
      <c r="C1515" s="8"/>
      <c r="D1515" s="8"/>
      <c r="E1515" s="8"/>
      <c r="F1515" s="8"/>
      <c r="G1515" s="8"/>
      <c r="H1515" s="8"/>
      <c r="I1515" s="27"/>
      <c r="J1515" s="8"/>
      <c r="K1515" s="8"/>
      <c r="L1515" s="8"/>
      <c r="N1515" s="8"/>
      <c r="O1515" s="8"/>
    </row>
    <row r="1516" spans="1:15">
      <c r="A1516" s="26"/>
      <c r="B1516" s="26"/>
      <c r="C1516" s="8"/>
      <c r="D1516" s="8"/>
      <c r="E1516" s="8"/>
      <c r="F1516" s="8"/>
      <c r="G1516" s="8"/>
      <c r="H1516" s="8"/>
      <c r="I1516" s="27"/>
      <c r="J1516" s="8"/>
      <c r="K1516" s="8"/>
      <c r="L1516" s="8"/>
      <c r="N1516" s="8"/>
      <c r="O1516" s="8"/>
    </row>
    <row r="1517" spans="1:15">
      <c r="A1517" s="26"/>
      <c r="B1517" s="26"/>
      <c r="C1517" s="8"/>
      <c r="D1517" s="8"/>
      <c r="E1517" s="8"/>
      <c r="F1517" s="8"/>
      <c r="G1517" s="8"/>
      <c r="H1517" s="8"/>
      <c r="I1517" s="27"/>
      <c r="J1517" s="8"/>
      <c r="K1517" s="8"/>
      <c r="L1517" s="8"/>
      <c r="N1517" s="8"/>
      <c r="O1517" s="8"/>
    </row>
    <row r="1518" spans="1:15">
      <c r="A1518" s="26"/>
      <c r="B1518" s="26"/>
      <c r="C1518" s="8"/>
      <c r="D1518" s="8"/>
      <c r="E1518" s="8"/>
      <c r="F1518" s="8"/>
      <c r="G1518" s="8"/>
      <c r="H1518" s="8"/>
      <c r="I1518" s="27"/>
      <c r="J1518" s="8"/>
      <c r="K1518" s="8"/>
      <c r="L1518" s="8"/>
      <c r="N1518" s="8"/>
      <c r="O1518" s="8"/>
    </row>
    <row r="1519" spans="1:15">
      <c r="A1519" s="26"/>
      <c r="B1519" s="26"/>
      <c r="C1519" s="8"/>
      <c r="D1519" s="8"/>
      <c r="E1519" s="8"/>
      <c r="F1519" s="8"/>
      <c r="G1519" s="8"/>
      <c r="H1519" s="8"/>
      <c r="I1519" s="27"/>
      <c r="J1519" s="8"/>
      <c r="K1519" s="8"/>
      <c r="L1519" s="8"/>
      <c r="N1519" s="8"/>
      <c r="O1519" s="8"/>
    </row>
    <row r="1520" spans="1:15">
      <c r="A1520" s="26"/>
      <c r="B1520" s="26"/>
      <c r="C1520" s="8"/>
      <c r="D1520" s="8"/>
      <c r="E1520" s="8"/>
      <c r="F1520" s="8"/>
      <c r="G1520" s="8"/>
      <c r="H1520" s="8"/>
      <c r="I1520" s="27"/>
      <c r="J1520" s="8"/>
      <c r="K1520" s="8"/>
      <c r="L1520" s="8"/>
      <c r="N1520" s="8"/>
      <c r="O1520" s="8"/>
    </row>
    <row r="1521" spans="1:15">
      <c r="A1521" s="26"/>
      <c r="B1521" s="26"/>
      <c r="C1521" s="8"/>
      <c r="D1521" s="8"/>
      <c r="E1521" s="8"/>
      <c r="F1521" s="8"/>
      <c r="G1521" s="8"/>
      <c r="H1521" s="8"/>
      <c r="I1521" s="27"/>
      <c r="J1521" s="8"/>
      <c r="K1521" s="8"/>
      <c r="L1521" s="8"/>
      <c r="N1521" s="8"/>
      <c r="O1521" s="8"/>
    </row>
    <row r="1522" spans="1:15">
      <c r="A1522" s="26"/>
      <c r="B1522" s="26"/>
      <c r="C1522" s="8"/>
      <c r="D1522" s="8"/>
      <c r="E1522" s="8"/>
      <c r="F1522" s="8"/>
      <c r="G1522" s="8"/>
      <c r="H1522" s="8"/>
      <c r="I1522" s="27"/>
      <c r="J1522" s="8"/>
      <c r="K1522" s="8"/>
      <c r="L1522" s="8"/>
      <c r="N1522" s="8"/>
      <c r="O1522" s="8"/>
    </row>
    <row r="1523" spans="1:15">
      <c r="A1523" s="26"/>
      <c r="B1523" s="26"/>
      <c r="C1523" s="8"/>
      <c r="D1523" s="8"/>
      <c r="E1523" s="8"/>
      <c r="F1523" s="8"/>
      <c r="G1523" s="8"/>
      <c r="H1523" s="8"/>
      <c r="I1523" s="27"/>
      <c r="J1523" s="8"/>
      <c r="K1523" s="8"/>
      <c r="L1523" s="8"/>
      <c r="N1523" s="8"/>
      <c r="O1523" s="8"/>
    </row>
    <row r="1524" spans="1:15">
      <c r="A1524" s="26"/>
      <c r="B1524" s="26"/>
      <c r="C1524" s="8"/>
      <c r="D1524" s="8"/>
      <c r="E1524" s="8"/>
      <c r="F1524" s="8"/>
      <c r="G1524" s="8"/>
      <c r="H1524" s="8"/>
      <c r="I1524" s="27"/>
      <c r="J1524" s="8"/>
      <c r="K1524" s="8"/>
      <c r="L1524" s="8"/>
      <c r="N1524" s="8"/>
      <c r="O1524" s="8"/>
    </row>
    <row r="1525" spans="1:15">
      <c r="A1525" s="26"/>
      <c r="B1525" s="26"/>
      <c r="C1525" s="8"/>
      <c r="D1525" s="8"/>
      <c r="E1525" s="8"/>
      <c r="F1525" s="8"/>
      <c r="G1525" s="8"/>
      <c r="H1525" s="8"/>
      <c r="I1525" s="27"/>
      <c r="J1525" s="8"/>
      <c r="K1525" s="8"/>
      <c r="L1525" s="8"/>
      <c r="N1525" s="8"/>
      <c r="O1525" s="8"/>
    </row>
    <row r="1526" spans="1:15">
      <c r="A1526" s="26"/>
      <c r="B1526" s="26"/>
      <c r="C1526" s="8"/>
      <c r="D1526" s="8"/>
      <c r="E1526" s="8"/>
      <c r="F1526" s="8"/>
      <c r="G1526" s="8"/>
      <c r="H1526" s="8"/>
      <c r="I1526" s="27"/>
      <c r="J1526" s="8"/>
      <c r="K1526" s="8"/>
      <c r="L1526" s="8"/>
      <c r="N1526" s="8"/>
      <c r="O1526" s="8"/>
    </row>
    <row r="1527" spans="1:15">
      <c r="A1527" s="26"/>
      <c r="B1527" s="26"/>
      <c r="C1527" s="8"/>
      <c r="D1527" s="8"/>
      <c r="E1527" s="8"/>
      <c r="F1527" s="8"/>
      <c r="G1527" s="8"/>
      <c r="H1527" s="8"/>
      <c r="I1527" s="27"/>
      <c r="J1527" s="8"/>
      <c r="K1527" s="8"/>
      <c r="L1527" s="8"/>
      <c r="N1527" s="8"/>
      <c r="O1527" s="8"/>
    </row>
    <row r="1528" spans="1:15">
      <c r="A1528" s="26"/>
      <c r="B1528" s="26"/>
      <c r="C1528" s="8"/>
      <c r="D1528" s="8"/>
      <c r="E1528" s="8"/>
      <c r="F1528" s="8"/>
      <c r="G1528" s="8"/>
      <c r="H1528" s="8"/>
      <c r="I1528" s="27"/>
      <c r="J1528" s="8"/>
      <c r="K1528" s="8"/>
      <c r="L1528" s="8"/>
      <c r="N1528" s="8"/>
      <c r="O1528" s="8"/>
    </row>
    <row r="1529" spans="1:15">
      <c r="A1529" s="26"/>
      <c r="B1529" s="26"/>
      <c r="C1529" s="8"/>
      <c r="D1529" s="8"/>
      <c r="E1529" s="8"/>
      <c r="F1529" s="8"/>
      <c r="G1529" s="8"/>
      <c r="H1529" s="8"/>
      <c r="I1529" s="27"/>
      <c r="J1529" s="8"/>
      <c r="K1529" s="8"/>
      <c r="L1529" s="8"/>
      <c r="N1529" s="8"/>
      <c r="O1529" s="8"/>
    </row>
    <row r="1530" spans="1:15">
      <c r="A1530" s="26"/>
      <c r="B1530" s="26"/>
      <c r="C1530" s="8"/>
      <c r="D1530" s="8"/>
      <c r="E1530" s="8"/>
      <c r="F1530" s="8"/>
      <c r="G1530" s="8"/>
      <c r="H1530" s="8"/>
      <c r="I1530" s="27"/>
      <c r="J1530" s="8"/>
      <c r="K1530" s="8"/>
      <c r="L1530" s="8"/>
      <c r="N1530" s="8"/>
      <c r="O1530" s="8"/>
    </row>
    <row r="1531" spans="1:15">
      <c r="A1531" s="26"/>
      <c r="B1531" s="26"/>
      <c r="C1531" s="8"/>
      <c r="D1531" s="8"/>
      <c r="E1531" s="8"/>
      <c r="F1531" s="8"/>
      <c r="G1531" s="8"/>
      <c r="H1531" s="8"/>
      <c r="I1531" s="27"/>
      <c r="J1531" s="8"/>
      <c r="K1531" s="8"/>
      <c r="L1531" s="8"/>
      <c r="N1531" s="8"/>
      <c r="O1531" s="8"/>
    </row>
    <row r="1532" spans="1:15">
      <c r="A1532" s="26"/>
      <c r="B1532" s="26"/>
      <c r="C1532" s="8"/>
      <c r="D1532" s="8"/>
      <c r="E1532" s="8"/>
      <c r="F1532" s="8"/>
      <c r="G1532" s="8"/>
      <c r="H1532" s="8"/>
      <c r="I1532" s="27"/>
      <c r="J1532" s="8"/>
      <c r="K1532" s="8"/>
      <c r="L1532" s="8"/>
      <c r="N1532" s="8"/>
      <c r="O1532" s="8"/>
    </row>
    <row r="1533" spans="1:15">
      <c r="A1533" s="26"/>
      <c r="B1533" s="26"/>
      <c r="C1533" s="8"/>
      <c r="D1533" s="8"/>
      <c r="E1533" s="8"/>
      <c r="F1533" s="8"/>
      <c r="G1533" s="8"/>
      <c r="H1533" s="8"/>
      <c r="I1533" s="27"/>
      <c r="J1533" s="8"/>
      <c r="K1533" s="8"/>
      <c r="L1533" s="8"/>
      <c r="N1533" s="8"/>
      <c r="O1533" s="8"/>
    </row>
    <row r="1534" spans="1:15">
      <c r="A1534" s="26"/>
      <c r="B1534" s="26"/>
      <c r="C1534" s="8"/>
      <c r="D1534" s="8"/>
      <c r="E1534" s="8"/>
      <c r="F1534" s="8"/>
      <c r="G1534" s="8"/>
      <c r="H1534" s="8"/>
      <c r="I1534" s="27"/>
      <c r="J1534" s="8"/>
      <c r="K1534" s="8"/>
      <c r="L1534" s="8"/>
      <c r="N1534" s="8"/>
      <c r="O1534" s="8"/>
    </row>
    <row r="1535" spans="1:15">
      <c r="A1535" s="26"/>
      <c r="B1535" s="26"/>
      <c r="C1535" s="8"/>
      <c r="D1535" s="8"/>
      <c r="E1535" s="8"/>
      <c r="F1535" s="8"/>
      <c r="G1535" s="8"/>
      <c r="H1535" s="8"/>
      <c r="I1535" s="27"/>
      <c r="J1535" s="8"/>
      <c r="K1535" s="8"/>
      <c r="L1535" s="8"/>
      <c r="N1535" s="8"/>
      <c r="O1535" s="8"/>
    </row>
    <row r="1536" spans="1:15">
      <c r="A1536" s="26"/>
      <c r="B1536" s="26"/>
      <c r="C1536" s="8"/>
      <c r="D1536" s="8"/>
      <c r="E1536" s="8"/>
      <c r="F1536" s="8"/>
      <c r="G1536" s="8"/>
      <c r="H1536" s="8"/>
      <c r="I1536" s="27"/>
      <c r="J1536" s="8"/>
      <c r="K1536" s="8"/>
      <c r="L1536" s="8"/>
      <c r="N1536" s="8"/>
      <c r="O1536" s="8"/>
    </row>
    <row r="1537" spans="1:15">
      <c r="A1537" s="26"/>
      <c r="B1537" s="26"/>
      <c r="C1537" s="8"/>
      <c r="D1537" s="8"/>
      <c r="E1537" s="8"/>
      <c r="F1537" s="8"/>
      <c r="G1537" s="8"/>
      <c r="H1537" s="8"/>
      <c r="I1537" s="27"/>
      <c r="J1537" s="8"/>
      <c r="K1537" s="8"/>
      <c r="L1537" s="8"/>
      <c r="N1537" s="8"/>
      <c r="O1537" s="8"/>
    </row>
    <row r="1538" spans="1:15">
      <c r="A1538" s="26"/>
      <c r="B1538" s="26"/>
      <c r="C1538" s="8"/>
      <c r="D1538" s="8"/>
      <c r="E1538" s="8"/>
      <c r="F1538" s="8"/>
      <c r="G1538" s="8"/>
      <c r="H1538" s="8"/>
      <c r="I1538" s="27"/>
      <c r="J1538" s="8"/>
      <c r="K1538" s="8"/>
      <c r="L1538" s="8"/>
      <c r="N1538" s="8"/>
      <c r="O1538" s="8"/>
    </row>
    <row r="1539" spans="1:15">
      <c r="A1539" s="26"/>
      <c r="B1539" s="26"/>
      <c r="C1539" s="8"/>
      <c r="D1539" s="8"/>
      <c r="E1539" s="8"/>
      <c r="F1539" s="8"/>
      <c r="G1539" s="8"/>
      <c r="H1539" s="8"/>
      <c r="I1539" s="27"/>
      <c r="J1539" s="8"/>
      <c r="K1539" s="8"/>
      <c r="L1539" s="8"/>
      <c r="N1539" s="8"/>
      <c r="O1539" s="8"/>
    </row>
    <row r="1540" spans="1:15">
      <c r="A1540" s="26"/>
      <c r="B1540" s="26"/>
      <c r="C1540" s="8"/>
      <c r="D1540" s="8"/>
      <c r="E1540" s="8"/>
      <c r="F1540" s="8"/>
      <c r="G1540" s="8"/>
      <c r="H1540" s="8"/>
      <c r="I1540" s="27"/>
      <c r="J1540" s="8"/>
      <c r="K1540" s="8"/>
      <c r="L1540" s="8"/>
      <c r="N1540" s="8"/>
      <c r="O1540" s="8"/>
    </row>
    <row r="1541" spans="1:15">
      <c r="A1541" s="26"/>
      <c r="B1541" s="26"/>
      <c r="C1541" s="8"/>
      <c r="D1541" s="8"/>
      <c r="E1541" s="8"/>
      <c r="F1541" s="8"/>
      <c r="G1541" s="8"/>
      <c r="H1541" s="8"/>
      <c r="I1541" s="27"/>
      <c r="J1541" s="8"/>
      <c r="K1541" s="8"/>
      <c r="L1541" s="8"/>
      <c r="N1541" s="8"/>
      <c r="O1541" s="8"/>
    </row>
    <row r="1542" spans="1:15">
      <c r="A1542" s="26"/>
      <c r="B1542" s="26"/>
      <c r="C1542" s="8"/>
      <c r="D1542" s="8"/>
      <c r="E1542" s="8"/>
      <c r="F1542" s="8"/>
      <c r="G1542" s="8"/>
      <c r="H1542" s="8"/>
      <c r="I1542" s="27"/>
      <c r="J1542" s="8"/>
      <c r="K1542" s="8"/>
      <c r="L1542" s="8"/>
      <c r="N1542" s="8"/>
      <c r="O1542" s="8"/>
    </row>
    <row r="1543" spans="1:15">
      <c r="A1543" s="26"/>
      <c r="B1543" s="26"/>
      <c r="C1543" s="8"/>
      <c r="D1543" s="8"/>
      <c r="E1543" s="8"/>
      <c r="F1543" s="8"/>
      <c r="G1543" s="8"/>
      <c r="H1543" s="8"/>
      <c r="I1543" s="27"/>
      <c r="J1543" s="8"/>
      <c r="K1543" s="8"/>
      <c r="L1543" s="8"/>
      <c r="N1543" s="8"/>
      <c r="O1543" s="8"/>
    </row>
    <row r="1544" spans="1:15">
      <c r="A1544" s="26"/>
      <c r="B1544" s="26"/>
      <c r="C1544" s="8"/>
      <c r="D1544" s="8"/>
      <c r="E1544" s="8"/>
      <c r="F1544" s="8"/>
      <c r="G1544" s="8"/>
      <c r="H1544" s="8"/>
      <c r="I1544" s="27"/>
      <c r="J1544" s="8"/>
      <c r="K1544" s="8"/>
      <c r="L1544" s="8"/>
      <c r="N1544" s="8"/>
      <c r="O1544" s="8"/>
    </row>
    <row r="1545" spans="1:15">
      <c r="A1545" s="26"/>
      <c r="B1545" s="26"/>
      <c r="C1545" s="8"/>
      <c r="D1545" s="8"/>
      <c r="E1545" s="8"/>
      <c r="F1545" s="8"/>
      <c r="G1545" s="8"/>
      <c r="H1545" s="8"/>
      <c r="I1545" s="27"/>
      <c r="J1545" s="8"/>
      <c r="K1545" s="8"/>
      <c r="L1545" s="8"/>
      <c r="N1545" s="8"/>
      <c r="O1545" s="8"/>
    </row>
    <row r="1546" spans="1:15">
      <c r="A1546" s="26"/>
      <c r="B1546" s="26"/>
      <c r="C1546" s="8"/>
      <c r="D1546" s="8"/>
      <c r="E1546" s="8"/>
      <c r="F1546" s="8"/>
      <c r="G1546" s="8"/>
      <c r="H1546" s="8"/>
      <c r="I1546" s="27"/>
      <c r="J1546" s="8"/>
      <c r="K1546" s="8"/>
      <c r="L1546" s="8"/>
      <c r="N1546" s="8"/>
      <c r="O1546" s="8"/>
    </row>
    <row r="1547" spans="1:15">
      <c r="A1547" s="26"/>
      <c r="B1547" s="26"/>
      <c r="C1547" s="8"/>
      <c r="D1547" s="8"/>
      <c r="E1547" s="8"/>
      <c r="F1547" s="8"/>
      <c r="G1547" s="8"/>
      <c r="H1547" s="8"/>
      <c r="I1547" s="27"/>
      <c r="J1547" s="8"/>
      <c r="K1547" s="8"/>
      <c r="L1547" s="8"/>
      <c r="N1547" s="8"/>
      <c r="O1547" s="8"/>
    </row>
    <row r="1548" spans="1:15">
      <c r="A1548" s="26"/>
      <c r="B1548" s="26"/>
      <c r="C1548" s="8"/>
      <c r="D1548" s="8"/>
      <c r="E1548" s="8"/>
      <c r="F1548" s="8"/>
      <c r="G1548" s="8"/>
      <c r="H1548" s="8"/>
      <c r="I1548" s="27"/>
      <c r="J1548" s="8"/>
      <c r="K1548" s="8"/>
      <c r="L1548" s="8"/>
      <c r="N1548" s="8"/>
      <c r="O1548" s="8"/>
    </row>
    <row r="1549" spans="1:15">
      <c r="A1549" s="26"/>
      <c r="B1549" s="26"/>
      <c r="C1549" s="8"/>
      <c r="D1549" s="8"/>
      <c r="E1549" s="8"/>
      <c r="F1549" s="8"/>
      <c r="G1549" s="8"/>
      <c r="H1549" s="8"/>
      <c r="I1549" s="27"/>
      <c r="J1549" s="8"/>
      <c r="K1549" s="8"/>
      <c r="L1549" s="8"/>
      <c r="N1549" s="8"/>
      <c r="O1549" s="8"/>
    </row>
    <row r="1550" spans="1:15">
      <c r="A1550" s="26"/>
      <c r="B1550" s="26"/>
      <c r="C1550" s="8"/>
      <c r="D1550" s="8"/>
      <c r="E1550" s="8"/>
      <c r="F1550" s="8"/>
      <c r="G1550" s="8"/>
      <c r="H1550" s="8"/>
      <c r="I1550" s="27"/>
      <c r="J1550" s="8"/>
      <c r="K1550" s="8"/>
      <c r="L1550" s="8"/>
      <c r="N1550" s="8"/>
      <c r="O1550" s="8"/>
    </row>
    <row r="1551" spans="1:15">
      <c r="A1551" s="26"/>
      <c r="B1551" s="26"/>
      <c r="C1551" s="8"/>
      <c r="D1551" s="8"/>
      <c r="E1551" s="8"/>
      <c r="F1551" s="8"/>
      <c r="G1551" s="8"/>
      <c r="H1551" s="8"/>
      <c r="I1551" s="27"/>
      <c r="J1551" s="8"/>
      <c r="K1551" s="8"/>
      <c r="L1551" s="8"/>
      <c r="N1551" s="8"/>
      <c r="O1551" s="8"/>
    </row>
    <row r="1552" spans="1:15">
      <c r="A1552" s="26"/>
      <c r="B1552" s="26"/>
      <c r="C1552" s="8"/>
      <c r="D1552" s="8"/>
      <c r="E1552" s="8"/>
      <c r="F1552" s="8"/>
      <c r="G1552" s="8"/>
      <c r="H1552" s="8"/>
      <c r="I1552" s="27"/>
      <c r="J1552" s="8"/>
      <c r="K1552" s="8"/>
      <c r="L1552" s="8"/>
      <c r="N1552" s="8"/>
      <c r="O1552" s="8"/>
    </row>
    <row r="1553" spans="1:15">
      <c r="A1553" s="26"/>
      <c r="B1553" s="26"/>
      <c r="C1553" s="8"/>
      <c r="D1553" s="8"/>
      <c r="E1553" s="8"/>
      <c r="F1553" s="8"/>
      <c r="G1553" s="8"/>
      <c r="H1553" s="8"/>
      <c r="I1553" s="27"/>
      <c r="J1553" s="8"/>
      <c r="K1553" s="8"/>
      <c r="L1553" s="8"/>
      <c r="N1553" s="8"/>
      <c r="O1553" s="8"/>
    </row>
    <row r="1554" spans="1:15">
      <c r="A1554" s="26"/>
      <c r="B1554" s="26"/>
      <c r="C1554" s="8"/>
      <c r="D1554" s="8"/>
      <c r="E1554" s="8"/>
      <c r="F1554" s="8"/>
      <c r="G1554" s="8"/>
      <c r="H1554" s="8"/>
      <c r="I1554" s="27"/>
      <c r="J1554" s="8"/>
      <c r="K1554" s="8"/>
      <c r="L1554" s="8"/>
      <c r="N1554" s="8"/>
      <c r="O1554" s="8"/>
    </row>
    <row r="1555" spans="1:15">
      <c r="A1555" s="26"/>
      <c r="B1555" s="26"/>
      <c r="C1555" s="8"/>
      <c r="D1555" s="8"/>
      <c r="E1555" s="8"/>
      <c r="F1555" s="8"/>
      <c r="G1555" s="8"/>
      <c r="H1555" s="8"/>
      <c r="I1555" s="27"/>
      <c r="J1555" s="8"/>
      <c r="K1555" s="8"/>
      <c r="L1555" s="8"/>
      <c r="N1555" s="8"/>
      <c r="O1555" s="8"/>
    </row>
    <row r="1556" spans="1:15">
      <c r="A1556" s="26"/>
      <c r="B1556" s="26"/>
      <c r="C1556" s="8"/>
      <c r="D1556" s="8"/>
      <c r="E1556" s="8"/>
      <c r="F1556" s="8"/>
      <c r="G1556" s="8"/>
      <c r="H1556" s="8"/>
      <c r="I1556" s="27"/>
      <c r="J1556" s="8"/>
      <c r="K1556" s="8"/>
      <c r="L1556" s="8"/>
      <c r="N1556" s="8"/>
      <c r="O1556" s="8"/>
    </row>
    <row r="1557" spans="1:15">
      <c r="A1557" s="26"/>
      <c r="B1557" s="26"/>
      <c r="C1557" s="8"/>
      <c r="D1557" s="8"/>
      <c r="E1557" s="8"/>
      <c r="F1557" s="8"/>
      <c r="G1557" s="8"/>
      <c r="H1557" s="8"/>
      <c r="I1557" s="27"/>
      <c r="J1557" s="8"/>
      <c r="K1557" s="8"/>
      <c r="L1557" s="8"/>
      <c r="N1557" s="8"/>
      <c r="O1557" s="8"/>
    </row>
    <row r="1558" spans="1:15">
      <c r="A1558" s="26"/>
      <c r="B1558" s="26"/>
      <c r="C1558" s="8"/>
      <c r="D1558" s="8"/>
      <c r="E1558" s="8"/>
      <c r="F1558" s="8"/>
      <c r="G1558" s="8"/>
      <c r="H1558" s="8"/>
      <c r="I1558" s="27"/>
      <c r="J1558" s="8"/>
      <c r="K1558" s="8"/>
      <c r="L1558" s="8"/>
      <c r="N1558" s="8"/>
      <c r="O1558" s="8"/>
    </row>
    <row r="1559" spans="1:15">
      <c r="A1559" s="26"/>
      <c r="B1559" s="26"/>
      <c r="C1559" s="8"/>
      <c r="D1559" s="8"/>
      <c r="E1559" s="8"/>
      <c r="F1559" s="8"/>
      <c r="G1559" s="8"/>
      <c r="H1559" s="8"/>
      <c r="I1559" s="27"/>
      <c r="J1559" s="8"/>
      <c r="K1559" s="8"/>
      <c r="L1559" s="8"/>
      <c r="N1559" s="8"/>
      <c r="O1559" s="8"/>
    </row>
    <row r="1560" spans="1:15">
      <c r="A1560" s="26"/>
      <c r="B1560" s="26"/>
      <c r="C1560" s="8"/>
      <c r="D1560" s="8"/>
      <c r="E1560" s="8"/>
      <c r="F1560" s="8"/>
      <c r="G1560" s="8"/>
      <c r="H1560" s="8"/>
      <c r="I1560" s="27"/>
      <c r="J1560" s="8"/>
      <c r="K1560" s="8"/>
      <c r="L1560" s="8"/>
      <c r="N1560" s="8"/>
      <c r="O1560" s="8"/>
    </row>
    <row r="1561" spans="1:15">
      <c r="A1561" s="26"/>
      <c r="B1561" s="26"/>
      <c r="C1561" s="8"/>
      <c r="D1561" s="8"/>
      <c r="E1561" s="8"/>
      <c r="F1561" s="8"/>
      <c r="G1561" s="8"/>
      <c r="H1561" s="8"/>
      <c r="I1561" s="27"/>
      <c r="J1561" s="8"/>
      <c r="K1561" s="8"/>
      <c r="L1561" s="8"/>
      <c r="N1561" s="8"/>
      <c r="O1561" s="8"/>
    </row>
    <row r="1562" spans="1:15">
      <c r="A1562" s="26"/>
      <c r="B1562" s="26"/>
      <c r="C1562" s="8"/>
      <c r="D1562" s="8"/>
      <c r="E1562" s="8"/>
      <c r="F1562" s="8"/>
      <c r="G1562" s="8"/>
      <c r="H1562" s="8"/>
      <c r="I1562" s="27"/>
      <c r="J1562" s="8"/>
      <c r="K1562" s="8"/>
      <c r="L1562" s="8"/>
      <c r="N1562" s="8"/>
      <c r="O1562" s="8"/>
    </row>
    <row r="1563" spans="1:15">
      <c r="A1563" s="26"/>
      <c r="B1563" s="26"/>
      <c r="C1563" s="8"/>
      <c r="D1563" s="8"/>
      <c r="E1563" s="8"/>
      <c r="F1563" s="8"/>
      <c r="G1563" s="8"/>
      <c r="H1563" s="8"/>
      <c r="I1563" s="27"/>
      <c r="J1563" s="8"/>
      <c r="K1563" s="8"/>
      <c r="L1563" s="8"/>
      <c r="N1563" s="8"/>
      <c r="O1563" s="8"/>
    </row>
    <row r="1564" spans="1:15">
      <c r="A1564" s="26"/>
      <c r="B1564" s="26"/>
      <c r="C1564" s="8"/>
      <c r="D1564" s="8"/>
      <c r="E1564" s="8"/>
      <c r="F1564" s="8"/>
      <c r="G1564" s="8"/>
      <c r="H1564" s="8"/>
      <c r="I1564" s="27"/>
      <c r="J1564" s="8"/>
      <c r="K1564" s="8"/>
      <c r="L1564" s="8"/>
      <c r="N1564" s="8"/>
      <c r="O1564" s="8"/>
    </row>
    <row r="1565" spans="1:15">
      <c r="A1565" s="26"/>
      <c r="B1565" s="26"/>
      <c r="C1565" s="8"/>
      <c r="D1565" s="8"/>
      <c r="E1565" s="8"/>
      <c r="F1565" s="8"/>
      <c r="G1565" s="8"/>
      <c r="H1565" s="8"/>
      <c r="I1565" s="27"/>
      <c r="J1565" s="8"/>
      <c r="K1565" s="8"/>
      <c r="L1565" s="8"/>
      <c r="N1565" s="8"/>
      <c r="O1565" s="8"/>
    </row>
    <row r="1566" spans="1:15">
      <c r="A1566" s="26"/>
      <c r="B1566" s="26"/>
      <c r="C1566" s="8"/>
      <c r="D1566" s="8"/>
      <c r="E1566" s="8"/>
      <c r="F1566" s="8"/>
      <c r="G1566" s="8"/>
      <c r="H1566" s="8"/>
      <c r="I1566" s="27"/>
      <c r="J1566" s="8"/>
      <c r="K1566" s="8"/>
      <c r="L1566" s="8"/>
      <c r="N1566" s="8"/>
      <c r="O1566" s="8"/>
    </row>
    <row r="1567" spans="1:15">
      <c r="A1567" s="26"/>
      <c r="B1567" s="26"/>
      <c r="C1567" s="8"/>
      <c r="D1567" s="8"/>
      <c r="E1567" s="8"/>
      <c r="F1567" s="8"/>
      <c r="G1567" s="8"/>
      <c r="H1567" s="8"/>
      <c r="I1567" s="27"/>
      <c r="J1567" s="8"/>
      <c r="K1567" s="8"/>
      <c r="L1567" s="8"/>
      <c r="N1567" s="8"/>
      <c r="O1567" s="8"/>
    </row>
    <row r="1568" spans="1:15">
      <c r="A1568" s="26"/>
      <c r="B1568" s="26"/>
      <c r="C1568" s="8"/>
      <c r="D1568" s="8"/>
      <c r="E1568" s="8"/>
      <c r="F1568" s="8"/>
      <c r="G1568" s="8"/>
      <c r="H1568" s="8"/>
      <c r="I1568" s="27"/>
      <c r="J1568" s="8"/>
      <c r="K1568" s="8"/>
      <c r="L1568" s="8"/>
      <c r="N1568" s="8"/>
      <c r="O1568" s="8"/>
    </row>
    <row r="1569" spans="1:15">
      <c r="A1569" s="26"/>
      <c r="B1569" s="26"/>
      <c r="C1569" s="8"/>
      <c r="D1569" s="8"/>
      <c r="E1569" s="8"/>
      <c r="F1569" s="8"/>
      <c r="G1569" s="8"/>
      <c r="H1569" s="8"/>
      <c r="I1569" s="27"/>
      <c r="J1569" s="8"/>
      <c r="K1569" s="8"/>
      <c r="L1569" s="8"/>
      <c r="N1569" s="8"/>
      <c r="O1569" s="8"/>
    </row>
    <row r="1570" spans="1:15">
      <c r="A1570" s="26"/>
      <c r="B1570" s="26"/>
      <c r="C1570" s="8"/>
      <c r="D1570" s="8"/>
      <c r="E1570" s="8"/>
      <c r="F1570" s="8"/>
      <c r="G1570" s="8"/>
      <c r="H1570" s="8"/>
      <c r="I1570" s="27"/>
      <c r="J1570" s="8"/>
      <c r="K1570" s="8"/>
      <c r="L1570" s="8"/>
      <c r="N1570" s="8"/>
      <c r="O1570" s="8"/>
    </row>
    <row r="1571" spans="1:15">
      <c r="A1571" s="26"/>
      <c r="B1571" s="26"/>
      <c r="C1571" s="8"/>
      <c r="D1571" s="8"/>
      <c r="E1571" s="8"/>
      <c r="F1571" s="8"/>
      <c r="G1571" s="8"/>
      <c r="H1571" s="8"/>
      <c r="I1571" s="27"/>
      <c r="J1571" s="8"/>
      <c r="K1571" s="8"/>
      <c r="L1571" s="8"/>
      <c r="N1571" s="8"/>
      <c r="O1571" s="8"/>
    </row>
    <row r="1572" spans="1:15">
      <c r="A1572" s="26"/>
      <c r="B1572" s="26"/>
      <c r="C1572" s="8"/>
      <c r="D1572" s="8"/>
      <c r="E1572" s="8"/>
      <c r="F1572" s="8"/>
      <c r="G1572" s="8"/>
      <c r="H1572" s="8"/>
      <c r="I1572" s="27"/>
      <c r="J1572" s="8"/>
      <c r="K1572" s="8"/>
      <c r="L1572" s="8"/>
      <c r="N1572" s="8"/>
      <c r="O1572" s="8"/>
    </row>
    <row r="1573" spans="1:15">
      <c r="A1573" s="26"/>
      <c r="B1573" s="26"/>
      <c r="C1573" s="8"/>
      <c r="D1573" s="8"/>
      <c r="E1573" s="8"/>
      <c r="F1573" s="8"/>
      <c r="G1573" s="8"/>
      <c r="H1573" s="8"/>
      <c r="I1573" s="27"/>
      <c r="J1573" s="8"/>
      <c r="K1573" s="8"/>
      <c r="L1573" s="8"/>
      <c r="N1573" s="8"/>
      <c r="O1573" s="8"/>
    </row>
    <row r="1574" spans="1:15">
      <c r="A1574" s="26"/>
      <c r="B1574" s="26"/>
      <c r="C1574" s="8"/>
      <c r="D1574" s="8"/>
      <c r="E1574" s="8"/>
      <c r="F1574" s="8"/>
      <c r="G1574" s="8"/>
      <c r="H1574" s="8"/>
      <c r="I1574" s="27"/>
      <c r="J1574" s="8"/>
      <c r="K1574" s="8"/>
      <c r="L1574" s="8"/>
      <c r="N1574" s="8"/>
      <c r="O1574" s="8"/>
    </row>
    <row r="1575" spans="1:15">
      <c r="A1575" s="26"/>
      <c r="B1575" s="26"/>
      <c r="C1575" s="8"/>
      <c r="D1575" s="8"/>
      <c r="E1575" s="8"/>
      <c r="F1575" s="8"/>
      <c r="G1575" s="8"/>
      <c r="H1575" s="8"/>
      <c r="I1575" s="27"/>
      <c r="J1575" s="8"/>
      <c r="K1575" s="8"/>
      <c r="L1575" s="8"/>
      <c r="N1575" s="8"/>
      <c r="O1575" s="8"/>
    </row>
    <row r="1576" spans="1:15">
      <c r="A1576" s="26"/>
      <c r="B1576" s="26"/>
      <c r="C1576" s="8"/>
      <c r="D1576" s="8"/>
      <c r="E1576" s="8"/>
      <c r="F1576" s="8"/>
      <c r="G1576" s="8"/>
      <c r="H1576" s="8"/>
      <c r="I1576" s="27"/>
      <c r="J1576" s="8"/>
      <c r="K1576" s="8"/>
      <c r="L1576" s="8"/>
      <c r="N1576" s="8"/>
      <c r="O1576" s="8"/>
    </row>
    <row r="1577" spans="1:15">
      <c r="A1577" s="26"/>
      <c r="B1577" s="26"/>
      <c r="C1577" s="8"/>
      <c r="D1577" s="8"/>
      <c r="E1577" s="8"/>
      <c r="F1577" s="8"/>
      <c r="G1577" s="8"/>
      <c r="H1577" s="8"/>
      <c r="I1577" s="27"/>
      <c r="J1577" s="8"/>
      <c r="K1577" s="8"/>
      <c r="L1577" s="8"/>
      <c r="N1577" s="8"/>
      <c r="O1577" s="8"/>
    </row>
    <row r="1578" spans="1:15">
      <c r="A1578" s="26"/>
      <c r="B1578" s="26"/>
      <c r="C1578" s="8"/>
      <c r="D1578" s="8"/>
      <c r="E1578" s="8"/>
      <c r="F1578" s="8"/>
      <c r="G1578" s="8"/>
      <c r="H1578" s="8"/>
      <c r="I1578" s="27"/>
      <c r="J1578" s="8"/>
      <c r="K1578" s="8"/>
      <c r="L1578" s="8"/>
      <c r="N1578" s="8"/>
      <c r="O1578" s="8"/>
    </row>
    <row r="1579" spans="1:15">
      <c r="A1579" s="26"/>
      <c r="B1579" s="26"/>
      <c r="C1579" s="8"/>
      <c r="D1579" s="8"/>
      <c r="E1579" s="8"/>
      <c r="F1579" s="8"/>
      <c r="G1579" s="8"/>
      <c r="H1579" s="8"/>
      <c r="I1579" s="27"/>
      <c r="J1579" s="8"/>
      <c r="K1579" s="8"/>
      <c r="L1579" s="8"/>
      <c r="N1579" s="8"/>
      <c r="O1579" s="8"/>
    </row>
    <row r="1580" spans="1:15">
      <c r="A1580" s="26"/>
      <c r="B1580" s="26"/>
      <c r="C1580" s="8"/>
      <c r="D1580" s="8"/>
      <c r="E1580" s="8"/>
      <c r="F1580" s="8"/>
      <c r="G1580" s="8"/>
      <c r="H1580" s="8"/>
      <c r="I1580" s="27"/>
      <c r="J1580" s="8"/>
      <c r="K1580" s="8"/>
      <c r="L1580" s="8"/>
      <c r="N1580" s="8"/>
      <c r="O1580" s="8"/>
    </row>
    <row r="1581" spans="1:15">
      <c r="A1581" s="26"/>
      <c r="B1581" s="26"/>
      <c r="C1581" s="8"/>
      <c r="D1581" s="8"/>
      <c r="E1581" s="8"/>
      <c r="F1581" s="8"/>
      <c r="G1581" s="8"/>
      <c r="H1581" s="8"/>
      <c r="I1581" s="27"/>
      <c r="J1581" s="8"/>
      <c r="K1581" s="8"/>
      <c r="L1581" s="8"/>
      <c r="N1581" s="8"/>
      <c r="O1581" s="8"/>
    </row>
    <row r="1582" spans="1:15">
      <c r="A1582" s="26"/>
      <c r="B1582" s="26"/>
      <c r="C1582" s="8"/>
      <c r="D1582" s="8"/>
      <c r="E1582" s="8"/>
      <c r="F1582" s="8"/>
      <c r="G1582" s="8"/>
      <c r="H1582" s="8"/>
      <c r="I1582" s="27"/>
      <c r="J1582" s="8"/>
      <c r="K1582" s="8"/>
      <c r="L1582" s="8"/>
      <c r="N1582" s="8"/>
      <c r="O1582" s="8"/>
    </row>
    <row r="1583" spans="1:15">
      <c r="A1583" s="26"/>
      <c r="B1583" s="26"/>
      <c r="C1583" s="8"/>
      <c r="D1583" s="8"/>
      <c r="E1583" s="8"/>
      <c r="F1583" s="8"/>
      <c r="G1583" s="8"/>
      <c r="H1583" s="8"/>
      <c r="I1583" s="27"/>
      <c r="J1583" s="8"/>
      <c r="K1583" s="8"/>
      <c r="L1583" s="8"/>
      <c r="N1583" s="8"/>
      <c r="O1583" s="8"/>
    </row>
    <row r="1584" spans="1:15">
      <c r="A1584" s="26"/>
      <c r="B1584" s="26"/>
      <c r="C1584" s="8"/>
      <c r="D1584" s="8"/>
      <c r="E1584" s="8"/>
      <c r="F1584" s="8"/>
      <c r="G1584" s="8"/>
      <c r="H1584" s="8"/>
      <c r="I1584" s="27"/>
      <c r="J1584" s="8"/>
      <c r="K1584" s="8"/>
      <c r="L1584" s="8"/>
      <c r="N1584" s="8"/>
      <c r="O1584" s="8"/>
    </row>
    <row r="1585" spans="1:15">
      <c r="A1585" s="26"/>
      <c r="B1585" s="26"/>
      <c r="C1585" s="8"/>
      <c r="D1585" s="8"/>
      <c r="E1585" s="8"/>
      <c r="F1585" s="8"/>
      <c r="G1585" s="8"/>
      <c r="H1585" s="8"/>
      <c r="I1585" s="27"/>
      <c r="J1585" s="8"/>
      <c r="K1585" s="8"/>
      <c r="L1585" s="8"/>
      <c r="N1585" s="8"/>
      <c r="O1585" s="8"/>
    </row>
    <row r="1586" spans="1:15">
      <c r="A1586" s="26"/>
      <c r="B1586" s="26"/>
      <c r="C1586" s="8"/>
      <c r="D1586" s="8"/>
      <c r="E1586" s="8"/>
      <c r="F1586" s="8"/>
      <c r="G1586" s="8"/>
      <c r="H1586" s="8"/>
      <c r="I1586" s="27"/>
      <c r="J1586" s="8"/>
      <c r="K1586" s="8"/>
      <c r="L1586" s="8"/>
      <c r="N1586" s="8"/>
      <c r="O1586" s="8"/>
    </row>
    <row r="1587" spans="1:15">
      <c r="A1587" s="26"/>
      <c r="B1587" s="26"/>
      <c r="C1587" s="8"/>
      <c r="D1587" s="8"/>
      <c r="E1587" s="8"/>
      <c r="F1587" s="8"/>
      <c r="G1587" s="8"/>
      <c r="H1587" s="8"/>
      <c r="I1587" s="27"/>
      <c r="J1587" s="8"/>
      <c r="K1587" s="8"/>
      <c r="L1587" s="8"/>
      <c r="N1587" s="8"/>
      <c r="O1587" s="8"/>
    </row>
    <row r="1588" spans="1:15">
      <c r="A1588" s="26"/>
      <c r="B1588" s="26"/>
      <c r="C1588" s="8"/>
      <c r="D1588" s="8"/>
      <c r="E1588" s="8"/>
      <c r="F1588" s="8"/>
      <c r="G1588" s="8"/>
      <c r="H1588" s="8"/>
      <c r="I1588" s="27"/>
      <c r="J1588" s="8"/>
      <c r="K1588" s="8"/>
      <c r="L1588" s="8"/>
      <c r="N1588" s="8"/>
      <c r="O1588" s="8"/>
    </row>
    <row r="1589" spans="1:15">
      <c r="A1589" s="26"/>
      <c r="B1589" s="26"/>
      <c r="C1589" s="8"/>
      <c r="D1589" s="8"/>
      <c r="E1589" s="8"/>
      <c r="F1589" s="8"/>
      <c r="G1589" s="8"/>
      <c r="H1589" s="8"/>
      <c r="I1589" s="27"/>
      <c r="J1589" s="8"/>
      <c r="K1589" s="8"/>
      <c r="L1589" s="8"/>
      <c r="N1589" s="8"/>
      <c r="O1589" s="8"/>
    </row>
    <row r="1590" spans="1:15">
      <c r="A1590" s="26"/>
      <c r="B1590" s="26"/>
      <c r="C1590" s="8"/>
      <c r="D1590" s="8"/>
      <c r="E1590" s="8"/>
      <c r="F1590" s="8"/>
      <c r="G1590" s="8"/>
      <c r="H1590" s="8"/>
      <c r="I1590" s="27"/>
      <c r="J1590" s="8"/>
      <c r="K1590" s="8"/>
      <c r="L1590" s="8"/>
      <c r="N1590" s="8"/>
      <c r="O1590" s="8"/>
    </row>
    <row r="1591" spans="1:15">
      <c r="A1591" s="26"/>
      <c r="B1591" s="26"/>
      <c r="C1591" s="8"/>
      <c r="D1591" s="8"/>
      <c r="E1591" s="8"/>
      <c r="F1591" s="8"/>
      <c r="G1591" s="8"/>
      <c r="H1591" s="8"/>
      <c r="I1591" s="27"/>
      <c r="J1591" s="8"/>
      <c r="K1591" s="8"/>
      <c r="L1591" s="8"/>
      <c r="N1591" s="8"/>
      <c r="O1591" s="8"/>
    </row>
    <row r="1592" spans="1:15">
      <c r="A1592" s="26"/>
      <c r="B1592" s="26"/>
      <c r="C1592" s="8"/>
      <c r="D1592" s="8"/>
      <c r="E1592" s="8"/>
      <c r="F1592" s="8"/>
      <c r="G1592" s="8"/>
      <c r="H1592" s="8"/>
      <c r="I1592" s="27"/>
      <c r="J1592" s="8"/>
      <c r="K1592" s="8"/>
      <c r="L1592" s="8"/>
      <c r="N1592" s="8"/>
      <c r="O1592" s="8"/>
    </row>
    <row r="1593" spans="1:15">
      <c r="A1593" s="26"/>
      <c r="B1593" s="26"/>
      <c r="C1593" s="8"/>
      <c r="D1593" s="8"/>
      <c r="E1593" s="8"/>
      <c r="F1593" s="8"/>
      <c r="G1593" s="8"/>
      <c r="H1593" s="8"/>
      <c r="I1593" s="27"/>
      <c r="J1593" s="8"/>
      <c r="K1593" s="8"/>
      <c r="L1593" s="8"/>
      <c r="N1593" s="8"/>
      <c r="O1593" s="8"/>
    </row>
    <row r="1594" spans="1:15">
      <c r="A1594" s="26"/>
      <c r="B1594" s="26"/>
      <c r="C1594" s="8"/>
      <c r="D1594" s="8"/>
      <c r="E1594" s="8"/>
      <c r="F1594" s="8"/>
      <c r="G1594" s="8"/>
      <c r="H1594" s="8"/>
      <c r="I1594" s="27"/>
      <c r="J1594" s="8"/>
      <c r="K1594" s="8"/>
      <c r="L1594" s="8"/>
      <c r="N1594" s="8"/>
      <c r="O1594" s="8"/>
    </row>
    <row r="1595" spans="1:15">
      <c r="A1595" s="26"/>
      <c r="B1595" s="26"/>
      <c r="C1595" s="8"/>
      <c r="D1595" s="8"/>
      <c r="E1595" s="8"/>
      <c r="F1595" s="8"/>
      <c r="G1595" s="8"/>
      <c r="H1595" s="8"/>
      <c r="I1595" s="27"/>
      <c r="J1595" s="8"/>
      <c r="K1595" s="8"/>
      <c r="L1595" s="8"/>
      <c r="N1595" s="8"/>
      <c r="O1595" s="8"/>
    </row>
    <row r="1596" spans="1:15">
      <c r="A1596" s="26"/>
      <c r="B1596" s="26"/>
      <c r="C1596" s="8"/>
      <c r="D1596" s="8"/>
      <c r="E1596" s="8"/>
      <c r="F1596" s="8"/>
      <c r="G1596" s="8"/>
      <c r="H1596" s="8"/>
      <c r="I1596" s="27"/>
      <c r="J1596" s="8"/>
      <c r="K1596" s="8"/>
      <c r="L1596" s="8"/>
      <c r="N1596" s="8"/>
      <c r="O1596" s="8"/>
    </row>
    <row r="1597" spans="1:15">
      <c r="A1597" s="26"/>
      <c r="B1597" s="26"/>
      <c r="C1597" s="8"/>
      <c r="D1597" s="8"/>
      <c r="E1597" s="8"/>
      <c r="F1597" s="8"/>
      <c r="G1597" s="8"/>
      <c r="H1597" s="8"/>
      <c r="I1597" s="27"/>
      <c r="J1597" s="8"/>
      <c r="K1597" s="8"/>
      <c r="L1597" s="8"/>
      <c r="N1597" s="8"/>
      <c r="O1597" s="8"/>
    </row>
    <row r="1598" spans="1:15">
      <c r="A1598" s="26"/>
      <c r="B1598" s="26"/>
      <c r="C1598" s="8"/>
      <c r="D1598" s="8"/>
      <c r="E1598" s="8"/>
      <c r="F1598" s="8"/>
      <c r="G1598" s="8"/>
      <c r="H1598" s="8"/>
      <c r="I1598" s="27"/>
      <c r="J1598" s="8"/>
      <c r="K1598" s="8"/>
      <c r="L1598" s="8"/>
      <c r="N1598" s="8"/>
      <c r="O1598" s="8"/>
    </row>
    <row r="1599" spans="1:15">
      <c r="A1599" s="26"/>
      <c r="B1599" s="26"/>
      <c r="C1599" s="8"/>
      <c r="D1599" s="8"/>
      <c r="E1599" s="8"/>
      <c r="F1599" s="8"/>
      <c r="G1599" s="8"/>
      <c r="H1599" s="8"/>
      <c r="I1599" s="27"/>
      <c r="J1599" s="8"/>
      <c r="K1599" s="8"/>
      <c r="L1599" s="8"/>
      <c r="N1599" s="8"/>
      <c r="O1599" s="8"/>
    </row>
    <row r="1600" spans="1:15">
      <c r="A1600" s="26"/>
      <c r="B1600" s="26"/>
      <c r="C1600" s="8"/>
      <c r="D1600" s="8"/>
      <c r="E1600" s="8"/>
      <c r="F1600" s="8"/>
      <c r="G1600" s="8"/>
      <c r="H1600" s="8"/>
      <c r="I1600" s="27"/>
      <c r="J1600" s="8"/>
      <c r="K1600" s="8"/>
      <c r="L1600" s="8"/>
      <c r="N1600" s="8"/>
      <c r="O1600" s="8"/>
    </row>
    <row r="1601" spans="1:15">
      <c r="A1601" s="26"/>
      <c r="B1601" s="26"/>
      <c r="C1601" s="8"/>
      <c r="D1601" s="8"/>
      <c r="E1601" s="8"/>
      <c r="F1601" s="8"/>
      <c r="G1601" s="8"/>
      <c r="H1601" s="8"/>
      <c r="I1601" s="27"/>
      <c r="J1601" s="8"/>
      <c r="K1601" s="8"/>
      <c r="L1601" s="8"/>
      <c r="N1601" s="8"/>
      <c r="O1601" s="8"/>
    </row>
    <row r="1602" spans="1:15">
      <c r="A1602" s="26"/>
      <c r="B1602" s="26"/>
      <c r="C1602" s="8"/>
      <c r="D1602" s="8"/>
      <c r="E1602" s="8"/>
      <c r="F1602" s="8"/>
      <c r="G1602" s="8"/>
      <c r="H1602" s="8"/>
      <c r="I1602" s="27"/>
      <c r="J1602" s="8"/>
      <c r="K1602" s="8"/>
      <c r="L1602" s="8"/>
      <c r="N1602" s="8"/>
      <c r="O1602" s="8"/>
    </row>
    <row r="1603" spans="1:15">
      <c r="A1603" s="26"/>
      <c r="B1603" s="26"/>
      <c r="C1603" s="8"/>
      <c r="D1603" s="8"/>
      <c r="E1603" s="8"/>
      <c r="F1603" s="8"/>
      <c r="G1603" s="8"/>
      <c r="H1603" s="8"/>
      <c r="I1603" s="27"/>
      <c r="J1603" s="8"/>
      <c r="K1603" s="8"/>
      <c r="L1603" s="8"/>
      <c r="N1603" s="8"/>
      <c r="O1603" s="8"/>
    </row>
    <row r="1604" spans="1:15">
      <c r="A1604" s="26"/>
      <c r="B1604" s="26"/>
      <c r="C1604" s="8"/>
      <c r="D1604" s="8"/>
      <c r="E1604" s="8"/>
      <c r="F1604" s="8"/>
      <c r="G1604" s="8"/>
      <c r="H1604" s="8"/>
      <c r="I1604" s="27"/>
      <c r="J1604" s="8"/>
      <c r="K1604" s="8"/>
      <c r="L1604" s="8"/>
      <c r="N1604" s="8"/>
      <c r="O1604" s="8"/>
    </row>
    <row r="1605" spans="1:15">
      <c r="A1605" s="26"/>
      <c r="B1605" s="26"/>
      <c r="C1605" s="8"/>
      <c r="D1605" s="8"/>
      <c r="E1605" s="8"/>
      <c r="F1605" s="8"/>
      <c r="G1605" s="8"/>
      <c r="H1605" s="8"/>
      <c r="I1605" s="27"/>
      <c r="J1605" s="8"/>
      <c r="K1605" s="8"/>
      <c r="L1605" s="8"/>
      <c r="N1605" s="8"/>
      <c r="O1605" s="8"/>
    </row>
    <row r="1606" spans="1:15">
      <c r="A1606" s="26"/>
      <c r="B1606" s="26"/>
      <c r="C1606" s="8"/>
      <c r="D1606" s="8"/>
      <c r="E1606" s="8"/>
      <c r="F1606" s="8"/>
      <c r="G1606" s="8"/>
      <c r="H1606" s="8"/>
      <c r="I1606" s="27"/>
      <c r="J1606" s="8"/>
      <c r="K1606" s="8"/>
      <c r="L1606" s="8"/>
      <c r="N1606" s="8"/>
      <c r="O1606" s="8"/>
    </row>
    <row r="1607" spans="1:15">
      <c r="A1607" s="26"/>
      <c r="B1607" s="26"/>
      <c r="C1607" s="8"/>
      <c r="D1607" s="8"/>
      <c r="E1607" s="8"/>
      <c r="F1607" s="8"/>
      <c r="G1607" s="8"/>
      <c r="H1607" s="8"/>
      <c r="I1607" s="27"/>
      <c r="J1607" s="8"/>
      <c r="K1607" s="8"/>
      <c r="L1607" s="8"/>
      <c r="N1607" s="8"/>
      <c r="O1607" s="8"/>
    </row>
    <row r="1608" spans="1:15">
      <c r="A1608" s="26"/>
      <c r="B1608" s="26"/>
      <c r="C1608" s="8"/>
      <c r="D1608" s="8"/>
      <c r="E1608" s="8"/>
      <c r="F1608" s="8"/>
      <c r="G1608" s="8"/>
      <c r="H1608" s="8"/>
      <c r="I1608" s="27"/>
      <c r="J1608" s="8"/>
      <c r="K1608" s="8"/>
      <c r="L1608" s="8"/>
      <c r="N1608" s="8"/>
      <c r="O1608" s="8"/>
    </row>
    <row r="1609" spans="1:15">
      <c r="A1609" s="26"/>
      <c r="B1609" s="26"/>
      <c r="C1609" s="8"/>
      <c r="D1609" s="8"/>
      <c r="E1609" s="8"/>
      <c r="F1609" s="8"/>
      <c r="G1609" s="8"/>
      <c r="H1609" s="8"/>
      <c r="I1609" s="27"/>
      <c r="J1609" s="8"/>
      <c r="K1609" s="8"/>
      <c r="L1609" s="8"/>
      <c r="N1609" s="8"/>
      <c r="O1609" s="8"/>
    </row>
    <row r="1610" spans="1:15">
      <c r="A1610" s="26"/>
      <c r="B1610" s="26"/>
      <c r="C1610" s="8"/>
      <c r="D1610" s="8"/>
      <c r="E1610" s="8"/>
      <c r="F1610" s="8"/>
      <c r="G1610" s="8"/>
      <c r="H1610" s="8"/>
      <c r="I1610" s="27"/>
      <c r="J1610" s="8"/>
      <c r="K1610" s="8"/>
      <c r="L1610" s="8"/>
      <c r="N1610" s="8"/>
      <c r="O1610" s="8"/>
    </row>
    <row r="1611" spans="1:15">
      <c r="A1611" s="26"/>
      <c r="B1611" s="26"/>
      <c r="C1611" s="8"/>
      <c r="D1611" s="8"/>
      <c r="E1611" s="8"/>
      <c r="F1611" s="8"/>
      <c r="G1611" s="8"/>
      <c r="H1611" s="8"/>
      <c r="I1611" s="27"/>
      <c r="J1611" s="8"/>
      <c r="K1611" s="8"/>
      <c r="L1611" s="8"/>
      <c r="N1611" s="8"/>
      <c r="O1611" s="8"/>
    </row>
    <row r="1612" spans="1:15">
      <c r="A1612" s="26"/>
      <c r="B1612" s="26"/>
      <c r="C1612" s="8"/>
      <c r="D1612" s="8"/>
      <c r="E1612" s="8"/>
      <c r="F1612" s="8"/>
      <c r="G1612" s="8"/>
      <c r="H1612" s="8"/>
      <c r="I1612" s="27"/>
      <c r="J1612" s="8"/>
      <c r="K1612" s="8"/>
      <c r="L1612" s="8"/>
      <c r="N1612" s="8"/>
      <c r="O1612" s="8"/>
    </row>
    <row r="1613" spans="1:15">
      <c r="A1613" s="26"/>
      <c r="B1613" s="26"/>
      <c r="C1613" s="8"/>
      <c r="D1613" s="8"/>
      <c r="E1613" s="8"/>
      <c r="F1613" s="8"/>
      <c r="G1613" s="8"/>
      <c r="H1613" s="8"/>
      <c r="I1613" s="27"/>
      <c r="J1613" s="8"/>
      <c r="K1613" s="8"/>
      <c r="L1613" s="8"/>
      <c r="N1613" s="8"/>
      <c r="O1613" s="8"/>
    </row>
    <row r="1614" spans="1:15">
      <c r="A1614" s="26"/>
      <c r="B1614" s="26"/>
      <c r="C1614" s="8"/>
      <c r="D1614" s="8"/>
      <c r="E1614" s="8"/>
      <c r="F1614" s="8"/>
      <c r="G1614" s="8"/>
      <c r="H1614" s="8"/>
      <c r="I1614" s="27"/>
      <c r="J1614" s="8"/>
      <c r="K1614" s="8"/>
      <c r="L1614" s="8"/>
      <c r="N1614" s="8"/>
      <c r="O1614" s="8"/>
    </row>
    <row r="1615" spans="1:15">
      <c r="A1615" s="26"/>
      <c r="B1615" s="26"/>
      <c r="C1615" s="8"/>
      <c r="D1615" s="8"/>
      <c r="E1615" s="8"/>
      <c r="F1615" s="8"/>
      <c r="G1615" s="8"/>
      <c r="H1615" s="8"/>
      <c r="I1615" s="27"/>
      <c r="J1615" s="8"/>
      <c r="K1615" s="8"/>
      <c r="L1615" s="8"/>
      <c r="N1615" s="8"/>
      <c r="O1615" s="8"/>
    </row>
    <row r="1616" spans="1:15">
      <c r="A1616" s="26"/>
      <c r="B1616" s="26"/>
      <c r="C1616" s="8"/>
      <c r="D1616" s="8"/>
      <c r="E1616" s="8"/>
      <c r="F1616" s="8"/>
      <c r="G1616" s="8"/>
      <c r="H1616" s="8"/>
      <c r="I1616" s="27"/>
      <c r="J1616" s="8"/>
      <c r="K1616" s="8"/>
      <c r="L1616" s="8"/>
      <c r="N1616" s="8"/>
      <c r="O1616" s="8"/>
    </row>
    <row r="1617" spans="1:15">
      <c r="A1617" s="26"/>
      <c r="B1617" s="26"/>
      <c r="C1617" s="8"/>
      <c r="D1617" s="8"/>
      <c r="E1617" s="8"/>
      <c r="F1617" s="8"/>
      <c r="G1617" s="8"/>
      <c r="H1617" s="8"/>
      <c r="I1617" s="27"/>
      <c r="J1617" s="8"/>
      <c r="K1617" s="8"/>
      <c r="L1617" s="8"/>
      <c r="N1617" s="8"/>
      <c r="O1617" s="8"/>
    </row>
    <row r="1618" spans="1:15">
      <c r="A1618" s="26"/>
      <c r="B1618" s="26"/>
      <c r="C1618" s="8"/>
      <c r="D1618" s="8"/>
      <c r="E1618" s="8"/>
      <c r="F1618" s="8"/>
      <c r="G1618" s="8"/>
      <c r="H1618" s="8"/>
      <c r="I1618" s="27"/>
      <c r="J1618" s="8"/>
      <c r="K1618" s="8"/>
      <c r="L1618" s="8"/>
      <c r="N1618" s="8"/>
      <c r="O1618" s="8"/>
    </row>
    <row r="1619" spans="1:15">
      <c r="A1619" s="26"/>
      <c r="B1619" s="26"/>
      <c r="C1619" s="8"/>
      <c r="D1619" s="8"/>
      <c r="E1619" s="8"/>
      <c r="F1619" s="8"/>
      <c r="G1619" s="8"/>
      <c r="H1619" s="8"/>
      <c r="I1619" s="27"/>
      <c r="J1619" s="8"/>
      <c r="K1619" s="8"/>
      <c r="L1619" s="8"/>
      <c r="N1619" s="8"/>
      <c r="O1619" s="8"/>
    </row>
    <row r="1620" spans="1:15">
      <c r="A1620" s="26"/>
      <c r="B1620" s="26"/>
      <c r="C1620" s="8"/>
      <c r="D1620" s="8"/>
      <c r="E1620" s="8"/>
      <c r="F1620" s="8"/>
      <c r="G1620" s="8"/>
      <c r="H1620" s="8"/>
      <c r="I1620" s="27"/>
      <c r="J1620" s="8"/>
      <c r="K1620" s="8"/>
      <c r="L1620" s="8"/>
      <c r="N1620" s="8"/>
      <c r="O1620" s="8"/>
    </row>
    <row r="1621" spans="1:15">
      <c r="A1621" s="26"/>
      <c r="B1621" s="26"/>
      <c r="C1621" s="8"/>
      <c r="D1621" s="8"/>
      <c r="E1621" s="8"/>
      <c r="F1621" s="8"/>
      <c r="G1621" s="8"/>
      <c r="H1621" s="8"/>
      <c r="I1621" s="27"/>
      <c r="J1621" s="8"/>
      <c r="K1621" s="8"/>
      <c r="L1621" s="8"/>
      <c r="N1621" s="8"/>
      <c r="O1621" s="8"/>
    </row>
    <row r="1622" spans="1:15">
      <c r="A1622" s="26"/>
      <c r="B1622" s="26"/>
      <c r="C1622" s="8"/>
      <c r="D1622" s="8"/>
      <c r="E1622" s="8"/>
      <c r="F1622" s="8"/>
      <c r="G1622" s="8"/>
      <c r="H1622" s="8"/>
      <c r="I1622" s="27"/>
      <c r="J1622" s="8"/>
      <c r="K1622" s="8"/>
      <c r="L1622" s="8"/>
      <c r="N1622" s="8"/>
      <c r="O1622" s="8"/>
    </row>
    <row r="1623" spans="1:15">
      <c r="A1623" s="26"/>
      <c r="B1623" s="26"/>
      <c r="C1623" s="8"/>
      <c r="D1623" s="8"/>
      <c r="E1623" s="8"/>
      <c r="F1623" s="8"/>
      <c r="G1623" s="8"/>
      <c r="H1623" s="8"/>
      <c r="I1623" s="27"/>
      <c r="J1623" s="8"/>
      <c r="K1623" s="8"/>
      <c r="L1623" s="8"/>
      <c r="N1623" s="8"/>
      <c r="O1623" s="8"/>
    </row>
    <row r="1624" spans="1:15">
      <c r="A1624" s="26"/>
      <c r="B1624" s="26"/>
      <c r="C1624" s="8"/>
      <c r="D1624" s="8"/>
      <c r="E1624" s="8"/>
      <c r="F1624" s="8"/>
      <c r="G1624" s="8"/>
      <c r="H1624" s="8"/>
      <c r="I1624" s="27"/>
      <c r="J1624" s="8"/>
      <c r="K1624" s="8"/>
      <c r="L1624" s="8"/>
      <c r="N1624" s="8"/>
      <c r="O1624" s="8"/>
    </row>
    <row r="1625" spans="1:15">
      <c r="A1625" s="26"/>
      <c r="B1625" s="26"/>
      <c r="C1625" s="8"/>
      <c r="D1625" s="8"/>
      <c r="E1625" s="8"/>
      <c r="F1625" s="8"/>
      <c r="G1625" s="8"/>
      <c r="H1625" s="8"/>
      <c r="I1625" s="27"/>
      <c r="J1625" s="8"/>
      <c r="K1625" s="8"/>
      <c r="L1625" s="8"/>
      <c r="N1625" s="8"/>
      <c r="O1625" s="8"/>
    </row>
    <row r="1626" spans="1:15">
      <c r="A1626" s="26"/>
      <c r="B1626" s="26"/>
      <c r="C1626" s="8"/>
      <c r="D1626" s="8"/>
      <c r="E1626" s="8"/>
      <c r="F1626" s="8"/>
      <c r="G1626" s="8"/>
      <c r="H1626" s="8"/>
      <c r="I1626" s="27"/>
      <c r="J1626" s="8"/>
      <c r="K1626" s="8"/>
      <c r="L1626" s="8"/>
      <c r="N1626" s="8"/>
      <c r="O1626" s="8"/>
    </row>
    <row r="1627" spans="1:15">
      <c r="A1627" s="26"/>
      <c r="B1627" s="26"/>
      <c r="C1627" s="8"/>
      <c r="D1627" s="8"/>
      <c r="E1627" s="8"/>
      <c r="F1627" s="8"/>
      <c r="G1627" s="8"/>
      <c r="H1627" s="8"/>
      <c r="I1627" s="27"/>
      <c r="J1627" s="8"/>
      <c r="K1627" s="8"/>
      <c r="L1627" s="8"/>
      <c r="N1627" s="8"/>
      <c r="O1627" s="8"/>
    </row>
    <row r="1628" spans="1:15">
      <c r="A1628" s="26"/>
      <c r="B1628" s="26"/>
      <c r="C1628" s="8"/>
      <c r="D1628" s="8"/>
      <c r="E1628" s="8"/>
      <c r="F1628" s="8"/>
      <c r="G1628" s="8"/>
      <c r="H1628" s="8"/>
      <c r="I1628" s="27"/>
      <c r="J1628" s="8"/>
      <c r="K1628" s="8"/>
      <c r="L1628" s="8"/>
      <c r="N1628" s="8"/>
      <c r="O1628" s="8"/>
    </row>
    <row r="1629" spans="1:15">
      <c r="A1629" s="26"/>
      <c r="B1629" s="26"/>
      <c r="C1629" s="8"/>
      <c r="D1629" s="8"/>
      <c r="E1629" s="8"/>
      <c r="F1629" s="8"/>
      <c r="G1629" s="8"/>
      <c r="H1629" s="8"/>
      <c r="I1629" s="27"/>
      <c r="J1629" s="8"/>
      <c r="K1629" s="8"/>
      <c r="L1629" s="8"/>
      <c r="N1629" s="8"/>
      <c r="O1629" s="8"/>
    </row>
    <row r="1630" spans="1:15">
      <c r="A1630" s="26"/>
      <c r="B1630" s="26"/>
      <c r="C1630" s="8"/>
      <c r="D1630" s="8"/>
      <c r="E1630" s="8"/>
      <c r="F1630" s="8"/>
      <c r="G1630" s="8"/>
      <c r="H1630" s="8"/>
      <c r="I1630" s="27"/>
      <c r="J1630" s="8"/>
      <c r="K1630" s="8"/>
      <c r="L1630" s="8"/>
      <c r="N1630" s="8"/>
      <c r="O1630" s="8"/>
    </row>
    <row r="1631" spans="1:15">
      <c r="A1631" s="26"/>
      <c r="B1631" s="26"/>
      <c r="C1631" s="8"/>
      <c r="D1631" s="8"/>
      <c r="E1631" s="8"/>
      <c r="F1631" s="8"/>
      <c r="G1631" s="8"/>
      <c r="H1631" s="8"/>
      <c r="I1631" s="27"/>
      <c r="J1631" s="8"/>
      <c r="K1631" s="8"/>
      <c r="L1631" s="8"/>
      <c r="N1631" s="8"/>
      <c r="O1631" s="8"/>
    </row>
    <row r="1632" spans="1:15">
      <c r="A1632" s="26"/>
      <c r="B1632" s="26"/>
      <c r="C1632" s="8"/>
      <c r="D1632" s="8"/>
      <c r="E1632" s="8"/>
      <c r="F1632" s="8"/>
      <c r="G1632" s="8"/>
      <c r="H1632" s="8"/>
      <c r="I1632" s="27"/>
      <c r="J1632" s="8"/>
      <c r="K1632" s="8"/>
      <c r="L1632" s="8"/>
      <c r="N1632" s="8"/>
      <c r="O1632" s="8"/>
    </row>
    <row r="1633" spans="1:15">
      <c r="A1633" s="26"/>
      <c r="B1633" s="26"/>
      <c r="C1633" s="8"/>
      <c r="D1633" s="8"/>
      <c r="E1633" s="8"/>
      <c r="F1633" s="8"/>
      <c r="G1633" s="8"/>
      <c r="H1633" s="8"/>
      <c r="I1633" s="27"/>
      <c r="J1633" s="8"/>
      <c r="K1633" s="8"/>
      <c r="L1633" s="8"/>
      <c r="N1633" s="8"/>
      <c r="O1633" s="8"/>
    </row>
    <row r="1634" spans="1:15">
      <c r="A1634" s="26"/>
      <c r="B1634" s="26"/>
      <c r="C1634" s="8"/>
      <c r="D1634" s="8"/>
      <c r="E1634" s="8"/>
      <c r="F1634" s="8"/>
      <c r="G1634" s="8"/>
      <c r="H1634" s="8"/>
      <c r="I1634" s="27"/>
      <c r="J1634" s="8"/>
      <c r="K1634" s="8"/>
      <c r="L1634" s="8"/>
      <c r="N1634" s="8"/>
      <c r="O1634" s="8"/>
    </row>
    <row r="1635" spans="1:15">
      <c r="A1635" s="26"/>
      <c r="B1635" s="26"/>
      <c r="C1635" s="8"/>
      <c r="D1635" s="8"/>
      <c r="E1635" s="8"/>
      <c r="F1635" s="8"/>
      <c r="G1635" s="8"/>
      <c r="H1635" s="8"/>
      <c r="I1635" s="27"/>
      <c r="J1635" s="8"/>
      <c r="K1635" s="8"/>
      <c r="L1635" s="8"/>
      <c r="N1635" s="8"/>
      <c r="O1635" s="8"/>
    </row>
    <row r="1636" spans="1:15">
      <c r="A1636" s="26"/>
      <c r="B1636" s="26"/>
      <c r="C1636" s="8"/>
      <c r="D1636" s="8"/>
      <c r="E1636" s="8"/>
      <c r="F1636" s="8"/>
      <c r="G1636" s="8"/>
      <c r="H1636" s="8"/>
      <c r="I1636" s="27"/>
      <c r="J1636" s="8"/>
      <c r="K1636" s="8"/>
      <c r="L1636" s="8"/>
      <c r="N1636" s="8"/>
      <c r="O1636" s="8"/>
    </row>
    <row r="1637" spans="1:15">
      <c r="A1637" s="26"/>
      <c r="B1637" s="26"/>
      <c r="C1637" s="8"/>
      <c r="D1637" s="8"/>
      <c r="E1637" s="8"/>
      <c r="F1637" s="8"/>
      <c r="G1637" s="8"/>
      <c r="H1637" s="8"/>
      <c r="I1637" s="27"/>
      <c r="J1637" s="8"/>
      <c r="K1637" s="8"/>
      <c r="L1637" s="8"/>
      <c r="N1637" s="8"/>
      <c r="O1637" s="8"/>
    </row>
    <row r="1638" spans="1:15">
      <c r="A1638" s="26"/>
      <c r="B1638" s="26"/>
      <c r="C1638" s="8"/>
      <c r="D1638" s="8"/>
      <c r="E1638" s="8"/>
      <c r="F1638" s="8"/>
      <c r="G1638" s="8"/>
      <c r="H1638" s="8"/>
      <c r="I1638" s="27"/>
      <c r="J1638" s="8"/>
      <c r="K1638" s="8"/>
      <c r="L1638" s="8"/>
      <c r="N1638" s="8"/>
      <c r="O1638" s="8"/>
    </row>
    <row r="1639" spans="1:15">
      <c r="A1639" s="26"/>
      <c r="B1639" s="26"/>
      <c r="C1639" s="8"/>
      <c r="D1639" s="8"/>
      <c r="E1639" s="8"/>
      <c r="F1639" s="8"/>
      <c r="G1639" s="8"/>
      <c r="H1639" s="8"/>
      <c r="I1639" s="27"/>
      <c r="J1639" s="8"/>
      <c r="K1639" s="8"/>
      <c r="L1639" s="8"/>
      <c r="N1639" s="8"/>
      <c r="O1639" s="8"/>
    </row>
    <row r="1640" spans="1:15">
      <c r="A1640" s="26"/>
      <c r="B1640" s="26"/>
      <c r="C1640" s="8"/>
      <c r="D1640" s="8"/>
      <c r="E1640" s="8"/>
      <c r="F1640" s="8"/>
      <c r="G1640" s="8"/>
      <c r="H1640" s="8"/>
      <c r="I1640" s="27"/>
      <c r="J1640" s="8"/>
      <c r="K1640" s="8"/>
      <c r="L1640" s="8"/>
      <c r="N1640" s="8"/>
      <c r="O1640" s="8"/>
    </row>
    <row r="1641" spans="1:15">
      <c r="A1641" s="26"/>
      <c r="B1641" s="26"/>
      <c r="C1641" s="8"/>
      <c r="D1641" s="8"/>
      <c r="E1641" s="8"/>
      <c r="F1641" s="8"/>
      <c r="G1641" s="8"/>
      <c r="H1641" s="8"/>
      <c r="I1641" s="27"/>
      <c r="J1641" s="8"/>
      <c r="K1641" s="8"/>
      <c r="L1641" s="8"/>
      <c r="N1641" s="8"/>
      <c r="O1641" s="8"/>
    </row>
    <row r="1642" spans="1:15">
      <c r="A1642" s="26"/>
      <c r="B1642" s="26"/>
      <c r="C1642" s="8"/>
      <c r="D1642" s="8"/>
      <c r="E1642" s="8"/>
      <c r="F1642" s="8"/>
      <c r="G1642" s="8"/>
      <c r="H1642" s="8"/>
      <c r="I1642" s="27"/>
      <c r="J1642" s="8"/>
      <c r="K1642" s="8"/>
      <c r="L1642" s="8"/>
      <c r="N1642" s="8"/>
      <c r="O1642" s="8"/>
    </row>
    <row r="1643" spans="1:15">
      <c r="A1643" s="26"/>
      <c r="B1643" s="26"/>
      <c r="C1643" s="8"/>
      <c r="D1643" s="8"/>
      <c r="E1643" s="8"/>
      <c r="F1643" s="8"/>
      <c r="G1643" s="8"/>
      <c r="H1643" s="8"/>
      <c r="I1643" s="27"/>
      <c r="J1643" s="8"/>
      <c r="K1643" s="8"/>
      <c r="L1643" s="8"/>
      <c r="N1643" s="8"/>
      <c r="O1643" s="8"/>
    </row>
    <row r="1644" spans="1:15">
      <c r="A1644" s="26"/>
      <c r="B1644" s="26"/>
      <c r="C1644" s="8"/>
      <c r="D1644" s="8"/>
      <c r="E1644" s="8"/>
      <c r="F1644" s="8"/>
      <c r="G1644" s="8"/>
      <c r="H1644" s="8"/>
      <c r="I1644" s="27"/>
      <c r="J1644" s="8"/>
      <c r="K1644" s="8"/>
      <c r="L1644" s="8"/>
      <c r="N1644" s="8"/>
      <c r="O1644" s="8"/>
    </row>
    <row r="1645" spans="1:15">
      <c r="A1645" s="26"/>
      <c r="B1645" s="26"/>
      <c r="C1645" s="8"/>
      <c r="D1645" s="8"/>
      <c r="E1645" s="8"/>
      <c r="F1645" s="8"/>
      <c r="G1645" s="8"/>
      <c r="H1645" s="8"/>
      <c r="I1645" s="27"/>
      <c r="J1645" s="8"/>
      <c r="K1645" s="8"/>
      <c r="L1645" s="8"/>
      <c r="N1645" s="8"/>
      <c r="O1645" s="8"/>
    </row>
    <row r="1646" spans="1:15">
      <c r="A1646" s="26"/>
      <c r="B1646" s="26"/>
      <c r="C1646" s="8"/>
      <c r="D1646" s="8"/>
      <c r="E1646" s="8"/>
      <c r="F1646" s="8"/>
      <c r="G1646" s="8"/>
      <c r="H1646" s="8"/>
      <c r="I1646" s="27"/>
      <c r="J1646" s="8"/>
      <c r="K1646" s="8"/>
      <c r="L1646" s="8"/>
      <c r="N1646" s="8"/>
      <c r="O1646" s="8"/>
    </row>
    <row r="1647" spans="1:15">
      <c r="A1647" s="26"/>
      <c r="B1647" s="26"/>
      <c r="C1647" s="8"/>
      <c r="D1647" s="8"/>
      <c r="E1647" s="8"/>
      <c r="F1647" s="8"/>
      <c r="G1647" s="8"/>
      <c r="H1647" s="8"/>
      <c r="I1647" s="27"/>
      <c r="J1647" s="8"/>
      <c r="K1647" s="8"/>
      <c r="L1647" s="8"/>
      <c r="N1647" s="8"/>
      <c r="O1647" s="8"/>
    </row>
    <row r="1648" spans="1:15">
      <c r="A1648" s="26"/>
      <c r="B1648" s="26"/>
      <c r="C1648" s="8"/>
      <c r="D1648" s="8"/>
      <c r="E1648" s="8"/>
      <c r="F1648" s="8"/>
      <c r="G1648" s="8"/>
      <c r="H1648" s="8"/>
      <c r="I1648" s="27"/>
      <c r="J1648" s="8"/>
      <c r="K1648" s="8"/>
      <c r="L1648" s="8"/>
      <c r="N1648" s="8"/>
      <c r="O1648" s="8"/>
    </row>
    <row r="1649" spans="1:15">
      <c r="A1649" s="26"/>
      <c r="B1649" s="26"/>
      <c r="C1649" s="8"/>
      <c r="D1649" s="8"/>
      <c r="E1649" s="8"/>
      <c r="F1649" s="8"/>
      <c r="G1649" s="8"/>
      <c r="H1649" s="8"/>
      <c r="I1649" s="27"/>
      <c r="J1649" s="8"/>
      <c r="K1649" s="8"/>
      <c r="L1649" s="8"/>
      <c r="N1649" s="8"/>
      <c r="O1649" s="8"/>
    </row>
    <row r="1650" spans="1:15">
      <c r="A1650" s="26"/>
      <c r="B1650" s="26"/>
      <c r="C1650" s="8"/>
      <c r="D1650" s="8"/>
      <c r="E1650" s="8"/>
      <c r="F1650" s="8"/>
      <c r="G1650" s="8"/>
      <c r="H1650" s="8"/>
      <c r="I1650" s="27"/>
      <c r="J1650" s="8"/>
      <c r="K1650" s="8"/>
      <c r="L1650" s="8"/>
      <c r="N1650" s="8"/>
      <c r="O1650" s="8"/>
    </row>
    <row r="1651" spans="1:15">
      <c r="A1651" s="26"/>
      <c r="B1651" s="26"/>
      <c r="C1651" s="8"/>
      <c r="D1651" s="8"/>
      <c r="E1651" s="8"/>
      <c r="F1651" s="8"/>
      <c r="G1651" s="8"/>
      <c r="H1651" s="8"/>
      <c r="I1651" s="27"/>
      <c r="J1651" s="8"/>
      <c r="K1651" s="8"/>
      <c r="L1651" s="8"/>
      <c r="N1651" s="8"/>
      <c r="O1651" s="8"/>
    </row>
    <row r="1652" spans="1:15">
      <c r="A1652" s="26"/>
      <c r="B1652" s="26"/>
      <c r="C1652" s="8"/>
      <c r="D1652" s="8"/>
      <c r="E1652" s="8"/>
      <c r="F1652" s="8"/>
      <c r="G1652" s="8"/>
      <c r="H1652" s="8"/>
      <c r="I1652" s="27"/>
      <c r="J1652" s="8"/>
      <c r="K1652" s="8"/>
      <c r="L1652" s="8"/>
      <c r="N1652" s="8"/>
      <c r="O1652" s="8"/>
    </row>
    <row r="1653" spans="1:15">
      <c r="A1653" s="26"/>
      <c r="B1653" s="26"/>
      <c r="C1653" s="8"/>
      <c r="D1653" s="8"/>
      <c r="E1653" s="8"/>
      <c r="F1653" s="8"/>
      <c r="G1653" s="8"/>
      <c r="H1653" s="8"/>
      <c r="I1653" s="27"/>
      <c r="J1653" s="8"/>
      <c r="K1653" s="8"/>
      <c r="L1653" s="8"/>
      <c r="N1653" s="8"/>
      <c r="O1653" s="8"/>
    </row>
    <row r="1654" spans="1:15">
      <c r="A1654" s="26"/>
      <c r="B1654" s="26"/>
      <c r="C1654" s="8"/>
      <c r="D1654" s="8"/>
      <c r="E1654" s="8"/>
      <c r="F1654" s="8"/>
      <c r="G1654" s="8"/>
      <c r="H1654" s="8"/>
      <c r="I1654" s="27"/>
      <c r="J1654" s="8"/>
      <c r="K1654" s="8"/>
      <c r="L1654" s="8"/>
      <c r="N1654" s="8"/>
      <c r="O1654" s="8"/>
    </row>
    <row r="1655" spans="1:15">
      <c r="A1655" s="26"/>
      <c r="B1655" s="26"/>
      <c r="C1655" s="8"/>
      <c r="D1655" s="8"/>
      <c r="E1655" s="8"/>
      <c r="F1655" s="8"/>
      <c r="G1655" s="8"/>
      <c r="H1655" s="8"/>
      <c r="I1655" s="27"/>
      <c r="J1655" s="8"/>
      <c r="K1655" s="8"/>
      <c r="L1655" s="8"/>
      <c r="N1655" s="8"/>
      <c r="O1655" s="8"/>
    </row>
    <row r="1656" spans="1:15">
      <c r="A1656" s="26"/>
      <c r="B1656" s="26"/>
      <c r="C1656" s="8"/>
      <c r="D1656" s="8"/>
      <c r="E1656" s="8"/>
      <c r="F1656" s="8"/>
      <c r="G1656" s="8"/>
      <c r="H1656" s="8"/>
      <c r="I1656" s="27"/>
      <c r="J1656" s="8"/>
      <c r="K1656" s="8"/>
      <c r="L1656" s="8"/>
      <c r="N1656" s="8"/>
      <c r="O1656" s="8"/>
    </row>
    <row r="1657" spans="1:15">
      <c r="A1657" s="26"/>
      <c r="B1657" s="26"/>
      <c r="C1657" s="8"/>
      <c r="D1657" s="8"/>
      <c r="E1657" s="8"/>
      <c r="F1657" s="8"/>
      <c r="G1657" s="8"/>
      <c r="H1657" s="8"/>
      <c r="I1657" s="27"/>
      <c r="J1657" s="8"/>
      <c r="K1657" s="8"/>
      <c r="L1657" s="8"/>
      <c r="N1657" s="8"/>
      <c r="O1657" s="8"/>
    </row>
    <row r="1658" spans="1:15">
      <c r="A1658" s="26"/>
      <c r="B1658" s="26"/>
      <c r="C1658" s="8"/>
      <c r="D1658" s="8"/>
      <c r="E1658" s="8"/>
      <c r="F1658" s="8"/>
      <c r="G1658" s="8"/>
      <c r="H1658" s="8"/>
      <c r="I1658" s="27"/>
      <c r="J1658" s="8"/>
      <c r="K1658" s="8"/>
      <c r="L1658" s="8"/>
      <c r="N1658" s="8"/>
      <c r="O1658" s="8"/>
    </row>
    <row r="1659" spans="1:15">
      <c r="A1659" s="26"/>
      <c r="B1659" s="26"/>
      <c r="C1659" s="8"/>
      <c r="D1659" s="8"/>
      <c r="E1659" s="8"/>
      <c r="F1659" s="8"/>
      <c r="G1659" s="8"/>
      <c r="H1659" s="8"/>
      <c r="I1659" s="27"/>
      <c r="J1659" s="8"/>
      <c r="K1659" s="8"/>
      <c r="L1659" s="8"/>
      <c r="N1659" s="8"/>
      <c r="O1659" s="8"/>
    </row>
    <row r="1660" spans="1:15">
      <c r="A1660" s="26"/>
      <c r="B1660" s="26"/>
      <c r="C1660" s="8"/>
      <c r="D1660" s="8"/>
      <c r="E1660" s="8"/>
      <c r="F1660" s="8"/>
      <c r="G1660" s="8"/>
      <c r="H1660" s="8"/>
      <c r="I1660" s="27"/>
      <c r="J1660" s="8"/>
      <c r="K1660" s="8"/>
      <c r="L1660" s="8"/>
      <c r="N1660" s="8"/>
      <c r="O1660" s="8"/>
    </row>
    <row r="1661" spans="1:15">
      <c r="A1661" s="26"/>
      <c r="B1661" s="26"/>
      <c r="C1661" s="8"/>
      <c r="D1661" s="8"/>
      <c r="E1661" s="8"/>
      <c r="F1661" s="8"/>
      <c r="G1661" s="8"/>
      <c r="H1661" s="8"/>
      <c r="I1661" s="27"/>
      <c r="J1661" s="8"/>
      <c r="K1661" s="8"/>
      <c r="L1661" s="8"/>
      <c r="N1661" s="8"/>
      <c r="O1661" s="8"/>
    </row>
    <row r="1662" spans="1:15">
      <c r="A1662" s="26"/>
      <c r="B1662" s="26"/>
      <c r="C1662" s="8"/>
      <c r="D1662" s="8"/>
      <c r="E1662" s="8"/>
      <c r="F1662" s="8"/>
      <c r="G1662" s="8"/>
      <c r="H1662" s="8"/>
      <c r="I1662" s="27"/>
      <c r="J1662" s="8"/>
      <c r="K1662" s="8"/>
      <c r="L1662" s="8"/>
      <c r="N1662" s="8"/>
      <c r="O1662" s="8"/>
    </row>
    <row r="1663" spans="1:15">
      <c r="A1663" s="26"/>
      <c r="B1663" s="26"/>
      <c r="C1663" s="8"/>
      <c r="D1663" s="8"/>
      <c r="E1663" s="8"/>
      <c r="F1663" s="8"/>
      <c r="G1663" s="8"/>
      <c r="H1663" s="8"/>
      <c r="I1663" s="27"/>
      <c r="J1663" s="8"/>
      <c r="K1663" s="8"/>
      <c r="L1663" s="8"/>
      <c r="N1663" s="8"/>
      <c r="O1663" s="8"/>
    </row>
    <row r="1664" spans="1:15">
      <c r="A1664" s="26"/>
      <c r="B1664" s="26"/>
      <c r="C1664" s="8"/>
      <c r="D1664" s="8"/>
      <c r="E1664" s="8"/>
      <c r="F1664" s="8"/>
      <c r="G1664" s="8"/>
      <c r="H1664" s="8"/>
      <c r="I1664" s="27"/>
      <c r="J1664" s="8"/>
      <c r="K1664" s="8"/>
      <c r="L1664" s="8"/>
      <c r="N1664" s="8"/>
      <c r="O1664" s="8"/>
    </row>
    <row r="1665" spans="1:15">
      <c r="A1665" s="26"/>
      <c r="B1665" s="26"/>
      <c r="C1665" s="8"/>
      <c r="D1665" s="8"/>
      <c r="E1665" s="8"/>
      <c r="F1665" s="8"/>
      <c r="G1665" s="8"/>
      <c r="H1665" s="8"/>
      <c r="I1665" s="27"/>
      <c r="J1665" s="8"/>
      <c r="K1665" s="8"/>
      <c r="L1665" s="8"/>
      <c r="N1665" s="8"/>
      <c r="O1665" s="8"/>
    </row>
    <row r="1666" spans="1:15">
      <c r="A1666" s="26"/>
      <c r="B1666" s="26"/>
      <c r="C1666" s="8"/>
      <c r="D1666" s="8"/>
      <c r="E1666" s="8"/>
      <c r="F1666" s="8"/>
      <c r="G1666" s="8"/>
      <c r="H1666" s="8"/>
      <c r="I1666" s="27"/>
      <c r="J1666" s="8"/>
      <c r="K1666" s="8"/>
      <c r="L1666" s="8"/>
      <c r="N1666" s="8"/>
      <c r="O1666" s="8"/>
    </row>
    <row r="1667" spans="1:15">
      <c r="A1667" s="26"/>
      <c r="B1667" s="26"/>
      <c r="C1667" s="8"/>
      <c r="D1667" s="8"/>
      <c r="E1667" s="8"/>
      <c r="F1667" s="8"/>
      <c r="G1667" s="8"/>
      <c r="H1667" s="8"/>
      <c r="I1667" s="27"/>
      <c r="J1667" s="8"/>
      <c r="K1667" s="8"/>
      <c r="L1667" s="8"/>
      <c r="N1667" s="8"/>
      <c r="O1667" s="8"/>
    </row>
    <row r="1668" spans="1:15">
      <c r="A1668" s="26"/>
      <c r="B1668" s="26"/>
      <c r="C1668" s="8"/>
      <c r="D1668" s="8"/>
      <c r="E1668" s="8"/>
      <c r="F1668" s="8"/>
      <c r="G1668" s="8"/>
      <c r="H1668" s="8"/>
      <c r="I1668" s="27"/>
      <c r="J1668" s="8"/>
      <c r="K1668" s="8"/>
      <c r="L1668" s="8"/>
      <c r="N1668" s="8"/>
      <c r="O1668" s="8"/>
    </row>
    <row r="1669" spans="1:15">
      <c r="A1669" s="26"/>
      <c r="B1669" s="26"/>
      <c r="C1669" s="8"/>
      <c r="D1669" s="8"/>
      <c r="E1669" s="8"/>
      <c r="F1669" s="8"/>
      <c r="G1669" s="8"/>
      <c r="H1669" s="8"/>
      <c r="I1669" s="27"/>
      <c r="J1669" s="8"/>
      <c r="K1669" s="8"/>
      <c r="L1669" s="8"/>
      <c r="N1669" s="8"/>
      <c r="O1669" s="8"/>
    </row>
    <row r="1670" spans="1:15">
      <c r="A1670" s="26"/>
      <c r="B1670" s="26"/>
      <c r="C1670" s="8"/>
      <c r="D1670" s="8"/>
      <c r="E1670" s="8"/>
      <c r="F1670" s="8"/>
      <c r="G1670" s="8"/>
      <c r="H1670" s="8"/>
      <c r="I1670" s="27"/>
      <c r="J1670" s="8"/>
      <c r="K1670" s="8"/>
      <c r="L1670" s="8"/>
      <c r="N1670" s="8"/>
      <c r="O1670" s="8"/>
    </row>
    <row r="1671" spans="1:15">
      <c r="A1671" s="26"/>
      <c r="B1671" s="26"/>
      <c r="C1671" s="8"/>
      <c r="D1671" s="8"/>
      <c r="E1671" s="8"/>
      <c r="F1671" s="8"/>
      <c r="G1671" s="8"/>
      <c r="H1671" s="8"/>
      <c r="I1671" s="27"/>
      <c r="J1671" s="8"/>
      <c r="K1671" s="8"/>
      <c r="L1671" s="8"/>
      <c r="N1671" s="8"/>
      <c r="O1671" s="8"/>
    </row>
    <row r="1672" spans="1:15">
      <c r="A1672" s="26"/>
      <c r="B1672" s="26"/>
      <c r="C1672" s="8"/>
      <c r="D1672" s="8"/>
      <c r="E1672" s="8"/>
      <c r="F1672" s="8"/>
      <c r="G1672" s="8"/>
      <c r="H1672" s="8"/>
      <c r="I1672" s="27"/>
      <c r="J1672" s="8"/>
      <c r="K1672" s="8"/>
      <c r="L1672" s="8"/>
      <c r="N1672" s="8"/>
      <c r="O1672" s="8"/>
    </row>
    <row r="1673" spans="1:15">
      <c r="A1673" s="26"/>
      <c r="B1673" s="26"/>
      <c r="C1673" s="8"/>
      <c r="D1673" s="8"/>
      <c r="E1673" s="8"/>
      <c r="F1673" s="8"/>
      <c r="G1673" s="8"/>
      <c r="H1673" s="8"/>
      <c r="I1673" s="27"/>
      <c r="J1673" s="8"/>
      <c r="K1673" s="8"/>
      <c r="L1673" s="8"/>
      <c r="N1673" s="8"/>
      <c r="O1673" s="8"/>
    </row>
    <row r="1674" spans="1:15">
      <c r="A1674" s="26"/>
      <c r="B1674" s="26"/>
      <c r="C1674" s="8"/>
      <c r="D1674" s="8"/>
      <c r="E1674" s="8"/>
      <c r="F1674" s="8"/>
      <c r="G1674" s="8"/>
      <c r="H1674" s="8"/>
      <c r="I1674" s="27"/>
      <c r="J1674" s="8"/>
      <c r="K1674" s="8"/>
      <c r="L1674" s="8"/>
      <c r="N1674" s="8"/>
      <c r="O1674" s="8"/>
    </row>
    <row r="1675" spans="1:15">
      <c r="A1675" s="26"/>
      <c r="B1675" s="26"/>
      <c r="C1675" s="8"/>
      <c r="D1675" s="8"/>
      <c r="E1675" s="8"/>
      <c r="F1675" s="8"/>
      <c r="G1675" s="8"/>
      <c r="H1675" s="8"/>
      <c r="I1675" s="27"/>
      <c r="J1675" s="8"/>
      <c r="K1675" s="8"/>
      <c r="L1675" s="8"/>
      <c r="N1675" s="8"/>
      <c r="O1675" s="8"/>
    </row>
    <row r="1676" spans="1:15">
      <c r="A1676" s="26"/>
      <c r="B1676" s="26"/>
      <c r="C1676" s="8"/>
      <c r="D1676" s="8"/>
      <c r="E1676" s="8"/>
      <c r="F1676" s="8"/>
      <c r="G1676" s="8"/>
      <c r="H1676" s="8"/>
      <c r="I1676" s="27"/>
      <c r="J1676" s="8"/>
      <c r="K1676" s="8"/>
      <c r="L1676" s="8"/>
      <c r="N1676" s="8"/>
      <c r="O1676" s="8"/>
    </row>
    <row r="1677" spans="1:15">
      <c r="A1677" s="26"/>
      <c r="B1677" s="26"/>
      <c r="C1677" s="8"/>
      <c r="D1677" s="8"/>
      <c r="E1677" s="8"/>
      <c r="F1677" s="8"/>
      <c r="G1677" s="8"/>
      <c r="H1677" s="8"/>
      <c r="I1677" s="27"/>
      <c r="J1677" s="8"/>
      <c r="K1677" s="8"/>
      <c r="L1677" s="8"/>
      <c r="N1677" s="8"/>
      <c r="O1677" s="8"/>
    </row>
    <row r="1678" spans="1:15">
      <c r="A1678" s="26"/>
      <c r="B1678" s="26"/>
      <c r="C1678" s="8"/>
      <c r="D1678" s="8"/>
      <c r="E1678" s="8"/>
      <c r="F1678" s="8"/>
      <c r="G1678" s="8"/>
      <c r="H1678" s="8"/>
      <c r="I1678" s="27"/>
      <c r="J1678" s="8"/>
      <c r="K1678" s="8"/>
      <c r="L1678" s="8"/>
      <c r="N1678" s="8"/>
      <c r="O1678" s="8"/>
    </row>
    <row r="1679" spans="1:15">
      <c r="A1679" s="26"/>
      <c r="B1679" s="26"/>
      <c r="C1679" s="8"/>
      <c r="D1679" s="8"/>
      <c r="E1679" s="8"/>
      <c r="F1679" s="8"/>
      <c r="G1679" s="8"/>
      <c r="H1679" s="8"/>
      <c r="I1679" s="27"/>
      <c r="J1679" s="8"/>
      <c r="K1679" s="8"/>
      <c r="L1679" s="8"/>
      <c r="N1679" s="8"/>
      <c r="O1679" s="8"/>
    </row>
    <row r="1680" spans="1:15">
      <c r="A1680" s="26"/>
      <c r="B1680" s="26"/>
      <c r="C1680" s="8"/>
      <c r="D1680" s="8"/>
      <c r="E1680" s="8"/>
      <c r="F1680" s="8"/>
      <c r="G1680" s="8"/>
      <c r="H1680" s="8"/>
      <c r="I1680" s="27"/>
      <c r="J1680" s="8"/>
      <c r="K1680" s="8"/>
      <c r="L1680" s="8"/>
      <c r="N1680" s="8"/>
      <c r="O1680" s="8"/>
    </row>
    <row r="1681" spans="1:15">
      <c r="A1681" s="26"/>
      <c r="B1681" s="26"/>
      <c r="C1681" s="8"/>
      <c r="D1681" s="8"/>
      <c r="E1681" s="8"/>
      <c r="F1681" s="8"/>
      <c r="G1681" s="8"/>
      <c r="H1681" s="8"/>
      <c r="I1681" s="27"/>
      <c r="J1681" s="8"/>
      <c r="K1681" s="8"/>
      <c r="L1681" s="8"/>
      <c r="N1681" s="8"/>
      <c r="O1681" s="8"/>
    </row>
    <row r="1682" spans="1:15">
      <c r="A1682" s="26"/>
      <c r="B1682" s="26"/>
      <c r="C1682" s="8"/>
      <c r="D1682" s="8"/>
      <c r="E1682" s="8"/>
      <c r="F1682" s="8"/>
      <c r="G1682" s="8"/>
      <c r="H1682" s="8"/>
      <c r="I1682" s="27"/>
      <c r="J1682" s="8"/>
      <c r="K1682" s="8"/>
      <c r="L1682" s="8"/>
      <c r="N1682" s="8"/>
      <c r="O1682" s="8"/>
    </row>
    <row r="1683" spans="1:15">
      <c r="A1683" s="26"/>
      <c r="B1683" s="26"/>
      <c r="C1683" s="8"/>
      <c r="D1683" s="8"/>
      <c r="E1683" s="8"/>
      <c r="F1683" s="8"/>
      <c r="G1683" s="8"/>
      <c r="H1683" s="8"/>
      <c r="I1683" s="27"/>
      <c r="J1683" s="8"/>
      <c r="K1683" s="8"/>
      <c r="L1683" s="8"/>
      <c r="N1683" s="8"/>
      <c r="O1683" s="8"/>
    </row>
    <row r="1684" spans="1:15">
      <c r="A1684" s="26"/>
      <c r="B1684" s="26"/>
      <c r="C1684" s="8"/>
      <c r="D1684" s="8"/>
      <c r="E1684" s="8"/>
      <c r="F1684" s="8"/>
      <c r="G1684" s="8"/>
      <c r="H1684" s="8"/>
      <c r="I1684" s="27"/>
      <c r="J1684" s="8"/>
      <c r="K1684" s="8"/>
      <c r="L1684" s="8"/>
      <c r="N1684" s="8"/>
      <c r="O1684" s="8"/>
    </row>
    <row r="1685" spans="1:15">
      <c r="A1685" s="26"/>
      <c r="B1685" s="26"/>
      <c r="C1685" s="8"/>
      <c r="D1685" s="8"/>
      <c r="E1685" s="8"/>
      <c r="F1685" s="8"/>
      <c r="G1685" s="8"/>
      <c r="H1685" s="8"/>
      <c r="I1685" s="27"/>
      <c r="J1685" s="8"/>
      <c r="K1685" s="8"/>
      <c r="L1685" s="8"/>
      <c r="N1685" s="8"/>
      <c r="O1685" s="8"/>
    </row>
    <row r="1686" spans="1:15">
      <c r="A1686" s="26"/>
      <c r="B1686" s="26"/>
      <c r="C1686" s="8"/>
      <c r="D1686" s="8"/>
      <c r="E1686" s="8"/>
      <c r="F1686" s="8"/>
      <c r="G1686" s="8"/>
      <c r="H1686" s="8"/>
      <c r="I1686" s="27"/>
      <c r="J1686" s="8"/>
      <c r="K1686" s="8"/>
      <c r="L1686" s="8"/>
      <c r="N1686" s="8"/>
      <c r="O1686" s="8"/>
    </row>
    <row r="1687" spans="1:15">
      <c r="A1687" s="26"/>
      <c r="B1687" s="26"/>
      <c r="C1687" s="8"/>
      <c r="D1687" s="8"/>
      <c r="E1687" s="8"/>
      <c r="F1687" s="8"/>
      <c r="G1687" s="8"/>
      <c r="H1687" s="8"/>
      <c r="I1687" s="27"/>
      <c r="J1687" s="8"/>
      <c r="K1687" s="8"/>
      <c r="L1687" s="8"/>
      <c r="N1687" s="8"/>
      <c r="O1687" s="8"/>
    </row>
    <row r="1688" spans="1:15">
      <c r="A1688" s="26"/>
      <c r="B1688" s="26"/>
      <c r="C1688" s="8"/>
      <c r="D1688" s="8"/>
      <c r="E1688" s="8"/>
      <c r="F1688" s="8"/>
      <c r="G1688" s="8"/>
      <c r="H1688" s="8"/>
      <c r="I1688" s="27"/>
      <c r="J1688" s="8"/>
      <c r="K1688" s="8"/>
      <c r="L1688" s="8"/>
      <c r="N1688" s="8"/>
      <c r="O1688" s="8"/>
    </row>
    <row r="1689" spans="1:15">
      <c r="A1689" s="26"/>
      <c r="B1689" s="26"/>
      <c r="C1689" s="8"/>
      <c r="D1689" s="8"/>
      <c r="E1689" s="8"/>
      <c r="F1689" s="8"/>
      <c r="G1689" s="8"/>
      <c r="H1689" s="8"/>
      <c r="I1689" s="27"/>
      <c r="J1689" s="8"/>
      <c r="K1689" s="8"/>
      <c r="L1689" s="8"/>
      <c r="N1689" s="8"/>
      <c r="O1689" s="8"/>
    </row>
    <row r="1690" spans="1:15">
      <c r="A1690" s="26"/>
      <c r="B1690" s="26"/>
      <c r="C1690" s="8"/>
      <c r="D1690" s="8"/>
      <c r="E1690" s="8"/>
      <c r="F1690" s="8"/>
      <c r="G1690" s="8"/>
      <c r="H1690" s="8"/>
      <c r="I1690" s="27"/>
      <c r="J1690" s="8"/>
      <c r="K1690" s="8"/>
      <c r="L1690" s="8"/>
      <c r="N1690" s="8"/>
      <c r="O1690" s="8"/>
    </row>
    <row r="1691" spans="1:15">
      <c r="A1691" s="26"/>
      <c r="B1691" s="26"/>
      <c r="C1691" s="8"/>
      <c r="D1691" s="8"/>
      <c r="E1691" s="8"/>
      <c r="F1691" s="8"/>
      <c r="G1691" s="8"/>
      <c r="H1691" s="8"/>
      <c r="I1691" s="27"/>
      <c r="J1691" s="8"/>
      <c r="K1691" s="8"/>
      <c r="L1691" s="8"/>
      <c r="N1691" s="8"/>
      <c r="O1691" s="8"/>
    </row>
    <row r="1692" spans="1:15">
      <c r="A1692" s="26"/>
      <c r="B1692" s="26"/>
      <c r="C1692" s="8"/>
      <c r="D1692" s="8"/>
      <c r="E1692" s="8"/>
      <c r="F1692" s="8"/>
      <c r="G1692" s="8"/>
      <c r="H1692" s="8"/>
      <c r="I1692" s="27"/>
      <c r="J1692" s="8"/>
      <c r="K1692" s="8"/>
      <c r="L1692" s="8"/>
      <c r="N1692" s="8"/>
      <c r="O1692" s="8"/>
    </row>
    <row r="1693" spans="1:15">
      <c r="A1693" s="26"/>
      <c r="B1693" s="26"/>
      <c r="C1693" s="8"/>
      <c r="D1693" s="8"/>
      <c r="E1693" s="8"/>
      <c r="F1693" s="8"/>
      <c r="G1693" s="8"/>
      <c r="H1693" s="8"/>
      <c r="I1693" s="27"/>
      <c r="J1693" s="8"/>
      <c r="K1693" s="8"/>
      <c r="L1693" s="8"/>
      <c r="N1693" s="8"/>
      <c r="O1693" s="8"/>
    </row>
    <row r="1694" spans="1:15">
      <c r="A1694" s="26"/>
      <c r="B1694" s="26"/>
      <c r="C1694" s="8"/>
      <c r="D1694" s="8"/>
      <c r="E1694" s="8"/>
      <c r="F1694" s="8"/>
      <c r="G1694" s="8"/>
      <c r="H1694" s="8"/>
      <c r="I1694" s="27"/>
      <c r="J1694" s="8"/>
      <c r="K1694" s="8"/>
      <c r="L1694" s="8"/>
      <c r="N1694" s="8"/>
      <c r="O1694" s="8"/>
    </row>
    <row r="1695" spans="1:15">
      <c r="A1695" s="26"/>
      <c r="B1695" s="26"/>
      <c r="C1695" s="8"/>
      <c r="D1695" s="8"/>
      <c r="E1695" s="8"/>
      <c r="F1695" s="8"/>
      <c r="G1695" s="8"/>
      <c r="H1695" s="8"/>
      <c r="I1695" s="27"/>
      <c r="J1695" s="8"/>
      <c r="K1695" s="8"/>
      <c r="L1695" s="8"/>
      <c r="N1695" s="8"/>
      <c r="O1695" s="8"/>
    </row>
    <row r="1696" spans="1:15">
      <c r="A1696" s="26"/>
      <c r="B1696" s="26"/>
      <c r="C1696" s="8"/>
      <c r="D1696" s="8"/>
      <c r="E1696" s="8"/>
      <c r="F1696" s="8"/>
      <c r="G1696" s="8"/>
      <c r="H1696" s="8"/>
      <c r="I1696" s="27"/>
      <c r="J1696" s="8"/>
      <c r="K1696" s="8"/>
      <c r="L1696" s="8"/>
      <c r="N1696" s="8"/>
      <c r="O1696" s="8"/>
    </row>
    <row r="1697" spans="1:15">
      <c r="A1697" s="26"/>
      <c r="B1697" s="26"/>
      <c r="C1697" s="8"/>
      <c r="D1697" s="8"/>
      <c r="E1697" s="8"/>
      <c r="F1697" s="8"/>
      <c r="G1697" s="8"/>
      <c r="H1697" s="8"/>
      <c r="I1697" s="27"/>
      <c r="J1697" s="8"/>
      <c r="K1697" s="8"/>
      <c r="L1697" s="8"/>
      <c r="N1697" s="8"/>
      <c r="O1697" s="8"/>
    </row>
    <row r="1698" spans="1:15">
      <c r="A1698" s="26"/>
      <c r="B1698" s="26"/>
      <c r="C1698" s="8"/>
      <c r="D1698" s="8"/>
      <c r="E1698" s="8"/>
      <c r="F1698" s="8"/>
      <c r="G1698" s="8"/>
      <c r="H1698" s="8"/>
      <c r="I1698" s="27"/>
      <c r="J1698" s="8"/>
      <c r="K1698" s="8"/>
      <c r="L1698" s="8"/>
      <c r="N1698" s="8"/>
      <c r="O1698" s="8"/>
    </row>
    <row r="1699" spans="1:15">
      <c r="A1699" s="26"/>
      <c r="B1699" s="26"/>
      <c r="C1699" s="8"/>
      <c r="D1699" s="8"/>
      <c r="E1699" s="8"/>
      <c r="F1699" s="8"/>
      <c r="G1699" s="8"/>
      <c r="H1699" s="8"/>
      <c r="I1699" s="27"/>
      <c r="J1699" s="8"/>
      <c r="K1699" s="8"/>
      <c r="L1699" s="8"/>
      <c r="N1699" s="8"/>
      <c r="O1699" s="8"/>
    </row>
    <row r="1700" spans="1:15">
      <c r="A1700" s="26"/>
      <c r="B1700" s="26"/>
      <c r="C1700" s="8"/>
      <c r="D1700" s="8"/>
      <c r="E1700" s="8"/>
      <c r="F1700" s="8"/>
      <c r="G1700" s="8"/>
      <c r="H1700" s="8"/>
      <c r="I1700" s="27"/>
      <c r="J1700" s="8"/>
      <c r="K1700" s="8"/>
      <c r="L1700" s="8"/>
      <c r="N1700" s="8"/>
      <c r="O1700" s="8"/>
    </row>
    <row r="1701" spans="1:15">
      <c r="A1701" s="26"/>
      <c r="B1701" s="26"/>
      <c r="C1701" s="8"/>
      <c r="D1701" s="8"/>
      <c r="E1701" s="8"/>
      <c r="F1701" s="8"/>
      <c r="G1701" s="8"/>
      <c r="H1701" s="8"/>
      <c r="I1701" s="27"/>
      <c r="J1701" s="8"/>
      <c r="K1701" s="8"/>
      <c r="L1701" s="8"/>
      <c r="N1701" s="8"/>
      <c r="O1701" s="8"/>
    </row>
    <row r="1702" spans="1:15">
      <c r="A1702" s="26"/>
      <c r="B1702" s="26"/>
      <c r="C1702" s="8"/>
      <c r="D1702" s="8"/>
      <c r="E1702" s="8"/>
      <c r="F1702" s="8"/>
      <c r="G1702" s="8"/>
      <c r="H1702" s="8"/>
      <c r="I1702" s="27"/>
      <c r="J1702" s="8"/>
      <c r="K1702" s="8"/>
      <c r="L1702" s="8"/>
      <c r="N1702" s="8"/>
      <c r="O1702" s="8"/>
    </row>
    <row r="1703" spans="1:15">
      <c r="A1703" s="26"/>
      <c r="B1703" s="26"/>
      <c r="C1703" s="8"/>
      <c r="D1703" s="8"/>
      <c r="E1703" s="8"/>
      <c r="F1703" s="8"/>
      <c r="G1703" s="8"/>
      <c r="H1703" s="8"/>
      <c r="I1703" s="27"/>
      <c r="J1703" s="8"/>
      <c r="K1703" s="8"/>
      <c r="L1703" s="8"/>
      <c r="N1703" s="8"/>
      <c r="O1703" s="8"/>
    </row>
    <row r="1704" spans="1:15">
      <c r="A1704" s="26"/>
      <c r="B1704" s="26"/>
      <c r="C1704" s="8"/>
      <c r="D1704" s="8"/>
      <c r="E1704" s="8"/>
      <c r="F1704" s="8"/>
      <c r="G1704" s="8"/>
      <c r="H1704" s="8"/>
      <c r="I1704" s="27"/>
      <c r="J1704" s="8"/>
      <c r="K1704" s="8"/>
      <c r="L1704" s="8"/>
      <c r="N1704" s="8"/>
      <c r="O1704" s="8"/>
    </row>
    <row r="1705" spans="1:15">
      <c r="A1705" s="26"/>
      <c r="B1705" s="26"/>
      <c r="C1705" s="8"/>
      <c r="D1705" s="8"/>
      <c r="E1705" s="8"/>
      <c r="F1705" s="8"/>
      <c r="G1705" s="8"/>
      <c r="H1705" s="8"/>
      <c r="I1705" s="27"/>
      <c r="J1705" s="8"/>
      <c r="K1705" s="8"/>
      <c r="L1705" s="8"/>
      <c r="N1705" s="8"/>
      <c r="O1705" s="8"/>
    </row>
    <row r="1706" spans="1:15">
      <c r="A1706" s="26"/>
      <c r="B1706" s="26"/>
      <c r="C1706" s="8"/>
      <c r="D1706" s="8"/>
      <c r="E1706" s="8"/>
      <c r="F1706" s="8"/>
      <c r="G1706" s="8"/>
      <c r="H1706" s="8"/>
      <c r="I1706" s="27"/>
      <c r="J1706" s="8"/>
      <c r="K1706" s="8"/>
      <c r="L1706" s="8"/>
      <c r="N1706" s="8"/>
      <c r="O1706" s="8"/>
    </row>
    <row r="1707" spans="1:15">
      <c r="A1707" s="26"/>
      <c r="B1707" s="26"/>
      <c r="C1707" s="8"/>
      <c r="D1707" s="8"/>
      <c r="E1707" s="8"/>
      <c r="F1707" s="8"/>
      <c r="G1707" s="8"/>
      <c r="H1707" s="8"/>
      <c r="I1707" s="27"/>
      <c r="J1707" s="8"/>
      <c r="K1707" s="8"/>
      <c r="L1707" s="8"/>
      <c r="N1707" s="8"/>
      <c r="O1707" s="8"/>
    </row>
    <row r="1708" spans="1:15">
      <c r="A1708" s="26"/>
      <c r="B1708" s="26"/>
      <c r="C1708" s="8"/>
      <c r="D1708" s="8"/>
      <c r="E1708" s="8"/>
      <c r="F1708" s="8"/>
      <c r="G1708" s="8"/>
      <c r="H1708" s="8"/>
      <c r="I1708" s="27"/>
      <c r="J1708" s="8"/>
      <c r="K1708" s="8"/>
      <c r="L1708" s="8"/>
      <c r="N1708" s="8"/>
      <c r="O1708" s="8"/>
    </row>
    <row r="1709" spans="1:15">
      <c r="A1709" s="26"/>
      <c r="B1709" s="26"/>
      <c r="C1709" s="8"/>
      <c r="D1709" s="8"/>
      <c r="E1709" s="8"/>
      <c r="F1709" s="8"/>
      <c r="G1709" s="8"/>
      <c r="H1709" s="8"/>
      <c r="I1709" s="27"/>
      <c r="J1709" s="8"/>
      <c r="K1709" s="8"/>
      <c r="L1709" s="8"/>
      <c r="N1709" s="8"/>
      <c r="O1709" s="8"/>
    </row>
    <row r="1710" spans="1:15">
      <c r="A1710" s="26"/>
      <c r="B1710" s="26"/>
      <c r="C1710" s="8"/>
      <c r="D1710" s="8"/>
      <c r="E1710" s="8"/>
      <c r="F1710" s="8"/>
      <c r="G1710" s="8"/>
      <c r="H1710" s="8"/>
      <c r="I1710" s="27"/>
      <c r="J1710" s="8"/>
      <c r="K1710" s="8"/>
      <c r="L1710" s="8"/>
      <c r="N1710" s="8"/>
      <c r="O1710" s="8"/>
    </row>
    <row r="1711" spans="1:15">
      <c r="A1711" s="26"/>
      <c r="B1711" s="26"/>
      <c r="C1711" s="8"/>
      <c r="D1711" s="8"/>
      <c r="E1711" s="8"/>
      <c r="F1711" s="8"/>
      <c r="G1711" s="8"/>
      <c r="H1711" s="8"/>
      <c r="I1711" s="27"/>
      <c r="J1711" s="8"/>
      <c r="K1711" s="8"/>
      <c r="L1711" s="8"/>
      <c r="N1711" s="8"/>
      <c r="O1711" s="8"/>
    </row>
    <row r="1712" spans="1:15">
      <c r="A1712" s="26"/>
      <c r="B1712" s="26"/>
      <c r="C1712" s="8"/>
      <c r="D1712" s="8"/>
      <c r="E1712" s="8"/>
      <c r="F1712" s="8"/>
      <c r="G1712" s="8"/>
      <c r="H1712" s="8"/>
      <c r="I1712" s="27"/>
      <c r="J1712" s="8"/>
      <c r="K1712" s="8"/>
      <c r="L1712" s="8"/>
      <c r="N1712" s="8"/>
      <c r="O1712" s="8"/>
    </row>
    <row r="1713" spans="1:15">
      <c r="A1713" s="26"/>
      <c r="B1713" s="26"/>
      <c r="C1713" s="8"/>
      <c r="D1713" s="8"/>
      <c r="E1713" s="8"/>
      <c r="F1713" s="8"/>
      <c r="G1713" s="8"/>
      <c r="H1713" s="8"/>
      <c r="I1713" s="27"/>
      <c r="J1713" s="8"/>
      <c r="K1713" s="8"/>
      <c r="L1713" s="8"/>
      <c r="N1713" s="8"/>
      <c r="O1713" s="8"/>
    </row>
    <row r="1714" spans="1:15">
      <c r="A1714" s="26"/>
      <c r="B1714" s="26"/>
      <c r="C1714" s="8"/>
      <c r="D1714" s="8"/>
      <c r="E1714" s="8"/>
      <c r="F1714" s="8"/>
      <c r="G1714" s="8"/>
      <c r="H1714" s="8"/>
      <c r="I1714" s="27"/>
      <c r="J1714" s="8"/>
      <c r="K1714" s="8"/>
      <c r="L1714" s="8"/>
      <c r="N1714" s="8"/>
      <c r="O1714" s="8"/>
    </row>
    <row r="1715" spans="1:15">
      <c r="A1715" s="26"/>
      <c r="B1715" s="26"/>
      <c r="C1715" s="8"/>
      <c r="D1715" s="8"/>
      <c r="E1715" s="8"/>
      <c r="F1715" s="8"/>
      <c r="G1715" s="8"/>
      <c r="H1715" s="8"/>
      <c r="I1715" s="27"/>
      <c r="J1715" s="8"/>
      <c r="K1715" s="8"/>
      <c r="L1715" s="8"/>
      <c r="N1715" s="8"/>
      <c r="O1715" s="8"/>
    </row>
    <row r="1716" spans="1:15">
      <c r="A1716" s="26"/>
      <c r="B1716" s="26"/>
      <c r="C1716" s="8"/>
      <c r="D1716" s="8"/>
      <c r="E1716" s="8"/>
      <c r="F1716" s="8"/>
      <c r="G1716" s="8"/>
      <c r="H1716" s="8"/>
      <c r="I1716" s="27"/>
      <c r="J1716" s="8"/>
      <c r="K1716" s="8"/>
      <c r="L1716" s="8"/>
      <c r="N1716" s="8"/>
      <c r="O1716" s="8"/>
    </row>
    <row r="1717" spans="1:15">
      <c r="A1717" s="26"/>
      <c r="B1717" s="26"/>
      <c r="C1717" s="8"/>
      <c r="D1717" s="8"/>
      <c r="E1717" s="8"/>
      <c r="F1717" s="8"/>
      <c r="G1717" s="8"/>
      <c r="H1717" s="8"/>
      <c r="I1717" s="27"/>
      <c r="J1717" s="8"/>
      <c r="K1717" s="8"/>
      <c r="L1717" s="8"/>
      <c r="N1717" s="8"/>
      <c r="O1717" s="8"/>
    </row>
    <row r="1718" spans="1:15">
      <c r="A1718" s="26"/>
      <c r="B1718" s="26"/>
      <c r="C1718" s="8"/>
      <c r="D1718" s="8"/>
      <c r="E1718" s="8"/>
      <c r="F1718" s="8"/>
      <c r="G1718" s="8"/>
      <c r="H1718" s="8"/>
      <c r="I1718" s="27"/>
      <c r="J1718" s="8"/>
      <c r="K1718" s="8"/>
      <c r="L1718" s="8"/>
      <c r="N1718" s="8"/>
      <c r="O1718" s="8"/>
    </row>
    <row r="1719" spans="1:15">
      <c r="A1719" s="26"/>
      <c r="B1719" s="26"/>
      <c r="C1719" s="8"/>
      <c r="D1719" s="8"/>
      <c r="E1719" s="8"/>
      <c r="F1719" s="8"/>
      <c r="G1719" s="8"/>
      <c r="H1719" s="8"/>
      <c r="I1719" s="27"/>
      <c r="J1719" s="8"/>
      <c r="K1719" s="8"/>
      <c r="L1719" s="8"/>
      <c r="N1719" s="8"/>
      <c r="O1719" s="8"/>
    </row>
    <row r="1720" spans="1:15">
      <c r="A1720" s="26"/>
      <c r="B1720" s="26"/>
      <c r="C1720" s="8"/>
      <c r="D1720" s="8"/>
      <c r="E1720" s="8"/>
      <c r="F1720" s="8"/>
      <c r="G1720" s="8"/>
      <c r="H1720" s="8"/>
      <c r="I1720" s="27"/>
      <c r="J1720" s="8"/>
      <c r="K1720" s="8"/>
      <c r="L1720" s="8"/>
      <c r="N1720" s="8"/>
      <c r="O1720" s="8"/>
    </row>
    <row r="1721" spans="1:15">
      <c r="A1721" s="26"/>
      <c r="B1721" s="26"/>
      <c r="C1721" s="8"/>
      <c r="D1721" s="8"/>
      <c r="E1721" s="8"/>
      <c r="F1721" s="8"/>
      <c r="G1721" s="8"/>
      <c r="H1721" s="8"/>
      <c r="I1721" s="27"/>
      <c r="J1721" s="8"/>
      <c r="K1721" s="8"/>
      <c r="L1721" s="8"/>
      <c r="N1721" s="8"/>
      <c r="O1721" s="8"/>
    </row>
    <row r="1722" spans="1:15">
      <c r="A1722" s="26"/>
      <c r="B1722" s="26"/>
      <c r="C1722" s="8"/>
      <c r="D1722" s="8"/>
      <c r="E1722" s="8"/>
      <c r="F1722" s="8"/>
      <c r="G1722" s="8"/>
      <c r="H1722" s="8"/>
      <c r="I1722" s="27"/>
      <c r="J1722" s="8"/>
      <c r="K1722" s="8"/>
      <c r="L1722" s="8"/>
      <c r="N1722" s="8"/>
      <c r="O1722" s="8"/>
    </row>
    <row r="1723" spans="1:15">
      <c r="A1723" s="26"/>
      <c r="B1723" s="26"/>
      <c r="C1723" s="8"/>
      <c r="D1723" s="8"/>
      <c r="E1723" s="8"/>
      <c r="F1723" s="8"/>
      <c r="G1723" s="8"/>
      <c r="H1723" s="8"/>
      <c r="I1723" s="27"/>
      <c r="J1723" s="8"/>
      <c r="K1723" s="8"/>
      <c r="L1723" s="8"/>
      <c r="N1723" s="8"/>
      <c r="O1723" s="8"/>
    </row>
    <row r="1724" spans="1:15">
      <c r="A1724" s="26"/>
      <c r="B1724" s="26"/>
      <c r="C1724" s="8"/>
      <c r="D1724" s="8"/>
      <c r="E1724" s="8"/>
      <c r="F1724" s="8"/>
      <c r="G1724" s="8"/>
      <c r="H1724" s="8"/>
      <c r="I1724" s="27"/>
      <c r="J1724" s="8"/>
      <c r="K1724" s="8"/>
      <c r="L1724" s="8"/>
      <c r="N1724" s="8"/>
      <c r="O1724" s="8"/>
    </row>
    <row r="1725" spans="1:15">
      <c r="A1725" s="26"/>
      <c r="B1725" s="26"/>
      <c r="C1725" s="8"/>
      <c r="D1725" s="8"/>
      <c r="E1725" s="8"/>
      <c r="F1725" s="8"/>
      <c r="G1725" s="8"/>
      <c r="H1725" s="8"/>
      <c r="I1725" s="27"/>
      <c r="J1725" s="8"/>
      <c r="K1725" s="8"/>
      <c r="L1725" s="8"/>
      <c r="N1725" s="8"/>
      <c r="O1725" s="8"/>
    </row>
    <row r="1726" spans="1:15">
      <c r="A1726" s="26"/>
      <c r="B1726" s="26"/>
      <c r="C1726" s="8"/>
      <c r="D1726" s="8"/>
      <c r="E1726" s="8"/>
      <c r="F1726" s="8"/>
      <c r="G1726" s="8"/>
      <c r="H1726" s="8"/>
      <c r="I1726" s="27"/>
      <c r="J1726" s="8"/>
      <c r="K1726" s="8"/>
      <c r="L1726" s="8"/>
      <c r="N1726" s="8"/>
      <c r="O1726" s="8"/>
    </row>
    <row r="1727" spans="1:15">
      <c r="A1727" s="26"/>
      <c r="B1727" s="26"/>
      <c r="C1727" s="8"/>
      <c r="D1727" s="8"/>
      <c r="E1727" s="8"/>
      <c r="F1727" s="8"/>
      <c r="G1727" s="8"/>
      <c r="H1727" s="8"/>
      <c r="I1727" s="27"/>
      <c r="J1727" s="8"/>
      <c r="K1727" s="8"/>
      <c r="L1727" s="8"/>
      <c r="N1727" s="8"/>
      <c r="O1727" s="8"/>
    </row>
    <row r="1728" spans="1:15">
      <c r="A1728" s="26"/>
      <c r="B1728" s="26"/>
      <c r="C1728" s="8"/>
      <c r="D1728" s="8"/>
      <c r="E1728" s="8"/>
      <c r="F1728" s="8"/>
      <c r="G1728" s="8"/>
      <c r="H1728" s="8"/>
      <c r="I1728" s="27"/>
      <c r="J1728" s="8"/>
      <c r="K1728" s="8"/>
      <c r="L1728" s="8"/>
      <c r="N1728" s="8"/>
      <c r="O1728" s="8"/>
    </row>
    <row r="1729" spans="1:15">
      <c r="A1729" s="26"/>
      <c r="B1729" s="26"/>
      <c r="C1729" s="8"/>
      <c r="D1729" s="8"/>
      <c r="E1729" s="8"/>
      <c r="F1729" s="8"/>
      <c r="G1729" s="8"/>
      <c r="H1729" s="8"/>
      <c r="I1729" s="27"/>
      <c r="J1729" s="8"/>
      <c r="K1729" s="8"/>
      <c r="L1729" s="8"/>
      <c r="N1729" s="8"/>
      <c r="O1729" s="8"/>
    </row>
    <row r="1730" spans="1:15">
      <c r="A1730" s="26"/>
      <c r="B1730" s="26"/>
      <c r="C1730" s="8"/>
      <c r="D1730" s="8"/>
      <c r="E1730" s="8"/>
      <c r="F1730" s="8"/>
      <c r="G1730" s="8"/>
      <c r="H1730" s="8"/>
      <c r="I1730" s="27"/>
      <c r="J1730" s="8"/>
      <c r="K1730" s="8"/>
      <c r="L1730" s="8"/>
      <c r="N1730" s="8"/>
      <c r="O1730" s="8"/>
    </row>
    <row r="1731" spans="1:15">
      <c r="A1731" s="26"/>
      <c r="B1731" s="26"/>
      <c r="C1731" s="8"/>
      <c r="D1731" s="8"/>
      <c r="E1731" s="8"/>
      <c r="F1731" s="8"/>
      <c r="G1731" s="8"/>
      <c r="H1731" s="8"/>
      <c r="I1731" s="27"/>
      <c r="J1731" s="8"/>
      <c r="K1731" s="8"/>
      <c r="L1731" s="8"/>
      <c r="N1731" s="8"/>
      <c r="O1731" s="8"/>
    </row>
    <row r="1732" spans="1:15">
      <c r="A1732" s="26"/>
      <c r="B1732" s="26"/>
      <c r="C1732" s="8"/>
      <c r="D1732" s="8"/>
      <c r="E1732" s="8"/>
      <c r="F1732" s="8"/>
      <c r="G1732" s="8"/>
      <c r="H1732" s="8"/>
      <c r="I1732" s="27"/>
      <c r="J1732" s="8"/>
      <c r="K1732" s="8"/>
      <c r="L1732" s="8"/>
      <c r="N1732" s="8"/>
      <c r="O1732" s="8"/>
    </row>
    <row r="1733" spans="1:15">
      <c r="A1733" s="26"/>
      <c r="B1733" s="26"/>
      <c r="C1733" s="8"/>
      <c r="D1733" s="8"/>
      <c r="E1733" s="8"/>
      <c r="F1733" s="8"/>
      <c r="G1733" s="8"/>
      <c r="H1733" s="8"/>
      <c r="I1733" s="27"/>
      <c r="J1733" s="8"/>
      <c r="K1733" s="8"/>
      <c r="L1733" s="8"/>
      <c r="N1733" s="8"/>
      <c r="O1733" s="8"/>
    </row>
    <row r="1734" spans="1:15">
      <c r="A1734" s="26"/>
      <c r="B1734" s="26"/>
      <c r="C1734" s="8"/>
      <c r="D1734" s="8"/>
      <c r="E1734" s="8"/>
      <c r="F1734" s="8"/>
      <c r="G1734" s="8"/>
      <c r="H1734" s="8"/>
      <c r="I1734" s="27"/>
      <c r="J1734" s="8"/>
      <c r="K1734" s="8"/>
      <c r="L1734" s="8"/>
      <c r="N1734" s="8"/>
      <c r="O1734" s="8"/>
    </row>
    <row r="1735" spans="1:15">
      <c r="A1735" s="26"/>
      <c r="B1735" s="26"/>
      <c r="C1735" s="8"/>
      <c r="D1735" s="8"/>
      <c r="E1735" s="8"/>
      <c r="F1735" s="8"/>
      <c r="G1735" s="8"/>
      <c r="H1735" s="8"/>
      <c r="I1735" s="27"/>
      <c r="J1735" s="8"/>
      <c r="K1735" s="8"/>
      <c r="L1735" s="8"/>
      <c r="N1735" s="8"/>
      <c r="O1735" s="8"/>
    </row>
    <row r="1736" spans="1:15">
      <c r="A1736" s="26"/>
      <c r="B1736" s="26"/>
      <c r="C1736" s="8"/>
      <c r="D1736" s="8"/>
      <c r="E1736" s="8"/>
      <c r="F1736" s="8"/>
      <c r="G1736" s="8"/>
      <c r="H1736" s="8"/>
      <c r="I1736" s="27"/>
      <c r="J1736" s="8"/>
      <c r="K1736" s="8"/>
      <c r="L1736" s="8"/>
      <c r="N1736" s="8"/>
      <c r="O1736" s="8"/>
    </row>
    <row r="1737" spans="1:15">
      <c r="A1737" s="26"/>
      <c r="B1737" s="26"/>
      <c r="C1737" s="8"/>
      <c r="D1737" s="8"/>
      <c r="E1737" s="8"/>
      <c r="F1737" s="8"/>
      <c r="G1737" s="8"/>
      <c r="H1737" s="8"/>
      <c r="I1737" s="27"/>
      <c r="J1737" s="8"/>
      <c r="K1737" s="8"/>
      <c r="L1737" s="8"/>
      <c r="N1737" s="8"/>
      <c r="O1737" s="8"/>
    </row>
    <row r="1738" spans="1:15">
      <c r="A1738" s="26"/>
      <c r="B1738" s="26"/>
      <c r="C1738" s="8"/>
      <c r="D1738" s="8"/>
      <c r="E1738" s="8"/>
      <c r="F1738" s="8"/>
      <c r="G1738" s="8"/>
      <c r="H1738" s="8"/>
      <c r="I1738" s="27"/>
      <c r="J1738" s="8"/>
      <c r="K1738" s="8"/>
      <c r="L1738" s="8"/>
      <c r="N1738" s="8"/>
      <c r="O1738" s="8"/>
    </row>
    <row r="1739" spans="1:15">
      <c r="A1739" s="26"/>
      <c r="B1739" s="26"/>
      <c r="C1739" s="8"/>
      <c r="D1739" s="8"/>
      <c r="E1739" s="8"/>
      <c r="F1739" s="8"/>
      <c r="G1739" s="8"/>
      <c r="H1739" s="8"/>
      <c r="I1739" s="27"/>
      <c r="J1739" s="8"/>
      <c r="K1739" s="8"/>
      <c r="L1739" s="8"/>
      <c r="N1739" s="8"/>
      <c r="O1739" s="8"/>
    </row>
    <row r="1740" spans="1:15">
      <c r="A1740" s="26"/>
      <c r="B1740" s="26"/>
      <c r="C1740" s="8"/>
      <c r="D1740" s="8"/>
      <c r="E1740" s="8"/>
      <c r="F1740" s="8"/>
      <c r="G1740" s="8"/>
      <c r="H1740" s="8"/>
      <c r="I1740" s="27"/>
      <c r="J1740" s="8"/>
      <c r="K1740" s="8"/>
      <c r="L1740" s="8"/>
      <c r="N1740" s="8"/>
      <c r="O1740" s="8"/>
    </row>
    <row r="1741" spans="1:15">
      <c r="A1741" s="26"/>
      <c r="B1741" s="26"/>
      <c r="C1741" s="8"/>
      <c r="D1741" s="8"/>
      <c r="E1741" s="8"/>
      <c r="F1741" s="8"/>
      <c r="G1741" s="8"/>
      <c r="H1741" s="8"/>
      <c r="I1741" s="27"/>
      <c r="J1741" s="8"/>
      <c r="K1741" s="8"/>
      <c r="L1741" s="8"/>
      <c r="N1741" s="8"/>
      <c r="O1741" s="8"/>
    </row>
    <row r="1742" spans="1:15">
      <c r="A1742" s="26"/>
      <c r="B1742" s="26"/>
      <c r="C1742" s="8"/>
      <c r="D1742" s="8"/>
      <c r="E1742" s="8"/>
      <c r="F1742" s="8"/>
      <c r="G1742" s="8"/>
      <c r="H1742" s="8"/>
      <c r="I1742" s="27"/>
      <c r="J1742" s="8"/>
      <c r="K1742" s="8"/>
      <c r="L1742" s="8"/>
      <c r="N1742" s="8"/>
      <c r="O1742" s="8"/>
    </row>
    <row r="1743" spans="1:15">
      <c r="A1743" s="26"/>
      <c r="B1743" s="26"/>
      <c r="C1743" s="8"/>
      <c r="D1743" s="8"/>
      <c r="E1743" s="8"/>
      <c r="F1743" s="8"/>
      <c r="G1743" s="8"/>
      <c r="H1743" s="8"/>
      <c r="I1743" s="27"/>
      <c r="J1743" s="8"/>
      <c r="K1743" s="8"/>
      <c r="L1743" s="8"/>
      <c r="N1743" s="8"/>
      <c r="O1743" s="8"/>
    </row>
    <row r="1744" spans="1:15">
      <c r="A1744" s="26"/>
      <c r="B1744" s="26"/>
      <c r="C1744" s="8"/>
      <c r="D1744" s="8"/>
      <c r="E1744" s="8"/>
      <c r="F1744" s="8"/>
      <c r="G1744" s="8"/>
      <c r="H1744" s="8"/>
      <c r="I1744" s="27"/>
      <c r="J1744" s="8"/>
      <c r="K1744" s="8"/>
      <c r="L1744" s="8"/>
      <c r="N1744" s="8"/>
      <c r="O1744" s="8"/>
    </row>
    <row r="1745" spans="1:15">
      <c r="A1745" s="26"/>
      <c r="B1745" s="26"/>
      <c r="C1745" s="8"/>
      <c r="D1745" s="8"/>
      <c r="E1745" s="8"/>
      <c r="F1745" s="8"/>
      <c r="G1745" s="8"/>
      <c r="H1745" s="8"/>
      <c r="I1745" s="27"/>
      <c r="J1745" s="8"/>
      <c r="K1745" s="8"/>
      <c r="L1745" s="8"/>
      <c r="N1745" s="8"/>
      <c r="O1745" s="8"/>
    </row>
    <row r="1746" spans="1:15">
      <c r="A1746" s="26"/>
      <c r="B1746" s="26"/>
      <c r="C1746" s="8"/>
      <c r="D1746" s="8"/>
      <c r="E1746" s="8"/>
      <c r="F1746" s="8"/>
      <c r="G1746" s="8"/>
      <c r="H1746" s="8"/>
      <c r="I1746" s="27"/>
      <c r="J1746" s="8"/>
      <c r="K1746" s="8"/>
      <c r="L1746" s="8"/>
      <c r="N1746" s="8"/>
      <c r="O1746" s="8"/>
    </row>
    <row r="1747" spans="1:15">
      <c r="A1747" s="26"/>
      <c r="B1747" s="26"/>
      <c r="C1747" s="8"/>
      <c r="D1747" s="8"/>
      <c r="E1747" s="8"/>
      <c r="F1747" s="8"/>
      <c r="G1747" s="8"/>
      <c r="H1747" s="8"/>
      <c r="I1747" s="27"/>
      <c r="J1747" s="8"/>
      <c r="K1747" s="8"/>
      <c r="L1747" s="8"/>
      <c r="N1747" s="8"/>
      <c r="O1747" s="8"/>
    </row>
    <row r="1748" spans="1:15">
      <c r="A1748" s="26"/>
      <c r="B1748" s="26"/>
      <c r="C1748" s="8"/>
      <c r="D1748" s="8"/>
      <c r="E1748" s="8"/>
      <c r="F1748" s="8"/>
      <c r="G1748" s="8"/>
      <c r="H1748" s="8"/>
      <c r="I1748" s="27"/>
      <c r="J1748" s="8"/>
      <c r="K1748" s="8"/>
      <c r="L1748" s="8"/>
      <c r="N1748" s="8"/>
      <c r="O1748" s="8"/>
    </row>
    <row r="1749" spans="1:15">
      <c r="A1749" s="26"/>
      <c r="B1749" s="26"/>
      <c r="C1749" s="8"/>
      <c r="D1749" s="8"/>
      <c r="E1749" s="8"/>
      <c r="F1749" s="8"/>
      <c r="G1749" s="8"/>
      <c r="H1749" s="8"/>
      <c r="I1749" s="27"/>
      <c r="J1749" s="8"/>
      <c r="K1749" s="8"/>
      <c r="L1749" s="8"/>
      <c r="N1749" s="8"/>
      <c r="O1749" s="8"/>
    </row>
    <row r="1750" spans="1:15">
      <c r="A1750" s="26"/>
      <c r="B1750" s="26"/>
      <c r="C1750" s="8"/>
      <c r="D1750" s="8"/>
      <c r="E1750" s="8"/>
      <c r="F1750" s="8"/>
      <c r="G1750" s="8"/>
      <c r="H1750" s="8"/>
      <c r="I1750" s="27"/>
      <c r="J1750" s="8"/>
      <c r="K1750" s="8"/>
      <c r="L1750" s="8"/>
      <c r="N1750" s="8"/>
      <c r="O1750" s="8"/>
    </row>
    <row r="1751" spans="1:15">
      <c r="A1751" s="26"/>
      <c r="B1751" s="26"/>
      <c r="C1751" s="8"/>
      <c r="D1751" s="8"/>
      <c r="E1751" s="8"/>
      <c r="F1751" s="8"/>
      <c r="G1751" s="8"/>
      <c r="H1751" s="8"/>
      <c r="I1751" s="27"/>
      <c r="J1751" s="8"/>
      <c r="K1751" s="8"/>
      <c r="L1751" s="8"/>
      <c r="N1751" s="8"/>
      <c r="O1751" s="8"/>
    </row>
    <row r="1752" spans="1:15">
      <c r="A1752" s="26"/>
      <c r="B1752" s="26"/>
      <c r="C1752" s="8"/>
      <c r="D1752" s="8"/>
      <c r="E1752" s="8"/>
      <c r="F1752" s="8"/>
      <c r="G1752" s="8"/>
      <c r="H1752" s="8"/>
      <c r="I1752" s="27"/>
      <c r="J1752" s="8"/>
      <c r="K1752" s="8"/>
      <c r="L1752" s="8"/>
      <c r="N1752" s="8"/>
      <c r="O1752" s="8"/>
    </row>
    <row r="1753" spans="1:15">
      <c r="A1753" s="26"/>
      <c r="B1753" s="26"/>
      <c r="C1753" s="8"/>
      <c r="D1753" s="8"/>
      <c r="E1753" s="8"/>
      <c r="F1753" s="8"/>
      <c r="G1753" s="8"/>
      <c r="H1753" s="8"/>
      <c r="I1753" s="27"/>
      <c r="J1753" s="8"/>
      <c r="K1753" s="8"/>
      <c r="L1753" s="8"/>
      <c r="N1753" s="8"/>
      <c r="O1753" s="8"/>
    </row>
    <row r="1754" spans="1:15">
      <c r="A1754" s="26"/>
      <c r="B1754" s="26"/>
      <c r="C1754" s="8"/>
      <c r="D1754" s="8"/>
      <c r="E1754" s="8"/>
      <c r="F1754" s="8"/>
      <c r="G1754" s="8"/>
      <c r="H1754" s="8"/>
      <c r="I1754" s="27"/>
      <c r="J1754" s="8"/>
      <c r="K1754" s="8"/>
      <c r="L1754" s="8"/>
      <c r="N1754" s="8"/>
      <c r="O1754" s="8"/>
    </row>
    <row r="1755" spans="1:15">
      <c r="A1755" s="26"/>
      <c r="B1755" s="26"/>
      <c r="C1755" s="8"/>
      <c r="D1755" s="8"/>
      <c r="E1755" s="8"/>
      <c r="F1755" s="8"/>
      <c r="G1755" s="8"/>
      <c r="H1755" s="8"/>
      <c r="I1755" s="27"/>
      <c r="J1755" s="8"/>
      <c r="K1755" s="8"/>
      <c r="L1755" s="8"/>
      <c r="N1755" s="8"/>
      <c r="O1755" s="8"/>
    </row>
    <row r="1756" spans="1:15">
      <c r="A1756" s="26"/>
      <c r="B1756" s="26"/>
      <c r="C1756" s="8"/>
      <c r="D1756" s="8"/>
      <c r="E1756" s="8"/>
      <c r="F1756" s="8"/>
      <c r="G1756" s="8"/>
      <c r="H1756" s="8"/>
      <c r="I1756" s="27"/>
      <c r="J1756" s="8"/>
      <c r="K1756" s="8"/>
      <c r="L1756" s="8"/>
      <c r="N1756" s="8"/>
      <c r="O1756" s="8"/>
    </row>
    <row r="1757" spans="1:15">
      <c r="A1757" s="26"/>
      <c r="B1757" s="26"/>
      <c r="C1757" s="8"/>
      <c r="D1757" s="8"/>
      <c r="E1757" s="8"/>
      <c r="F1757" s="8"/>
      <c r="G1757" s="8"/>
      <c r="H1757" s="8"/>
      <c r="I1757" s="27"/>
      <c r="J1757" s="8"/>
      <c r="K1757" s="8"/>
      <c r="L1757" s="8"/>
      <c r="N1757" s="8"/>
      <c r="O1757" s="8"/>
    </row>
    <row r="1758" spans="1:15">
      <c r="A1758" s="26"/>
      <c r="B1758" s="26"/>
      <c r="C1758" s="8"/>
      <c r="D1758" s="8"/>
      <c r="E1758" s="8"/>
      <c r="F1758" s="8"/>
      <c r="G1758" s="8"/>
      <c r="H1758" s="8"/>
      <c r="I1758" s="27"/>
      <c r="J1758" s="8"/>
      <c r="K1758" s="8"/>
      <c r="L1758" s="8"/>
      <c r="N1758" s="8"/>
      <c r="O1758" s="8"/>
    </row>
    <row r="1759" spans="1:15">
      <c r="A1759" s="26"/>
      <c r="B1759" s="26"/>
      <c r="C1759" s="8"/>
      <c r="D1759" s="8"/>
      <c r="E1759" s="8"/>
      <c r="F1759" s="8"/>
      <c r="G1759" s="8"/>
      <c r="H1759" s="8"/>
      <c r="I1759" s="27"/>
      <c r="J1759" s="8"/>
      <c r="K1759" s="8"/>
      <c r="L1759" s="8"/>
      <c r="N1759" s="8"/>
      <c r="O1759" s="8"/>
    </row>
    <row r="1760" spans="1:15">
      <c r="A1760" s="26"/>
      <c r="B1760" s="26"/>
      <c r="C1760" s="8"/>
      <c r="D1760" s="8"/>
      <c r="E1760" s="8"/>
      <c r="F1760" s="8"/>
      <c r="G1760" s="8"/>
      <c r="H1760" s="8"/>
      <c r="I1760" s="27"/>
      <c r="J1760" s="8"/>
      <c r="K1760" s="8"/>
      <c r="L1760" s="8"/>
      <c r="N1760" s="8"/>
      <c r="O1760" s="8"/>
    </row>
    <row r="1761" spans="1:15">
      <c r="A1761" s="26"/>
      <c r="B1761" s="26"/>
      <c r="C1761" s="8"/>
      <c r="D1761" s="8"/>
      <c r="E1761" s="8"/>
      <c r="F1761" s="8"/>
      <c r="G1761" s="8"/>
      <c r="H1761" s="8"/>
      <c r="I1761" s="27"/>
      <c r="J1761" s="8"/>
      <c r="K1761" s="8"/>
      <c r="L1761" s="8"/>
      <c r="N1761" s="8"/>
      <c r="O1761" s="8"/>
    </row>
    <row r="1762" spans="1:15">
      <c r="A1762" s="26"/>
      <c r="B1762" s="26"/>
      <c r="C1762" s="8"/>
      <c r="D1762" s="8"/>
      <c r="E1762" s="8"/>
      <c r="F1762" s="8"/>
      <c r="G1762" s="8"/>
      <c r="H1762" s="8"/>
      <c r="I1762" s="27"/>
      <c r="J1762" s="8"/>
      <c r="K1762" s="8"/>
      <c r="L1762" s="8"/>
      <c r="N1762" s="8"/>
      <c r="O1762" s="8"/>
    </row>
    <row r="1763" spans="1:15">
      <c r="A1763" s="26"/>
      <c r="B1763" s="26"/>
      <c r="C1763" s="8"/>
      <c r="D1763" s="8"/>
      <c r="E1763" s="8"/>
      <c r="F1763" s="8"/>
      <c r="G1763" s="8"/>
      <c r="H1763" s="8"/>
      <c r="I1763" s="27"/>
      <c r="J1763" s="8"/>
      <c r="K1763" s="8"/>
      <c r="L1763" s="8"/>
      <c r="N1763" s="8"/>
      <c r="O1763" s="8"/>
    </row>
    <row r="1764" spans="1:15">
      <c r="A1764" s="26"/>
      <c r="B1764" s="26"/>
      <c r="C1764" s="8"/>
      <c r="D1764" s="8"/>
      <c r="E1764" s="8"/>
      <c r="F1764" s="8"/>
      <c r="G1764" s="8"/>
      <c r="H1764" s="8"/>
      <c r="I1764" s="27"/>
      <c r="J1764" s="8"/>
      <c r="K1764" s="8"/>
      <c r="L1764" s="8"/>
      <c r="N1764" s="8"/>
      <c r="O1764" s="8"/>
    </row>
    <row r="1765" spans="1:15">
      <c r="A1765" s="26"/>
      <c r="B1765" s="26"/>
      <c r="C1765" s="8"/>
      <c r="D1765" s="8"/>
      <c r="E1765" s="8"/>
      <c r="F1765" s="8"/>
      <c r="G1765" s="8"/>
      <c r="H1765" s="8"/>
      <c r="I1765" s="27"/>
      <c r="J1765" s="8"/>
      <c r="K1765" s="8"/>
      <c r="L1765" s="8"/>
      <c r="N1765" s="8"/>
      <c r="O1765" s="8"/>
    </row>
    <row r="1766" spans="1:15">
      <c r="A1766" s="26"/>
      <c r="B1766" s="26"/>
      <c r="C1766" s="8"/>
      <c r="D1766" s="8"/>
      <c r="E1766" s="8"/>
      <c r="F1766" s="8"/>
      <c r="G1766" s="8"/>
      <c r="H1766" s="8"/>
      <c r="I1766" s="27"/>
      <c r="J1766" s="8"/>
      <c r="K1766" s="8"/>
      <c r="L1766" s="8"/>
      <c r="N1766" s="8"/>
      <c r="O1766" s="8"/>
    </row>
    <row r="1767" spans="1:15">
      <c r="A1767" s="26"/>
      <c r="B1767" s="26"/>
      <c r="C1767" s="8"/>
      <c r="D1767" s="8"/>
      <c r="E1767" s="8"/>
      <c r="F1767" s="8"/>
      <c r="G1767" s="8"/>
      <c r="H1767" s="8"/>
      <c r="I1767" s="27"/>
      <c r="J1767" s="8"/>
      <c r="K1767" s="8"/>
      <c r="L1767" s="8"/>
      <c r="N1767" s="8"/>
      <c r="O1767" s="8"/>
    </row>
    <row r="1768" spans="1:15">
      <c r="A1768" s="26"/>
      <c r="B1768" s="26"/>
      <c r="C1768" s="8"/>
      <c r="D1768" s="8"/>
      <c r="E1768" s="8"/>
      <c r="F1768" s="8"/>
      <c r="G1768" s="8"/>
      <c r="H1768" s="8"/>
      <c r="I1768" s="27"/>
      <c r="J1768" s="8"/>
      <c r="K1768" s="8"/>
      <c r="L1768" s="8"/>
      <c r="N1768" s="8"/>
      <c r="O1768" s="8"/>
    </row>
    <row r="1769" spans="1:15">
      <c r="A1769" s="26"/>
      <c r="B1769" s="26"/>
      <c r="C1769" s="8"/>
      <c r="D1769" s="8"/>
      <c r="E1769" s="8"/>
      <c r="F1769" s="8"/>
      <c r="G1769" s="8"/>
      <c r="H1769" s="8"/>
      <c r="I1769" s="27"/>
      <c r="J1769" s="8"/>
      <c r="K1769" s="8"/>
      <c r="L1769" s="8"/>
      <c r="N1769" s="8"/>
      <c r="O1769" s="8"/>
    </row>
    <row r="1770" spans="1:15">
      <c r="A1770" s="26"/>
      <c r="B1770" s="26"/>
      <c r="C1770" s="8"/>
      <c r="D1770" s="8"/>
      <c r="E1770" s="8"/>
      <c r="F1770" s="8"/>
      <c r="G1770" s="8"/>
      <c r="H1770" s="8"/>
      <c r="I1770" s="27"/>
      <c r="J1770" s="8"/>
      <c r="K1770" s="8"/>
      <c r="L1770" s="8"/>
      <c r="N1770" s="8"/>
      <c r="O1770" s="8"/>
    </row>
    <row r="1771" spans="1:15">
      <c r="A1771" s="26"/>
      <c r="B1771" s="26"/>
      <c r="C1771" s="8"/>
      <c r="D1771" s="8"/>
      <c r="E1771" s="8"/>
      <c r="F1771" s="8"/>
      <c r="G1771" s="8"/>
      <c r="H1771" s="8"/>
      <c r="I1771" s="27"/>
      <c r="J1771" s="8"/>
      <c r="K1771" s="8"/>
      <c r="L1771" s="8"/>
      <c r="N1771" s="8"/>
      <c r="O1771" s="8"/>
    </row>
    <row r="1772" spans="1:15">
      <c r="A1772" s="26"/>
      <c r="B1772" s="26"/>
      <c r="C1772" s="8"/>
      <c r="D1772" s="8"/>
      <c r="E1772" s="8"/>
      <c r="F1772" s="8"/>
      <c r="G1772" s="8"/>
      <c r="H1772" s="8"/>
      <c r="I1772" s="27"/>
      <c r="J1772" s="8"/>
      <c r="K1772" s="8"/>
      <c r="L1772" s="8"/>
      <c r="N1772" s="8"/>
      <c r="O1772" s="8"/>
    </row>
    <row r="1773" spans="1:15">
      <c r="A1773" s="26"/>
      <c r="B1773" s="26"/>
      <c r="C1773" s="8"/>
      <c r="D1773" s="8"/>
      <c r="E1773" s="8"/>
      <c r="F1773" s="8"/>
      <c r="G1773" s="8"/>
      <c r="H1773" s="8"/>
      <c r="I1773" s="27"/>
      <c r="J1773" s="8"/>
      <c r="K1773" s="8"/>
      <c r="L1773" s="8"/>
      <c r="N1773" s="8"/>
      <c r="O1773" s="8"/>
    </row>
    <row r="1774" spans="1:15">
      <c r="A1774" s="26"/>
      <c r="B1774" s="26"/>
      <c r="C1774" s="8"/>
      <c r="D1774" s="8"/>
      <c r="E1774" s="8"/>
      <c r="F1774" s="8"/>
      <c r="G1774" s="8"/>
      <c r="H1774" s="8"/>
      <c r="I1774" s="27"/>
      <c r="J1774" s="8"/>
      <c r="K1774" s="8"/>
      <c r="L1774" s="8"/>
      <c r="N1774" s="8"/>
      <c r="O1774" s="8"/>
    </row>
    <row r="1775" spans="1:15">
      <c r="A1775" s="26"/>
      <c r="B1775" s="26"/>
      <c r="C1775" s="8"/>
      <c r="D1775" s="8"/>
      <c r="E1775" s="8"/>
      <c r="F1775" s="8"/>
      <c r="G1775" s="8"/>
      <c r="H1775" s="8"/>
      <c r="I1775" s="27"/>
      <c r="J1775" s="8"/>
      <c r="K1775" s="8"/>
      <c r="L1775" s="8"/>
      <c r="N1775" s="8"/>
      <c r="O1775" s="8"/>
    </row>
    <row r="1776" spans="1:15">
      <c r="A1776" s="26"/>
      <c r="B1776" s="26"/>
      <c r="C1776" s="8"/>
      <c r="D1776" s="8"/>
      <c r="E1776" s="8"/>
      <c r="F1776" s="8"/>
      <c r="G1776" s="8"/>
      <c r="H1776" s="8"/>
      <c r="I1776" s="27"/>
      <c r="J1776" s="8"/>
      <c r="K1776" s="8"/>
      <c r="L1776" s="8"/>
      <c r="N1776" s="8"/>
      <c r="O1776" s="8"/>
    </row>
    <row r="1777" spans="1:15">
      <c r="A1777" s="26"/>
      <c r="B1777" s="26"/>
      <c r="C1777" s="8"/>
      <c r="D1777" s="8"/>
      <c r="E1777" s="8"/>
      <c r="F1777" s="8"/>
      <c r="G1777" s="8"/>
      <c r="H1777" s="8"/>
      <c r="I1777" s="27"/>
      <c r="J1777" s="8"/>
      <c r="K1777" s="8"/>
      <c r="L1777" s="8"/>
      <c r="N1777" s="8"/>
      <c r="O1777" s="8"/>
    </row>
    <row r="1778" spans="1:15">
      <c r="A1778" s="26"/>
      <c r="B1778" s="26"/>
      <c r="C1778" s="8"/>
      <c r="D1778" s="8"/>
      <c r="E1778" s="8"/>
      <c r="F1778" s="8"/>
      <c r="G1778" s="8"/>
      <c r="H1778" s="8"/>
      <c r="I1778" s="27"/>
      <c r="J1778" s="8"/>
      <c r="K1778" s="8"/>
      <c r="L1778" s="8"/>
      <c r="N1778" s="8"/>
      <c r="O1778" s="8"/>
    </row>
    <row r="1779" spans="1:15">
      <c r="A1779" s="26"/>
      <c r="B1779" s="26"/>
      <c r="C1779" s="8"/>
      <c r="D1779" s="8"/>
      <c r="E1779" s="8"/>
      <c r="F1779" s="8"/>
      <c r="G1779" s="8"/>
      <c r="H1779" s="8"/>
      <c r="I1779" s="27"/>
      <c r="J1779" s="8"/>
      <c r="K1779" s="8"/>
      <c r="L1779" s="8"/>
      <c r="N1779" s="8"/>
      <c r="O1779" s="8"/>
    </row>
    <row r="1780" spans="1:15">
      <c r="A1780" s="26"/>
      <c r="B1780" s="26"/>
      <c r="C1780" s="8"/>
      <c r="D1780" s="8"/>
      <c r="E1780" s="8"/>
      <c r="F1780" s="8"/>
      <c r="G1780" s="8"/>
      <c r="H1780" s="8"/>
      <c r="I1780" s="27"/>
      <c r="J1780" s="8"/>
      <c r="K1780" s="8"/>
      <c r="L1780" s="8"/>
      <c r="N1780" s="8"/>
      <c r="O1780" s="8"/>
    </row>
  </sheetData>
  <customSheetViews>
    <customSheetView guid="{E2C6FE79-05D4-4600-BD5E-E0C43613DCD1}" filter="1" showAutoFilter="1">
      <pageMargins left="0.7" right="0.7" top="0.75" bottom="0.75" header="0.3" footer="0.3"/>
      <autoFilter ref="A1:O794">
        <filterColumn colId="3">
          <filters>
            <filter val="Прицеп 2,5*1,25 м  (до 750 кг.)"/>
            <filter val="Прицеп 3,5*1,5 м  (до 750 кг.)"/>
            <filter val="Прицеп 4,0*1,5 м  (до 750 кг.)"/>
          </filters>
        </filterColumn>
        <filterColumn colId="10">
          <filters>
            <filter val="Астана"/>
          </filters>
        </filterColumn>
        <filterColumn colId="13">
          <filters>
            <filter val="В наличии"/>
          </filters>
        </filterColumn>
      </autoFilter>
    </customSheetView>
    <customSheetView guid="{EC530BA7-56C7-4C42-B830-4EFDE36E0C9B}" filter="1" showAutoFilter="1">
      <pageMargins left="0.7" right="0.7" top="0.75" bottom="0.75" header="0.3" footer="0.3"/>
      <autoFilter ref="A1:O797">
        <filterColumn colId="10">
          <filters blank="1">
            <filter val="Астана"/>
          </filters>
        </filterColumn>
        <filterColumn colId="13">
          <filters blank="1">
            <filter val="В наличии"/>
          </filters>
        </filterColumn>
      </autoFilter>
    </customSheetView>
  </customSheetViews>
  <conditionalFormatting sqref="C1:C1780">
    <cfRule type="expression" dxfId="8" priority="1">
      <formula>AND(NOT(ISBLANK(C1)), COUNTIF($C$1:$C1780, "=" &amp; C1) &gt; 1)</formula>
    </cfRule>
  </conditionalFormatting>
  <conditionalFormatting sqref="C85">
    <cfRule type="notContainsBlanks" dxfId="7" priority="2">
      <formula>LEN(TRIM(C85))&gt;0</formula>
    </cfRule>
  </conditionalFormatting>
  <conditionalFormatting sqref="C366">
    <cfRule type="notContainsBlanks" dxfId="6" priority="3">
      <formula>LEN(TRIM(C366))&gt;0</formula>
    </cfRule>
  </conditionalFormatting>
  <conditionalFormatting sqref="C1:C1780">
    <cfRule type="expression" dxfId="5" priority="4">
      <formula>COUNTIF(C:C, C1) &gt; 1</formula>
    </cfRule>
  </conditionalFormatting>
  <dataValidations count="5">
    <dataValidation type="list" allowBlank="1" showErrorMessage="1" sqref="L2:L794">
      <formula1>"1 ось,2 оси"</formula1>
    </dataValidation>
    <dataValidation type="list" allowBlank="1" showErrorMessage="1" sqref="C817">
      <formula1>"Вариант 1,Вариант 2"</formula1>
    </dataValidation>
    <dataValidation type="list" allowBlank="1" showErrorMessage="1" sqref="K2:K794">
      <formula1>"Алматы,Астана,Кокшетау,Кызылорда"</formula1>
    </dataValidation>
    <dataValidation type="list" allowBlank="1" showErrorMessage="1" sqref="N1:N1780">
      <formula1>"В наличии,Продано,Статус,нет в системе ЭПТС"</formula1>
    </dataValidation>
    <dataValidation type="list" allowBlank="1" showErrorMessage="1" sqref="J2:J794">
      <formula1>"есть,нет"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V73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4.6640625" customWidth="1"/>
    <col min="10" max="10" width="34.6640625" customWidth="1"/>
    <col min="11" max="11" width="15.88671875" customWidth="1"/>
    <col min="12" max="12" width="18.109375" customWidth="1"/>
    <col min="13" max="13" width="24" customWidth="1"/>
    <col min="14" max="14" width="18.33203125" customWidth="1"/>
    <col min="15" max="15" width="15.88671875" customWidth="1"/>
    <col min="16" max="16" width="16.21875" customWidth="1"/>
    <col min="17" max="17" width="15.88671875" customWidth="1"/>
    <col min="19" max="19" width="30.6640625" customWidth="1"/>
  </cols>
  <sheetData>
    <row r="1" spans="1:22" ht="14.4">
      <c r="A1" s="33"/>
      <c r="B1" s="33" t="s">
        <v>0</v>
      </c>
      <c r="C1" s="33" t="s">
        <v>1</v>
      </c>
      <c r="D1" s="33" t="s">
        <v>897</v>
      </c>
      <c r="E1" s="33" t="s">
        <v>898</v>
      </c>
      <c r="F1" s="33" t="s">
        <v>899</v>
      </c>
      <c r="G1" s="33" t="s">
        <v>900</v>
      </c>
      <c r="H1" s="33" t="s">
        <v>901</v>
      </c>
      <c r="I1" s="33" t="s">
        <v>902</v>
      </c>
      <c r="J1" s="33" t="s">
        <v>903</v>
      </c>
      <c r="K1" s="33" t="s">
        <v>904</v>
      </c>
      <c r="L1" s="33" t="s">
        <v>2</v>
      </c>
      <c r="M1" s="33" t="s">
        <v>111</v>
      </c>
      <c r="N1" s="33" t="s">
        <v>905</v>
      </c>
      <c r="O1" s="33" t="s">
        <v>110</v>
      </c>
      <c r="P1" s="33" t="s">
        <v>906</v>
      </c>
      <c r="Q1" s="33" t="s">
        <v>907</v>
      </c>
      <c r="R1" s="33" t="s">
        <v>908</v>
      </c>
      <c r="S1" s="33" t="s">
        <v>909</v>
      </c>
      <c r="T1" s="33" t="s">
        <v>910</v>
      </c>
      <c r="U1" s="34" t="s">
        <v>911</v>
      </c>
      <c r="V1" s="8"/>
    </row>
    <row r="2" spans="1:22" ht="13.2">
      <c r="A2" s="34">
        <v>1161</v>
      </c>
      <c r="B2" s="35">
        <f>VLOOKUP(A2,'Реестр договоров'!$A$2:$D$149,2,0)</f>
        <v>45447</v>
      </c>
      <c r="C2" s="36" t="str">
        <f t="shared" ref="C2:C65" si="0">VLOOKUP(A2,Реестр_Договоров,3,0)</f>
        <v>Белоногова</v>
      </c>
      <c r="D2" s="36" t="str">
        <f t="shared" ref="D2:D65" si="1">VLOOKUP(C2,Покупатели,2,0)</f>
        <v>Алена</v>
      </c>
      <c r="E2" s="36" t="str">
        <f t="shared" ref="E2:E65" si="2">VLOOKUP(C2,Покупатели,3,0)</f>
        <v>Андреевна</v>
      </c>
      <c r="F2" s="36" t="str">
        <f t="shared" ref="F2:F65" si="3">VLOOKUP(C2,Покупатели,4,0)</f>
        <v>040645875</v>
      </c>
      <c r="G2" s="37">
        <f>VLOOKUP(F2,Покупатели!$F$2:$N$762,2,0)</f>
        <v>42627</v>
      </c>
      <c r="H2" s="36" t="str">
        <f>VLOOKUP(F2,Покупатели!$F$2:$N$762,3,0)</f>
        <v>МВД РК</v>
      </c>
      <c r="I2" s="36">
        <f>VLOOKUP(C2,Покупатели!$C$2:$M$805,7,0)</f>
        <v>890311400050</v>
      </c>
      <c r="J2" s="36" t="str">
        <f ca="1">IFERROR(__xludf.DUMMYFUNCTION("JOIN("" "", VLOOKUP(C2,Покупатели,8,0),VLOOKUP(C2,Покупатели,9,0),VLOOKUP(C2,Покупатели,10,0),VLOOKUP(C2,Покупатели,11,0))"),"г.Алматы   ")</f>
        <v xml:space="preserve">г.Алматы   </v>
      </c>
      <c r="K2" s="36">
        <f t="shared" ref="K2:K65" si="4">VLOOKUP(C2,Покупатели,12,0)</f>
        <v>87764755555</v>
      </c>
      <c r="L2" s="36" t="str">
        <f t="shared" ref="L2:L65" si="5">VLOOKUP(A2,Реестр_Договоров,4,0)</f>
        <v>MX4000002R0001522</v>
      </c>
      <c r="M2" s="36" t="s">
        <v>912</v>
      </c>
      <c r="N2" s="36" t="s">
        <v>913</v>
      </c>
      <c r="O2" s="36" t="str">
        <f t="shared" ref="O2:O65" si="6">VLOOKUP(L2,ПРИЦЕПЫ,10,0)</f>
        <v>1 ось</v>
      </c>
      <c r="P2" s="36">
        <f t="shared" ref="P2:P65" si="7">YEAR(VLOOKUP(L2,ПРИЦЕПЫ,7,0))</f>
        <v>2024</v>
      </c>
      <c r="Q2" s="36" t="s">
        <v>914</v>
      </c>
      <c r="R2" s="36" t="s">
        <v>915</v>
      </c>
      <c r="S2" s="34" t="str">
        <f>VLOOKUP(O2,ОТТС!$A$2:$B$3,2,0)</f>
        <v>ТС KZ Е-KZ.0317.00251 от 28.02.2023</v>
      </c>
      <c r="T2" s="38">
        <v>320000</v>
      </c>
      <c r="U2" s="36" t="str">
        <f t="shared" ref="U2:U33" si="8">VLOOKUP(L2,ПРИЦЕПЫ,9,0)</f>
        <v>Алматы</v>
      </c>
    </row>
    <row r="3" spans="1:22" ht="13.2">
      <c r="A3" s="34">
        <v>1162</v>
      </c>
      <c r="B3" s="35">
        <f>VLOOKUP(A3,'Реестр договоров'!$A$2:$D$169,2,0)</f>
        <v>45449</v>
      </c>
      <c r="C3" s="36" t="str">
        <f t="shared" si="0"/>
        <v>Рахманов</v>
      </c>
      <c r="D3" s="36" t="str">
        <f t="shared" si="1"/>
        <v>Мурат</v>
      </c>
      <c r="E3" s="36" t="str">
        <f t="shared" si="2"/>
        <v>Халмуратович</v>
      </c>
      <c r="F3" s="36" t="str">
        <f t="shared" si="3"/>
        <v>044798593</v>
      </c>
      <c r="G3" s="37">
        <f>VLOOKUP(F3,Покупатели!$F$2:$N$762,2,0)</f>
        <v>43531</v>
      </c>
      <c r="H3" s="36" t="str">
        <f>VLOOKUP(F3,Покупатели!$F$2:$N$762,3,0)</f>
        <v>МВД РК</v>
      </c>
      <c r="I3" s="36">
        <f>VLOOKUP(C3,Покупатели!$C$2:$M$805,7,0)</f>
        <v>881115302551</v>
      </c>
      <c r="J3" s="36" t="str">
        <f ca="1">IFERROR(__xludf.DUMMYFUNCTION("JOIN("" "", VLOOKUP(C3,Покупатели,8,0),VLOOKUP(C3,Покупатели,9,0),VLOOKUP(C3,Покупатели,10,0),VLOOKUP(C3,Покупатели,11,0))"),"Талгарский район, пос.Бесагаш, ул.Бейбитшилик 30  Бейбитшилик 30")</f>
        <v>Талгарский район, пос.Бесагаш, ул.Бейбитшилик 30  Бейбитшилик 30</v>
      </c>
      <c r="K3" s="36">
        <f t="shared" si="4"/>
        <v>87071133370</v>
      </c>
      <c r="L3" s="36" t="str">
        <f t="shared" si="5"/>
        <v>MX4000002R0001502</v>
      </c>
      <c r="M3" s="36" t="str">
        <f t="shared" ref="M3:M16" ca="1" si="9">VLOOKUP(L3,ПРИЦЕПЫ,11,0)</f>
        <v>002-2513E50Q13-OK</v>
      </c>
      <c r="N3" s="36" t="str">
        <f t="shared" ref="N3:N34" si="10">VLOOKUP(L3,ПРИЦЕПЫ,2,0)</f>
        <v>Прицеп 2,5*1,25 м  (до 750 кг.)</v>
      </c>
      <c r="O3" s="36" t="str">
        <f t="shared" si="6"/>
        <v>1 ось</v>
      </c>
      <c r="P3" s="36">
        <f t="shared" si="7"/>
        <v>2024</v>
      </c>
      <c r="Q3" s="36" t="str">
        <f t="shared" ref="Q3:Q16" ca="1" si="11">VLOOKUP(M3,матрица,16,0)</f>
        <v>3650*1700*1070</v>
      </c>
      <c r="R3" s="36" t="str">
        <f t="shared" ref="R3:R16" ca="1" si="12">VLOOKUP(M3,матрица,17,0)</f>
        <v>2500*1250*500</v>
      </c>
      <c r="S3" s="34" t="str">
        <f>VLOOKUP(O3,ОТТС!$A$2:$B$3,2,0)</f>
        <v>ТС KZ Е-KZ.0317.00251 от 28.02.2023</v>
      </c>
      <c r="T3" s="38">
        <v>410000</v>
      </c>
      <c r="U3" s="36" t="str">
        <f t="shared" si="8"/>
        <v>Алматы</v>
      </c>
    </row>
    <row r="4" spans="1:22" ht="13.2">
      <c r="A4" s="34">
        <v>1163</v>
      </c>
      <c r="B4" s="35">
        <f>VLOOKUP(A4,'Реестр договоров'!$A$2:$D$506,2,0)</f>
        <v>45450</v>
      </c>
      <c r="C4" s="36" t="str">
        <f t="shared" si="0"/>
        <v>Кулиева</v>
      </c>
      <c r="D4" s="36" t="str">
        <f t="shared" si="1"/>
        <v>Ёсма</v>
      </c>
      <c r="E4" s="36" t="str">
        <f t="shared" si="2"/>
        <v>Ахмедовна</v>
      </c>
      <c r="F4" s="36" t="str">
        <f t="shared" si="3"/>
        <v>045683377</v>
      </c>
      <c r="G4" s="37">
        <f>VLOOKUP(F4,Покупатели!$F$2:$N$762,2,0)</f>
        <v>43852</v>
      </c>
      <c r="H4" s="36" t="str">
        <f>VLOOKUP(F4,Покупатели!$F$2:$N$762,3,0)</f>
        <v>МВД РК</v>
      </c>
      <c r="I4" s="36">
        <f>VLOOKUP(C4,Покупатели!$C$2:$M$805,7,0)</f>
        <v>841220400347</v>
      </c>
      <c r="J4" s="36" t="str">
        <f ca="1">IFERROR(__xludf.DUMMYFUNCTION("JOIN("" "", VLOOKUP(C4,Покупатели,8,0),VLOOKUP(C4,Покупатели,9,0),VLOOKUP(C4,Покупатели,10,0),VLOOKUP(C4,Покупатели,11,0))"),"Алматинская область Алматы _____ ______")</f>
        <v>Алматинская область Алматы _____ ______</v>
      </c>
      <c r="K4" s="36">
        <f t="shared" si="4"/>
        <v>87476056411</v>
      </c>
      <c r="L4" s="36" t="str">
        <f t="shared" si="5"/>
        <v>MX4000002R0001511</v>
      </c>
      <c r="M4" s="36" t="str">
        <f t="shared" ca="1" si="9"/>
        <v>002-2513E30Q13-OK</v>
      </c>
      <c r="N4" s="36" t="str">
        <f t="shared" si="10"/>
        <v>Прицеп 2,5*1,25 м  (до 750 кг.)</v>
      </c>
      <c r="O4" s="36" t="str">
        <f t="shared" si="6"/>
        <v>1 ось</v>
      </c>
      <c r="P4" s="36">
        <f t="shared" si="7"/>
        <v>2024</v>
      </c>
      <c r="Q4" s="36" t="str">
        <f t="shared" ca="1" si="11"/>
        <v>3650*1700*900</v>
      </c>
      <c r="R4" s="36" t="str">
        <f t="shared" ca="1" si="12"/>
        <v>2500*1250*300</v>
      </c>
      <c r="S4" s="34" t="str">
        <f>VLOOKUP(O4,ОТТС!$A$2:$B$3,2,0)</f>
        <v>ТС KZ Е-KZ.0317.00251 от 28.02.2023</v>
      </c>
      <c r="T4" s="39">
        <v>320000</v>
      </c>
      <c r="U4" s="36" t="str">
        <f t="shared" si="8"/>
        <v>Алматы</v>
      </c>
    </row>
    <row r="5" spans="1:22" ht="13.2">
      <c r="A5" s="34">
        <v>1164</v>
      </c>
      <c r="B5" s="35">
        <f>VLOOKUP(A5,'Реестр договоров'!$A$2:$D$89,2,0)</f>
        <v>45451</v>
      </c>
      <c r="C5" s="36" t="str">
        <f t="shared" si="0"/>
        <v>Петрик</v>
      </c>
      <c r="D5" s="36" t="str">
        <f t="shared" si="1"/>
        <v>Владимир</v>
      </c>
      <c r="E5" s="36" t="str">
        <f t="shared" si="2"/>
        <v>Ярославович</v>
      </c>
      <c r="F5" s="36" t="str">
        <f t="shared" si="3"/>
        <v>050163641</v>
      </c>
      <c r="G5" s="37">
        <f>VLOOKUP(F5,Покупатели!$F$2:$N$762,2,0)</f>
        <v>44614</v>
      </c>
      <c r="H5" s="36" t="str">
        <f>VLOOKUP(F5,Покупатели!$F$2:$N$762,3,0)</f>
        <v>МВД РК</v>
      </c>
      <c r="I5" s="36">
        <f>VLOOKUP(C5,Покупатели!$C$2:$M$805,7,0)</f>
        <v>870213300256</v>
      </c>
      <c r="J5" s="36" t="str">
        <f ca="1">IFERROR(__xludf.DUMMYFUNCTION("JOIN("" "", VLOOKUP(C5,Покупатели,8,0),VLOOKUP(C5,Покупатели,9,0),VLOOKUP(C5,Покупатели,10,0),VLOOKUP(C5,Покупатели,11,0))"),"Алматинская Алматы неизвестно неизвестно")</f>
        <v>Алматинская Алматы неизвестно неизвестно</v>
      </c>
      <c r="K5" s="36">
        <f t="shared" si="4"/>
        <v>87019294069</v>
      </c>
      <c r="L5" s="36" t="str">
        <f t="shared" si="5"/>
        <v>MX4000002R0001518</v>
      </c>
      <c r="M5" s="36" t="str">
        <f t="shared" ca="1" si="9"/>
        <v>002-2513E50Q13</v>
      </c>
      <c r="N5" s="36" t="str">
        <f t="shared" si="10"/>
        <v>Прицеп 2,5*1,25 м  (до 750 кг.)</v>
      </c>
      <c r="O5" s="36" t="str">
        <f t="shared" si="6"/>
        <v>1 ось</v>
      </c>
      <c r="P5" s="36">
        <f t="shared" si="7"/>
        <v>2024</v>
      </c>
      <c r="Q5" s="36" t="str">
        <f t="shared" ca="1" si="11"/>
        <v>3650*1700*1070</v>
      </c>
      <c r="R5" s="36" t="str">
        <f t="shared" ca="1" si="12"/>
        <v>2500*1250*500</v>
      </c>
      <c r="S5" s="34" t="str">
        <f>VLOOKUP(O5,ОТТС!$A$2:$B$3,2,0)</f>
        <v>ТС KZ Е-KZ.0317.00251 от 28.02.2023</v>
      </c>
      <c r="T5" s="38">
        <v>460000</v>
      </c>
      <c r="U5" s="36" t="str">
        <f t="shared" si="8"/>
        <v>Алматы</v>
      </c>
    </row>
    <row r="6" spans="1:22" ht="13.2">
      <c r="A6" s="34">
        <v>1165</v>
      </c>
      <c r="B6" s="35">
        <f>VLOOKUP(A6,'Реестр договоров'!$A$2:$D$506,2,0)</f>
        <v>45451</v>
      </c>
      <c r="C6" s="36" t="str">
        <f t="shared" si="0"/>
        <v>Ребенков</v>
      </c>
      <c r="D6" s="36" t="str">
        <f t="shared" si="1"/>
        <v>Вячеслав</v>
      </c>
      <c r="E6" s="36" t="str">
        <f t="shared" si="2"/>
        <v>Сергеевич</v>
      </c>
      <c r="F6" s="36" t="str">
        <f t="shared" si="3"/>
        <v>046534151</v>
      </c>
      <c r="G6" s="37">
        <f>VLOOKUP(F6,Покупатели!$F$2:$N$762,2,0)</f>
        <v>44013</v>
      </c>
      <c r="H6" s="36" t="str">
        <f>VLOOKUP(F6,Покупатели!$F$2:$N$762,3,0)</f>
        <v>МВД РК</v>
      </c>
      <c r="I6" s="36">
        <f>VLOOKUP(C6,Покупатели!$C$2:$M$805,7,0)</f>
        <v>850210303171</v>
      </c>
      <c r="J6" s="36" t="str">
        <f ca="1">IFERROR(__xludf.DUMMYFUNCTION("JOIN("" "", VLOOKUP(C6,Покупатели,8,0),VLOOKUP(C6,Покупатели,9,0),VLOOKUP(C6,Покупатели,10,0),VLOOKUP(C6,Покупатели,11,0))"),"Алматинская Алматы неизвестно неизвестно")</f>
        <v>Алматинская Алматы неизвестно неизвестно</v>
      </c>
      <c r="K6" s="36">
        <f t="shared" si="4"/>
        <v>87770334835</v>
      </c>
      <c r="L6" s="36" t="str">
        <f t="shared" si="5"/>
        <v>MX4000002R0001573</v>
      </c>
      <c r="M6" s="36" t="str">
        <f t="shared" ca="1" si="9"/>
        <v>002-2013E30Q13-OK</v>
      </c>
      <c r="N6" s="36" t="str">
        <f t="shared" si="10"/>
        <v>Прицеп 2,0*1,25 м  (до 750 кг.)</v>
      </c>
      <c r="O6" s="36" t="str">
        <f t="shared" si="6"/>
        <v>1 ось</v>
      </c>
      <c r="P6" s="36">
        <f t="shared" si="7"/>
        <v>2024</v>
      </c>
      <c r="Q6" s="36" t="str">
        <f t="shared" ca="1" si="11"/>
        <v>3150*1700*900</v>
      </c>
      <c r="R6" s="36" t="str">
        <f t="shared" ca="1" si="12"/>
        <v>2000*1250*300</v>
      </c>
      <c r="S6" s="34" t="str">
        <f>VLOOKUP(O6,ОТТС!$A$2:$B$3,2,0)</f>
        <v>ТС KZ Е-KZ.0317.00251 от 28.02.2023</v>
      </c>
      <c r="T6" s="39">
        <v>350000</v>
      </c>
      <c r="U6" s="36" t="str">
        <f t="shared" si="8"/>
        <v>Алматы</v>
      </c>
    </row>
    <row r="7" spans="1:22" ht="13.2">
      <c r="A7" s="34">
        <v>1166</v>
      </c>
      <c r="B7" s="35">
        <f>VLOOKUP(A7,'Реестр договоров'!$A$2:$D$506,2,0)</f>
        <v>45451</v>
      </c>
      <c r="C7" s="36" t="str">
        <f t="shared" si="0"/>
        <v>Темирбаев</v>
      </c>
      <c r="D7" s="36" t="str">
        <f t="shared" si="1"/>
        <v>Талгат</v>
      </c>
      <c r="E7" s="36" t="str">
        <f t="shared" si="2"/>
        <v>Ахванович</v>
      </c>
      <c r="F7" s="36" t="str">
        <f t="shared" si="3"/>
        <v>045893821</v>
      </c>
      <c r="G7" s="37">
        <f>VLOOKUP(F7,Покупатели!$F$2:$N$762,2,0)</f>
        <v>43882</v>
      </c>
      <c r="H7" s="36" t="str">
        <f>VLOOKUP(F7,Покупатели!$F$2:$N$762,3,0)</f>
        <v>МВД РК</v>
      </c>
      <c r="I7" s="36">
        <f>VLOOKUP(C7,Покупатели!$C$2:$M$805,7,0)</f>
        <v>720613302306</v>
      </c>
      <c r="J7" s="36" t="str">
        <f ca="1">IFERROR(__xludf.DUMMYFUNCTION("JOIN("" "", VLOOKUP(C7,Покупатели,8,0),VLOOKUP(C7,Покупатели,9,0),VLOOKUP(C7,Покупатели,10,0),VLOOKUP(C7,Покупатели,11,0))"),"Алматинская Алматы ____ ____")</f>
        <v>Алматинская Алматы ____ ____</v>
      </c>
      <c r="K7" s="36">
        <f t="shared" si="4"/>
        <v>87754573372</v>
      </c>
      <c r="L7" s="36" t="str">
        <f t="shared" si="5"/>
        <v>MX4000002R0001455</v>
      </c>
      <c r="M7" s="36" t="str">
        <f t="shared" ca="1" si="9"/>
        <v>002-2013E50Q13-OK</v>
      </c>
      <c r="N7" s="36" t="str">
        <f t="shared" si="10"/>
        <v>Прицеп 2,0*1,25 м  (до 750 кг.)</v>
      </c>
      <c r="O7" s="36" t="str">
        <f t="shared" si="6"/>
        <v>1 ось</v>
      </c>
      <c r="P7" s="36">
        <f t="shared" si="7"/>
        <v>2024</v>
      </c>
      <c r="Q7" s="36" t="str">
        <f t="shared" ca="1" si="11"/>
        <v>3150*1700*1070</v>
      </c>
      <c r="R7" s="36" t="str">
        <f t="shared" ca="1" si="12"/>
        <v>2000*1250*500</v>
      </c>
      <c r="S7" s="34" t="str">
        <f>VLOOKUP(O7,ОТТС!$A$2:$B$3,2,0)</f>
        <v>ТС KZ Е-KZ.0317.00251 от 28.02.2023</v>
      </c>
      <c r="T7" s="39">
        <v>410000</v>
      </c>
      <c r="U7" s="36" t="str">
        <f t="shared" si="8"/>
        <v>Алматы</v>
      </c>
    </row>
    <row r="8" spans="1:22" ht="13.2">
      <c r="A8" s="34">
        <v>1167</v>
      </c>
      <c r="B8" s="35">
        <f>VLOOKUP(A8,'Реестр договоров'!$A$2:$D$55,2,0)</f>
        <v>45453</v>
      </c>
      <c r="C8" s="36" t="str">
        <f t="shared" si="0"/>
        <v>Доспергенов</v>
      </c>
      <c r="D8" s="36" t="str">
        <f t="shared" si="1"/>
        <v>Акылбек</v>
      </c>
      <c r="E8" s="36" t="str">
        <f t="shared" si="2"/>
        <v>Казисович</v>
      </c>
      <c r="F8" s="36" t="str">
        <f t="shared" si="3"/>
        <v>047229978</v>
      </c>
      <c r="G8" s="37">
        <f>VLOOKUP(F8,Покупатели!$F$2:$N$762,2,0)</f>
        <v>43844</v>
      </c>
      <c r="H8" s="36" t="str">
        <f>VLOOKUP(F8,Покупатели!$F$2:$N$762,3,0)</f>
        <v>МВД РК</v>
      </c>
      <c r="I8" s="36">
        <f>VLOOKUP(C8,Покупатели!$C$2:$M$805,7,0)</f>
        <v>680601300126</v>
      </c>
      <c r="J8" s="36" t="str">
        <f ca="1">IFERROR(__xludf.DUMMYFUNCTION("JOIN("" "", VLOOKUP(C8,Покупатели,8,0),VLOOKUP(C8,Покупатели,9,0),VLOOKUP(C8,Покупатели,10,0),VLOOKUP(C8,Покупатели,11,0))"),"Акмолинская область Район Биржан Сал, г.Степняк ул.Сейфуллина 31")</f>
        <v>Акмолинская область Район Биржан Сал, г.Степняк ул.Сейфуллина 31</v>
      </c>
      <c r="K8" s="36">
        <f t="shared" si="4"/>
        <v>87752586301</v>
      </c>
      <c r="L8" s="36" t="str">
        <f t="shared" si="5"/>
        <v>MX4000002R0001719</v>
      </c>
      <c r="M8" s="36" t="str">
        <f t="shared" ca="1" si="9"/>
        <v>002-2515E50Q13-OK60</v>
      </c>
      <c r="N8" s="36" t="str">
        <f t="shared" si="10"/>
        <v>Прицеп 2,5*1,5 м  (до 750 кг.)</v>
      </c>
      <c r="O8" s="36" t="str">
        <f t="shared" si="6"/>
        <v>1 ось</v>
      </c>
      <c r="P8" s="36">
        <f t="shared" si="7"/>
        <v>2024</v>
      </c>
      <c r="Q8" s="36" t="e">
        <f t="shared" ca="1" si="11"/>
        <v>#N/A</v>
      </c>
      <c r="R8" s="36" t="e">
        <f t="shared" ca="1" si="12"/>
        <v>#N/A</v>
      </c>
      <c r="S8" s="34" t="str">
        <f>VLOOKUP(O8,ОТТС!$A$2:$B$3,2,0)</f>
        <v>ТС KZ Е-KZ.0317.00251 от 28.02.2023</v>
      </c>
      <c r="T8" s="38">
        <v>430000</v>
      </c>
      <c r="U8" s="36" t="str">
        <f t="shared" si="8"/>
        <v>Кокшетау</v>
      </c>
    </row>
    <row r="9" spans="1:22" ht="13.2">
      <c r="A9" s="34">
        <v>1168</v>
      </c>
      <c r="B9" s="35">
        <f>VLOOKUP(A9,'Реестр договоров'!$A$2:$D$149,2,0)</f>
        <v>45451</v>
      </c>
      <c r="C9" s="36" t="str">
        <f t="shared" si="0"/>
        <v>Касымов</v>
      </c>
      <c r="D9" s="36" t="str">
        <f t="shared" si="1"/>
        <v>Серик</v>
      </c>
      <c r="E9" s="36" t="str">
        <f t="shared" si="2"/>
        <v>Кушенович</v>
      </c>
      <c r="F9" s="36" t="str">
        <f t="shared" si="3"/>
        <v>019325596</v>
      </c>
      <c r="G9" s="37">
        <f>VLOOKUP(F9,Покупатели!$F$2:$N$762,2,0)</f>
        <v>38940</v>
      </c>
      <c r="H9" s="36" t="str">
        <f>VLOOKUP(F9,Покупатели!$F$2:$N$762,3,0)</f>
        <v>МЮ РК</v>
      </c>
      <c r="I9" s="36">
        <f>VLOOKUP(C9,Покупатели!$C$2:$M$805,7,0)</f>
        <v>610801350197</v>
      </c>
      <c r="J9" s="36" t="str">
        <f ca="1">IFERROR(__xludf.DUMMYFUNCTION("JOIN("" "", VLOOKUP(C9,Покупатели,8,0),VLOOKUP(C9,Покупатели,9,0),VLOOKUP(C9,Покупатели,10,0),VLOOKUP(C9,Покупатели,11,0))"),"Акмолинская область г.Макинск Ул.Луговая 48")</f>
        <v>Акмолинская область г.Макинск Ул.Луговая 48</v>
      </c>
      <c r="K9" s="36">
        <f t="shared" si="4"/>
        <v>87752523752</v>
      </c>
      <c r="L9" s="36" t="str">
        <f t="shared" si="5"/>
        <v>MX4000002R0001642</v>
      </c>
      <c r="M9" s="36" t="str">
        <f t="shared" ca="1" si="9"/>
        <v>002-2513E50Q13-OK60</v>
      </c>
      <c r="N9" s="36" t="str">
        <f t="shared" si="10"/>
        <v>Прицеп 2,5*1,25 м  (до 750 кг.)</v>
      </c>
      <c r="O9" s="36" t="str">
        <f t="shared" si="6"/>
        <v>1 ось</v>
      </c>
      <c r="P9" s="36">
        <f t="shared" si="7"/>
        <v>2024</v>
      </c>
      <c r="Q9" s="36" t="str">
        <f t="shared" ca="1" si="11"/>
        <v>3650*1700*1070</v>
      </c>
      <c r="R9" s="36" t="str">
        <f t="shared" ca="1" si="12"/>
        <v>2500*1250*500</v>
      </c>
      <c r="S9" s="34" t="str">
        <f>VLOOKUP(O9,ОТТС!$A$2:$B$3,2,0)</f>
        <v>ТС KZ Е-KZ.0317.00251 от 28.02.2023</v>
      </c>
      <c r="T9" s="38">
        <v>450000</v>
      </c>
      <c r="U9" s="36" t="str">
        <f t="shared" si="8"/>
        <v>Астана</v>
      </c>
    </row>
    <row r="10" spans="1:22" ht="13.2">
      <c r="A10" s="34">
        <v>1169</v>
      </c>
      <c r="B10" s="35">
        <f>VLOOKUP(A10,'Реестр договоров'!$A$2:$D$100,2,0)</f>
        <v>45455</v>
      </c>
      <c r="C10" s="36" t="str">
        <f t="shared" si="0"/>
        <v>Сулейменов 2</v>
      </c>
      <c r="D10" s="36" t="str">
        <f t="shared" si="1"/>
        <v>Ерсин</v>
      </c>
      <c r="E10" s="36" t="str">
        <f t="shared" si="2"/>
        <v>Султанович</v>
      </c>
      <c r="F10" s="36" t="str">
        <f t="shared" si="3"/>
        <v>048516590</v>
      </c>
      <c r="G10" s="37">
        <f>VLOOKUP(F10,Покупатели!$F$2:$N$762,2,0)</f>
        <v>44057</v>
      </c>
      <c r="H10" s="36" t="str">
        <f>VLOOKUP(F10,Покупатели!$F$2:$N$762,3,0)</f>
        <v>МВД РК</v>
      </c>
      <c r="I10" s="36">
        <f>VLOOKUP(C10,Покупатели!$C$2:$M$805,7,0)</f>
        <v>640617350370</v>
      </c>
      <c r="J10" s="36" t="str">
        <f ca="1">IFERROR(__xludf.DUMMYFUNCTION("JOIN("" "", VLOOKUP(C10,Покупатели,8,0),VLOOKUP(C10,Покупатели,9,0),VLOOKUP(C10,Покупатели,10,0),VLOOKUP(C10,Покупатели,11,0))"),"Костанайская область г.Аркалык ул.Ашу тасты, 60 лет казахстан ")</f>
        <v xml:space="preserve">Костанайская область г.Аркалык ул.Ашу тасты, 60 лет казахстан </v>
      </c>
      <c r="K10" s="36">
        <f t="shared" si="4"/>
        <v>87783266344</v>
      </c>
      <c r="L10" s="36" t="str">
        <f t="shared" si="5"/>
        <v>MX4000002R0001659</v>
      </c>
      <c r="M10" s="36" t="str">
        <f t="shared" ca="1" si="9"/>
        <v>002-2013E50Q13-OK</v>
      </c>
      <c r="N10" s="36" t="str">
        <f t="shared" si="10"/>
        <v>Прицеп 2,0*1,25 м  (до 750 кг.)</v>
      </c>
      <c r="O10" s="36" t="str">
        <f t="shared" si="6"/>
        <v>1 ось</v>
      </c>
      <c r="P10" s="36">
        <f t="shared" si="7"/>
        <v>2024</v>
      </c>
      <c r="Q10" s="36" t="str">
        <f t="shared" ca="1" si="11"/>
        <v>3150*1700*1070</v>
      </c>
      <c r="R10" s="36" t="str">
        <f t="shared" ca="1" si="12"/>
        <v>2000*1250*500</v>
      </c>
      <c r="S10" s="34" t="str">
        <f>VLOOKUP(O10,ОТТС!$A$2:$B$3,2,0)</f>
        <v>ТС KZ Е-KZ.0317.00251 от 28.02.2023</v>
      </c>
      <c r="T10" s="38">
        <v>340000</v>
      </c>
      <c r="U10" s="36" t="str">
        <f t="shared" si="8"/>
        <v>Астана</v>
      </c>
    </row>
    <row r="11" spans="1:22" ht="13.2">
      <c r="A11" s="34">
        <v>1170</v>
      </c>
      <c r="B11" s="35">
        <f>VLOOKUP(A11,'Реестр договоров'!$A$2:$D$80,2,0)</f>
        <v>45460</v>
      </c>
      <c r="C11" s="36" t="str">
        <f t="shared" si="0"/>
        <v>Курбанова</v>
      </c>
      <c r="D11" s="36" t="str">
        <f t="shared" si="1"/>
        <v>Лязиза</v>
      </c>
      <c r="E11" s="36" t="str">
        <f t="shared" si="2"/>
        <v>Зерупжановна</v>
      </c>
      <c r="F11" s="36" t="str">
        <f t="shared" si="3"/>
        <v>036786727</v>
      </c>
      <c r="G11" s="37">
        <f>VLOOKUP(F11,Покупатели!$F$2:$N$762,2,0)</f>
        <v>41851</v>
      </c>
      <c r="H11" s="36" t="str">
        <f>VLOOKUP(F11,Покупатели!$F$2:$N$762,3,0)</f>
        <v>МВД РК</v>
      </c>
      <c r="I11" s="36">
        <f>VLOOKUP(C11,Покупатели!$C$2:$M$805,7,0)</f>
        <v>930829401203</v>
      </c>
      <c r="J11" s="36" t="str">
        <f ca="1">IFERROR(__xludf.DUMMYFUNCTION("JOIN("" "", VLOOKUP(C11,Покупатели,8,0),VLOOKUP(C11,Покупатели,9,0),VLOOKUP(C11,Покупатели,10,0),VLOOKUP(C11,Покупатели,11,0))"),"Алматинская область  Г.Талгар Ул.Рыскулова Д.104")</f>
        <v>Алматинская область  Г.Талгар Ул.Рыскулова Д.104</v>
      </c>
      <c r="K11" s="36">
        <f t="shared" si="4"/>
        <v>87475777615</v>
      </c>
      <c r="L11" s="36" t="str">
        <f t="shared" si="5"/>
        <v>MX4000002R0001508</v>
      </c>
      <c r="M11" s="36" t="str">
        <f t="shared" ca="1" si="9"/>
        <v>002-2513E30Q13-OK</v>
      </c>
      <c r="N11" s="36" t="str">
        <f t="shared" si="10"/>
        <v>Прицеп 2,5*1,25 м  (до 750 кг.)</v>
      </c>
      <c r="O11" s="36" t="str">
        <f t="shared" si="6"/>
        <v>1 ось</v>
      </c>
      <c r="P11" s="36">
        <f t="shared" si="7"/>
        <v>2024</v>
      </c>
      <c r="Q11" s="36" t="str">
        <f t="shared" ca="1" si="11"/>
        <v>3650*1700*900</v>
      </c>
      <c r="R11" s="36" t="str">
        <f t="shared" ca="1" si="12"/>
        <v>2500*1250*300</v>
      </c>
      <c r="S11" s="34" t="str">
        <f>VLOOKUP(O11,ОТТС!$A$2:$B$3,2,0)</f>
        <v>ТС KZ Е-KZ.0317.00251 от 28.02.2023</v>
      </c>
      <c r="T11" s="38">
        <v>320000</v>
      </c>
      <c r="U11" s="36" t="str">
        <f t="shared" si="8"/>
        <v>Алматы</v>
      </c>
    </row>
    <row r="12" spans="1:22" ht="13.2">
      <c r="A12" s="34">
        <v>1171</v>
      </c>
      <c r="B12" s="35">
        <f>VLOOKUP(A12,'Реестр договоров'!$A$2:$D$55,2,0)</f>
        <v>45461</v>
      </c>
      <c r="C12" s="36" t="str">
        <f t="shared" si="0"/>
        <v>Абайқызы</v>
      </c>
      <c r="D12" s="36" t="str">
        <f t="shared" si="1"/>
        <v>Нұргүл</v>
      </c>
      <c r="E12" s="36">
        <f t="shared" si="2"/>
        <v>0</v>
      </c>
      <c r="F12" s="36" t="str">
        <f t="shared" si="3"/>
        <v>052028739</v>
      </c>
      <c r="G12" s="37">
        <f>VLOOKUP(F12,Покупатели!$F$2:$N$762,2,0)</f>
        <v>44875</v>
      </c>
      <c r="H12" s="36" t="str">
        <f>VLOOKUP(F12,Покупатели!$F$2:$N$762,3,0)</f>
        <v>ҚР ІІМ</v>
      </c>
      <c r="I12" s="36">
        <f>VLOOKUP(C12,Покупатели!$C$2:$M$805,7,0)</f>
        <v>871112400513</v>
      </c>
      <c r="J12" s="36" t="str">
        <f ca="1">IFERROR(__xludf.DUMMYFUNCTION("JOIN("" "", VLOOKUP(C12,Покупатели,8,0),VLOOKUP(C12,Покупатели,9,0),VLOOKUP(C12,Покупатели,10,0),VLOOKUP(C12,Покупатели,11,0))"),"Алматинская область Илийский район, пос.Караой Шугыла 5")</f>
        <v>Алматинская область Илийский район, пос.Караой Шугыла 5</v>
      </c>
      <c r="K12" s="36">
        <f t="shared" si="4"/>
        <v>87079209555</v>
      </c>
      <c r="L12" s="36" t="str">
        <f t="shared" si="5"/>
        <v>MX4000002R0001517</v>
      </c>
      <c r="M12" s="36" t="str">
        <f t="shared" ca="1" si="9"/>
        <v>002-2513E50Q13-OK</v>
      </c>
      <c r="N12" s="36" t="str">
        <f t="shared" si="10"/>
        <v>Прицеп 2,5*1,25 м  (до 750 кг.)</v>
      </c>
      <c r="O12" s="36" t="str">
        <f t="shared" si="6"/>
        <v>1 ось</v>
      </c>
      <c r="P12" s="36">
        <f t="shared" si="7"/>
        <v>2024</v>
      </c>
      <c r="Q12" s="36" t="str">
        <f t="shared" ca="1" si="11"/>
        <v>3650*1700*1070</v>
      </c>
      <c r="R12" s="36" t="str">
        <f t="shared" ca="1" si="12"/>
        <v>2500*1250*500</v>
      </c>
      <c r="S12" s="34" t="str">
        <f>VLOOKUP(O12,ОТТС!$A$2:$B$3,2,0)</f>
        <v>ТС KZ Е-KZ.0317.00251 от 28.02.2023</v>
      </c>
      <c r="T12" s="38">
        <v>380000</v>
      </c>
      <c r="U12" s="36" t="str">
        <f t="shared" si="8"/>
        <v>Алматы</v>
      </c>
    </row>
    <row r="13" spans="1:22" ht="13.2">
      <c r="A13" s="34">
        <v>1172</v>
      </c>
      <c r="B13" s="35">
        <f>VLOOKUP(A13,'Реестр договоров'!$A$2:$D$80,2,0)</f>
        <v>45461</v>
      </c>
      <c r="C13" s="36" t="str">
        <f t="shared" si="0"/>
        <v>Меньшиков</v>
      </c>
      <c r="D13" s="36" t="str">
        <f t="shared" si="1"/>
        <v>Андрей</v>
      </c>
      <c r="E13" s="36" t="str">
        <f t="shared" si="2"/>
        <v>Геннадьевич</v>
      </c>
      <c r="F13" s="36" t="str">
        <f t="shared" si="3"/>
        <v>б/н</v>
      </c>
      <c r="G13" s="37">
        <f>VLOOKUP(F13,Покупатели!$F$2:$N$762,2,0)</f>
        <v>45461</v>
      </c>
      <c r="H13" s="36" t="str">
        <f>VLOOKUP(F13,Покупатели!$F$2:$N$762,3,0)</f>
        <v>МВД РК</v>
      </c>
      <c r="I13" s="36">
        <f>VLOOKUP(C13,Покупатели!$C$2:$M$805,7,0)</f>
        <v>911205300562</v>
      </c>
      <c r="J13" s="36" t="str">
        <f ca="1">IFERROR(__xludf.DUMMYFUNCTION("JOIN("" "", VLOOKUP(C13,Покупатели,8,0),VLOOKUP(C13,Покупатели,9,0),VLOOKUP(C13,Покупатели,10,0),VLOOKUP(C13,Покупатели,11,0))"),"Алматинская область Талдыкурган нет нет")</f>
        <v>Алматинская область Талдыкурган нет нет</v>
      </c>
      <c r="K13" s="36" t="str">
        <f t="shared" si="4"/>
        <v>нет</v>
      </c>
      <c r="L13" s="36" t="str">
        <f t="shared" si="5"/>
        <v>MX4000002R0001538</v>
      </c>
      <c r="M13" s="36" t="str">
        <f t="shared" ca="1" si="9"/>
        <v>002-2013E30Q13-OK</v>
      </c>
      <c r="N13" s="36" t="str">
        <f t="shared" si="10"/>
        <v>Прицеп 2,0*1,25 м  (до 750 кг.)</v>
      </c>
      <c r="O13" s="36" t="str">
        <f t="shared" si="6"/>
        <v>1 ось</v>
      </c>
      <c r="P13" s="36">
        <f t="shared" si="7"/>
        <v>2024</v>
      </c>
      <c r="Q13" s="36" t="str">
        <f t="shared" ca="1" si="11"/>
        <v>3150*1700*900</v>
      </c>
      <c r="R13" s="36" t="str">
        <f t="shared" ca="1" si="12"/>
        <v>2000*1250*300</v>
      </c>
      <c r="S13" s="34" t="str">
        <f>VLOOKUP(O13,ОТТС!$A$2:$B$3,2,0)</f>
        <v>ТС KZ Е-KZ.0317.00251 от 28.02.2023</v>
      </c>
      <c r="T13" s="38">
        <v>380000</v>
      </c>
      <c r="U13" s="36" t="str">
        <f t="shared" si="8"/>
        <v>Алматы</v>
      </c>
    </row>
    <row r="14" spans="1:22" ht="13.2">
      <c r="A14" s="34">
        <v>1173</v>
      </c>
      <c r="B14" s="35">
        <f>VLOOKUP(A14,'Реестр договоров'!$A$2:$D$120,2,0)</f>
        <v>45462</v>
      </c>
      <c r="C14" s="36" t="str">
        <f t="shared" si="0"/>
        <v>Билочук</v>
      </c>
      <c r="D14" s="36" t="str">
        <f t="shared" si="1"/>
        <v>Игорь</v>
      </c>
      <c r="E14" s="36" t="str">
        <f t="shared" si="2"/>
        <v>Владимирович</v>
      </c>
      <c r="F14" s="36" t="str">
        <f t="shared" si="3"/>
        <v>042054030</v>
      </c>
      <c r="G14" s="37">
        <f>VLOOKUP(F14,Покупатели!$F$2:$N$762,2,0)</f>
        <v>42709</v>
      </c>
      <c r="H14" s="36" t="str">
        <f>VLOOKUP(F14,Покупатели!$F$2:$N$762,3,0)</f>
        <v>МВД РК</v>
      </c>
      <c r="I14" s="36" t="str">
        <f>VLOOKUP(C14,Покупатели!$C$2:$M$805,7,0)</f>
        <v>001128551373</v>
      </c>
      <c r="J14" s="36" t="str">
        <f ca="1">IFERROR(__xludf.DUMMYFUNCTION("JOIN("" "", VLOOKUP(C14,Покупатели,8,0),VLOOKUP(C14,Покупатели,9,0),VLOOKUP(C14,Покупатели,10,0),VLOOKUP(C14,Покупатели,11,0))"),"Акмолинская область с.Астраханка Маяковского 2/2")</f>
        <v>Акмолинская область с.Астраханка Маяковского 2/2</v>
      </c>
      <c r="K14" s="36">
        <f t="shared" si="4"/>
        <v>87057433768</v>
      </c>
      <c r="L14" s="36" t="str">
        <f t="shared" si="5"/>
        <v>MX4000002R0001653</v>
      </c>
      <c r="M14" s="36" t="str">
        <f t="shared" ca="1" si="9"/>
        <v>002-2013E30Q13-OK</v>
      </c>
      <c r="N14" s="36" t="str">
        <f t="shared" si="10"/>
        <v>Прицеп 2,0*1,25 м  (до 750 кг.)</v>
      </c>
      <c r="O14" s="36" t="str">
        <f t="shared" si="6"/>
        <v>1 ось</v>
      </c>
      <c r="P14" s="36">
        <f t="shared" si="7"/>
        <v>2024</v>
      </c>
      <c r="Q14" s="36" t="str">
        <f t="shared" ca="1" si="11"/>
        <v>3150*1700*900</v>
      </c>
      <c r="R14" s="36" t="str">
        <f t="shared" ca="1" si="12"/>
        <v>2000*1250*300</v>
      </c>
      <c r="S14" s="34" t="str">
        <f>VLOOKUP(O14,ОТТС!$A$2:$B$3,2,0)</f>
        <v>ТС KZ Е-KZ.0317.00251 от 28.02.2023</v>
      </c>
      <c r="T14" s="38">
        <v>360000</v>
      </c>
      <c r="U14" s="36" t="str">
        <f t="shared" si="8"/>
        <v>Астана</v>
      </c>
    </row>
    <row r="15" spans="1:22" ht="13.2">
      <c r="A15" s="34">
        <v>1174</v>
      </c>
      <c r="B15" s="35">
        <f>VLOOKUP(A15,'Реестр договоров'!$A$2:$D$55,2,0)</f>
        <v>45463</v>
      </c>
      <c r="C15" s="36" t="str">
        <f t="shared" si="0"/>
        <v>Ягминас</v>
      </c>
      <c r="D15" s="36" t="str">
        <f t="shared" si="1"/>
        <v>Андрей</v>
      </c>
      <c r="E15" s="36" t="str">
        <f t="shared" si="2"/>
        <v>Николаевич</v>
      </c>
      <c r="F15" s="36" t="str">
        <f t="shared" si="3"/>
        <v>047758074</v>
      </c>
      <c r="G15" s="37">
        <f>VLOOKUP(F15,Покупатели!$F$2:$N$762,2,0)</f>
        <v>43965</v>
      </c>
      <c r="H15" s="36" t="str">
        <f>VLOOKUP(F15,Покупатели!$F$2:$N$762,3,0)</f>
        <v>МВД РК</v>
      </c>
      <c r="I15" s="36">
        <f>VLOOKUP(C15,Покупатели!$C$2:$M$805,7,0)</f>
        <v>850321351214</v>
      </c>
      <c r="J15" s="36" t="str">
        <f ca="1">IFERROR(__xludf.DUMMYFUNCTION("JOIN("" "", VLOOKUP(C15,Покупатели,8,0),VLOOKUP(C15,Покупатели,9,0),VLOOKUP(C15,Покупатели,10,0),VLOOKUP(C15,Покупатели,11,0))"),"Астана район Байконыр ул.Коксенгир д.12 кв.2")</f>
        <v>Астана район Байконыр ул.Коксенгир д.12 кв.2</v>
      </c>
      <c r="K15" s="36">
        <f t="shared" si="4"/>
        <v>87073831806</v>
      </c>
      <c r="L15" s="36" t="str">
        <f t="shared" si="5"/>
        <v>MX4000002R0001654</v>
      </c>
      <c r="M15" s="36" t="str">
        <f t="shared" ca="1" si="9"/>
        <v>002-2013E50Q13-OK</v>
      </c>
      <c r="N15" s="36" t="str">
        <f t="shared" si="10"/>
        <v>Прицеп 2,0*1,25 м  (до 750 кг.)</v>
      </c>
      <c r="O15" s="36" t="str">
        <f t="shared" si="6"/>
        <v>1 ось</v>
      </c>
      <c r="P15" s="36">
        <f t="shared" si="7"/>
        <v>2024</v>
      </c>
      <c r="Q15" s="36" t="str">
        <f t="shared" ca="1" si="11"/>
        <v>3150*1700*1070</v>
      </c>
      <c r="R15" s="36" t="str">
        <f t="shared" ca="1" si="12"/>
        <v>2000*1250*500</v>
      </c>
      <c r="S15" s="34" t="str">
        <f>VLOOKUP(O15,ОТТС!$A$2:$B$3,2,0)</f>
        <v>ТС KZ Е-KZ.0317.00251 от 28.02.2023</v>
      </c>
      <c r="T15" s="38">
        <v>340000</v>
      </c>
      <c r="U15" s="36" t="str">
        <f t="shared" si="8"/>
        <v>Астана</v>
      </c>
    </row>
    <row r="16" spans="1:22" ht="13.2">
      <c r="A16" s="34">
        <v>1175</v>
      </c>
      <c r="B16" s="35">
        <f>VLOOKUP(A16,'Реестр договоров'!$A$2:$D$55,2,0)</f>
        <v>45464</v>
      </c>
      <c r="C16" s="36" t="str">
        <f t="shared" si="0"/>
        <v>Костюков1</v>
      </c>
      <c r="D16" s="36" t="str">
        <f t="shared" si="1"/>
        <v>Александр</v>
      </c>
      <c r="E16" s="36" t="str">
        <f t="shared" si="2"/>
        <v>Дмитриевич</v>
      </c>
      <c r="F16" s="36" t="str">
        <f t="shared" si="3"/>
        <v>054358115</v>
      </c>
      <c r="G16" s="37">
        <f>VLOOKUP(F16,Покупатели!$F$2:$N$762,2,0)</f>
        <v>45174</v>
      </c>
      <c r="H16" s="36" t="str">
        <f>VLOOKUP(F16,Покупатели!$F$2:$N$762,3,0)</f>
        <v>МВД РК</v>
      </c>
      <c r="I16" s="36">
        <f>VLOOKUP(C16,Покупатели!$C$2:$M$805,7,0)</f>
        <v>940702301406</v>
      </c>
      <c r="J16" s="36" t="str">
        <f ca="1">IFERROR(__xludf.DUMMYFUNCTION("JOIN("" "", VLOOKUP(C16,Покупатели,8,0),VLOOKUP(C16,Покупатели,9,0),VLOOKUP(C16,Покупатели,10,0),VLOOKUP(C16,Покупатели,11,0))"),"Алматинская область город Алматы мкр.Орбита 2 дом 18, кв.26")</f>
        <v>Алматинская область город Алматы мкр.Орбита 2 дом 18, кв.26</v>
      </c>
      <c r="K16" s="36">
        <f t="shared" si="4"/>
        <v>87477894960</v>
      </c>
      <c r="L16" s="36" t="str">
        <f t="shared" si="5"/>
        <v>MX4000002R0001506</v>
      </c>
      <c r="M16" s="36" t="str">
        <f t="shared" ca="1" si="9"/>
        <v>002-2513E30Q13-OK</v>
      </c>
      <c r="N16" s="36" t="str">
        <f t="shared" si="10"/>
        <v>Прицеп 2,5*1,25 м  (до 750 кг.)</v>
      </c>
      <c r="O16" s="36" t="str">
        <f t="shared" si="6"/>
        <v>1 ось</v>
      </c>
      <c r="P16" s="36">
        <f t="shared" si="7"/>
        <v>2024</v>
      </c>
      <c r="Q16" s="36" t="str">
        <f t="shared" ca="1" si="11"/>
        <v>3650*1700*900</v>
      </c>
      <c r="R16" s="36" t="str">
        <f t="shared" ca="1" si="12"/>
        <v>2500*1250*300</v>
      </c>
      <c r="S16" s="34" t="str">
        <f>VLOOKUP(O16,ОТТС!$A$2:$B$3,2,0)</f>
        <v>ТС KZ Е-KZ.0317.00251 от 28.02.2023</v>
      </c>
      <c r="T16" s="38">
        <v>380000</v>
      </c>
      <c r="U16" s="36" t="str">
        <f t="shared" si="8"/>
        <v>Алматы</v>
      </c>
    </row>
    <row r="17" spans="1:21" ht="13.2">
      <c r="A17" s="34">
        <v>1176</v>
      </c>
      <c r="B17" s="35">
        <f>VLOOKUP(A17,'Реестр договоров'!$A$2:$D$55,2,0)</f>
        <v>45464</v>
      </c>
      <c r="C17" s="36" t="str">
        <f t="shared" si="0"/>
        <v>Байзаков</v>
      </c>
      <c r="D17" s="36" t="str">
        <f t="shared" si="1"/>
        <v>Айбар</v>
      </c>
      <c r="E17" s="36" t="str">
        <f t="shared" si="2"/>
        <v>Сайлауович</v>
      </c>
      <c r="F17" s="36" t="str">
        <f t="shared" si="3"/>
        <v>053400172</v>
      </c>
      <c r="G17" s="37">
        <f>VLOOKUP(F17,Покупатели!$F$2:$N$762,2,0)</f>
        <v>44763</v>
      </c>
      <c r="H17" s="36" t="str">
        <f>VLOOKUP(F17,Покупатели!$F$2:$N$762,3,0)</f>
        <v>МВД РК</v>
      </c>
      <c r="I17" s="36">
        <f>VLOOKUP(C17,Покупатели!$C$2:$M$805,7,0)</f>
        <v>631102301472</v>
      </c>
      <c r="J17" s="36" t="str">
        <f ca="1">IFERROR(__xludf.DUMMYFUNCTION("JOIN("" "", VLOOKUP(C17,Покупатели,8,0),VLOOKUP(C17,Покупатели,9,0),VLOOKUP(C17,Покупатели,10,0),VLOOKUP(C17,Покупатели,11,0))"),"город Астана мкр. Шубары ул.Каратай Турысова 36")</f>
        <v>город Астана мкр. Шубары ул.Каратай Турысова 36</v>
      </c>
      <c r="K17" s="36">
        <f t="shared" si="4"/>
        <v>87051000909</v>
      </c>
      <c r="L17" s="36" t="str">
        <f t="shared" si="5"/>
        <v>MX4000002R0001680</v>
      </c>
      <c r="M17" s="36" t="s">
        <v>916</v>
      </c>
      <c r="N17" s="36" t="str">
        <f t="shared" si="10"/>
        <v>Прицеп 2,0*1,25 м  (до 750 кг.)</v>
      </c>
      <c r="O17" s="36" t="str">
        <f t="shared" si="6"/>
        <v>1 ось</v>
      </c>
      <c r="P17" s="36">
        <f t="shared" si="7"/>
        <v>2024</v>
      </c>
      <c r="Q17" s="36" t="s">
        <v>917</v>
      </c>
      <c r="R17" s="36" t="s">
        <v>918</v>
      </c>
      <c r="S17" s="34" t="str">
        <f>VLOOKUP(O17,ОТТС!$A$2:$B$3,2,0)</f>
        <v>ТС KZ Е-KZ.0317.00251 от 28.02.2023</v>
      </c>
      <c r="T17" s="38">
        <v>350000</v>
      </c>
      <c r="U17" s="36" t="str">
        <f t="shared" si="8"/>
        <v>Астана</v>
      </c>
    </row>
    <row r="18" spans="1:21" ht="13.2">
      <c r="A18" s="34">
        <v>1177</v>
      </c>
      <c r="B18" s="35">
        <f>VLOOKUP(A18,'Реестр договоров'!$A$2:$D$80,2,0)</f>
        <v>45464</v>
      </c>
      <c r="C18" s="36" t="str">
        <f t="shared" si="0"/>
        <v>Оспанова</v>
      </c>
      <c r="D18" s="36" t="str">
        <f t="shared" si="1"/>
        <v>Гульден</v>
      </c>
      <c r="E18" s="36" t="str">
        <f t="shared" si="2"/>
        <v>Сериковна</v>
      </c>
      <c r="F18" s="36" t="str">
        <f t="shared" si="3"/>
        <v>050380494</v>
      </c>
      <c r="G18" s="37">
        <f>VLOOKUP(F18,Покупатели!$F$2:$N$762,2,0)</f>
        <v>44321</v>
      </c>
      <c r="H18" s="36" t="str">
        <f>VLOOKUP(F18,Покупатели!$F$2:$N$762,3,0)</f>
        <v>МВД РК</v>
      </c>
      <c r="I18" s="36">
        <f>VLOOKUP(C18,Покупатели!$C$2:$M$805,7,0)</f>
        <v>860401450774</v>
      </c>
      <c r="J18" s="36" t="str">
        <f ca="1">IFERROR(__xludf.DUMMYFUNCTION("JOIN("" "", VLOOKUP(C18,Покупатели,8,0),VLOOKUP(C18,Покупатели,9,0),VLOOKUP(C18,Покупатели,10,0),VLOOKUP(C18,Покупатели,11,0))"),"город Астана район Алматы ул.Жансугурулы д.4/3 КВ.225")</f>
        <v>город Астана район Алматы ул.Жансугурулы д.4/3 КВ.225</v>
      </c>
      <c r="K18" s="36">
        <f t="shared" si="4"/>
        <v>87078692966</v>
      </c>
      <c r="L18" s="36" t="str">
        <f t="shared" si="5"/>
        <v>MX4000002R0001497</v>
      </c>
      <c r="M18" s="36" t="str">
        <f t="shared" ref="M18:M49" ca="1" si="13">VLOOKUP(L18,ПРИЦЕПЫ,11,0)</f>
        <v>002-2013E50Q13-OK</v>
      </c>
      <c r="N18" s="36" t="str">
        <f t="shared" si="10"/>
        <v>Прицеп 2,0*1,25 м  (до 750 кг.)</v>
      </c>
      <c r="O18" s="36" t="str">
        <f t="shared" si="6"/>
        <v>1 ось</v>
      </c>
      <c r="P18" s="36">
        <f t="shared" si="7"/>
        <v>2024</v>
      </c>
      <c r="Q18" s="36" t="str">
        <f t="shared" ref="Q18:Q57" ca="1" si="14">VLOOKUP(M18,матрица,16,0)</f>
        <v>3150*1700*1070</v>
      </c>
      <c r="R18" s="36" t="str">
        <f t="shared" ref="R18:R57" ca="1" si="15">VLOOKUP(M18,матрица,17,0)</f>
        <v>2000*1250*500</v>
      </c>
      <c r="S18" s="34" t="str">
        <f>VLOOKUP(O18,ОТТС!$A$2:$B$3,2,0)</f>
        <v>ТС KZ Е-KZ.0317.00251 от 28.02.2023</v>
      </c>
      <c r="T18" s="38">
        <v>350000</v>
      </c>
      <c r="U18" s="36" t="str">
        <f t="shared" si="8"/>
        <v>Астана</v>
      </c>
    </row>
    <row r="19" spans="1:21" ht="13.2">
      <c r="A19" s="34">
        <v>1178</v>
      </c>
      <c r="B19" s="35">
        <f>VLOOKUP(A19,'Реестр договоров'!$A$2:$D$55,2,0)</f>
        <v>45464</v>
      </c>
      <c r="C19" s="36" t="str">
        <f t="shared" si="0"/>
        <v>Шапарев</v>
      </c>
      <c r="D19" s="36" t="str">
        <f t="shared" si="1"/>
        <v>Антон</v>
      </c>
      <c r="E19" s="36" t="str">
        <f t="shared" si="2"/>
        <v>Витальевич</v>
      </c>
      <c r="F19" s="36" t="str">
        <f t="shared" si="3"/>
        <v>056014519</v>
      </c>
      <c r="G19" s="37">
        <f>VLOOKUP(F19,Покупатели!$F$2:$N$762,2,0)</f>
        <v>45379</v>
      </c>
      <c r="H19" s="36" t="str">
        <f>VLOOKUP(F19,Покупатели!$F$2:$N$762,3,0)</f>
        <v>МЮ РК</v>
      </c>
      <c r="I19" s="36">
        <f>VLOOKUP(C19,Покупатели!$C$2:$M$805,7,0)</f>
        <v>890806301201</v>
      </c>
      <c r="J19" s="36" t="str">
        <f ca="1">IFERROR(__xludf.DUMMYFUNCTION("JOIN("" "", VLOOKUP(C19,Покупатели,8,0),VLOOKUP(C19,Покупатели,9,0),VLOOKUP(C19,Покупатели,10,0),VLOOKUP(C19,Покупатели,11,0))"),"Алматинская область Илийский район, село Мухаметжан Туймебаев ПКСТ Ардагер-Ветеран, 21 линия 41")</f>
        <v>Алматинская область Илийский район, село Мухаметжан Туймебаев ПКСТ Ардагер-Ветеран, 21 линия 41</v>
      </c>
      <c r="K19" s="36">
        <f t="shared" si="4"/>
        <v>87772906865</v>
      </c>
      <c r="L19" s="36" t="str">
        <f t="shared" si="5"/>
        <v>MX4000002R0001516</v>
      </c>
      <c r="M19" s="36" t="str">
        <f t="shared" ca="1" si="13"/>
        <v>002-2513E50Q13-OK</v>
      </c>
      <c r="N19" s="36" t="str">
        <f t="shared" si="10"/>
        <v>Прицеп 2,5*1,25 м  (до 750 кг.)</v>
      </c>
      <c r="O19" s="36" t="str">
        <f t="shared" si="6"/>
        <v>1 ось</v>
      </c>
      <c r="P19" s="36">
        <f t="shared" si="7"/>
        <v>2024</v>
      </c>
      <c r="Q19" s="36" t="str">
        <f t="shared" ca="1" si="14"/>
        <v>3650*1700*1070</v>
      </c>
      <c r="R19" s="36" t="str">
        <f t="shared" ca="1" si="15"/>
        <v>2500*1250*500</v>
      </c>
      <c r="S19" s="34" t="str">
        <f>VLOOKUP(O19,ОТТС!$A$2:$B$3,2,0)</f>
        <v>ТС KZ Е-KZ.0317.00251 от 28.02.2023</v>
      </c>
      <c r="T19" s="38">
        <v>380000</v>
      </c>
      <c r="U19" s="36" t="str">
        <f t="shared" si="8"/>
        <v>Алматы</v>
      </c>
    </row>
    <row r="20" spans="1:21" ht="13.2">
      <c r="A20" s="34">
        <v>1179</v>
      </c>
      <c r="B20" s="35">
        <f>VLOOKUP(A20,'Реестр договоров'!$A$2:$D$89,2,0)</f>
        <v>45464</v>
      </c>
      <c r="C20" s="36" t="str">
        <f t="shared" si="0"/>
        <v>Бикенова</v>
      </c>
      <c r="D20" s="36" t="str">
        <f t="shared" si="1"/>
        <v>Анаргуль</v>
      </c>
      <c r="E20" s="36" t="str">
        <f t="shared" si="2"/>
        <v>Косымбековна</v>
      </c>
      <c r="F20" s="36" t="str">
        <f t="shared" si="3"/>
        <v>048906928</v>
      </c>
      <c r="G20" s="37">
        <f>VLOOKUP(F20,Покупатели!$F$2:$N$762,2,0)</f>
        <v>44105</v>
      </c>
      <c r="H20" s="36" t="str">
        <f>VLOOKUP(F20,Покупатели!$F$2:$N$762,3,0)</f>
        <v>МВД РК</v>
      </c>
      <c r="I20" s="36">
        <f>VLOOKUP(C20,Покупатели!$C$2:$M$805,7,0)</f>
        <v>700312400633</v>
      </c>
      <c r="J20" s="36" t="str">
        <f ca="1">IFERROR(__xludf.DUMMYFUNCTION("JOIN("" "", VLOOKUP(C20,Покупатели,8,0),VLOOKUP(C20,Покупатели,9,0),VLOOKUP(C20,Покупатели,10,0),VLOOKUP(C20,Покупатели,11,0))"),"Акмолинская область Зерендинский район, с. Конысбай Габдуллина 33")</f>
        <v>Акмолинская область Зерендинский район, с. Конысбай Габдуллина 33</v>
      </c>
      <c r="K20" s="36">
        <f t="shared" si="4"/>
        <v>87087496491</v>
      </c>
      <c r="L20" s="36" t="str">
        <f t="shared" si="5"/>
        <v>MX4000002R0001643</v>
      </c>
      <c r="M20" s="36" t="str">
        <f t="shared" ca="1" si="13"/>
        <v>002-2513E50Q13-OK</v>
      </c>
      <c r="N20" s="36" t="str">
        <f t="shared" si="10"/>
        <v>Прицеп 2,5*1,25 м  (до 750 кг.)</v>
      </c>
      <c r="O20" s="36" t="str">
        <f t="shared" si="6"/>
        <v>1 ось</v>
      </c>
      <c r="P20" s="36">
        <f t="shared" si="7"/>
        <v>2024</v>
      </c>
      <c r="Q20" s="36" t="str">
        <f t="shared" ca="1" si="14"/>
        <v>3650*1700*1070</v>
      </c>
      <c r="R20" s="36" t="str">
        <f t="shared" ca="1" si="15"/>
        <v>2500*1250*500</v>
      </c>
      <c r="S20" s="34" t="str">
        <f>VLOOKUP(O20,ОТТС!$A$2:$B$3,2,0)</f>
        <v>ТС KZ Е-KZ.0317.00251 от 28.02.2023</v>
      </c>
      <c r="T20" s="38">
        <v>330000</v>
      </c>
      <c r="U20" s="36" t="str">
        <f t="shared" si="8"/>
        <v>Кокшетау</v>
      </c>
    </row>
    <row r="21" spans="1:21" ht="13.2">
      <c r="A21" s="34">
        <v>1180</v>
      </c>
      <c r="B21" s="35">
        <f>VLOOKUP(A21,'Реестр договоров'!$A$2:$D$80,2,0)</f>
        <v>45464</v>
      </c>
      <c r="C21" s="36" t="str">
        <f t="shared" si="0"/>
        <v>Боровиков</v>
      </c>
      <c r="D21" s="36" t="str">
        <f t="shared" si="1"/>
        <v>Александр</v>
      </c>
      <c r="E21" s="36" t="str">
        <f t="shared" si="2"/>
        <v>Викторович</v>
      </c>
      <c r="F21" s="36" t="str">
        <f t="shared" si="3"/>
        <v>049617497</v>
      </c>
      <c r="G21" s="37">
        <f>VLOOKUP(F21,Покупатели!$F$2:$N$762,2,0)</f>
        <v>44529</v>
      </c>
      <c r="H21" s="36" t="str">
        <f>VLOOKUP(F21,Покупатели!$F$2:$N$762,3,0)</f>
        <v>МВД РК</v>
      </c>
      <c r="I21" s="36">
        <f>VLOOKUP(C21,Покупатели!$C$2:$M$805,7,0)</f>
        <v>860706300175</v>
      </c>
      <c r="J21" s="36" t="str">
        <f ca="1">IFERROR(__xludf.DUMMYFUNCTION("JOIN("" "", VLOOKUP(C21,Покупатели,8,0),VLOOKUP(C21,Покупатели,9,0),VLOOKUP(C21,Покупатели,10,0),VLOOKUP(C21,Покупатели,11,0))"),"г.Алматы мкр.Рахат ул.Шагала 3/1")</f>
        <v>г.Алматы мкр.Рахат ул.Шагала 3/1</v>
      </c>
      <c r="K21" s="36">
        <f t="shared" si="4"/>
        <v>87080070078</v>
      </c>
      <c r="L21" s="36" t="str">
        <f t="shared" si="5"/>
        <v>MX4000002R0001521</v>
      </c>
      <c r="M21" s="36" t="str">
        <f t="shared" ca="1" si="13"/>
        <v>002-2513E30Q13-OK</v>
      </c>
      <c r="N21" s="36" t="str">
        <f t="shared" si="10"/>
        <v>Прицеп 2,5*1,25 м  (до 750 кг.)</v>
      </c>
      <c r="O21" s="36" t="str">
        <f t="shared" si="6"/>
        <v>1 ось</v>
      </c>
      <c r="P21" s="36">
        <f t="shared" si="7"/>
        <v>2024</v>
      </c>
      <c r="Q21" s="36" t="str">
        <f t="shared" ca="1" si="14"/>
        <v>3650*1700*900</v>
      </c>
      <c r="R21" s="36" t="str">
        <f t="shared" ca="1" si="15"/>
        <v>2500*1250*300</v>
      </c>
      <c r="S21" s="34" t="str">
        <f>VLOOKUP(O21,ОТТС!$A$2:$B$3,2,0)</f>
        <v>ТС KZ Е-KZ.0317.00251 от 28.02.2023</v>
      </c>
      <c r="T21" s="38">
        <v>380000</v>
      </c>
      <c r="U21" s="36" t="str">
        <f t="shared" si="8"/>
        <v>Алматы</v>
      </c>
    </row>
    <row r="22" spans="1:21" ht="13.2">
      <c r="A22" s="34">
        <v>1181</v>
      </c>
      <c r="B22" s="35">
        <f>VLOOKUP(A22,'Реестр договоров'!$A$2:$D$506,2,0)</f>
        <v>45465</v>
      </c>
      <c r="C22" s="36" t="str">
        <f t="shared" si="0"/>
        <v>Гаврилюк</v>
      </c>
      <c r="D22" s="36" t="str">
        <f t="shared" si="1"/>
        <v>Артем</v>
      </c>
      <c r="E22" s="36" t="str">
        <f t="shared" si="2"/>
        <v>Алексеевич</v>
      </c>
      <c r="F22" s="36" t="str">
        <f t="shared" si="3"/>
        <v>050735465</v>
      </c>
      <c r="G22" s="37">
        <f>VLOOKUP(F22,Покупатели!$F$2:$N$762,2,0)</f>
        <v>44700</v>
      </c>
      <c r="H22" s="36" t="str">
        <f>VLOOKUP(F22,Покупатели!$F$2:$N$762,3,0)</f>
        <v>МЮ РК</v>
      </c>
      <c r="I22" s="36">
        <f>VLOOKUP(C22,Покупатели!$C$2:$M$805,7,0)</f>
        <v>841214350939</v>
      </c>
      <c r="J22" s="36" t="str">
        <f ca="1">IFERROR(__xludf.DUMMYFUNCTION("JOIN("" "", VLOOKUP(C22,Покупатели,8,0),VLOOKUP(C22,Покупатели,9,0),VLOOKUP(C22,Покупатели,10,0),VLOOKUP(C22,Покупатели,11,0))"),"Жамбульская область с.Кордай ул.Рыскулова 214")</f>
        <v>Жамбульская область с.Кордай ул.Рыскулова 214</v>
      </c>
      <c r="K22" s="36">
        <f t="shared" si="4"/>
        <v>87776674530</v>
      </c>
      <c r="L22" s="36" t="str">
        <f t="shared" si="5"/>
        <v>MX4000002R0001572</v>
      </c>
      <c r="M22" s="36" t="str">
        <f t="shared" ca="1" si="13"/>
        <v>002-2013E50Q13-OK</v>
      </c>
      <c r="N22" s="36" t="str">
        <f t="shared" si="10"/>
        <v>Прицеп 2,0*1,25 м  (до 750 кг.)</v>
      </c>
      <c r="O22" s="36" t="str">
        <f t="shared" si="6"/>
        <v>1 ось</v>
      </c>
      <c r="P22" s="36">
        <f t="shared" si="7"/>
        <v>2024</v>
      </c>
      <c r="Q22" s="36" t="str">
        <f t="shared" ca="1" si="14"/>
        <v>3150*1700*1070</v>
      </c>
      <c r="R22" s="36" t="str">
        <f t="shared" ca="1" si="15"/>
        <v>2000*1250*500</v>
      </c>
      <c r="S22" s="34" t="str">
        <f>VLOOKUP(O22,ОТТС!$A$2:$B$3,2,0)</f>
        <v>ТС KZ Е-KZ.0317.00251 от 28.02.2023</v>
      </c>
      <c r="T22" s="38">
        <v>320000</v>
      </c>
      <c r="U22" s="36" t="str">
        <f t="shared" si="8"/>
        <v>Алматы</v>
      </c>
    </row>
    <row r="23" spans="1:21" ht="13.2">
      <c r="A23" s="34">
        <v>1182</v>
      </c>
      <c r="B23" s="35">
        <f>VLOOKUP(A23,'Реестр договоров'!$A$2:$D$80,2,0)</f>
        <v>45465</v>
      </c>
      <c r="C23" s="36" t="str">
        <f t="shared" si="0"/>
        <v xml:space="preserve">Каримов </v>
      </c>
      <c r="D23" s="36" t="str">
        <f t="shared" si="1"/>
        <v>Нуршат</v>
      </c>
      <c r="E23" s="36" t="str">
        <f t="shared" si="2"/>
        <v>Каримович</v>
      </c>
      <c r="F23" s="36" t="str">
        <f t="shared" si="3"/>
        <v>053045761</v>
      </c>
      <c r="G23" s="37">
        <f>VLOOKUP(F23,Покупатели!$F$2:$N$762,2,0)</f>
        <v>45021</v>
      </c>
      <c r="H23" s="36" t="str">
        <f>VLOOKUP(F23,Покупатели!$F$2:$N$762,3,0)</f>
        <v>МВД РК</v>
      </c>
      <c r="I23" s="36">
        <f>VLOOKUP(C23,Покупатели!$C$2:$M$805,7,0)</f>
        <v>900926301536</v>
      </c>
      <c r="J23" s="36" t="str">
        <f ca="1">IFERROR(__xludf.DUMMYFUNCTION("JOIN("" "", VLOOKUP(C23,Покупатели,8,0),VLOOKUP(C23,Покупатели,9,0),VLOOKUP(C23,Покупатели,10,0),VLOOKUP(C23,Покупатели,11,0))"),"Алматы Горный гигант Сызганова  89")</f>
        <v>Алматы Горный гигант Сызганова  89</v>
      </c>
      <c r="K23" s="36">
        <f t="shared" si="4"/>
        <v>87001990026</v>
      </c>
      <c r="L23" s="36" t="str">
        <f t="shared" si="5"/>
        <v>MX4000002R0001481</v>
      </c>
      <c r="M23" s="36" t="str">
        <f t="shared" ca="1" si="13"/>
        <v>002-2013E50Q13-OK</v>
      </c>
      <c r="N23" s="36" t="str">
        <f t="shared" si="10"/>
        <v>Прицеп 2,0*1,25 м  (до 750 кг.)</v>
      </c>
      <c r="O23" s="36" t="str">
        <f t="shared" si="6"/>
        <v>1 ось</v>
      </c>
      <c r="P23" s="36">
        <f t="shared" si="7"/>
        <v>2024</v>
      </c>
      <c r="Q23" s="36" t="str">
        <f t="shared" ca="1" si="14"/>
        <v>3150*1700*1070</v>
      </c>
      <c r="R23" s="36" t="str">
        <f t="shared" ca="1" si="15"/>
        <v>2000*1250*500</v>
      </c>
      <c r="S23" s="34" t="str">
        <f>VLOOKUP(O23,ОТТС!$A$2:$B$3,2,0)</f>
        <v>ТС KZ Е-KZ.0317.00251 от 28.02.2023</v>
      </c>
      <c r="T23" s="38">
        <v>380000</v>
      </c>
      <c r="U23" s="36" t="str">
        <f t="shared" si="8"/>
        <v>Алматы</v>
      </c>
    </row>
    <row r="24" spans="1:21" ht="13.2">
      <c r="A24" s="34">
        <v>1183</v>
      </c>
      <c r="B24" s="35">
        <f>VLOOKUP(A24,'Реестр договоров'!$A$2:$D$80,2,0)</f>
        <v>45465</v>
      </c>
      <c r="C24" s="36" t="str">
        <f t="shared" si="0"/>
        <v>Базимов</v>
      </c>
      <c r="D24" s="36" t="str">
        <f t="shared" si="1"/>
        <v>Адил</v>
      </c>
      <c r="E24" s="36" t="str">
        <f t="shared" si="2"/>
        <v>Джапаркулович</v>
      </c>
      <c r="F24" s="36" t="str">
        <f t="shared" si="3"/>
        <v>052723263</v>
      </c>
      <c r="G24" s="37">
        <f>VLOOKUP(F24,Покупатели!$F$2:$N$762,2,0)</f>
        <v>44973</v>
      </c>
      <c r="H24" s="36" t="str">
        <f>VLOOKUP(F24,Покупатели!$F$2:$N$762,3,0)</f>
        <v>МВД РК</v>
      </c>
      <c r="I24" s="36">
        <f>VLOOKUP(C24,Покупатели!$C$2:$M$805,7,0)</f>
        <v>680120303087</v>
      </c>
      <c r="J24" s="36" t="str">
        <f ca="1">IFERROR(__xludf.DUMMYFUNCTION("JOIN("" "", VLOOKUP(C24,Покупатели,8,0),VLOOKUP(C24,Покупатели,9,0),VLOOKUP(C24,Покупатели,10,0),VLOOKUP(C24,Покупатели,11,0))"),"Жамбыльская область Кордайский район, с.Кордай ул.Кордайская 27")</f>
        <v>Жамбыльская область Кордайский район, с.Кордай ул.Кордайская 27</v>
      </c>
      <c r="K24" s="36">
        <f t="shared" si="4"/>
        <v>87024803772</v>
      </c>
      <c r="L24" s="36" t="str">
        <f t="shared" si="5"/>
        <v>MX4000002R0001569</v>
      </c>
      <c r="M24" s="36" t="str">
        <f t="shared" ca="1" si="13"/>
        <v>002-2013E50Q13-OK</v>
      </c>
      <c r="N24" s="36" t="str">
        <f t="shared" si="10"/>
        <v>Прицеп 2,0*1,25 м  (до 750 кг.)</v>
      </c>
      <c r="O24" s="36" t="str">
        <f t="shared" si="6"/>
        <v>1 ось</v>
      </c>
      <c r="P24" s="36">
        <f t="shared" si="7"/>
        <v>2024</v>
      </c>
      <c r="Q24" s="36" t="str">
        <f t="shared" ca="1" si="14"/>
        <v>3150*1700*1070</v>
      </c>
      <c r="R24" s="36" t="str">
        <f t="shared" ca="1" si="15"/>
        <v>2000*1250*500</v>
      </c>
      <c r="S24" s="34" t="str">
        <f>VLOOKUP(O24,ОТТС!$A$2:$B$3,2,0)</f>
        <v>ТС KZ Е-KZ.0317.00251 от 28.02.2023</v>
      </c>
      <c r="T24" s="38">
        <v>340000</v>
      </c>
      <c r="U24" s="36" t="str">
        <f t="shared" si="8"/>
        <v>Алматы</v>
      </c>
    </row>
    <row r="25" spans="1:21" ht="13.2">
      <c r="A25" s="34">
        <v>1184</v>
      </c>
      <c r="B25" s="35">
        <f>VLOOKUP(A25,'Реестр договоров'!$A$2:$D$169,2,0)</f>
        <v>45465</v>
      </c>
      <c r="C25" s="36" t="str">
        <f t="shared" si="0"/>
        <v>Жунусов1</v>
      </c>
      <c r="D25" s="36" t="str">
        <f t="shared" si="1"/>
        <v>Жетписбай</v>
      </c>
      <c r="E25" s="36" t="str">
        <f t="shared" si="2"/>
        <v>Серикбаевич</v>
      </c>
      <c r="F25" s="36" t="str">
        <f t="shared" si="3"/>
        <v>023553247</v>
      </c>
      <c r="G25" s="37">
        <f>VLOOKUP(F25,Покупатели!$F$2:$N$762,2,0)</f>
        <v>39925</v>
      </c>
      <c r="H25" s="36" t="str">
        <f>VLOOKUP(F25,Покупатели!$F$2:$N$762,3,0)</f>
        <v>МЮ РК</v>
      </c>
      <c r="I25" s="36">
        <f>VLOOKUP(C25,Покупатели!$C$2:$M$805,7,0)</f>
        <v>820101351532</v>
      </c>
      <c r="J25" s="36" t="str">
        <f ca="1">IFERROR(__xludf.DUMMYFUNCTION("JOIN("" "", VLOOKUP(C25,Покупатели,8,0),VLOOKUP(C25,Покупатели,9,0),VLOOKUP(C25,Покупатели,10,0),VLOOKUP(C25,Покупатели,11,0))"),"Алматинская область Жамбылский район, пос.Танбалтас ул.Мусабаева 12/1")</f>
        <v>Алматинская область Жамбылский район, пос.Танбалтас ул.Мусабаева 12/1</v>
      </c>
      <c r="K25" s="36">
        <f t="shared" si="4"/>
        <v>87718997482</v>
      </c>
      <c r="L25" s="36" t="str">
        <f t="shared" si="5"/>
        <v>MX4000002R0001500</v>
      </c>
      <c r="M25" s="36" t="str">
        <f t="shared" ca="1" si="13"/>
        <v>002-2013E30Q13-OK</v>
      </c>
      <c r="N25" s="36" t="str">
        <f t="shared" si="10"/>
        <v>Прицеп 2,0*1,25 м  (до 750 кг.)</v>
      </c>
      <c r="O25" s="36" t="str">
        <f t="shared" si="6"/>
        <v>1 ось</v>
      </c>
      <c r="P25" s="36">
        <f t="shared" si="7"/>
        <v>2024</v>
      </c>
      <c r="Q25" s="36" t="str">
        <f t="shared" ca="1" si="14"/>
        <v>3150*1700*900</v>
      </c>
      <c r="R25" s="36" t="str">
        <f t="shared" ca="1" si="15"/>
        <v>2000*1250*300</v>
      </c>
      <c r="S25" s="34" t="str">
        <f>VLOOKUP(O25,ОТТС!$A$2:$B$3,2,0)</f>
        <v>ТС KZ Е-KZ.0317.00251 от 28.02.2023</v>
      </c>
      <c r="T25" s="38">
        <v>360000</v>
      </c>
      <c r="U25" s="36" t="str">
        <f t="shared" si="8"/>
        <v>Алматы</v>
      </c>
    </row>
    <row r="26" spans="1:21" ht="13.2">
      <c r="A26" s="34">
        <v>1185</v>
      </c>
      <c r="B26" s="35">
        <f>VLOOKUP(A26,'Реестр договоров'!$A$2:$D$89,2,0)</f>
        <v>45465</v>
      </c>
      <c r="C26" s="36" t="str">
        <f t="shared" si="0"/>
        <v>Бирюков</v>
      </c>
      <c r="D26" s="36" t="str">
        <f t="shared" si="1"/>
        <v>Александр</v>
      </c>
      <c r="E26" s="36" t="str">
        <f t="shared" si="2"/>
        <v>Анатольевич</v>
      </c>
      <c r="F26" s="36" t="str">
        <f t="shared" si="3"/>
        <v>017772142</v>
      </c>
      <c r="G26" s="37">
        <f>VLOOKUP(F26,Покупатели!$F$2:$N$762,2,0)</f>
        <v>38498</v>
      </c>
      <c r="H26" s="36" t="str">
        <f>VLOOKUP(F26,Покупатели!$F$2:$N$762,3,0)</f>
        <v>МЮ РК</v>
      </c>
      <c r="I26" s="36">
        <f>VLOOKUP(C26,Покупатели!$C$2:$M$805,7,0)</f>
        <v>800223300337</v>
      </c>
      <c r="J26" s="36" t="str">
        <f ca="1">IFERROR(__xludf.DUMMYFUNCTION("JOIN("" "", VLOOKUP(C26,Покупатели,8,0),VLOOKUP(C26,Покупатели,9,0),VLOOKUP(C26,Покупатели,10,0),VLOOKUP(C26,Покупатели,11,0))"),"Алматинская область г.Алматы ул.Верди дом.29")</f>
        <v>Алматинская область г.Алматы ул.Верди дом.29</v>
      </c>
      <c r="K26" s="36">
        <f t="shared" si="4"/>
        <v>87077370165</v>
      </c>
      <c r="L26" s="36" t="str">
        <f t="shared" si="5"/>
        <v>MX4000002R0001571</v>
      </c>
      <c r="M26" s="36" t="str">
        <f t="shared" ca="1" si="13"/>
        <v>002-2013E50Q13-OK</v>
      </c>
      <c r="N26" s="36" t="str">
        <f t="shared" si="10"/>
        <v>Прицеп 2,0*1,25 м  (до 750 кг.)</v>
      </c>
      <c r="O26" s="36" t="str">
        <f t="shared" si="6"/>
        <v>1 ось</v>
      </c>
      <c r="P26" s="36">
        <f t="shared" si="7"/>
        <v>2024</v>
      </c>
      <c r="Q26" s="36" t="str">
        <f t="shared" ca="1" si="14"/>
        <v>3150*1700*1070</v>
      </c>
      <c r="R26" s="36" t="str">
        <f t="shared" ca="1" si="15"/>
        <v>2000*1250*500</v>
      </c>
      <c r="S26" s="34" t="str">
        <f>VLOOKUP(O26,ОТТС!$A$2:$B$3,2,0)</f>
        <v>ТС KZ Е-KZ.0317.00251 от 28.02.2023</v>
      </c>
      <c r="T26" s="38">
        <v>320000</v>
      </c>
      <c r="U26" s="36" t="str">
        <f t="shared" si="8"/>
        <v>Алматы</v>
      </c>
    </row>
    <row r="27" spans="1:21" ht="13.2">
      <c r="A27" s="34">
        <v>1186</v>
      </c>
      <c r="B27" s="35">
        <f>VLOOKUP(A27,'Реестр договоров'!$A$2:$D$89,2,0)</f>
        <v>45467</v>
      </c>
      <c r="C27" s="36" t="str">
        <f t="shared" si="0"/>
        <v>Сейдахмет</v>
      </c>
      <c r="D27" s="36" t="str">
        <f t="shared" si="1"/>
        <v>Әнуар</v>
      </c>
      <c r="E27" s="36" t="str">
        <f t="shared" si="2"/>
        <v>Талғатұлы</v>
      </c>
      <c r="F27" s="36" t="str">
        <f t="shared" si="3"/>
        <v>054382555</v>
      </c>
      <c r="G27" s="37">
        <f>VLOOKUP(F27,Покупатели!$F$2:$N$762,2,0)</f>
        <v>45175</v>
      </c>
      <c r="H27" s="36" t="str">
        <f>VLOOKUP(F27,Покупатели!$F$2:$N$762,3,0)</f>
        <v>ҚР ІІМ</v>
      </c>
      <c r="I27" s="36" t="str">
        <f>VLOOKUP(C27,Покупатели!$C$2:$M$805,7,0)</f>
        <v>020904500596</v>
      </c>
      <c r="J27" s="36" t="str">
        <f ca="1">IFERROR(__xludf.DUMMYFUNCTION("JOIN("" "", VLOOKUP(C27,Покупатели,8,0),VLOOKUP(C27,Покупатели,9,0),VLOOKUP(C27,Покупатели,10,0),VLOOKUP(C27,Покупатели,11,0))"),"Жетысу обл. Кербулатский р-н, с.Караагаш ул.Алдабергенова д.6/1")</f>
        <v>Жетысу обл. Кербулатский р-н, с.Караагаш ул.Алдабергенова д.6/1</v>
      </c>
      <c r="K27" s="36">
        <f t="shared" si="4"/>
        <v>87760777676</v>
      </c>
      <c r="L27" s="36" t="str">
        <f t="shared" si="5"/>
        <v>MX4000002R0001507</v>
      </c>
      <c r="M27" s="36" t="str">
        <f t="shared" ca="1" si="13"/>
        <v>002-2513E30Q13-OK</v>
      </c>
      <c r="N27" s="36" t="str">
        <f t="shared" si="10"/>
        <v>Прицеп 2,5*1,25 м  (до 750 кг.)</v>
      </c>
      <c r="O27" s="36" t="str">
        <f t="shared" si="6"/>
        <v>1 ось</v>
      </c>
      <c r="P27" s="36">
        <f t="shared" si="7"/>
        <v>2024</v>
      </c>
      <c r="Q27" s="36" t="str">
        <f t="shared" ca="1" si="14"/>
        <v>3650*1700*900</v>
      </c>
      <c r="R27" s="36" t="str">
        <f t="shared" ca="1" si="15"/>
        <v>2500*1250*300</v>
      </c>
      <c r="S27" s="34" t="str">
        <f>VLOOKUP(O27,ОТТС!$A$2:$B$3,2,0)</f>
        <v>ТС KZ Е-KZ.0317.00251 от 28.02.2023</v>
      </c>
      <c r="T27" s="38">
        <v>360000</v>
      </c>
      <c r="U27" s="36" t="str">
        <f t="shared" si="8"/>
        <v>Алматы</v>
      </c>
    </row>
    <row r="28" spans="1:21" ht="13.2">
      <c r="A28" s="34">
        <v>1187</v>
      </c>
      <c r="B28" s="35">
        <f>VLOOKUP(A28,'Реестр договоров'!$A$2:$D$55,2,0)</f>
        <v>45467</v>
      </c>
      <c r="C28" s="36" t="str">
        <f t="shared" si="0"/>
        <v>Некерев</v>
      </c>
      <c r="D28" s="36" t="str">
        <f t="shared" si="1"/>
        <v>Николай</v>
      </c>
      <c r="E28" s="36" t="str">
        <f t="shared" si="2"/>
        <v>Егорович</v>
      </c>
      <c r="F28" s="36" t="str">
        <f t="shared" si="3"/>
        <v>055134561</v>
      </c>
      <c r="G28" s="37">
        <f>VLOOKUP(F28,Покупатели!$F$2:$N$762,2,0)</f>
        <v>45275</v>
      </c>
      <c r="H28" s="36" t="str">
        <f>VLOOKUP(F28,Покупатели!$F$2:$N$762,3,0)</f>
        <v>МВД РК</v>
      </c>
      <c r="I28" s="36">
        <f>VLOOKUP(C28,Покупатели!$C$2:$M$805,7,0)</f>
        <v>900123301035</v>
      </c>
      <c r="J28" s="36" t="str">
        <f ca="1">IFERROR(__xludf.DUMMYFUNCTION("JOIN("" "", VLOOKUP(C28,Покупатели,8,0),VLOOKUP(C28,Покупатели,9,0),VLOOKUP(C28,Покупатели,10,0),VLOOKUP(C28,Покупатели,11,0))"),"г.Алматы Турксибский р-н ул.Приозерная д.8")</f>
        <v>г.Алматы Турксибский р-н ул.Приозерная д.8</v>
      </c>
      <c r="K28" s="36">
        <f t="shared" si="4"/>
        <v>87478169748</v>
      </c>
      <c r="L28" s="36" t="str">
        <f t="shared" si="5"/>
        <v>MX4000002R0001468</v>
      </c>
      <c r="M28" s="36" t="str">
        <f t="shared" ca="1" si="13"/>
        <v>002-2013E50Q13-OK</v>
      </c>
      <c r="N28" s="36" t="str">
        <f t="shared" si="10"/>
        <v>Прицеп 2,0*1,25 м  (до 750 кг.)</v>
      </c>
      <c r="O28" s="36" t="str">
        <f t="shared" si="6"/>
        <v>1 ось</v>
      </c>
      <c r="P28" s="36">
        <f t="shared" si="7"/>
        <v>2024</v>
      </c>
      <c r="Q28" s="36" t="str">
        <f t="shared" ca="1" si="14"/>
        <v>3150*1700*1070</v>
      </c>
      <c r="R28" s="36" t="str">
        <f t="shared" ca="1" si="15"/>
        <v>2000*1250*500</v>
      </c>
      <c r="S28" s="34" t="str">
        <f>VLOOKUP(O28,ОТТС!$A$2:$B$3,2,0)</f>
        <v>ТС KZ Е-KZ.0317.00251 от 28.02.2023</v>
      </c>
      <c r="T28" s="38">
        <v>430000</v>
      </c>
      <c r="U28" s="36" t="str">
        <f t="shared" si="8"/>
        <v>Алматы</v>
      </c>
    </row>
    <row r="29" spans="1:21" ht="13.2">
      <c r="A29" s="34">
        <v>1188</v>
      </c>
      <c r="B29" s="35">
        <f>VLOOKUP(A29,'Реестр договоров'!$A$2:$D$55,2,0)</f>
        <v>45467</v>
      </c>
      <c r="C29" s="36" t="str">
        <f t="shared" si="0"/>
        <v>Мещеряков</v>
      </c>
      <c r="D29" s="36" t="str">
        <f t="shared" si="1"/>
        <v>Денис</v>
      </c>
      <c r="E29" s="36" t="str">
        <f t="shared" si="2"/>
        <v>Николаевич</v>
      </c>
      <c r="F29" s="36" t="str">
        <f t="shared" si="3"/>
        <v>047611726</v>
      </c>
      <c r="G29" s="37">
        <f>VLOOKUP(F29,Покупатели!$F$2:$N$762,2,0)</f>
        <v>43900</v>
      </c>
      <c r="H29" s="36" t="str">
        <f>VLOOKUP(F29,Покупатели!$F$2:$N$762,3,0)</f>
        <v>МВД РК</v>
      </c>
      <c r="I29" s="36">
        <f>VLOOKUP(C29,Покупатели!$C$2:$M$805,7,0)</f>
        <v>850129351220</v>
      </c>
      <c r="J29" s="36" t="str">
        <f ca="1">IFERROR(__xludf.DUMMYFUNCTION("JOIN("" "", VLOOKUP(C29,Покупатели,8,0),VLOOKUP(C29,Покупатели,9,0),VLOOKUP(C29,Покупатели,10,0),VLOOKUP(C29,Покупатели,11,0))"),"Акмолинская обл. г.Кокшетау ул.Ауезова д.213б кв.135")</f>
        <v>Акмолинская обл. г.Кокшетау ул.Ауезова д.213б кв.135</v>
      </c>
      <c r="K29" s="36">
        <f t="shared" si="4"/>
        <v>87076566662</v>
      </c>
      <c r="L29" s="36" t="str">
        <f t="shared" si="5"/>
        <v>MX4000002R0001664</v>
      </c>
      <c r="M29" s="36" t="str">
        <f t="shared" ca="1" si="13"/>
        <v>002-2013E50Q13-OK</v>
      </c>
      <c r="N29" s="36" t="str">
        <f t="shared" si="10"/>
        <v>Прицеп 2,0*1,25 м  (до 750 кг.)</v>
      </c>
      <c r="O29" s="36" t="str">
        <f t="shared" si="6"/>
        <v>1 ось</v>
      </c>
      <c r="P29" s="36">
        <f t="shared" si="7"/>
        <v>2024</v>
      </c>
      <c r="Q29" s="36" t="str">
        <f t="shared" ca="1" si="14"/>
        <v>3150*1700*1070</v>
      </c>
      <c r="R29" s="36" t="str">
        <f t="shared" ca="1" si="15"/>
        <v>2000*1250*500</v>
      </c>
      <c r="S29" s="34" t="str">
        <f>VLOOKUP(O29,ОТТС!$A$2:$B$3,2,0)</f>
        <v>ТС KZ Е-KZ.0317.00251 от 28.02.2023</v>
      </c>
      <c r="T29" s="38">
        <v>320000</v>
      </c>
      <c r="U29" s="36" t="str">
        <f t="shared" si="8"/>
        <v>Кокшетау</v>
      </c>
    </row>
    <row r="30" spans="1:21" ht="13.2">
      <c r="A30" s="34">
        <v>1189</v>
      </c>
      <c r="B30" s="35">
        <f>VLOOKUP(A30,'Реестр договоров'!$A$2:$D$55,2,0)</f>
        <v>45467</v>
      </c>
      <c r="C30" s="36" t="str">
        <f t="shared" si="0"/>
        <v>Айтимов 1</v>
      </c>
      <c r="D30" s="36" t="str">
        <f t="shared" si="1"/>
        <v>Адилбек</v>
      </c>
      <c r="E30" s="36" t="str">
        <f t="shared" si="2"/>
        <v>Исламбекович</v>
      </c>
      <c r="F30" s="36" t="str">
        <f t="shared" si="3"/>
        <v>039407719</v>
      </c>
      <c r="G30" s="37">
        <f>VLOOKUP(F30,Покупатели!$F$2:$N$762,2,0)</f>
        <v>45467</v>
      </c>
      <c r="H30" s="36" t="str">
        <f>VLOOKUP(F30,Покупатели!$F$2:$N$762,3,0)</f>
        <v>МВД РК</v>
      </c>
      <c r="I30" s="36">
        <f>VLOOKUP(C30,Покупатели!$C$2:$M$805,7,0)</f>
        <v>830101305796</v>
      </c>
      <c r="J30" s="36" t="str">
        <f ca="1">IFERROR(__xludf.DUMMYFUNCTION("JOIN("" "", VLOOKUP(C30,Покупатели,8,0),VLOOKUP(C30,Покупатели,9,0),VLOOKUP(C30,Покупатели,10,0),VLOOKUP(C30,Покупатели,11,0))"),"Алматинская обл. Жамбылский район, г.Узынагаш ул. Парасат 13")</f>
        <v>Алматинская обл. Жамбылский район, г.Узынагаш ул. Парасат 13</v>
      </c>
      <c r="K30" s="36">
        <f t="shared" si="4"/>
        <v>87477779783</v>
      </c>
      <c r="L30" s="36" t="str">
        <f t="shared" si="5"/>
        <v>MX4000002R0001462</v>
      </c>
      <c r="M30" s="36" t="str">
        <f t="shared" ca="1" si="13"/>
        <v>002-2013E50Q13-OK</v>
      </c>
      <c r="N30" s="36" t="str">
        <f t="shared" si="10"/>
        <v>Прицеп 2,0*1,25 м  (до 750 кг.)</v>
      </c>
      <c r="O30" s="36" t="str">
        <f t="shared" si="6"/>
        <v>1 ось</v>
      </c>
      <c r="P30" s="36">
        <f t="shared" si="7"/>
        <v>2024</v>
      </c>
      <c r="Q30" s="36" t="str">
        <f t="shared" ca="1" si="14"/>
        <v>3150*1700*1070</v>
      </c>
      <c r="R30" s="36" t="str">
        <f t="shared" ca="1" si="15"/>
        <v>2000*1250*500</v>
      </c>
      <c r="S30" s="34" t="str">
        <f>VLOOKUP(O30,ОТТС!$A$2:$B$3,2,0)</f>
        <v>ТС KZ Е-KZ.0317.00251 от 28.02.2023</v>
      </c>
      <c r="T30" s="38">
        <v>380000</v>
      </c>
      <c r="U30" s="36" t="str">
        <f t="shared" si="8"/>
        <v>Алматы</v>
      </c>
    </row>
    <row r="31" spans="1:21" ht="13.2">
      <c r="A31" s="34">
        <v>1190</v>
      </c>
      <c r="B31" s="35">
        <f>VLOOKUP(A31,'Реестр договоров'!$A$2:$D$80,2,0)</f>
        <v>45467</v>
      </c>
      <c r="C31" s="36" t="str">
        <f t="shared" si="0"/>
        <v>Сабитова</v>
      </c>
      <c r="D31" s="36" t="str">
        <f t="shared" si="1"/>
        <v>Гульден</v>
      </c>
      <c r="E31" s="36" t="str">
        <f t="shared" si="2"/>
        <v>Еспембетовна</v>
      </c>
      <c r="F31" s="36" t="str">
        <f t="shared" si="3"/>
        <v>018351765</v>
      </c>
      <c r="G31" s="37">
        <f>VLOOKUP(F31,Покупатели!$F$2:$N$762,2,0)</f>
        <v>38621</v>
      </c>
      <c r="H31" s="36" t="str">
        <f>VLOOKUP(F31,Покупатели!$F$2:$N$762,3,0)</f>
        <v>МЮ РК</v>
      </c>
      <c r="I31" s="36">
        <f>VLOOKUP(C31,Покупатели!$C$2:$M$805,7,0)</f>
        <v>800319400632</v>
      </c>
      <c r="J31" s="36" t="str">
        <f ca="1">IFERROR(__xludf.DUMMYFUNCTION("JOIN("" "", VLOOKUP(C31,Покупатели,8,0),VLOOKUP(C31,Покупатели,9,0),VLOOKUP(C31,Покупатели,10,0),VLOOKUP(C31,Покупатели,11,0))"),"г. Астана р-н Алматы мкр. Юго-Восток, ул.Кенгир 16")</f>
        <v>г. Астана р-н Алматы мкр. Юго-Восток, ул.Кенгир 16</v>
      </c>
      <c r="K31" s="36">
        <f t="shared" si="4"/>
        <v>87015141701</v>
      </c>
      <c r="L31" s="36" t="str">
        <f t="shared" si="5"/>
        <v>MX4000002R0001687</v>
      </c>
      <c r="M31" s="36" t="str">
        <f t="shared" ca="1" si="13"/>
        <v>002-2013E50Q13-OK</v>
      </c>
      <c r="N31" s="36" t="str">
        <f t="shared" si="10"/>
        <v>Прицеп 2,0*1,25 м  (до 750 кг.)</v>
      </c>
      <c r="O31" s="36" t="str">
        <f t="shared" si="6"/>
        <v>1 ось</v>
      </c>
      <c r="P31" s="36">
        <f t="shared" si="7"/>
        <v>2024</v>
      </c>
      <c r="Q31" s="36" t="str">
        <f t="shared" ca="1" si="14"/>
        <v>3150*1700*1070</v>
      </c>
      <c r="R31" s="36" t="str">
        <f t="shared" ca="1" si="15"/>
        <v>2000*1250*500</v>
      </c>
      <c r="S31" s="34" t="str">
        <f>VLOOKUP(O31,ОТТС!$A$2:$B$3,2,0)</f>
        <v>ТС KZ Е-KZ.0317.00251 от 28.02.2023</v>
      </c>
      <c r="T31" s="38">
        <v>380000</v>
      </c>
      <c r="U31" s="36" t="str">
        <f t="shared" si="8"/>
        <v>Астана</v>
      </c>
    </row>
    <row r="32" spans="1:21" ht="13.2">
      <c r="A32" s="34">
        <v>1191</v>
      </c>
      <c r="B32" s="35">
        <f>VLOOKUP(A32,'Реестр договоров'!$A$2:$D$100,2,0)</f>
        <v>45468</v>
      </c>
      <c r="C32" s="36" t="str">
        <f t="shared" si="0"/>
        <v>Тарбаков</v>
      </c>
      <c r="D32" s="36" t="str">
        <f t="shared" si="1"/>
        <v>Дулат</v>
      </c>
      <c r="E32" s="36" t="str">
        <f t="shared" si="2"/>
        <v>Жумабекович</v>
      </c>
      <c r="F32" s="36" t="str">
        <f t="shared" si="3"/>
        <v>048136170</v>
      </c>
      <c r="G32" s="37">
        <f>VLOOKUP(F32,Покупатели!$F$2:$N$762,2,0)</f>
        <v>44008</v>
      </c>
      <c r="H32" s="36" t="str">
        <f>VLOOKUP(F32,Покупатели!$F$2:$N$762,3,0)</f>
        <v>МВД РК</v>
      </c>
      <c r="I32" s="36">
        <f>VLOOKUP(C32,Покупатели!$C$2:$M$805,7,0)</f>
        <v>650525350342</v>
      </c>
      <c r="J32" s="36" t="str">
        <f ca="1">IFERROR(__xludf.DUMMYFUNCTION("JOIN("" "", VLOOKUP(C32,Покупатели,8,0),VLOOKUP(C32,Покупатели,9,0),VLOOKUP(C32,Покупатели,10,0),VLOOKUP(C32,Покупатели,11,0))"),"Северо-Казахстанская область г.Тайынша ул.Астана 96")</f>
        <v>Северо-Казахстанская область г.Тайынша ул.Астана 96</v>
      </c>
      <c r="K32" s="36">
        <f t="shared" si="4"/>
        <v>87011703270</v>
      </c>
      <c r="L32" s="36" t="str">
        <f t="shared" si="5"/>
        <v>MX4000002R0001698</v>
      </c>
      <c r="M32" s="36" t="str">
        <f t="shared" ca="1" si="13"/>
        <v>002-2013E50Q13-OK</v>
      </c>
      <c r="N32" s="36" t="str">
        <f t="shared" si="10"/>
        <v>Прицеп 2,0*1,25 м  (до 750 кг.)</v>
      </c>
      <c r="O32" s="36" t="str">
        <f t="shared" si="6"/>
        <v>1 ось</v>
      </c>
      <c r="P32" s="36">
        <f t="shared" si="7"/>
        <v>2024</v>
      </c>
      <c r="Q32" s="36" t="str">
        <f t="shared" ca="1" si="14"/>
        <v>3150*1700*1070</v>
      </c>
      <c r="R32" s="36" t="str">
        <f t="shared" ca="1" si="15"/>
        <v>2000*1250*500</v>
      </c>
      <c r="S32" s="34" t="str">
        <f>VLOOKUP(O32,ОТТС!$A$2:$B$3,2,0)</f>
        <v>ТС KZ Е-KZ.0317.00251 от 28.02.2023</v>
      </c>
      <c r="T32" s="38">
        <v>374000</v>
      </c>
      <c r="U32" s="36" t="str">
        <f t="shared" si="8"/>
        <v>Кокшетау</v>
      </c>
    </row>
    <row r="33" spans="1:21" ht="13.2">
      <c r="A33" s="34">
        <v>1192</v>
      </c>
      <c r="B33" s="35">
        <f>VLOOKUP(A33,'Реестр договоров'!$A$2:$D$100,2,0)</f>
        <v>45468</v>
      </c>
      <c r="C33" s="36" t="str">
        <f t="shared" si="0"/>
        <v>Широков</v>
      </c>
      <c r="D33" s="36" t="str">
        <f t="shared" si="1"/>
        <v>Виктор</v>
      </c>
      <c r="E33" s="36" t="str">
        <f t="shared" si="2"/>
        <v>Викторович</v>
      </c>
      <c r="F33" s="36" t="str">
        <f t="shared" si="3"/>
        <v>051982733</v>
      </c>
      <c r="G33" s="37">
        <f>VLOOKUP(F33,Покупатели!$F$2:$N$762,2,0)</f>
        <v>44865</v>
      </c>
      <c r="H33" s="36" t="str">
        <f>VLOOKUP(F33,Покупатели!$F$2:$N$762,3,0)</f>
        <v>ҚР ІІМ</v>
      </c>
      <c r="I33" s="36">
        <f>VLOOKUP(C33,Покупатели!$C$2:$M$805,7,0)</f>
        <v>870716300280</v>
      </c>
      <c r="J33" s="36" t="str">
        <f ca="1">IFERROR(__xludf.DUMMYFUNCTION("JOIN("" "", VLOOKUP(C33,Покупатели,8,0),VLOOKUP(C33,Покупатели,9,0),VLOOKUP(C33,Покупатели,10,0),VLOOKUP(C33,Покупатели,11,0))"),"Алматинская обл. Енбекшиказахский район, Рахатский с.о., с.Орікті ул.Жетісу д.10A")</f>
        <v>Алматинская обл. Енбекшиказахский район, Рахатский с.о., с.Орікті ул.Жетісу д.10A</v>
      </c>
      <c r="K33" s="36">
        <f t="shared" si="4"/>
        <v>8777999600</v>
      </c>
      <c r="L33" s="36" t="str">
        <f t="shared" si="5"/>
        <v>MX4000002R0001519</v>
      </c>
      <c r="M33" s="36" t="str">
        <f t="shared" ca="1" si="13"/>
        <v>002-2513E50Q13-OK</v>
      </c>
      <c r="N33" s="36" t="str">
        <f t="shared" si="10"/>
        <v>Прицеп 2,5*1,25 м  (до 750 кг.)</v>
      </c>
      <c r="O33" s="36" t="str">
        <f t="shared" si="6"/>
        <v>1 ось</v>
      </c>
      <c r="P33" s="36">
        <f t="shared" si="7"/>
        <v>2024</v>
      </c>
      <c r="Q33" s="36" t="str">
        <f t="shared" ca="1" si="14"/>
        <v>3650*1700*1070</v>
      </c>
      <c r="R33" s="36" t="str">
        <f t="shared" ca="1" si="15"/>
        <v>2500*1250*500</v>
      </c>
      <c r="S33" s="34" t="str">
        <f>VLOOKUP(O33,ОТТС!$A$2:$B$3,2,0)</f>
        <v>ТС KZ Е-KZ.0317.00251 от 28.02.2023</v>
      </c>
      <c r="T33" s="38">
        <v>360000</v>
      </c>
      <c r="U33" s="36" t="str">
        <f t="shared" si="8"/>
        <v>Алматы</v>
      </c>
    </row>
    <row r="34" spans="1:21" ht="13.2">
      <c r="A34" s="34">
        <v>1193</v>
      </c>
      <c r="B34" s="35">
        <f>VLOOKUP(A34,'Реестр договоров'!$A$2:$D$89,2,0)</f>
        <v>45468</v>
      </c>
      <c r="C34" s="36" t="str">
        <f t="shared" si="0"/>
        <v>Каналимов</v>
      </c>
      <c r="D34" s="36" t="str">
        <f t="shared" si="1"/>
        <v>Ермек</v>
      </c>
      <c r="E34" s="36" t="str">
        <f t="shared" si="2"/>
        <v>Хасмзадович</v>
      </c>
      <c r="F34" s="36" t="str">
        <f t="shared" si="3"/>
        <v>037898794</v>
      </c>
      <c r="G34" s="37">
        <f>VLOOKUP(F34,Покупатели!$F$2:$N$762,2,0)</f>
        <v>42016</v>
      </c>
      <c r="H34" s="36" t="str">
        <f>VLOOKUP(F34,Покупатели!$F$2:$N$762,3,0)</f>
        <v>МВД РК</v>
      </c>
      <c r="I34" s="36">
        <f>VLOOKUP(C34,Покупатели!$C$2:$M$805,7,0)</f>
        <v>610731300286</v>
      </c>
      <c r="J34" s="36" t="str">
        <f ca="1">IFERROR(__xludf.DUMMYFUNCTION("JOIN("" "", VLOOKUP(C34,Покупатели,8,0),VLOOKUP(C34,Покупатели,9,0),VLOOKUP(C34,Покупатели,10,0),VLOOKUP(C34,Покупатели,11,0))"),"г.Астана р-н Сарыарка ул. Айдархана Турлыбаева 6")</f>
        <v>г.Астана р-н Сарыарка ул. Айдархана Турлыбаева 6</v>
      </c>
      <c r="K34" s="36">
        <f t="shared" si="4"/>
        <v>87014360348</v>
      </c>
      <c r="L34" s="36" t="str">
        <f t="shared" si="5"/>
        <v>MX4000002R0001650</v>
      </c>
      <c r="M34" s="36" t="str">
        <f t="shared" ca="1" si="13"/>
        <v>002-2013E50Q13-OK</v>
      </c>
      <c r="N34" s="36" t="str">
        <f t="shared" si="10"/>
        <v>Прицеп 2,0*1,25 м  (до 750 кг.)</v>
      </c>
      <c r="O34" s="36" t="str">
        <f t="shared" si="6"/>
        <v>1 ось</v>
      </c>
      <c r="P34" s="36">
        <f t="shared" si="7"/>
        <v>2024</v>
      </c>
      <c r="Q34" s="36" t="str">
        <f t="shared" ca="1" si="14"/>
        <v>3150*1700*1070</v>
      </c>
      <c r="R34" s="36" t="str">
        <f t="shared" ca="1" si="15"/>
        <v>2000*1250*500</v>
      </c>
      <c r="S34" s="34" t="str">
        <f>VLOOKUP(O34,ОТТС!$A$2:$B$3,2,0)</f>
        <v>ТС KZ Е-KZ.0317.00251 от 28.02.2023</v>
      </c>
      <c r="T34" s="38">
        <v>320000</v>
      </c>
      <c r="U34" s="36" t="str">
        <f t="shared" ref="U34:U65" si="16">VLOOKUP(L34,ПРИЦЕПЫ,9,0)</f>
        <v>Астана</v>
      </c>
    </row>
    <row r="35" spans="1:21" ht="13.2">
      <c r="A35" s="34">
        <v>1194</v>
      </c>
      <c r="B35" s="35">
        <f>VLOOKUP(A35,'Реестр договоров'!$A$2:$D$55,2,0)</f>
        <v>45468</v>
      </c>
      <c r="C35" s="36" t="str">
        <f t="shared" si="0"/>
        <v>Аргинбаев</v>
      </c>
      <c r="D35" s="36" t="str">
        <f t="shared" si="1"/>
        <v>Куандык</v>
      </c>
      <c r="E35" s="36" t="str">
        <f t="shared" si="2"/>
        <v>Кадырович</v>
      </c>
      <c r="F35" s="36" t="str">
        <f t="shared" si="3"/>
        <v>051050784</v>
      </c>
      <c r="G35" s="37">
        <f>VLOOKUP(F35,Покупатели!$F$2:$N$762,2,0)</f>
        <v>44421</v>
      </c>
      <c r="H35" s="36" t="str">
        <f>VLOOKUP(F35,Покупатели!$F$2:$N$762,3,0)</f>
        <v>МВД РК</v>
      </c>
      <c r="I35" s="36">
        <f>VLOOKUP(C35,Покупатели!$C$2:$M$805,7,0)</f>
        <v>700907300849</v>
      </c>
      <c r="J35" s="36" t="str">
        <f ca="1">IFERROR(__xludf.DUMMYFUNCTION("JOIN("" "", VLOOKUP(C35,Покупатели,8,0),VLOOKUP(C35,Покупатели,9,0),VLOOKUP(C35,Покупатели,10,0),VLOOKUP(C35,Покупатели,11,0))"),"Акмолинская область Целиноградский район ул.Алькей Маргулана 59/4")</f>
        <v>Акмолинская область Целиноградский район ул.Алькей Маргулана 59/4</v>
      </c>
      <c r="K35" s="36">
        <f t="shared" si="4"/>
        <v>87761510777</v>
      </c>
      <c r="L35" s="36" t="str">
        <f t="shared" si="5"/>
        <v>MX4000002R0001666</v>
      </c>
      <c r="M35" s="36" t="str">
        <f t="shared" ca="1" si="13"/>
        <v>002-2013E30Q13-OK</v>
      </c>
      <c r="N35" s="36" t="str">
        <f t="shared" ref="N35:N66" si="17">VLOOKUP(L35,ПРИЦЕПЫ,2,0)</f>
        <v>Прицеп 2,0*1,25 м  (до 750 кг.)</v>
      </c>
      <c r="O35" s="36" t="str">
        <f t="shared" si="6"/>
        <v>1 ось</v>
      </c>
      <c r="P35" s="36">
        <f t="shared" si="7"/>
        <v>2024</v>
      </c>
      <c r="Q35" s="36" t="str">
        <f t="shared" ca="1" si="14"/>
        <v>3150*1700*900</v>
      </c>
      <c r="R35" s="36" t="str">
        <f t="shared" ca="1" si="15"/>
        <v>2000*1250*300</v>
      </c>
      <c r="S35" s="34" t="str">
        <f>VLOOKUP(O35,ОТТС!$A$2:$B$3,2,0)</f>
        <v>ТС KZ Е-KZ.0317.00251 от 28.02.2023</v>
      </c>
      <c r="T35" s="38">
        <v>380000</v>
      </c>
      <c r="U35" s="36" t="str">
        <f t="shared" si="16"/>
        <v>Астана</v>
      </c>
    </row>
    <row r="36" spans="1:21" ht="13.2">
      <c r="A36" s="34">
        <v>1195</v>
      </c>
      <c r="B36" s="35">
        <f>VLOOKUP(A36,'Реестр договоров'!$A$2:$D$55,2,0)</f>
        <v>45468</v>
      </c>
      <c r="C36" s="36" t="str">
        <f t="shared" si="0"/>
        <v>Юлдабаева</v>
      </c>
      <c r="D36" s="36" t="str">
        <f t="shared" si="1"/>
        <v>Диана</v>
      </c>
      <c r="E36" s="36" t="str">
        <f t="shared" si="2"/>
        <v>Рафаильевна</v>
      </c>
      <c r="F36" s="36" t="str">
        <f t="shared" si="3"/>
        <v>049032417</v>
      </c>
      <c r="G36" s="37">
        <f>VLOOKUP(F36,Покупатели!$F$2:$N$762,2,0)</f>
        <v>44432</v>
      </c>
      <c r="H36" s="36" t="str">
        <f>VLOOKUP(F36,Покупатели!$F$2:$N$762,3,0)</f>
        <v>МВД РК</v>
      </c>
      <c r="I36" s="36">
        <f>VLOOKUP(C36,Покупатели!$C$2:$M$805,7,0)</f>
        <v>950120401094</v>
      </c>
      <c r="J36" s="36" t="str">
        <f ca="1">IFERROR(__xludf.DUMMYFUNCTION("JOIN("" "", VLOOKUP(C36,Покупатели,8,0),VLOOKUP(C36,Покупатели,9,0),VLOOKUP(C36,Покупатели,10,0),VLOOKUP(C36,Покупатели,11,0))"),"г.Алматы Наурызбайский район Тау Самалы 4")</f>
        <v>г.Алматы Наурызбайский район Тау Самалы 4</v>
      </c>
      <c r="K36" s="36">
        <f t="shared" si="4"/>
        <v>87474803452</v>
      </c>
      <c r="L36" s="36" t="str">
        <f t="shared" si="5"/>
        <v>MX4000002R0001459</v>
      </c>
      <c r="M36" s="36" t="str">
        <f t="shared" ca="1" si="13"/>
        <v>002-2013E50Q13-OK</v>
      </c>
      <c r="N36" s="36" t="str">
        <f t="shared" si="17"/>
        <v>Прицеп 2,0*1,25 м  (до 750 кг.)</v>
      </c>
      <c r="O36" s="36" t="str">
        <f t="shared" si="6"/>
        <v>1 ось</v>
      </c>
      <c r="P36" s="36">
        <f t="shared" si="7"/>
        <v>2024</v>
      </c>
      <c r="Q36" s="36" t="str">
        <f t="shared" ca="1" si="14"/>
        <v>3150*1700*1070</v>
      </c>
      <c r="R36" s="36" t="str">
        <f t="shared" ca="1" si="15"/>
        <v>2000*1250*500</v>
      </c>
      <c r="S36" s="34" t="str">
        <f>VLOOKUP(O36,ОТТС!$A$2:$B$3,2,0)</f>
        <v>ТС KZ Е-KZ.0317.00251 от 28.02.2023</v>
      </c>
      <c r="T36" s="38">
        <v>360000</v>
      </c>
      <c r="U36" s="36" t="str">
        <f t="shared" si="16"/>
        <v>Астана</v>
      </c>
    </row>
    <row r="37" spans="1:21" ht="13.2">
      <c r="A37" s="34">
        <v>1196</v>
      </c>
      <c r="B37" s="35">
        <f>VLOOKUP(A37,'Реестр договоров'!$A$2:$D$89,2,0)</f>
        <v>45468</v>
      </c>
      <c r="C37" s="36" t="str">
        <f t="shared" si="0"/>
        <v>Харламова 2</v>
      </c>
      <c r="D37" s="36" t="str">
        <f t="shared" si="1"/>
        <v>Никита</v>
      </c>
      <c r="E37" s="36" t="str">
        <f t="shared" si="2"/>
        <v>Владимирович</v>
      </c>
      <c r="F37" s="36" t="str">
        <f t="shared" si="3"/>
        <v>050683269</v>
      </c>
      <c r="G37" s="37">
        <f>VLOOKUP(F37,Покупатели!$F$2:$N$762,2,0)</f>
        <v>44692</v>
      </c>
      <c r="H37" s="36" t="str">
        <f>VLOOKUP(F37,Покупатели!$F$2:$N$762,3,0)</f>
        <v>МВД РК</v>
      </c>
      <c r="I37" s="36">
        <f>VLOOKUP(C37,Покупатели!$C$2:$M$805,7,0)</f>
        <v>870301301351</v>
      </c>
      <c r="J37" s="36" t="str">
        <f ca="1">IFERROR(__xludf.DUMMYFUNCTION("JOIN("" "", VLOOKUP(C37,Покупатели,8,0),VLOOKUP(C37,Покупатели,9,0),VLOOKUP(C37,Покупатели,10,0),VLOOKUP(C37,Покупатели,11,0))"),"г.Алматы Мкр. №8 д.1 кв.56")</f>
        <v>г.Алматы Мкр. №8 д.1 кв.56</v>
      </c>
      <c r="K37" s="36">
        <f t="shared" si="4"/>
        <v>87018878757</v>
      </c>
      <c r="L37" s="36" t="str">
        <f t="shared" si="5"/>
        <v>MX4000002R0001634</v>
      </c>
      <c r="M37" s="36" t="str">
        <f t="shared" ca="1" si="13"/>
        <v>002-2513E50Q13-OK</v>
      </c>
      <c r="N37" s="36" t="str">
        <f t="shared" si="17"/>
        <v>Прицеп 2,5*1,25 м  (до 750 кг.)</v>
      </c>
      <c r="O37" s="36" t="str">
        <f t="shared" si="6"/>
        <v>1 ось</v>
      </c>
      <c r="P37" s="36">
        <f t="shared" si="7"/>
        <v>2024</v>
      </c>
      <c r="Q37" s="36" t="str">
        <f t="shared" ca="1" si="14"/>
        <v>3650*1700*1070</v>
      </c>
      <c r="R37" s="36" t="str">
        <f t="shared" ca="1" si="15"/>
        <v>2500*1250*500</v>
      </c>
      <c r="S37" s="34" t="str">
        <f>VLOOKUP(O37,ОТТС!$A$2:$B$3,2,0)</f>
        <v>ТС KZ Е-KZ.0317.00251 от 28.02.2023</v>
      </c>
      <c r="T37" s="38">
        <v>360000</v>
      </c>
      <c r="U37" s="36" t="str">
        <f t="shared" si="16"/>
        <v>Алматы</v>
      </c>
    </row>
    <row r="38" spans="1:21" ht="13.2">
      <c r="A38" s="34">
        <v>1197</v>
      </c>
      <c r="B38" s="35">
        <f>VLOOKUP(A38,'Реестр договоров'!$A$2:$D$55,2,0)</f>
        <v>45468</v>
      </c>
      <c r="C38" s="36" t="str">
        <f t="shared" si="0"/>
        <v>Берекетов</v>
      </c>
      <c r="D38" s="36" t="str">
        <f t="shared" si="1"/>
        <v>Надим</v>
      </c>
      <c r="E38" s="36" t="str">
        <f t="shared" si="2"/>
        <v>Койшыбекович</v>
      </c>
      <c r="F38" s="36" t="str">
        <f t="shared" si="3"/>
        <v>037554479</v>
      </c>
      <c r="G38" s="37">
        <f>VLOOKUP(F38,Покупатели!$F$2:$N$762,2,0)</f>
        <v>42044</v>
      </c>
      <c r="H38" s="36" t="str">
        <f>VLOOKUP(F38,Покупатели!$F$2:$N$762,3,0)</f>
        <v>МВД РК</v>
      </c>
      <c r="I38" s="36">
        <f>VLOOKUP(C38,Покупатели!$C$2:$M$805,7,0)</f>
        <v>820113301251</v>
      </c>
      <c r="J38" s="36" t="str">
        <f ca="1">IFERROR(__xludf.DUMMYFUNCTION("JOIN("" "", VLOOKUP(C38,Покупатели,8,0),VLOOKUP(C38,Покупатели,9,0),VLOOKUP(C38,Покупатели,10,0),VLOOKUP(C38,Покупатели,11,0))"),"Алматинская обл. г.Кунаев ул.Дзержинского д.15, кв.5")</f>
        <v>Алматинская обл. г.Кунаев ул.Дзержинского д.15, кв.5</v>
      </c>
      <c r="K38" s="36">
        <f t="shared" si="4"/>
        <v>87477873429</v>
      </c>
      <c r="L38" s="36" t="str">
        <f t="shared" si="5"/>
        <v>MX4000002R0001482</v>
      </c>
      <c r="M38" s="36" t="str">
        <f t="shared" ca="1" si="13"/>
        <v>002-2013E30Q13-OK</v>
      </c>
      <c r="N38" s="36" t="str">
        <f t="shared" si="17"/>
        <v>Прицеп 2,0*1,25 м  (до 750 кг.)</v>
      </c>
      <c r="O38" s="36" t="str">
        <f t="shared" si="6"/>
        <v>1 ось</v>
      </c>
      <c r="P38" s="36">
        <f t="shared" si="7"/>
        <v>2024</v>
      </c>
      <c r="Q38" s="36" t="str">
        <f t="shared" ca="1" si="14"/>
        <v>3150*1700*900</v>
      </c>
      <c r="R38" s="36" t="str">
        <f t="shared" ca="1" si="15"/>
        <v>2000*1250*300</v>
      </c>
      <c r="S38" s="34" t="str">
        <f>VLOOKUP(O38,ОТТС!$A$2:$B$3,2,0)</f>
        <v>ТС KZ Е-KZ.0317.00251 от 28.02.2023</v>
      </c>
      <c r="T38" s="38">
        <f ca="1">VLOOKUP(M38,матрица,15,0)</f>
        <v>320000</v>
      </c>
      <c r="U38" s="36" t="str">
        <f t="shared" si="16"/>
        <v>Алматы</v>
      </c>
    </row>
    <row r="39" spans="1:21" ht="13.2">
      <c r="A39" s="34">
        <v>1198</v>
      </c>
      <c r="B39" s="35">
        <f>VLOOKUP(A39,'Реестр договоров'!$A$2:$D$55,2,0)</f>
        <v>45468</v>
      </c>
      <c r="C39" s="36" t="str">
        <f t="shared" si="0"/>
        <v>Мухамбетов</v>
      </c>
      <c r="D39" s="36" t="str">
        <f t="shared" si="1"/>
        <v>Аскербек</v>
      </c>
      <c r="E39" s="36" t="str">
        <f t="shared" si="2"/>
        <v>Кайрбаевич</v>
      </c>
      <c r="F39" s="36" t="str">
        <f t="shared" si="3"/>
        <v>051841732</v>
      </c>
      <c r="G39" s="37">
        <f>VLOOKUP(F39,Покупатели!$F$2:$N$762,2,0)</f>
        <v>44550</v>
      </c>
      <c r="H39" s="36" t="str">
        <f>VLOOKUP(F39,Покупатели!$F$2:$N$762,3,0)</f>
        <v>МВД РК</v>
      </c>
      <c r="I39" s="36">
        <f>VLOOKUP(C39,Покупатели!$C$2:$M$805,7,0)</f>
        <v>731214301452</v>
      </c>
      <c r="J39" s="36" t="str">
        <f ca="1">IFERROR(__xludf.DUMMYFUNCTION("JOIN("" "", VLOOKUP(C39,Покупатели,8,0),VLOOKUP(C39,Покупатели,9,0),VLOOKUP(C39,Покупатели,10,0),VLOOKUP(C39,Покупатели,11,0))"),"Акмолинская обл. Целиноградский р-н, с.Караоткель ул.Ауезова 23")</f>
        <v>Акмолинская обл. Целиноградский р-н, с.Караоткель ул.Ауезова 23</v>
      </c>
      <c r="K39" s="36">
        <f t="shared" si="4"/>
        <v>87750940527</v>
      </c>
      <c r="L39" s="36" t="str">
        <f t="shared" si="5"/>
        <v>MX4000002P0001445</v>
      </c>
      <c r="M39" s="36" t="str">
        <f t="shared" ca="1" si="13"/>
        <v>002-2513E30Q13-OK</v>
      </c>
      <c r="N39" s="36" t="str">
        <f t="shared" si="17"/>
        <v>Прицеп 2,5*1,25 м  (до 750 кг.)</v>
      </c>
      <c r="O39" s="36" t="str">
        <f t="shared" si="6"/>
        <v>1 ось</v>
      </c>
      <c r="P39" s="36">
        <f t="shared" si="7"/>
        <v>2024</v>
      </c>
      <c r="Q39" s="36" t="str">
        <f t="shared" ca="1" si="14"/>
        <v>3650*1700*900</v>
      </c>
      <c r="R39" s="36" t="str">
        <f t="shared" ca="1" si="15"/>
        <v>2500*1250*300</v>
      </c>
      <c r="S39" s="34" t="str">
        <f>VLOOKUP(O39,ОТТС!$A$2:$B$3,2,0)</f>
        <v>ТС KZ Е-KZ.0317.00251 от 28.02.2023</v>
      </c>
      <c r="T39" s="38">
        <v>430000</v>
      </c>
      <c r="U39" s="36" t="str">
        <f t="shared" si="16"/>
        <v>Астана</v>
      </c>
    </row>
    <row r="40" spans="1:21" ht="13.2">
      <c r="A40" s="34">
        <v>1199</v>
      </c>
      <c r="B40" s="35">
        <f>VLOOKUP(A40,'Реестр договоров'!$A$2:$D$55,2,0)</f>
        <v>45469</v>
      </c>
      <c r="C40" s="36" t="str">
        <f t="shared" si="0"/>
        <v>Асанов 1</v>
      </c>
      <c r="D40" s="36" t="str">
        <f t="shared" si="1"/>
        <v>Роман</v>
      </c>
      <c r="E40" s="36" t="str">
        <f t="shared" si="2"/>
        <v>Борисович</v>
      </c>
      <c r="F40" s="36" t="str">
        <f t="shared" si="3"/>
        <v>048558697</v>
      </c>
      <c r="G40" s="37">
        <f>VLOOKUP(F40,Покупатели!$F$2:$N$762,2,0)</f>
        <v>44354</v>
      </c>
      <c r="H40" s="36" t="str">
        <f>VLOOKUP(F40,Покупатели!$F$2:$N$762,3,0)</f>
        <v>МВД РК</v>
      </c>
      <c r="I40" s="36">
        <f>VLOOKUP(C40,Покупатели!$C$2:$M$805,7,0)</f>
        <v>820613300221</v>
      </c>
      <c r="J40" s="36" t="str">
        <f ca="1">IFERROR(__xludf.DUMMYFUNCTION("JOIN("" "", VLOOKUP(C40,Покупатели,8,0),VLOOKUP(C40,Покупатели,9,0),VLOOKUP(C40,Покупатели,10,0),VLOOKUP(C40,Покупатели,11,0))"),"Алматинская обл. г.Алматы ул.Потанина 400 корпус 1")</f>
        <v>Алматинская обл. г.Алматы ул.Потанина 400 корпус 1</v>
      </c>
      <c r="K40" s="36">
        <f t="shared" si="4"/>
        <v>87054672383</v>
      </c>
      <c r="L40" s="36" t="str">
        <f t="shared" si="5"/>
        <v>MX4000002R0001503</v>
      </c>
      <c r="M40" s="36" t="str">
        <f t="shared" ca="1" si="13"/>
        <v>002-2513E30Q13-OK</v>
      </c>
      <c r="N40" s="36" t="str">
        <f t="shared" si="17"/>
        <v>Прицеп 2,5*1,25 м  (до 750 кг.)</v>
      </c>
      <c r="O40" s="36" t="str">
        <f t="shared" si="6"/>
        <v>1 ось</v>
      </c>
      <c r="P40" s="36">
        <f t="shared" si="7"/>
        <v>2024</v>
      </c>
      <c r="Q40" s="36" t="str">
        <f t="shared" ca="1" si="14"/>
        <v>3650*1700*900</v>
      </c>
      <c r="R40" s="36" t="str">
        <f t="shared" ca="1" si="15"/>
        <v>2500*1250*300</v>
      </c>
      <c r="S40" s="34" t="str">
        <f>VLOOKUP(O40,ОТТС!$A$2:$B$3,2,0)</f>
        <v>ТС KZ Е-KZ.0317.00251 от 28.02.2023</v>
      </c>
      <c r="T40" s="38">
        <v>430000</v>
      </c>
      <c r="U40" s="36" t="str">
        <f t="shared" si="16"/>
        <v>Алматы</v>
      </c>
    </row>
    <row r="41" spans="1:21" ht="13.2">
      <c r="A41" s="34">
        <v>1200</v>
      </c>
      <c r="B41" s="35">
        <f>VLOOKUP(A41,'Реестр договоров'!$A$2:$D$55,2,0)</f>
        <v>45469</v>
      </c>
      <c r="C41" s="36" t="str">
        <f t="shared" si="0"/>
        <v>Серикбек</v>
      </c>
      <c r="D41" s="36" t="str">
        <f t="shared" si="1"/>
        <v>Еркебулан</v>
      </c>
      <c r="E41" s="36" t="str">
        <f t="shared" si="2"/>
        <v>нет</v>
      </c>
      <c r="F41" s="36" t="str">
        <f t="shared" si="3"/>
        <v>049999592</v>
      </c>
      <c r="G41" s="37">
        <f>VLOOKUP(F41,Покупатели!$F$2:$N$762,2,0)</f>
        <v>44267</v>
      </c>
      <c r="H41" s="36" t="str">
        <f>VLOOKUP(F41,Покупатели!$F$2:$N$762,3,0)</f>
        <v>МВД РК</v>
      </c>
      <c r="I41" s="36">
        <f>VLOOKUP(C41,Покупатели!$C$2:$M$805,7,0)</f>
        <v>890818399047</v>
      </c>
      <c r="J41" s="36" t="str">
        <f ca="1">IFERROR(__xludf.DUMMYFUNCTION("JOIN("" "", VLOOKUP(C41,Покупатели,8,0),VLOOKUP(C41,Покупатели,9,0),VLOOKUP(C41,Покупатели,10,0),VLOOKUP(C41,Покупатели,11,0))"),"Карагандинская обл. Оскааровский р-н ул.Караганды 59")</f>
        <v>Карагандинская обл. Оскааровский р-н ул.Караганды 59</v>
      </c>
      <c r="K41" s="36">
        <f t="shared" si="4"/>
        <v>87755938926</v>
      </c>
      <c r="L41" s="36" t="str">
        <f t="shared" si="5"/>
        <v>MX4000004N0000934</v>
      </c>
      <c r="M41" s="36" t="str">
        <f t="shared" si="13"/>
        <v>004-2515E30Q13-OK</v>
      </c>
      <c r="N41" s="36" t="str">
        <f t="shared" si="17"/>
        <v>Прицеп 2,5*1,5 м  (до 750 кг.)</v>
      </c>
      <c r="O41" s="36" t="str">
        <f t="shared" si="6"/>
        <v>2 оси</v>
      </c>
      <c r="P41" s="36">
        <f t="shared" si="7"/>
        <v>2022</v>
      </c>
      <c r="Q41" s="36" t="str">
        <f t="shared" ca="1" si="14"/>
        <v>3650*1950*900</v>
      </c>
      <c r="R41" s="36" t="str">
        <f t="shared" ca="1" si="15"/>
        <v>4000*1500*300</v>
      </c>
      <c r="S41" s="34" t="str">
        <f>VLOOKUP(O41,ОТТС!$A$2:$B$3,2,0)</f>
        <v>ТС KZ Е-KZ.0317.00219.П1 от 17.07.2025</v>
      </c>
      <c r="T41" s="38">
        <v>430000</v>
      </c>
      <c r="U41" s="36" t="str">
        <f t="shared" si="16"/>
        <v>Астана</v>
      </c>
    </row>
    <row r="42" spans="1:21" ht="13.2">
      <c r="A42" s="34">
        <v>1201</v>
      </c>
      <c r="B42" s="35">
        <f>VLOOKUP(A42,'Реестр договоров'!$A$2:$D$55,2,0)</f>
        <v>45469</v>
      </c>
      <c r="C42" s="36" t="str">
        <f t="shared" si="0"/>
        <v>Аубакиров</v>
      </c>
      <c r="D42" s="36" t="str">
        <f t="shared" si="1"/>
        <v>Жаксыбек</v>
      </c>
      <c r="E42" s="36" t="str">
        <f t="shared" si="2"/>
        <v>Солтанайұлы</v>
      </c>
      <c r="F42" s="36" t="str">
        <f t="shared" si="3"/>
        <v>039848815</v>
      </c>
      <c r="G42" s="37">
        <f>VLOOKUP(F42,Покупатели!$F$2:$N$762,2,0)</f>
        <v>42432</v>
      </c>
      <c r="H42" s="36" t="str">
        <f>VLOOKUP(F42,Покупатели!$F$2:$N$762,3,0)</f>
        <v>ҚР ІІМ</v>
      </c>
      <c r="I42" s="36">
        <f>VLOOKUP(C42,Покупатели!$C$2:$M$805,7,0)</f>
        <v>910128401060</v>
      </c>
      <c r="J42" s="36" t="str">
        <f ca="1">IFERROR(__xludf.DUMMYFUNCTION("JOIN("" "", VLOOKUP(C42,Покупатели,8,0),VLOOKUP(C42,Покупатели,9,0),VLOOKUP(C42,Покупатели,10,0),VLOOKUP(C42,Покупатели,11,0))"),"Алматинская обл. Талгарский р-н, Нура ул. 8 Марта д.32 кв.1")</f>
        <v>Алматинская обл. Талгарский р-н, Нура ул. 8 Марта д.32 кв.1</v>
      </c>
      <c r="K42" s="36">
        <f t="shared" si="4"/>
        <v>87010171101</v>
      </c>
      <c r="L42" s="36" t="str">
        <f t="shared" si="5"/>
        <v>MX4000002R0001483</v>
      </c>
      <c r="M42" s="36" t="str">
        <f t="shared" ca="1" si="13"/>
        <v>002-2013E50Q13-OK</v>
      </c>
      <c r="N42" s="36" t="str">
        <f t="shared" si="17"/>
        <v>Прицеп 2,0*1,25 м  (до 750 кг.)</v>
      </c>
      <c r="O42" s="36" t="str">
        <f t="shared" si="6"/>
        <v>1 ось</v>
      </c>
      <c r="P42" s="36">
        <f t="shared" si="7"/>
        <v>2024</v>
      </c>
      <c r="Q42" s="36" t="str">
        <f t="shared" ca="1" si="14"/>
        <v>3150*1700*1070</v>
      </c>
      <c r="R42" s="36" t="str">
        <f t="shared" ca="1" si="15"/>
        <v>2000*1250*500</v>
      </c>
      <c r="S42" s="34" t="str">
        <f>VLOOKUP(O42,ОТТС!$A$2:$B$3,2,0)</f>
        <v>ТС KZ Е-KZ.0317.00251 от 28.02.2023</v>
      </c>
      <c r="T42" s="38">
        <v>430000</v>
      </c>
      <c r="U42" s="36" t="str">
        <f t="shared" si="16"/>
        <v>Алматы</v>
      </c>
    </row>
    <row r="43" spans="1:21" ht="13.2">
      <c r="A43" s="34">
        <v>1202</v>
      </c>
      <c r="B43" s="35">
        <f>VLOOKUP(A43,'Реестр договоров'!$A$2:$D$80,2,0)</f>
        <v>45469</v>
      </c>
      <c r="C43" s="36" t="str">
        <f t="shared" si="0"/>
        <v>Новичихин</v>
      </c>
      <c r="D43" s="36" t="str">
        <f t="shared" si="1"/>
        <v>Владимир</v>
      </c>
      <c r="E43" s="36" t="str">
        <f t="shared" si="2"/>
        <v>Викторович</v>
      </c>
      <c r="F43" s="36" t="str">
        <f t="shared" si="3"/>
        <v>044971370</v>
      </c>
      <c r="G43" s="37">
        <f>VLOOKUP(F43,Покупатели!$F$2:$N$762,2,0)</f>
        <v>43382</v>
      </c>
      <c r="H43" s="36" t="str">
        <f>VLOOKUP(F43,Покупатели!$F$2:$N$762,3,0)</f>
        <v>МВД РК</v>
      </c>
      <c r="I43" s="36">
        <f>VLOOKUP(C43,Покупатели!$C$2:$M$805,7,0)</f>
        <v>801218350775</v>
      </c>
      <c r="J43" s="36" t="str">
        <f ca="1">IFERROR(__xludf.DUMMYFUNCTION("JOIN("" "", VLOOKUP(C43,Покупатели,8,0),VLOOKUP(C43,Покупатели,9,0),VLOOKUP(C43,Покупатели,10,0),VLOOKUP(C43,Покупатели,11,0))"),"Акмолинская обл. г.Кокшетау ул.Сыздыкова 9")</f>
        <v>Акмолинская обл. г.Кокшетау ул.Сыздыкова 9</v>
      </c>
      <c r="K43" s="36">
        <f t="shared" si="4"/>
        <v>87076277103</v>
      </c>
      <c r="L43" s="36" t="str">
        <f t="shared" si="5"/>
        <v>MX4000002R0001722</v>
      </c>
      <c r="M43" s="36" t="str">
        <f t="shared" ca="1" si="13"/>
        <v>002-2013E50Q13-OK</v>
      </c>
      <c r="N43" s="36" t="str">
        <f t="shared" si="17"/>
        <v>Прицеп 2,0*1,25 м  (до 750 кг.)</v>
      </c>
      <c r="O43" s="36" t="str">
        <f t="shared" si="6"/>
        <v>1 ось</v>
      </c>
      <c r="P43" s="36">
        <f t="shared" si="7"/>
        <v>2024</v>
      </c>
      <c r="Q43" s="36" t="str">
        <f t="shared" ca="1" si="14"/>
        <v>3150*1700*1070</v>
      </c>
      <c r="R43" s="36" t="str">
        <f t="shared" ca="1" si="15"/>
        <v>2000*1250*500</v>
      </c>
      <c r="S43" s="34" t="str">
        <f>VLOOKUP(O43,ОТТС!$A$2:$B$3,2,0)</f>
        <v>ТС KZ Е-KZ.0317.00251 от 28.02.2023</v>
      </c>
      <c r="T43" s="38">
        <v>380000</v>
      </c>
      <c r="U43" s="36" t="str">
        <f t="shared" si="16"/>
        <v>Кокшетау</v>
      </c>
    </row>
    <row r="44" spans="1:21" ht="13.2">
      <c r="A44" s="34">
        <v>1203</v>
      </c>
      <c r="B44" s="35">
        <f>VLOOKUP(A44,'Реестр договоров'!$A$2:$D$55,2,0)</f>
        <v>45469</v>
      </c>
      <c r="C44" s="36" t="str">
        <f t="shared" si="0"/>
        <v>Ахметов</v>
      </c>
      <c r="D44" s="36" t="str">
        <f t="shared" si="1"/>
        <v>Бейбит</v>
      </c>
      <c r="E44" s="36" t="str">
        <f t="shared" si="2"/>
        <v>Ерболович</v>
      </c>
      <c r="F44" s="36" t="str">
        <f t="shared" si="3"/>
        <v>037051895</v>
      </c>
      <c r="G44" s="37">
        <f>VLOOKUP(F44,Покупатели!$F$2:$N$762,2,0)</f>
        <v>41912</v>
      </c>
      <c r="H44" s="36" t="str">
        <f>VLOOKUP(F44,Покупатели!$F$2:$N$762,3,0)</f>
        <v>МВД РК</v>
      </c>
      <c r="I44" s="36">
        <f>VLOOKUP(C44,Покупатели!$C$2:$M$805,7,0)</f>
        <v>800223302383</v>
      </c>
      <c r="J44" s="36" t="str">
        <f ca="1">IFERROR(__xludf.DUMMYFUNCTION("JOIN("" "", VLOOKUP(C44,Покупатели,8,0),VLOOKUP(C44,Покупатели,9,0),VLOOKUP(C44,Покупатели,10,0),VLOOKUP(C44,Покупатели,11,0))"),"область Жетысу г.Жаркент, с.Улкен шыган Сейфуллина 14")</f>
        <v>область Жетысу г.Жаркент, с.Улкен шыган Сейфуллина 14</v>
      </c>
      <c r="K44" s="36">
        <f t="shared" si="4"/>
        <v>87016021980</v>
      </c>
      <c r="L44" s="36" t="str">
        <f t="shared" si="5"/>
        <v>MX4000002R0001638</v>
      </c>
      <c r="M44" s="36" t="str">
        <f t="shared" ca="1" si="13"/>
        <v>002-2513E50Q13-OK</v>
      </c>
      <c r="N44" s="36" t="str">
        <f t="shared" si="17"/>
        <v>Прицеп 2,5*1,25 м  (до 750 кг.)</v>
      </c>
      <c r="O44" s="36" t="str">
        <f t="shared" si="6"/>
        <v>1 ось</v>
      </c>
      <c r="P44" s="36">
        <f t="shared" si="7"/>
        <v>2024</v>
      </c>
      <c r="Q44" s="36" t="str">
        <f t="shared" ca="1" si="14"/>
        <v>3650*1700*1070</v>
      </c>
      <c r="R44" s="36" t="str">
        <f t="shared" ca="1" si="15"/>
        <v>2500*1250*500</v>
      </c>
      <c r="S44" s="34" t="str">
        <f>VLOOKUP(O44,ОТТС!$A$2:$B$3,2,0)</f>
        <v>ТС KZ Е-KZ.0317.00251 от 28.02.2023</v>
      </c>
      <c r="T44" s="38">
        <f ca="1">VLOOKUP(M44,матрица,15,0)</f>
        <v>390000</v>
      </c>
      <c r="U44" s="36" t="str">
        <f t="shared" si="16"/>
        <v>Алматы</v>
      </c>
    </row>
    <row r="45" spans="1:21" ht="13.2">
      <c r="A45" s="34">
        <v>1204</v>
      </c>
      <c r="B45" s="35">
        <f>VLOOKUP(A45,'Реестр договоров'!$A$2:$D$55,2,0)</f>
        <v>45470</v>
      </c>
      <c r="C45" s="36" t="str">
        <f t="shared" si="0"/>
        <v>Юзликаев</v>
      </c>
      <c r="D45" s="36" t="str">
        <f t="shared" si="1"/>
        <v>Артур</v>
      </c>
      <c r="E45" s="36" t="str">
        <f t="shared" si="2"/>
        <v>Ильдарович</v>
      </c>
      <c r="F45" s="36" t="str">
        <f t="shared" si="3"/>
        <v>046657131</v>
      </c>
      <c r="G45" s="37">
        <f>VLOOKUP(F45,Покупатели!$F$2:$N$762,2,0)</f>
        <v>44034</v>
      </c>
      <c r="H45" s="36" t="str">
        <f>VLOOKUP(F45,Покупатели!$F$2:$N$762,3,0)</f>
        <v>МВД РК</v>
      </c>
      <c r="I45" s="36">
        <f>VLOOKUP(C45,Покупатели!$C$2:$M$805,7,0)</f>
        <v>880424300255</v>
      </c>
      <c r="J45" s="36" t="str">
        <f ca="1">IFERROR(__xludf.DUMMYFUNCTION("JOIN("" "", VLOOKUP(C45,Покупатели,8,0),VLOOKUP(C45,Покупатели,9,0),VLOOKUP(C45,Покупатели,10,0),VLOOKUP(C45,Покупатели,11,0))"),"Алматинская область Карасайский район, пос.Жанатурмыс ул.Алтынсарина д.21")</f>
        <v>Алматинская область Карасайский район, пос.Жанатурмыс ул.Алтынсарина д.21</v>
      </c>
      <c r="K45" s="36">
        <f t="shared" si="4"/>
        <v>87770334835</v>
      </c>
      <c r="L45" s="36" t="str">
        <f t="shared" si="5"/>
        <v>MX4000002R0001720</v>
      </c>
      <c r="M45" s="36" t="str">
        <f t="shared" ca="1" si="13"/>
        <v>002-3515E30Q13-OK</v>
      </c>
      <c r="N45" s="36" t="str">
        <f t="shared" si="17"/>
        <v>Прицеп 3,5*1,5 м  (до 750 кг.)</v>
      </c>
      <c r="O45" s="36" t="str">
        <f t="shared" si="6"/>
        <v>1 ось</v>
      </c>
      <c r="P45" s="36">
        <f t="shared" si="7"/>
        <v>2024</v>
      </c>
      <c r="Q45" s="36" t="str">
        <f t="shared" ca="1" si="14"/>
        <v>3800*1950*900</v>
      </c>
      <c r="R45" s="36" t="str">
        <f t="shared" ca="1" si="15"/>
        <v>3500*1500*300</v>
      </c>
      <c r="S45" s="34" t="str">
        <f>VLOOKUP(O45,ОТТС!$A$2:$B$3,2,0)</f>
        <v>ТС KZ Е-KZ.0317.00251 от 28.02.2023</v>
      </c>
      <c r="T45" s="38">
        <v>440000</v>
      </c>
      <c r="U45" s="36" t="str">
        <f t="shared" si="16"/>
        <v>Алматы</v>
      </c>
    </row>
    <row r="46" spans="1:21" ht="13.2">
      <c r="A46" s="34">
        <v>1205</v>
      </c>
      <c r="B46" s="35">
        <f>VLOOKUP(A46,'Реестр договоров'!$A$2:$D$55,2,0)</f>
        <v>45470</v>
      </c>
      <c r="C46" s="36" t="str">
        <f t="shared" si="0"/>
        <v>Сайранбек</v>
      </c>
      <c r="D46" s="36" t="str">
        <f t="shared" si="1"/>
        <v>Гульзада</v>
      </c>
      <c r="E46" s="36">
        <f t="shared" si="2"/>
        <v>0</v>
      </c>
      <c r="F46" s="36" t="str">
        <f t="shared" si="3"/>
        <v>053073062</v>
      </c>
      <c r="G46" s="37">
        <f>VLOOKUP(F46,Покупатели!$F$2:$N$762,2,0)</f>
        <v>44727</v>
      </c>
      <c r="H46" s="36" t="str">
        <f>VLOOKUP(F46,Покупатели!$F$2:$N$762,3,0)</f>
        <v>МВД РК</v>
      </c>
      <c r="I46" s="36">
        <f>VLOOKUP(C46,Покупатели!$C$2:$M$805,7,0)</f>
        <v>960606451012</v>
      </c>
      <c r="J46" s="36" t="str">
        <f ca="1">IFERROR(__xludf.DUMMYFUNCTION("JOIN("" "", VLOOKUP(C46,Покупатели,8,0),VLOOKUP(C46,Покупатели,9,0),VLOOKUP(C46,Покупатели,10,0),VLOOKUP(C46,Покупатели,11,0))"),"г.Астана шамшыкалдаква 28 КВ 350 район Алматы Ш.Калдаякова д.28, кв.350")</f>
        <v>г.Астана шамшыкалдаква 28 КВ 350 район Алматы Ш.Калдаякова д.28, кв.350</v>
      </c>
      <c r="K46" s="36">
        <f t="shared" si="4"/>
        <v>87007708568</v>
      </c>
      <c r="L46" s="36" t="str">
        <f t="shared" si="5"/>
        <v>MX4000004R0001721</v>
      </c>
      <c r="M46" s="36" t="str">
        <f t="shared" si="13"/>
        <v>004-3515E50Q13-OK150</v>
      </c>
      <c r="N46" s="36" t="str">
        <f t="shared" si="17"/>
        <v>Прицеп 3,5*1,5 м  (до 750 кг.)</v>
      </c>
      <c r="O46" s="36" t="str">
        <f t="shared" si="6"/>
        <v>2 оси</v>
      </c>
      <c r="P46" s="36">
        <f t="shared" si="7"/>
        <v>2024</v>
      </c>
      <c r="Q46" s="36">
        <f t="shared" si="14"/>
        <v>0</v>
      </c>
      <c r="R46" s="36">
        <f t="shared" si="15"/>
        <v>0</v>
      </c>
      <c r="S46" s="34" t="str">
        <f>VLOOKUP(O46,ОТТС!$A$2:$B$3,2,0)</f>
        <v>ТС KZ Е-KZ.0317.00219.П1 от 17.07.2025</v>
      </c>
      <c r="T46" s="38">
        <v>390000</v>
      </c>
      <c r="U46" s="36" t="str">
        <f t="shared" si="16"/>
        <v>Кокшетау</v>
      </c>
    </row>
    <row r="47" spans="1:21" ht="13.2">
      <c r="A47" s="34">
        <v>1206</v>
      </c>
      <c r="B47" s="35">
        <f>VLOOKUP(A47,'Реестр договоров'!$A$2:$D$55,2,0)</f>
        <v>45470</v>
      </c>
      <c r="C47" s="36" t="str">
        <f t="shared" si="0"/>
        <v>Гумарова</v>
      </c>
      <c r="D47" s="36" t="str">
        <f t="shared" si="1"/>
        <v>Гаухар</v>
      </c>
      <c r="E47" s="36" t="str">
        <f t="shared" si="2"/>
        <v>Наурызовна</v>
      </c>
      <c r="F47" s="36" t="str">
        <f t="shared" si="3"/>
        <v>022586181</v>
      </c>
      <c r="G47" s="37">
        <f>VLOOKUP(F47,Покупатели!$F$2:$N$762,2,0)</f>
        <v>39749</v>
      </c>
      <c r="H47" s="36" t="str">
        <f>VLOOKUP(F47,Покупатели!$F$2:$N$762,3,0)</f>
        <v>МЮ РК</v>
      </c>
      <c r="I47" s="36">
        <f>VLOOKUP(C47,Покупатели!$C$2:$M$805,7,0)</f>
        <v>830921400323</v>
      </c>
      <c r="J47" s="36" t="str">
        <f ca="1">IFERROR(__xludf.DUMMYFUNCTION("JOIN("" "", VLOOKUP(C47,Покупатели,8,0),VLOOKUP(C47,Покупатели,9,0),VLOOKUP(C47,Покупатели,10,0),VLOOKUP(C47,Покупатели,11,0))"),"Акмолинская область Целиноградский район, с.Коянды учетный квартал 014")</f>
        <v>Акмолинская область Целиноградский район, с.Коянды учетный квартал 014</v>
      </c>
      <c r="K47" s="36">
        <f t="shared" si="4"/>
        <v>87055176155</v>
      </c>
      <c r="L47" s="36" t="str">
        <f t="shared" si="5"/>
        <v>MX4000002R0001678</v>
      </c>
      <c r="M47" s="36" t="str">
        <f t="shared" ca="1" si="13"/>
        <v>002-2013E50Q13-OK</v>
      </c>
      <c r="N47" s="36" t="str">
        <f t="shared" si="17"/>
        <v>Прицеп 2,0*1,25 м  (до 750 кг.)</v>
      </c>
      <c r="O47" s="36" t="str">
        <f t="shared" si="6"/>
        <v>1 ось</v>
      </c>
      <c r="P47" s="36">
        <f t="shared" si="7"/>
        <v>2024</v>
      </c>
      <c r="Q47" s="36" t="str">
        <f t="shared" ca="1" si="14"/>
        <v>3150*1700*1070</v>
      </c>
      <c r="R47" s="36" t="str">
        <f t="shared" ca="1" si="15"/>
        <v>2000*1250*500</v>
      </c>
      <c r="S47" s="34" t="str">
        <f>VLOOKUP(O47,ОТТС!$A$2:$B$3,2,0)</f>
        <v>ТС KZ Е-KZ.0317.00251 от 28.02.2023</v>
      </c>
      <c r="T47" s="38">
        <f ca="1">VLOOKUP(M47,матрица,15,0)</f>
        <v>340000</v>
      </c>
      <c r="U47" s="36" t="str">
        <f t="shared" si="16"/>
        <v>Астана</v>
      </c>
    </row>
    <row r="48" spans="1:21" ht="13.2">
      <c r="A48" s="34">
        <v>1207</v>
      </c>
      <c r="B48" s="35">
        <f>VLOOKUP(A48,'Реестр договоров'!$A$2:$D$55,2,0)</f>
        <v>45471</v>
      </c>
      <c r="C48" s="36" t="str">
        <f t="shared" si="0"/>
        <v>Курмангалиев</v>
      </c>
      <c r="D48" s="36" t="str">
        <f t="shared" si="1"/>
        <v>Темиртас</v>
      </c>
      <c r="E48" s="36" t="str">
        <f t="shared" si="2"/>
        <v>Тойкеевич</v>
      </c>
      <c r="F48" s="36" t="str">
        <f t="shared" si="3"/>
        <v>048426462</v>
      </c>
      <c r="G48" s="37">
        <f>VLOOKUP(F48,Покупатели!$F$2:$N$762,2,0)</f>
        <v>44047</v>
      </c>
      <c r="H48" s="36" t="str">
        <f>VLOOKUP(F48,Покупатели!$F$2:$N$762,3,0)</f>
        <v>МВД РК</v>
      </c>
      <c r="I48" s="36">
        <f>VLOOKUP(C48,Покупатели!$C$2:$M$805,7,0)</f>
        <v>640729300115</v>
      </c>
      <c r="J48" s="36" t="str">
        <f ca="1">IFERROR(__xludf.DUMMYFUNCTION("JOIN("" "", VLOOKUP(C48,Покупатели,8,0),VLOOKUP(C48,Покупатели,9,0),VLOOKUP(C48,Покупатели,10,0),VLOOKUP(C48,Покупатели,11,0))"),"г.Астана р-н Сарыарка ул.Караменде би Шакаулы 64 ВП-4 ЖК Берекет")</f>
        <v>г.Астана р-н Сарыарка ул.Караменде би Шакаулы 64 ВП-4 ЖК Берекет</v>
      </c>
      <c r="K48" s="36">
        <f t="shared" si="4"/>
        <v>87785826900</v>
      </c>
      <c r="L48" s="36" t="str">
        <f t="shared" si="5"/>
        <v>MX4000002R0001656</v>
      </c>
      <c r="M48" s="36" t="str">
        <f t="shared" ca="1" si="13"/>
        <v>002-2013E50Q13-OK</v>
      </c>
      <c r="N48" s="36" t="str">
        <f t="shared" si="17"/>
        <v>Прицеп 2,0*1,25 м  (до 750 кг.)</v>
      </c>
      <c r="O48" s="36" t="str">
        <f t="shared" si="6"/>
        <v>1 ось</v>
      </c>
      <c r="P48" s="36">
        <f t="shared" si="7"/>
        <v>2024</v>
      </c>
      <c r="Q48" s="36" t="str">
        <f t="shared" ca="1" si="14"/>
        <v>3150*1700*1070</v>
      </c>
      <c r="R48" s="36" t="str">
        <f t="shared" ca="1" si="15"/>
        <v>2000*1250*500</v>
      </c>
      <c r="S48" s="34" t="str">
        <f>VLOOKUP(O48,ОТТС!$A$2:$B$3,2,0)</f>
        <v>ТС KZ Е-KZ.0317.00251 от 28.02.2023</v>
      </c>
      <c r="T48" s="38">
        <v>440000</v>
      </c>
      <c r="U48" s="36" t="str">
        <f t="shared" si="16"/>
        <v>Астана</v>
      </c>
    </row>
    <row r="49" spans="1:21" ht="13.2">
      <c r="A49" s="34">
        <v>1208</v>
      </c>
      <c r="B49" s="35">
        <f>VLOOKUP(A49,'Реестр договоров'!$A$2:$D$55,2,0)</f>
        <v>45471</v>
      </c>
      <c r="C49" s="36" t="str">
        <f t="shared" si="0"/>
        <v>Хусаинов1</v>
      </c>
      <c r="D49" s="36" t="str">
        <f t="shared" si="1"/>
        <v>Радмир</v>
      </c>
      <c r="E49" s="36" t="str">
        <f t="shared" si="2"/>
        <v>Рашидович</v>
      </c>
      <c r="F49" s="36" t="str">
        <f t="shared" si="3"/>
        <v>050398837</v>
      </c>
      <c r="G49" s="37">
        <f>VLOOKUP(F49,Покупатели!$F$2:$N$762,2,0)</f>
        <v>44652</v>
      </c>
      <c r="H49" s="36" t="str">
        <f>VLOOKUP(F49,Покупатели!$F$2:$N$762,3,0)</f>
        <v>МВД РК</v>
      </c>
      <c r="I49" s="36">
        <f>VLOOKUP(C49,Покупатели!$C$2:$M$805,7,0)</f>
        <v>870211300949</v>
      </c>
      <c r="J49" s="36" t="str">
        <f ca="1">IFERROR(__xludf.DUMMYFUNCTION("JOIN("" "", VLOOKUP(C49,Покупатели,8,0),VLOOKUP(C49,Покупатели,9,0),VLOOKUP(C49,Покупатели,10,0),VLOOKUP(C49,Покупатели,11,0))"),"Алматинская обл. Ескельдинский р-н, пос.Карабулак Ул.Лихачева Д.8 КВ.1")</f>
        <v>Алматинская обл. Ескельдинский р-н, пос.Карабулак Ул.Лихачева Д.8 КВ.1</v>
      </c>
      <c r="K49" s="36">
        <f t="shared" si="4"/>
        <v>87051385679</v>
      </c>
      <c r="L49" s="36" t="str">
        <f t="shared" si="5"/>
        <v>MX4000002R0001464</v>
      </c>
      <c r="M49" s="36" t="str">
        <f t="shared" ca="1" si="13"/>
        <v>002-2013E30Q13-OK</v>
      </c>
      <c r="N49" s="36" t="str">
        <f t="shared" si="17"/>
        <v>Прицеп 2,0*1,25 м  (до 750 кг.)</v>
      </c>
      <c r="O49" s="36" t="str">
        <f t="shared" si="6"/>
        <v>1 ось</v>
      </c>
      <c r="P49" s="36">
        <f t="shared" si="7"/>
        <v>2024</v>
      </c>
      <c r="Q49" s="36" t="str">
        <f t="shared" ca="1" si="14"/>
        <v>3150*1700*900</v>
      </c>
      <c r="R49" s="36" t="str">
        <f t="shared" ca="1" si="15"/>
        <v>2000*1250*300</v>
      </c>
      <c r="S49" s="34" t="str">
        <f>VLOOKUP(O49,ОТТС!$A$2:$B$3,2,0)</f>
        <v>ТС KZ Е-KZ.0317.00251 от 28.02.2023</v>
      </c>
      <c r="T49" s="38">
        <v>430000</v>
      </c>
      <c r="U49" s="36" t="str">
        <f t="shared" si="16"/>
        <v>Алматы</v>
      </c>
    </row>
    <row r="50" spans="1:21" ht="13.2">
      <c r="A50" s="34">
        <v>1209</v>
      </c>
      <c r="B50" s="35">
        <f>VLOOKUP(A50,'Реестр договоров'!$A$2:$D$55,2,0)</f>
        <v>45471</v>
      </c>
      <c r="C50" s="36" t="str">
        <f t="shared" si="0"/>
        <v>Унгарбеков</v>
      </c>
      <c r="D50" s="36" t="str">
        <f t="shared" si="1"/>
        <v>Думан</v>
      </c>
      <c r="E50" s="36" t="str">
        <f t="shared" si="2"/>
        <v>Турдаханович</v>
      </c>
      <c r="F50" s="36" t="str">
        <f t="shared" si="3"/>
        <v>041753767</v>
      </c>
      <c r="G50" s="37">
        <f>VLOOKUP(C50,Покупатели,5,0)</f>
        <v>42913</v>
      </c>
      <c r="H50" s="36" t="str">
        <f>VLOOKUP(F50,Покупатели!$F$2:$N$762,3,0)</f>
        <v>МВД РК</v>
      </c>
      <c r="I50" s="36">
        <f>VLOOKUP(C50,Покупатели,7,0)</f>
        <v>851019301704</v>
      </c>
      <c r="J50" s="36" t="str">
        <f ca="1">IFERROR(__xludf.DUMMYFUNCTION("JOIN("" "", VLOOKUP(C50,Покупатели,8,0),VLOOKUP(C50,Покупатели,9,0),VLOOKUP(C50,Покупатели,10,0),VLOOKUP(C50,Покупатели,11,0))"),"обл. Жетысу г. Жаркент, пос.Головацкий ул. Райымбек батыра д.8")</f>
        <v>обл. Жетысу г. Жаркент, пос.Головацкий ул. Райымбек батыра д.8</v>
      </c>
      <c r="K50" s="36">
        <f t="shared" si="4"/>
        <v>87022914944</v>
      </c>
      <c r="L50" s="36" t="str">
        <f t="shared" si="5"/>
        <v>MX4000002R0001463</v>
      </c>
      <c r="M50" s="36" t="str">
        <f t="shared" ref="M50:M81" ca="1" si="18">VLOOKUP(L50,ПРИЦЕПЫ,11,0)</f>
        <v>002-2013E50Q13-OK</v>
      </c>
      <c r="N50" s="36" t="str">
        <f t="shared" si="17"/>
        <v>Прицеп 2,0*1,25 м  (до 750 кг.)</v>
      </c>
      <c r="O50" s="36" t="str">
        <f t="shared" si="6"/>
        <v>1 ось</v>
      </c>
      <c r="P50" s="36">
        <f t="shared" si="7"/>
        <v>2024</v>
      </c>
      <c r="Q50" s="36" t="str">
        <f t="shared" ca="1" si="14"/>
        <v>3150*1700*1070</v>
      </c>
      <c r="R50" s="36" t="str">
        <f t="shared" ca="1" si="15"/>
        <v>2000*1250*500</v>
      </c>
      <c r="S50" s="34" t="str">
        <f>VLOOKUP(O50,ОТТС!$A$2:$B$3,2,0)</f>
        <v>ТС KZ Е-KZ.0317.00251 от 28.02.2023</v>
      </c>
      <c r="T50" s="38">
        <f ca="1">VLOOKUP(M50,матрица,15,0)</f>
        <v>340000</v>
      </c>
      <c r="U50" s="36" t="str">
        <f t="shared" si="16"/>
        <v>Алматы</v>
      </c>
    </row>
    <row r="51" spans="1:21" ht="13.2">
      <c r="A51" s="34">
        <v>1210</v>
      </c>
      <c r="B51" s="35">
        <f>VLOOKUP(A51,'Реестр договоров'!$A$2:$D$55,2,0)</f>
        <v>45474</v>
      </c>
      <c r="C51" s="36" t="str">
        <f t="shared" si="0"/>
        <v>Абдибеков</v>
      </c>
      <c r="D51" s="36" t="str">
        <f t="shared" si="1"/>
        <v>Толеген</v>
      </c>
      <c r="E51" s="36" t="str">
        <f t="shared" si="2"/>
        <v>Кудышович</v>
      </c>
      <c r="F51" s="36" t="str">
        <f t="shared" si="3"/>
        <v>054789131</v>
      </c>
      <c r="G51" s="37">
        <f>VLOOKUP(F51,Покупатели!$F$2:$N$762,2,0)</f>
        <v>45233</v>
      </c>
      <c r="H51" s="36" t="str">
        <f>VLOOKUP(F51,Покупатели!$F$2:$N$762,3,0)</f>
        <v>МВД РК</v>
      </c>
      <c r="I51" s="36">
        <f>VLOOKUP(C51,Покупатели!$C$2:$M$805,7,0)</f>
        <v>540910300445</v>
      </c>
      <c r="J51" s="36" t="str">
        <f ca="1">IFERROR(__xludf.DUMMYFUNCTION("JOIN("" "", VLOOKUP(C51,Покупатели,8,0),VLOOKUP(C51,Покупатели,9,0),VLOOKUP(C51,Покупатели,10,0),VLOOKUP(C51,Покупатели,11,0))"),"Акмолинская обл. Сергеевский р-н, с.Кегень ул.Ш.Уалиханова 36")</f>
        <v>Акмолинская обл. Сергеевский р-н, с.Кегень ул.Ш.Уалиханова 36</v>
      </c>
      <c r="K51" s="36">
        <f t="shared" si="4"/>
        <v>87058163108</v>
      </c>
      <c r="L51" s="36" t="str">
        <f t="shared" si="5"/>
        <v>MX4000002R0001633</v>
      </c>
      <c r="M51" s="36" t="str">
        <f t="shared" ca="1" si="18"/>
        <v>002-2513E50Q13-OK</v>
      </c>
      <c r="N51" s="36" t="str">
        <f t="shared" si="17"/>
        <v>Прицеп 2,5*1,25 м  (до 750 кг.)</v>
      </c>
      <c r="O51" s="36" t="str">
        <f t="shared" si="6"/>
        <v>1 ось</v>
      </c>
      <c r="P51" s="36">
        <f t="shared" si="7"/>
        <v>2024</v>
      </c>
      <c r="Q51" s="36" t="str">
        <f t="shared" ca="1" si="14"/>
        <v>3650*1700*1070</v>
      </c>
      <c r="R51" s="36" t="str">
        <f t="shared" ca="1" si="15"/>
        <v>2500*1250*500</v>
      </c>
      <c r="S51" s="34" t="str">
        <f>VLOOKUP(O51,ОТТС!$A$2:$B$3,2,0)</f>
        <v>ТС KZ Е-KZ.0317.00251 от 28.02.2023</v>
      </c>
      <c r="T51" s="38">
        <v>390000</v>
      </c>
      <c r="U51" s="36" t="str">
        <f t="shared" si="16"/>
        <v>Кокшетау</v>
      </c>
    </row>
    <row r="52" spans="1:21" ht="13.2">
      <c r="A52" s="34">
        <v>1211</v>
      </c>
      <c r="B52" s="35">
        <f>VLOOKUP(A52,'Реестр договоров'!$A$2:$D$100,2,0)</f>
        <v>45475</v>
      </c>
      <c r="C52" s="36" t="str">
        <f t="shared" si="0"/>
        <v>Дуйсеков</v>
      </c>
      <c r="D52" s="36" t="str">
        <f t="shared" si="1"/>
        <v>Жумабек</v>
      </c>
      <c r="E52" s="36" t="str">
        <f t="shared" si="2"/>
        <v>Сагынбаевич</v>
      </c>
      <c r="F52" s="36" t="str">
        <f t="shared" si="3"/>
        <v>047743091</v>
      </c>
      <c r="G52" s="37">
        <f>VLOOKUP(F52,Покупатели!$F$2:$N$762,2,0)</f>
        <v>44221</v>
      </c>
      <c r="H52" s="36" t="str">
        <f>VLOOKUP(F52,Покупатели!$F$2:$N$762,3,0)</f>
        <v>МВД РК</v>
      </c>
      <c r="I52" s="36">
        <f>VLOOKUP(C52,Покупатели!$C$2:$M$805,7,0)</f>
        <v>690304302962</v>
      </c>
      <c r="J52" s="36" t="str">
        <f ca="1">IFERROR(__xludf.DUMMYFUNCTION("JOIN("" "", VLOOKUP(C52,Покупатели,8,0),VLOOKUP(C52,Покупатели,9,0),VLOOKUP(C52,Покупатели,10,0),VLOOKUP(C52,Покупатели,11,0))"),"Алматинская обл. Илийский р-н, с.Аксай, ПКСТ Кок Жиек,  ул. 5-линия д.304А")</f>
        <v>Алматинская обл. Илийский р-н, с.Аксай, ПКСТ Кок Жиек,  ул. 5-линия д.304А</v>
      </c>
      <c r="K52" s="36">
        <f t="shared" si="4"/>
        <v>87714089498</v>
      </c>
      <c r="L52" s="36" t="str">
        <f t="shared" si="5"/>
        <v>MX4000002R0001574</v>
      </c>
      <c r="M52" s="36" t="str">
        <f t="shared" ca="1" si="18"/>
        <v>002-2013E50Q13-OK</v>
      </c>
      <c r="N52" s="36" t="str">
        <f t="shared" si="17"/>
        <v>Прицеп 2,0*1,25 м  (до 750 кг.)</v>
      </c>
      <c r="O52" s="36" t="str">
        <f t="shared" si="6"/>
        <v>1 ось</v>
      </c>
      <c r="P52" s="36">
        <f t="shared" si="7"/>
        <v>2024</v>
      </c>
      <c r="Q52" s="36" t="str">
        <f t="shared" ca="1" si="14"/>
        <v>3150*1700*1070</v>
      </c>
      <c r="R52" s="36" t="str">
        <f t="shared" ca="1" si="15"/>
        <v>2000*1250*500</v>
      </c>
      <c r="S52" s="34" t="str">
        <f>VLOOKUP(O52,ОТТС!$A$2:$B$3,2,0)</f>
        <v>ТС KZ Е-KZ.0317.00251 от 28.02.2023</v>
      </c>
      <c r="T52" s="38">
        <v>320000</v>
      </c>
      <c r="U52" s="36" t="str">
        <f t="shared" si="16"/>
        <v>Алматы</v>
      </c>
    </row>
    <row r="53" spans="1:21" ht="13.2">
      <c r="A53" s="34">
        <v>1212</v>
      </c>
      <c r="B53" s="35">
        <f>VLOOKUP(A53,'Реестр договоров'!$A$2:$D$80,2,0)</f>
        <v>45475</v>
      </c>
      <c r="C53" s="36" t="str">
        <f t="shared" si="0"/>
        <v>Грабовский</v>
      </c>
      <c r="D53" s="36" t="str">
        <f t="shared" si="1"/>
        <v>Павел</v>
      </c>
      <c r="E53" s="36" t="str">
        <f t="shared" si="2"/>
        <v>Николаевич</v>
      </c>
      <c r="F53" s="36" t="str">
        <f t="shared" si="3"/>
        <v>054981954</v>
      </c>
      <c r="G53" s="37">
        <f>VLOOKUP(F53,Покупатели!$F$2:$N$762,2,0)</f>
        <v>45015</v>
      </c>
      <c r="H53" s="36" t="str">
        <f>VLOOKUP(F53,Покупатели!$F$2:$N$762,3,0)</f>
        <v>МВД РК</v>
      </c>
      <c r="I53" s="36">
        <f>VLOOKUP(C53,Покупатели!$C$2:$M$805,7,0)</f>
        <v>680114350264</v>
      </c>
      <c r="J53" s="36" t="str">
        <f ca="1">IFERROR(__xludf.DUMMYFUNCTION("JOIN("" "", VLOOKUP(C53,Покупатели,8,0),VLOOKUP(C53,Покупатели,9,0),VLOOKUP(C53,Покупатели,10,0),VLOOKUP(C53,Покупатели,11,0))"),"Северо-Казахстанская обл. Тайыншинский р-н,  с.Драгомировка ")</f>
        <v xml:space="preserve">Северо-Казахстанская обл. Тайыншинский р-н,  с.Драгомировка </v>
      </c>
      <c r="K53" s="36">
        <f t="shared" si="4"/>
        <v>87713716005</v>
      </c>
      <c r="L53" s="36" t="str">
        <f t="shared" si="5"/>
        <v>MX4000002R0001663</v>
      </c>
      <c r="M53" s="36" t="str">
        <f t="shared" ca="1" si="18"/>
        <v>002-2013E50Q13-OK</v>
      </c>
      <c r="N53" s="36" t="str">
        <f t="shared" si="17"/>
        <v>Прицеп 2,0*1,25 м  (до 750 кг.)</v>
      </c>
      <c r="O53" s="36" t="str">
        <f t="shared" si="6"/>
        <v>1 ось</v>
      </c>
      <c r="P53" s="36">
        <f t="shared" si="7"/>
        <v>2024</v>
      </c>
      <c r="Q53" s="36" t="str">
        <f t="shared" ca="1" si="14"/>
        <v>3150*1700*1070</v>
      </c>
      <c r="R53" s="36" t="str">
        <f t="shared" ca="1" si="15"/>
        <v>2000*1250*500</v>
      </c>
      <c r="S53" s="34" t="str">
        <f>VLOOKUP(O53,ОТТС!$A$2:$B$3,2,0)</f>
        <v>ТС KZ Е-KZ.0317.00251 от 28.02.2023</v>
      </c>
      <c r="T53" s="38">
        <v>320000</v>
      </c>
      <c r="U53" s="36" t="str">
        <f t="shared" si="16"/>
        <v>Кокшетау</v>
      </c>
    </row>
    <row r="54" spans="1:21" ht="13.2">
      <c r="A54" s="34">
        <v>1213</v>
      </c>
      <c r="B54" s="35">
        <f>VLOOKUP(A54,'Реестр договоров'!$A$2:$D$55,2,0)</f>
        <v>45476</v>
      </c>
      <c r="C54" s="36" t="str">
        <f t="shared" si="0"/>
        <v>Пияшкин</v>
      </c>
      <c r="D54" s="36" t="str">
        <f t="shared" si="1"/>
        <v>Николай</v>
      </c>
      <c r="E54" s="36" t="str">
        <f t="shared" si="2"/>
        <v>Николаевич</v>
      </c>
      <c r="F54" s="36" t="str">
        <f t="shared" si="3"/>
        <v>017579341</v>
      </c>
      <c r="G54" s="37">
        <f>VLOOKUP(F54,Покупатели!$F$2:$N$762,2,0)</f>
        <v>38544</v>
      </c>
      <c r="H54" s="36" t="str">
        <f>VLOOKUP(F54,Покупатели!$F$2:$N$762,3,0)</f>
        <v>МЮ РК</v>
      </c>
      <c r="I54" s="36">
        <f>VLOOKUP(C54,Покупатели!$C$2:$M$805,7,0)</f>
        <v>600630350255</v>
      </c>
      <c r="J54" s="36" t="str">
        <f ca="1">IFERROR(__xludf.DUMMYFUNCTION("JOIN("" "", VLOOKUP(C54,Покупатели,8,0),VLOOKUP(C54,Покупатели,9,0),VLOOKUP(C54,Покупатели,10,0),VLOOKUP(C54,Покупатели,11,0))"),"Акмолинская обл. г.Кокшетау ул.Назарбаева д.8, кв.151")</f>
        <v>Акмолинская обл. г.Кокшетау ул.Назарбаева д.8, кв.151</v>
      </c>
      <c r="K54" s="36">
        <f t="shared" si="4"/>
        <v>87051361125</v>
      </c>
      <c r="L54" s="36" t="str">
        <f t="shared" si="5"/>
        <v>MX4000002R0001671</v>
      </c>
      <c r="M54" s="36" t="str">
        <f t="shared" ca="1" si="18"/>
        <v>002-2013E30Q13-OK</v>
      </c>
      <c r="N54" s="36" t="str">
        <f t="shared" si="17"/>
        <v>Прицеп 2,0*1,25 м  (до 750 кг.)</v>
      </c>
      <c r="O54" s="36" t="str">
        <f t="shared" si="6"/>
        <v>1 ось</v>
      </c>
      <c r="P54" s="36">
        <f t="shared" si="7"/>
        <v>2024</v>
      </c>
      <c r="Q54" s="36" t="str">
        <f t="shared" ca="1" si="14"/>
        <v>3150*1700*900</v>
      </c>
      <c r="R54" s="36" t="str">
        <f t="shared" ca="1" si="15"/>
        <v>2000*1250*300</v>
      </c>
      <c r="S54" s="34" t="str">
        <f>VLOOKUP(O54,ОТТС!$A$2:$B$3,2,0)</f>
        <v>ТС KZ Е-KZ.0317.00251 от 28.02.2023</v>
      </c>
      <c r="T54" s="38">
        <v>380000</v>
      </c>
      <c r="U54" s="36" t="str">
        <f t="shared" si="16"/>
        <v>Кокшетау</v>
      </c>
    </row>
    <row r="55" spans="1:21" ht="13.2">
      <c r="A55" s="34">
        <v>1214</v>
      </c>
      <c r="B55" s="35">
        <f>VLOOKUP(A55,'Реестр договоров'!$A$2:$D$55,2,0)</f>
        <v>45476</v>
      </c>
      <c r="C55" s="36" t="str">
        <f t="shared" si="0"/>
        <v>Жумангужина</v>
      </c>
      <c r="D55" s="36" t="str">
        <f t="shared" si="1"/>
        <v>Гульмира</v>
      </c>
      <c r="E55" s="36" t="str">
        <f t="shared" si="2"/>
        <v>Тюлюгеновна</v>
      </c>
      <c r="F55" s="36" t="str">
        <f t="shared" si="3"/>
        <v>019349306</v>
      </c>
      <c r="G55" s="37">
        <f>VLOOKUP(F55,Покупатели!$F$2:$N$762,2,0)</f>
        <v>39038</v>
      </c>
      <c r="H55" s="36" t="str">
        <f>VLOOKUP(F55,Покупатели!$F$2:$N$762,3,0)</f>
        <v>МЮ РК</v>
      </c>
      <c r="I55" s="36">
        <f>VLOOKUP(C55,Покупатели!$C$2:$M$805,7,0)</f>
        <v>820228450162</v>
      </c>
      <c r="J55" s="36" t="str">
        <f ca="1">IFERROR(__xludf.DUMMYFUNCTION("JOIN("" "", VLOOKUP(C55,Покупатели,8,0),VLOOKUP(C55,Покупатели,9,0),VLOOKUP(C55,Покупатели,10,0),VLOOKUP(C55,Покупатели,11,0))"),"Акмолинская обл. Целиноградский р-н, пос.Караоткель ул.Ж.Жабаева д.38")</f>
        <v>Акмолинская обл. Целиноградский р-н, пос.Караоткель ул.Ж.Жабаева д.38</v>
      </c>
      <c r="K55" s="36">
        <f t="shared" si="4"/>
        <v>87006081838</v>
      </c>
      <c r="L55" s="36" t="str">
        <f t="shared" si="5"/>
        <v>MX4000002R0001657</v>
      </c>
      <c r="M55" s="36" t="str">
        <f t="shared" ca="1" si="18"/>
        <v>002-2013E30Q13-OK</v>
      </c>
      <c r="N55" s="36" t="str">
        <f t="shared" si="17"/>
        <v>Прицеп 2,0*1,25 м  (до 750 кг.)</v>
      </c>
      <c r="O55" s="36" t="str">
        <f t="shared" si="6"/>
        <v>1 ось</v>
      </c>
      <c r="P55" s="36">
        <f t="shared" si="7"/>
        <v>2024</v>
      </c>
      <c r="Q55" s="36" t="str">
        <f t="shared" ca="1" si="14"/>
        <v>3150*1700*900</v>
      </c>
      <c r="R55" s="36" t="str">
        <f t="shared" ca="1" si="15"/>
        <v>2000*1250*300</v>
      </c>
      <c r="S55" s="34" t="str">
        <f>VLOOKUP(O55,ОТТС!$A$2:$B$3,2,0)</f>
        <v>ТС KZ Е-KZ.0317.00251 от 28.02.2023</v>
      </c>
      <c r="T55" s="38">
        <v>380000</v>
      </c>
      <c r="U55" s="36" t="str">
        <f t="shared" si="16"/>
        <v>Астана</v>
      </c>
    </row>
    <row r="56" spans="1:21" ht="13.2">
      <c r="A56" s="34">
        <v>1215</v>
      </c>
      <c r="B56" s="35">
        <f>VLOOKUP(A56,'Реестр договоров'!$A$2:$D$298,2,0)</f>
        <v>45476</v>
      </c>
      <c r="C56" s="36" t="str">
        <f t="shared" si="0"/>
        <v>Белгибаева</v>
      </c>
      <c r="D56" s="36" t="str">
        <f t="shared" si="1"/>
        <v>Жасулан</v>
      </c>
      <c r="E56" s="36" t="str">
        <f t="shared" si="2"/>
        <v>Дуйсенбекович</v>
      </c>
      <c r="F56" s="36" t="str">
        <f t="shared" si="3"/>
        <v>054651314</v>
      </c>
      <c r="G56" s="37">
        <f>VLOOKUP(F56,Покупатели!$F$2:$N$762,2,0)</f>
        <v>44963</v>
      </c>
      <c r="H56" s="36" t="str">
        <f>VLOOKUP(F56,Покупатели!$F$2:$N$762,3,0)</f>
        <v>МВД РК</v>
      </c>
      <c r="I56" s="36">
        <f>VLOOKUP(C56,Покупатели!$C$2:$M$805,7,0)</f>
        <v>880127351394</v>
      </c>
      <c r="J56" s="36" t="str">
        <f ca="1">IFERROR(__xludf.DUMMYFUNCTION("JOIN("" "", VLOOKUP(C56,Покупатели,8,0),VLOOKUP(C56,Покупатели,9,0),VLOOKUP(C56,Покупатели,10,0),VLOOKUP(C56,Покупатели,11,0))"),"Костанайская область г. Аркалык ул. Абая 42/2")</f>
        <v>Костанайская область г. Аркалык ул. Абая 42/2</v>
      </c>
      <c r="K56" s="36">
        <f t="shared" si="4"/>
        <v>87014019888</v>
      </c>
      <c r="L56" s="36" t="str">
        <f t="shared" si="5"/>
        <v>MX4000002R0001677</v>
      </c>
      <c r="M56" s="36" t="str">
        <f t="shared" ca="1" si="18"/>
        <v>002-2013E50Q13-OK</v>
      </c>
      <c r="N56" s="36" t="str">
        <f t="shared" si="17"/>
        <v>Прицеп 2,0*1,25 м  (до 750 кг.)</v>
      </c>
      <c r="O56" s="36" t="str">
        <f t="shared" si="6"/>
        <v>1 ось</v>
      </c>
      <c r="P56" s="36">
        <f t="shared" si="7"/>
        <v>2024</v>
      </c>
      <c r="Q56" s="36" t="str">
        <f t="shared" ca="1" si="14"/>
        <v>3150*1700*1070</v>
      </c>
      <c r="R56" s="36" t="str">
        <f t="shared" ca="1" si="15"/>
        <v>2000*1250*500</v>
      </c>
      <c r="S56" s="34" t="str">
        <f>VLOOKUP(O56,ОТТС!$A$2:$B$3,2,0)</f>
        <v>ТС KZ Е-KZ.0317.00251 от 28.02.2023</v>
      </c>
      <c r="T56" s="38">
        <v>340000</v>
      </c>
      <c r="U56" s="36" t="str">
        <f t="shared" si="16"/>
        <v>Кокшетау</v>
      </c>
    </row>
    <row r="57" spans="1:21" ht="13.2">
      <c r="A57" s="34">
        <v>1216</v>
      </c>
      <c r="B57" s="35">
        <f>VLOOKUP(A57,'Реестр договоров'!$A$2:$D$298,2,0)</f>
        <v>45476</v>
      </c>
      <c r="C57" s="36" t="str">
        <f t="shared" si="0"/>
        <v>Харламов 1</v>
      </c>
      <c r="D57" s="36" t="str">
        <f t="shared" si="1"/>
        <v>Георгий</v>
      </c>
      <c r="E57" s="36" t="str">
        <f t="shared" si="2"/>
        <v>Александрович</v>
      </c>
      <c r="F57" s="36" t="str">
        <f t="shared" si="3"/>
        <v>046723901</v>
      </c>
      <c r="G57" s="37">
        <f>VLOOKUP(F57,Покупатели!$F$2:$N$762,2,0)</f>
        <v>44046</v>
      </c>
      <c r="H57" s="36" t="str">
        <f>VLOOKUP(F57,Покупатели!$F$2:$N$762,3,0)</f>
        <v>МВД РК</v>
      </c>
      <c r="I57" s="36">
        <f>VLOOKUP(C57,Покупатели!$C$2:$M$805,7,0)</f>
        <v>911101301288</v>
      </c>
      <c r="J57" s="36" t="str">
        <f ca="1">IFERROR(__xludf.DUMMYFUNCTION("JOIN("" "", VLOOKUP(C57,Покупатели,8,0),VLOOKUP(C57,Покупатели,9,0),VLOOKUP(C57,Покупатели,10,0),VLOOKUP(C57,Покупатели,11,0))"),"г.Алматы мкр.Калкаман ул.Байтели батыра д.75")</f>
        <v>г.Алматы мкр.Калкаман ул.Байтели батыра д.75</v>
      </c>
      <c r="K57" s="36">
        <f t="shared" si="4"/>
        <v>87073723655</v>
      </c>
      <c r="L57" s="36" t="str">
        <f t="shared" si="5"/>
        <v>MX4000002R0001509</v>
      </c>
      <c r="M57" s="36" t="str">
        <f t="shared" ca="1" si="18"/>
        <v>002-2513E30Q13-OK</v>
      </c>
      <c r="N57" s="36" t="str">
        <f t="shared" si="17"/>
        <v>Прицеп 2,5*1,25 м  (до 750 кг.)</v>
      </c>
      <c r="O57" s="36" t="str">
        <f t="shared" si="6"/>
        <v>1 ось</v>
      </c>
      <c r="P57" s="36">
        <f t="shared" si="7"/>
        <v>2024</v>
      </c>
      <c r="Q57" s="36" t="str">
        <f t="shared" ca="1" si="14"/>
        <v>3650*1700*900</v>
      </c>
      <c r="R57" s="36" t="str">
        <f t="shared" ca="1" si="15"/>
        <v>2500*1250*300</v>
      </c>
      <c r="S57" s="34" t="str">
        <f>VLOOKUP(O57,ОТТС!$A$2:$B$3,2,0)</f>
        <v>ТС KZ Е-KZ.0317.00251 от 28.02.2023</v>
      </c>
      <c r="T57" s="38">
        <f ca="1">VLOOKUP(M57,матрица,15,0)</f>
        <v>380000</v>
      </c>
      <c r="U57" s="36" t="str">
        <f t="shared" si="16"/>
        <v>Алматы</v>
      </c>
    </row>
    <row r="58" spans="1:21" ht="13.2">
      <c r="A58" s="34">
        <v>1217</v>
      </c>
      <c r="B58" s="35">
        <f>VLOOKUP(A58,'Реестр договоров'!$A$2:$D$298,2,0)</f>
        <v>45477</v>
      </c>
      <c r="C58" s="36" t="str">
        <f t="shared" si="0"/>
        <v>Батяйкин</v>
      </c>
      <c r="D58" s="36" t="str">
        <f t="shared" si="1"/>
        <v>Евгений</v>
      </c>
      <c r="E58" s="36" t="str">
        <f t="shared" si="2"/>
        <v>Степанович</v>
      </c>
      <c r="F58" s="36" t="str">
        <f t="shared" si="3"/>
        <v>043275392</v>
      </c>
      <c r="G58" s="37">
        <f>VLOOKUP(F58,Покупатели!$F$2:$N$762,2,0)</f>
        <v>42985</v>
      </c>
      <c r="H58" s="36" t="str">
        <f>VLOOKUP(F58,Покупатели!$F$2:$N$762,3,0)</f>
        <v>МВД РК</v>
      </c>
      <c r="I58" s="36">
        <f>VLOOKUP(C58,Покупатели!$C$2:$M$805,7,0)</f>
        <v>770402350635</v>
      </c>
      <c r="J58" s="36" t="str">
        <f ca="1">IFERROR(__xludf.DUMMYFUNCTION("JOIN("" "", VLOOKUP(C58,Покупатели,8,0),VLOOKUP(C58,Покупатели,9,0),VLOOKUP(C58,Покупатели,10,0),VLOOKUP(C58,Покупатели,11,0))"),"г.Астана мкр.Жастар пер.Ташенова д.8/1")</f>
        <v>г.Астана мкр.Жастар пер.Ташенова д.8/1</v>
      </c>
      <c r="K58" s="36">
        <f t="shared" si="4"/>
        <v>87058091009</v>
      </c>
      <c r="L58" s="36" t="str">
        <f t="shared" si="5"/>
        <v>MX4000004R0001606</v>
      </c>
      <c r="M58" s="36" t="str">
        <f t="shared" si="18"/>
        <v>004-2513E30Q13-OK</v>
      </c>
      <c r="N58" s="36" t="str">
        <f t="shared" si="17"/>
        <v>Прицеп 2,5*1,25 м  (до 750 кг.)</v>
      </c>
      <c r="O58" s="36" t="str">
        <f t="shared" si="6"/>
        <v>2 оси</v>
      </c>
      <c r="P58" s="36">
        <f t="shared" si="7"/>
        <v>2024</v>
      </c>
      <c r="Q58" s="34" t="s">
        <v>919</v>
      </c>
      <c r="R58" s="34" t="s">
        <v>920</v>
      </c>
      <c r="S58" s="34" t="str">
        <f>VLOOKUP(O58,ОТТС!$A$2:$B$3,2,0)</f>
        <v>ТС KZ Е-KZ.0317.00219.П1 от 17.07.2025</v>
      </c>
      <c r="T58" s="39">
        <v>680000</v>
      </c>
      <c r="U58" s="36" t="str">
        <f t="shared" si="16"/>
        <v>Астана</v>
      </c>
    </row>
    <row r="59" spans="1:21" ht="13.2">
      <c r="A59" s="34">
        <v>1218</v>
      </c>
      <c r="B59" s="35">
        <f>VLOOKUP(A59,'Реестр договоров'!$A$2:$D$298,2,0)</f>
        <v>45478</v>
      </c>
      <c r="C59" s="36" t="str">
        <f t="shared" si="0"/>
        <v>Волкова</v>
      </c>
      <c r="D59" s="36" t="str">
        <f t="shared" si="1"/>
        <v>Константин</v>
      </c>
      <c r="E59" s="36" t="str">
        <f t="shared" si="2"/>
        <v>Евгеньевич</v>
      </c>
      <c r="F59" s="36" t="str">
        <f t="shared" si="3"/>
        <v>041029217</v>
      </c>
      <c r="G59" s="37">
        <f>VLOOKUP(F59,Покупатели!$F$2:$N$762,2,0)</f>
        <v>42733</v>
      </c>
      <c r="H59" s="36" t="str">
        <f>VLOOKUP(F59,Покупатели!$F$2:$N$762,3,0)</f>
        <v>МВД РК</v>
      </c>
      <c r="I59" s="36">
        <f>VLOOKUP(C59,Покупатели!$C$2:$M$805,7,0)</f>
        <v>720121302044</v>
      </c>
      <c r="J59" s="36" t="str">
        <f ca="1">IFERROR(__xludf.DUMMYFUNCTION("JOIN("" "", VLOOKUP(C59,Покупатели,8,0),VLOOKUP(C59,Покупатели,9,0),VLOOKUP(C59,Покупатели,10,0),VLOOKUP(C59,Покупатели,11,0))"),"Алматинская область Жетысуйский район Ул.Павлодарская  105")</f>
        <v>Алматинская область Жетысуйский район Ул.Павлодарская  105</v>
      </c>
      <c r="K59" s="36">
        <f t="shared" si="4"/>
        <v>87772933366</v>
      </c>
      <c r="L59" s="36" t="str">
        <f t="shared" si="5"/>
        <v>MX4000002R0001560</v>
      </c>
      <c r="M59" s="36" t="str">
        <f t="shared" ca="1" si="18"/>
        <v>002-2013E30Q13-OK</v>
      </c>
      <c r="N59" s="36" t="str">
        <f t="shared" si="17"/>
        <v>Прицеп 2,0*1,25 м  (до 750 кг.)</v>
      </c>
      <c r="O59" s="36" t="str">
        <f t="shared" si="6"/>
        <v>1 ось</v>
      </c>
      <c r="P59" s="36">
        <f t="shared" si="7"/>
        <v>2024</v>
      </c>
      <c r="Q59" s="36" t="str">
        <f t="shared" ref="Q59:Q92" ca="1" si="19">VLOOKUP(M59,матрица,16,0)</f>
        <v>3150*1700*900</v>
      </c>
      <c r="R59" s="36" t="str">
        <f t="shared" ref="R59:R92" ca="1" si="20">VLOOKUP(M59,матрица,17,0)</f>
        <v>2000*1250*300</v>
      </c>
      <c r="S59" s="34" t="str">
        <f>VLOOKUP(O59,ОТТС!$A$2:$B$3,2,0)</f>
        <v>ТС KZ Е-KZ.0317.00251 от 28.02.2023</v>
      </c>
      <c r="T59" s="38">
        <v>360000</v>
      </c>
      <c r="U59" s="36" t="str">
        <f t="shared" si="16"/>
        <v>Алматы</v>
      </c>
    </row>
    <row r="60" spans="1:21" ht="13.2">
      <c r="A60" s="34">
        <v>1219</v>
      </c>
      <c r="B60" s="35">
        <f>VLOOKUP(A60,'Реестр договоров'!$A$2:$D$298,2,0)</f>
        <v>45478</v>
      </c>
      <c r="C60" s="36" t="str">
        <f t="shared" si="0"/>
        <v>Бопышев</v>
      </c>
      <c r="D60" s="36" t="str">
        <f t="shared" si="1"/>
        <v>Нурбек</v>
      </c>
      <c r="E60" s="36" t="str">
        <f t="shared" si="2"/>
        <v>Сулейманович</v>
      </c>
      <c r="F60" s="36">
        <f t="shared" si="3"/>
        <v>46777566</v>
      </c>
      <c r="G60" s="37">
        <f>VLOOKUP(F60,Покупатели!$F$2:$N$762,2,0)</f>
        <v>43762</v>
      </c>
      <c r="H60" s="36" t="str">
        <f>VLOOKUP(F60,Покупатели!$F$2:$N$762,3,0)</f>
        <v>МВД РК</v>
      </c>
      <c r="I60" s="36">
        <f>VLOOKUP(C60,Покупатели!$C$2:$M$805,7,0)</f>
        <v>891218301505</v>
      </c>
      <c r="J60" s="36" t="str">
        <f ca="1">IFERROR(__xludf.DUMMYFUNCTION("JOIN("" "", VLOOKUP(C60,Покупатели,8,0),VLOOKUP(C60,Покупатели,9,0),VLOOKUP(C60,Покупатели,10,0),VLOOKUP(C60,Покупатели,11,0))"),"Акмолинская обл. Целиноградский р-н, пос. Коянды ул.Байтерек 113")</f>
        <v>Акмолинская обл. Целиноградский р-н, пос. Коянды ул.Байтерек 113</v>
      </c>
      <c r="K60" s="36">
        <f t="shared" si="4"/>
        <v>87757369899</v>
      </c>
      <c r="L60" s="36" t="str">
        <f t="shared" si="5"/>
        <v>MX4000002R0001647</v>
      </c>
      <c r="M60" s="36" t="str">
        <f t="shared" ca="1" si="18"/>
        <v>002-2513E50Q13-OK</v>
      </c>
      <c r="N60" s="36" t="str">
        <f t="shared" si="17"/>
        <v>Прицеп 2,5*1,25 м  (до 750 кг.)</v>
      </c>
      <c r="O60" s="36" t="str">
        <f t="shared" si="6"/>
        <v>1 ось</v>
      </c>
      <c r="P60" s="36">
        <f t="shared" si="7"/>
        <v>2024</v>
      </c>
      <c r="Q60" s="36" t="str">
        <f t="shared" ca="1" si="19"/>
        <v>3650*1700*1070</v>
      </c>
      <c r="R60" s="36" t="str">
        <f t="shared" ca="1" si="20"/>
        <v>2500*1250*500</v>
      </c>
      <c r="S60" s="34" t="str">
        <f>VLOOKUP(O60,ОТТС!$A$2:$B$3,2,0)</f>
        <v>ТС KZ Е-KZ.0317.00251 от 28.02.2023</v>
      </c>
      <c r="T60" s="38">
        <v>320000</v>
      </c>
      <c r="U60" s="36" t="str">
        <f t="shared" si="16"/>
        <v>Астана</v>
      </c>
    </row>
    <row r="61" spans="1:21" ht="13.2">
      <c r="A61" s="34">
        <v>1220</v>
      </c>
      <c r="B61" s="35">
        <f>VLOOKUP(A61,'Реестр договоров'!$A$2:$D$298,2,0)</f>
        <v>45478</v>
      </c>
      <c r="C61" s="36" t="str">
        <f t="shared" si="0"/>
        <v>Дерюгин</v>
      </c>
      <c r="D61" s="36" t="str">
        <f t="shared" si="1"/>
        <v>Алексей</v>
      </c>
      <c r="E61" s="36" t="str">
        <f t="shared" si="2"/>
        <v>Александрович</v>
      </c>
      <c r="F61" s="36" t="str">
        <f t="shared" si="3"/>
        <v>039973227</v>
      </c>
      <c r="G61" s="37">
        <f>VLOOKUP(F61,Покупатели!$F$2:$N$762,2,0)</f>
        <v>42468</v>
      </c>
      <c r="H61" s="36" t="str">
        <f>VLOOKUP(F61,Покупатели!$F$2:$N$762,3,0)</f>
        <v>МВД РК</v>
      </c>
      <c r="I61" s="36">
        <f>VLOOKUP(C61,Покупатели!$C$2:$M$805,7,0)</f>
        <v>910413300658</v>
      </c>
      <c r="J61" s="36" t="str">
        <f ca="1">IFERROR(__xludf.DUMMYFUNCTION("JOIN("" "", VLOOKUP(C61,Покупатели,8,0),VLOOKUP(C61,Покупатели,9,0),VLOOKUP(C61,Покупатели,10,0),VLOOKUP(C61,Покупатели,11,0))"),"Алматинская обл. Илийский р-н, пос.Жапек батыра ул.Алтаева 32")</f>
        <v>Алматинская обл. Илийский р-н, пос.Жапек батыра ул.Алтаева 32</v>
      </c>
      <c r="K61" s="36">
        <f t="shared" si="4"/>
        <v>87072677383</v>
      </c>
      <c r="L61" s="36" t="str">
        <f t="shared" si="5"/>
        <v>MX4000002R0001460</v>
      </c>
      <c r="M61" s="36" t="str">
        <f t="shared" ca="1" si="18"/>
        <v>002-2013E50Q13-OK</v>
      </c>
      <c r="N61" s="36" t="str">
        <f t="shared" si="17"/>
        <v>Прицеп 2,0*1,25 м  (до 750 кг.)</v>
      </c>
      <c r="O61" s="36" t="str">
        <f t="shared" si="6"/>
        <v>1 ось</v>
      </c>
      <c r="P61" s="36">
        <f t="shared" si="7"/>
        <v>2024</v>
      </c>
      <c r="Q61" s="36" t="str">
        <f t="shared" ca="1" si="19"/>
        <v>3150*1700*1070</v>
      </c>
      <c r="R61" s="36" t="str">
        <f t="shared" ca="1" si="20"/>
        <v>2000*1250*500</v>
      </c>
      <c r="S61" s="34" t="str">
        <f>VLOOKUP(O61,ОТТС!$A$2:$B$3,2,0)</f>
        <v>ТС KZ Е-KZ.0317.00251 от 28.02.2023</v>
      </c>
      <c r="T61" s="38">
        <v>320000</v>
      </c>
      <c r="U61" s="36" t="str">
        <f t="shared" si="16"/>
        <v>Алматы</v>
      </c>
    </row>
    <row r="62" spans="1:21" ht="13.2">
      <c r="A62" s="34">
        <v>1221</v>
      </c>
      <c r="B62" s="35">
        <f>VLOOKUP(A62,'Реестр договоров'!$A$2:$D$298,2,0)</f>
        <v>45479</v>
      </c>
      <c r="C62" s="36" t="str">
        <f t="shared" si="0"/>
        <v>Туртаева</v>
      </c>
      <c r="D62" s="36" t="str">
        <f t="shared" si="1"/>
        <v>Айнур</v>
      </c>
      <c r="E62" s="36" t="str">
        <f t="shared" si="2"/>
        <v>Абылкановна</v>
      </c>
      <c r="F62" s="36" t="str">
        <f t="shared" si="3"/>
        <v>052907329</v>
      </c>
      <c r="G62" s="37">
        <f>VLOOKUP(F62,Покупатели!$F$2:$N$762,2,0)</f>
        <v>45009</v>
      </c>
      <c r="H62" s="36" t="str">
        <f>VLOOKUP(F62,Покупатели!$F$2:$N$762,3,0)</f>
        <v>МВД РК</v>
      </c>
      <c r="I62" s="36">
        <f>VLOOKUP(C62,Покупатели!$C$2:$M$805,7,0)</f>
        <v>910903400937</v>
      </c>
      <c r="J62" s="36" t="str">
        <f ca="1">IFERROR(__xludf.DUMMYFUNCTION("JOIN("" "", VLOOKUP(C62,Покупатели,8,0),VLOOKUP(C62,Покупатели,9,0),VLOOKUP(C62,Покупатели,10,0),VLOOKUP(C62,Покупатели,11,0))"),"обл.Жетысу г.Талдыкорган, р-н Северо-Западный ул.Жексенбекова 34")</f>
        <v>обл.Жетысу г.Талдыкорган, р-н Северо-Западный ул.Жексенбекова 34</v>
      </c>
      <c r="K62" s="36">
        <f t="shared" si="4"/>
        <v>87077329280</v>
      </c>
      <c r="L62" s="36" t="str">
        <f t="shared" si="5"/>
        <v>MX4000002R0001456</v>
      </c>
      <c r="M62" s="36" t="str">
        <f t="shared" ca="1" si="18"/>
        <v>002-2013E30Q13-OK</v>
      </c>
      <c r="N62" s="36" t="str">
        <f t="shared" si="17"/>
        <v>Прицеп 2,0*1,25 м  (до 750 кг.)</v>
      </c>
      <c r="O62" s="36" t="str">
        <f t="shared" si="6"/>
        <v>1 ось</v>
      </c>
      <c r="P62" s="36">
        <f t="shared" si="7"/>
        <v>2024</v>
      </c>
      <c r="Q62" s="36" t="str">
        <f t="shared" ca="1" si="19"/>
        <v>3150*1700*900</v>
      </c>
      <c r="R62" s="36" t="str">
        <f t="shared" ca="1" si="20"/>
        <v>2000*1250*300</v>
      </c>
      <c r="S62" s="34" t="str">
        <f>VLOOKUP(O62,ОТТС!$A$2:$B$3,2,0)</f>
        <v>ТС KZ Е-KZ.0317.00251 от 28.02.2023</v>
      </c>
      <c r="T62" s="38">
        <v>380000</v>
      </c>
      <c r="U62" s="36" t="str">
        <f t="shared" si="16"/>
        <v>Алматы</v>
      </c>
    </row>
    <row r="63" spans="1:21" ht="13.2">
      <c r="A63" s="34">
        <v>1223</v>
      </c>
      <c r="B63" s="35">
        <f>VLOOKUP(A63,'Реестр договоров'!$A$2:$D$298,2,0)</f>
        <v>45481</v>
      </c>
      <c r="C63" s="36" t="str">
        <f t="shared" si="0"/>
        <v>Ворошилов</v>
      </c>
      <c r="D63" s="36" t="str">
        <f t="shared" si="1"/>
        <v>Сергей</v>
      </c>
      <c r="E63" s="36" t="str">
        <f t="shared" si="2"/>
        <v>Николаевич</v>
      </c>
      <c r="F63" s="36" t="str">
        <f t="shared" si="3"/>
        <v>049476905</v>
      </c>
      <c r="G63" s="37">
        <f>VLOOKUP(F63,Покупатели!$F$2:$N$762,2,0)</f>
        <v>44502</v>
      </c>
      <c r="H63" s="36" t="str">
        <f>VLOOKUP(F63,Покупатели!$F$2:$N$762,3,0)</f>
        <v>МВД РК</v>
      </c>
      <c r="I63" s="36">
        <f>VLOOKUP(C63,Покупатели!$C$2:$M$805,7,0)</f>
        <v>850302302788</v>
      </c>
      <c r="J63" s="36" t="str">
        <f ca="1">IFERROR(__xludf.DUMMYFUNCTION("JOIN("" "", VLOOKUP(C63,Покупатели,8,0),VLOOKUP(C63,Покупатели,9,0),VLOOKUP(C63,Покупатели,10,0),VLOOKUP(C63,Покупатели,11,0))"),"г.Алматы мкр.Кемел,  ул.Даурен Кудабайулы д.123")</f>
        <v>г.Алматы мкр.Кемел,  ул.Даурен Кудабайулы д.123</v>
      </c>
      <c r="K63" s="36">
        <f t="shared" si="4"/>
        <v>87071080444</v>
      </c>
      <c r="L63" s="36" t="str">
        <f t="shared" si="5"/>
        <v>MX4000002R0001484</v>
      </c>
      <c r="M63" s="36" t="str">
        <f t="shared" ca="1" si="18"/>
        <v>002-2013E50Q13-OK</v>
      </c>
      <c r="N63" s="36" t="str">
        <f t="shared" si="17"/>
        <v>Прицеп 2,0*1,25 м  (до 750 кг.)</v>
      </c>
      <c r="O63" s="36" t="str">
        <f t="shared" si="6"/>
        <v>1 ось</v>
      </c>
      <c r="P63" s="36">
        <f t="shared" si="7"/>
        <v>2024</v>
      </c>
      <c r="Q63" s="36" t="str">
        <f t="shared" ca="1" si="19"/>
        <v>3150*1700*1070</v>
      </c>
      <c r="R63" s="36" t="str">
        <f t="shared" ca="1" si="20"/>
        <v>2000*1250*500</v>
      </c>
      <c r="S63" s="34" t="str">
        <f>VLOOKUP(O63,ОТТС!$A$2:$B$3,2,0)</f>
        <v>ТС KZ Е-KZ.0317.00251 от 28.02.2023</v>
      </c>
      <c r="T63" s="38">
        <v>370000</v>
      </c>
      <c r="U63" s="36" t="str">
        <f t="shared" si="16"/>
        <v>Алматы</v>
      </c>
    </row>
    <row r="64" spans="1:21" ht="13.2">
      <c r="A64" s="34">
        <v>1224</v>
      </c>
      <c r="B64" s="35">
        <f>VLOOKUP(A64,'Реестр договоров'!$A$2:$D$298,2,0)</f>
        <v>45481</v>
      </c>
      <c r="C64" s="36" t="str">
        <f t="shared" si="0"/>
        <v>Куликова</v>
      </c>
      <c r="D64" s="36" t="str">
        <f t="shared" si="1"/>
        <v>Светлана</v>
      </c>
      <c r="E64" s="36" t="str">
        <f t="shared" si="2"/>
        <v>Евгеньевна</v>
      </c>
      <c r="F64" s="36" t="str">
        <f t="shared" si="3"/>
        <v>038128498</v>
      </c>
      <c r="G64" s="37">
        <f>VLOOKUP(F64,Покупатели!$F$2:$N$762,2,0)</f>
        <v>42062</v>
      </c>
      <c r="H64" s="36" t="str">
        <f>VLOOKUP(F64,Покупатели!$F$2:$N$762,3,0)</f>
        <v>МВД РК</v>
      </c>
      <c r="I64" s="36">
        <f>VLOOKUP(C64,Покупатели!$C$2:$M$805,7,0)</f>
        <v>900303450494</v>
      </c>
      <c r="J64" s="36" t="str">
        <f ca="1">IFERROR(__xludf.DUMMYFUNCTION("JOIN("" "", VLOOKUP(C64,Покупатели,8,0),VLOOKUP(C64,Покупатели,9,0),VLOOKUP(C64,Покупатели,10,0),VLOOKUP(C64,Покупатели,11,0))"),"г. Алматы Турксибский р-н пр-т Суюнбая д.231а")</f>
        <v>г. Алматы Турксибский р-н пр-т Суюнбая д.231а</v>
      </c>
      <c r="K64" s="36">
        <f t="shared" si="4"/>
        <v>87725553569</v>
      </c>
      <c r="L64" s="36" t="str">
        <f t="shared" si="5"/>
        <v>MX4000002R0001578</v>
      </c>
      <c r="M64" s="36" t="str">
        <f t="shared" ca="1" si="18"/>
        <v>002-2013E30Q13-OK</v>
      </c>
      <c r="N64" s="36" t="str">
        <f t="shared" si="17"/>
        <v>Прицеп 2,0*1,25 м  (до 750 кг.)</v>
      </c>
      <c r="O64" s="36" t="str">
        <f t="shared" si="6"/>
        <v>1 ось</v>
      </c>
      <c r="P64" s="36">
        <f t="shared" si="7"/>
        <v>2024</v>
      </c>
      <c r="Q64" s="36" t="str">
        <f t="shared" ca="1" si="19"/>
        <v>3150*1700*900</v>
      </c>
      <c r="R64" s="36" t="str">
        <f t="shared" ca="1" si="20"/>
        <v>2000*1250*300</v>
      </c>
      <c r="S64" s="34" t="str">
        <f>VLOOKUP(O64,ОТТС!$A$2:$B$3,2,0)</f>
        <v>ТС KZ Е-KZ.0317.00251 от 28.02.2023</v>
      </c>
      <c r="T64" s="38">
        <v>320000</v>
      </c>
      <c r="U64" s="36" t="str">
        <f t="shared" si="16"/>
        <v>Алматы</v>
      </c>
    </row>
    <row r="65" spans="1:21" ht="13.2">
      <c r="A65" s="34">
        <v>1225</v>
      </c>
      <c r="B65" s="35">
        <f>VLOOKUP(A65,'Реестр договоров'!$A$2:$D$298,2,0)</f>
        <v>45482</v>
      </c>
      <c r="C65" s="36" t="str">
        <f t="shared" si="0"/>
        <v>Мусаинов</v>
      </c>
      <c r="D65" s="36" t="str">
        <f t="shared" si="1"/>
        <v>Бауржан</v>
      </c>
      <c r="E65" s="36" t="str">
        <f t="shared" si="2"/>
        <v>Нурланович</v>
      </c>
      <c r="F65" s="36" t="str">
        <f t="shared" si="3"/>
        <v>049536867</v>
      </c>
      <c r="G65" s="37">
        <f>VLOOKUP(F65,Покупатели!$F$2:$N$762,2,0)</f>
        <v>44511</v>
      </c>
      <c r="H65" s="36" t="str">
        <f>VLOOKUP(F65,Покупатели!$F$2:$N$762,3,0)</f>
        <v>МВД РК</v>
      </c>
      <c r="I65" s="36">
        <f>VLOOKUP(C65,Покупатели!$C$2:$M$805,7,0)</f>
        <v>830921350343</v>
      </c>
      <c r="J65" s="36" t="str">
        <f ca="1">IFERROR(__xludf.DUMMYFUNCTION("JOIN("" "", VLOOKUP(C65,Покупатели,8,0),VLOOKUP(C65,Покупатели,9,0),VLOOKUP(C65,Покупатели,10,0),VLOOKUP(C65,Покупатели,11,0))"),"г.Алматы Алатауский р-н, мкр.Мадениет ул.Майтобе д.3")</f>
        <v>г.Алматы Алатауский р-н, мкр.Мадениет ул.Майтобе д.3</v>
      </c>
      <c r="K65" s="36">
        <f t="shared" si="4"/>
        <v>87074141877</v>
      </c>
      <c r="L65" s="36" t="str">
        <f t="shared" si="5"/>
        <v>MX4000002R0001475</v>
      </c>
      <c r="M65" s="36" t="str">
        <f t="shared" ca="1" si="18"/>
        <v>002-2013E50Q13-OK</v>
      </c>
      <c r="N65" s="36" t="str">
        <f t="shared" si="17"/>
        <v>Прицеп 2,0*1,25 м  (до 750 кг.)</v>
      </c>
      <c r="O65" s="36" t="str">
        <f t="shared" si="6"/>
        <v>1 ось</v>
      </c>
      <c r="P65" s="36">
        <f t="shared" si="7"/>
        <v>2024</v>
      </c>
      <c r="Q65" s="36" t="str">
        <f t="shared" ca="1" si="19"/>
        <v>3150*1700*1070</v>
      </c>
      <c r="R65" s="36" t="str">
        <f t="shared" ca="1" si="20"/>
        <v>2000*1250*500</v>
      </c>
      <c r="S65" s="34" t="str">
        <f>VLOOKUP(O65,ОТТС!$A$2:$B$3,2,0)</f>
        <v>ТС KZ Е-KZ.0317.00251 от 28.02.2023</v>
      </c>
      <c r="T65" s="38">
        <v>340000</v>
      </c>
      <c r="U65" s="36" t="str">
        <f t="shared" si="16"/>
        <v>Алматы</v>
      </c>
    </row>
    <row r="66" spans="1:21" ht="13.2">
      <c r="A66" s="34">
        <v>1226</v>
      </c>
      <c r="B66" s="35">
        <f>VLOOKUP(A66,'Реестр договоров'!$A$2:$D$298,2,0)</f>
        <v>45482</v>
      </c>
      <c r="C66" s="36" t="str">
        <f t="shared" ref="C66:C129" si="21">VLOOKUP(A66,Реестр_Договоров,3,0)</f>
        <v>Кенжеахмет</v>
      </c>
      <c r="D66" s="36" t="str">
        <f t="shared" ref="D66:D129" si="22">VLOOKUP(C66,Покупатели,2,0)</f>
        <v>Жасұлан</v>
      </c>
      <c r="E66" s="36" t="str">
        <f t="shared" ref="E66:E129" si="23">VLOOKUP(C66,Покупатели,3,0)</f>
        <v>Сейітұлы</v>
      </c>
      <c r="F66" s="36" t="str">
        <f t="shared" ref="F66:F129" si="24">VLOOKUP(C66,Покупатели,4,0)</f>
        <v>056848874</v>
      </c>
      <c r="G66" s="37">
        <f>VLOOKUP(F66,Покупатели!$F$2:$N$762,2,0)</f>
        <v>45272</v>
      </c>
      <c r="H66" s="36" t="str">
        <f>VLOOKUP(F66,Покупатели!$F$2:$N$762,3,0)</f>
        <v>ҚР ІІМ</v>
      </c>
      <c r="I66" s="36">
        <f>VLOOKUP(C66,Покупатели!$C$2:$M$805,7,0)</f>
        <v>641120350143</v>
      </c>
      <c r="J66" s="36" t="str">
        <f ca="1">IFERROR(__xludf.DUMMYFUNCTION("JOIN("" "", VLOOKUP(C66,Покупатели,8,0),VLOOKUP(C66,Покупатели,9,0),VLOOKUP(C66,Покупатели,10,0),VLOOKUP(C66,Покупатели,11,0))"),"г.Астана р-н Есиль ул.Казыбек би д.5а, кв.585")</f>
        <v>г.Астана р-н Есиль ул.Казыбек би д.5а, кв.585</v>
      </c>
      <c r="K66" s="36">
        <f t="shared" ref="K66:K129" si="25">VLOOKUP(C66,Покупатели,12,0)</f>
        <v>87711103283</v>
      </c>
      <c r="L66" s="36" t="str">
        <f t="shared" ref="L66:L129" si="26">VLOOKUP(A66,Реестр_Договоров,4,0)</f>
        <v>MX4000002R0001646</v>
      </c>
      <c r="M66" s="36" t="str">
        <f t="shared" ca="1" si="18"/>
        <v>002-2513E30Q13-OK</v>
      </c>
      <c r="N66" s="36" t="str">
        <f t="shared" si="17"/>
        <v>Прицеп 2,5*1,25 м  (до 750 кг.)</v>
      </c>
      <c r="O66" s="36" t="str">
        <f t="shared" ref="O66:O129" si="27">VLOOKUP(L66,ПРИЦЕПЫ,10,0)</f>
        <v>1 ось</v>
      </c>
      <c r="P66" s="36">
        <f t="shared" ref="P66:P129" si="28">YEAR(VLOOKUP(L66,ПРИЦЕПЫ,7,0))</f>
        <v>2024</v>
      </c>
      <c r="Q66" s="36" t="str">
        <f t="shared" ca="1" si="19"/>
        <v>3650*1700*900</v>
      </c>
      <c r="R66" s="36" t="str">
        <f t="shared" ca="1" si="20"/>
        <v>2500*1250*300</v>
      </c>
      <c r="S66" s="34" t="str">
        <f>VLOOKUP(O66,ОТТС!$A$2:$B$3,2,0)</f>
        <v>ТС KZ Е-KZ.0317.00251 от 28.02.2023</v>
      </c>
      <c r="T66" s="38">
        <v>380000</v>
      </c>
      <c r="U66" s="36" t="str">
        <f t="shared" ref="U66:U80" si="29">VLOOKUP(L66,ПРИЦЕПЫ,9,0)</f>
        <v>Астана</v>
      </c>
    </row>
    <row r="67" spans="1:21" ht="13.2">
      <c r="A67" s="34">
        <v>1227</v>
      </c>
      <c r="B67" s="35">
        <f>VLOOKUP(A67,'Реестр договоров'!$A$2:$D$298,2,0)</f>
        <v>45484</v>
      </c>
      <c r="C67" s="36" t="str">
        <f t="shared" si="21"/>
        <v>Сатыбаев</v>
      </c>
      <c r="D67" s="36" t="str">
        <f t="shared" si="22"/>
        <v>Мереке</v>
      </c>
      <c r="E67" s="36" t="str">
        <f t="shared" si="23"/>
        <v>Серикович</v>
      </c>
      <c r="F67" s="36" t="str">
        <f t="shared" si="24"/>
        <v>043353420</v>
      </c>
      <c r="G67" s="37">
        <f>VLOOKUP(F67,Покупатели!$F$2:$N$762,2,0)</f>
        <v>43003</v>
      </c>
      <c r="H67" s="36" t="str">
        <f>VLOOKUP(F67,Покупатели!$F$2:$N$762,3,0)</f>
        <v>МВД РК</v>
      </c>
      <c r="I67" s="36">
        <f>VLOOKUP(C67,Покупатели!$C$2:$M$805,7,0)</f>
        <v>800501300358</v>
      </c>
      <c r="J67" s="36" t="str">
        <f ca="1">IFERROR(__xludf.DUMMYFUNCTION("JOIN("" "", VLOOKUP(C67,Покупатели,8,0),VLOOKUP(C67,Покупатели,9,0),VLOOKUP(C67,Покупатели,10,0),VLOOKUP(C67,Покупатели,11,0))"),"Акмолиснкая с. Зеренда ул. Красноармейская 42")</f>
        <v>Акмолиснкая с. Зеренда ул. Красноармейская 42</v>
      </c>
      <c r="K67" s="36">
        <f t="shared" si="25"/>
        <v>87719096487</v>
      </c>
      <c r="L67" s="36" t="str">
        <f t="shared" si="26"/>
        <v>MX4000002R0001711</v>
      </c>
      <c r="M67" s="36" t="str">
        <f t="shared" ca="1" si="18"/>
        <v>002-2513E50Q13-OK90</v>
      </c>
      <c r="N67" s="36" t="str">
        <f t="shared" ref="N67:N92" si="30">VLOOKUP(L67,ПРИЦЕПЫ,2,0)</f>
        <v>Прицеп 2,5*1,25 м  (до 750 кг.)</v>
      </c>
      <c r="O67" s="36" t="str">
        <f t="shared" si="27"/>
        <v>1 ось</v>
      </c>
      <c r="P67" s="36">
        <f t="shared" si="28"/>
        <v>2024</v>
      </c>
      <c r="Q67" s="36" t="str">
        <f t="shared" ca="1" si="19"/>
        <v>3650*1700*1070</v>
      </c>
      <c r="R67" s="36" t="str">
        <f t="shared" ca="1" si="20"/>
        <v>2500*1250*500</v>
      </c>
      <c r="S67" s="34" t="str">
        <f>VLOOKUP(O67,ОТТС!$A$2:$B$3,2,0)</f>
        <v>ТС KZ Е-KZ.0317.00251 от 28.02.2023</v>
      </c>
      <c r="T67" s="38">
        <v>380000</v>
      </c>
      <c r="U67" s="36" t="str">
        <f t="shared" si="29"/>
        <v>Кокшетау</v>
      </c>
    </row>
    <row r="68" spans="1:21" ht="13.2">
      <c r="A68" s="34">
        <v>1228</v>
      </c>
      <c r="B68" s="35">
        <f>VLOOKUP(A68,'Реестр договоров'!$A$2:$D$298,2,0)</f>
        <v>45484</v>
      </c>
      <c r="C68" s="36" t="str">
        <f t="shared" si="21"/>
        <v>Мускеев</v>
      </c>
      <c r="D68" s="36" t="str">
        <f t="shared" si="22"/>
        <v>Саид</v>
      </c>
      <c r="E68" s="36" t="str">
        <f t="shared" si="23"/>
        <v>Малсакович</v>
      </c>
      <c r="F68" s="36" t="str">
        <f t="shared" si="24"/>
        <v>045227430</v>
      </c>
      <c r="G68" s="37">
        <f>VLOOKUP(F68,Покупатели!$F$2:$N$762,2,0)</f>
        <v>43448</v>
      </c>
      <c r="H68" s="36" t="str">
        <f>VLOOKUP(F68,Покупатели!$F$2:$N$762,3,0)</f>
        <v>МВД РК</v>
      </c>
      <c r="I68" s="36">
        <f>VLOOKUP(C68,Покупатели!$C$2:$M$805,7,0)</f>
        <v>850207351323</v>
      </c>
      <c r="J68" s="36" t="str">
        <f ca="1">IFERROR(__xludf.DUMMYFUNCTION("JOIN("" "", VLOOKUP(C68,Покупатели,8,0),VLOOKUP(C68,Покупатели,9,0),VLOOKUP(C68,Покупатели,10,0),VLOOKUP(C68,Покупатели,11,0))"),"г.Астана р-н Сарыарка ул.Агыбай батыра д.20")</f>
        <v>г.Астана р-н Сарыарка ул.Агыбай батыра д.20</v>
      </c>
      <c r="K68" s="36">
        <f t="shared" si="25"/>
        <v>87025555565</v>
      </c>
      <c r="L68" s="36" t="str">
        <f t="shared" si="26"/>
        <v>MX4000002R0001689</v>
      </c>
      <c r="M68" s="36" t="str">
        <f t="shared" ca="1" si="18"/>
        <v>002-2013E30Q13-OK</v>
      </c>
      <c r="N68" s="36" t="str">
        <f t="shared" si="30"/>
        <v>Прицеп 2,0*1,25 м  (до 750 кг.)</v>
      </c>
      <c r="O68" s="36" t="str">
        <f t="shared" si="27"/>
        <v>1 ось</v>
      </c>
      <c r="P68" s="36">
        <f t="shared" si="28"/>
        <v>2024</v>
      </c>
      <c r="Q68" s="36" t="str">
        <f t="shared" ca="1" si="19"/>
        <v>3150*1700*900</v>
      </c>
      <c r="R68" s="36" t="str">
        <f t="shared" ca="1" si="20"/>
        <v>2000*1250*300</v>
      </c>
      <c r="S68" s="34" t="str">
        <f>VLOOKUP(O68,ОТТС!$A$2:$B$3,2,0)</f>
        <v>ТС KZ Е-KZ.0317.00251 от 28.02.2023</v>
      </c>
      <c r="T68" s="39">
        <v>440000</v>
      </c>
      <c r="U68" s="36" t="str">
        <f t="shared" si="29"/>
        <v>Кокшетау</v>
      </c>
    </row>
    <row r="69" spans="1:21" ht="13.2">
      <c r="A69" s="34">
        <v>1229</v>
      </c>
      <c r="B69" s="35">
        <f>VLOOKUP(A69,'Реестр договоров'!$A$2:$D$298,2,0)</f>
        <v>45484</v>
      </c>
      <c r="C69" s="36" t="str">
        <f t="shared" si="21"/>
        <v>Жакупов</v>
      </c>
      <c r="D69" s="36" t="str">
        <f t="shared" si="22"/>
        <v>Валихан</v>
      </c>
      <c r="E69" s="36" t="str">
        <f t="shared" si="23"/>
        <v>Жумабекович</v>
      </c>
      <c r="F69" s="36" t="str">
        <f t="shared" si="24"/>
        <v>040389962</v>
      </c>
      <c r="G69" s="37">
        <f>VLOOKUP(F69,Покупатели!$F$2:$N$762,2,0)</f>
        <v>42362</v>
      </c>
      <c r="H69" s="36" t="str">
        <f>VLOOKUP(F69,Покупатели!$F$2:$N$762,3,0)</f>
        <v>МВД РК</v>
      </c>
      <c r="I69" s="36">
        <f>VLOOKUP(C69,Покупатели!$C$2:$M$805,7,0)</f>
        <v>790521302140</v>
      </c>
      <c r="J69" s="36" t="str">
        <f ca="1">IFERROR(__xludf.DUMMYFUNCTION("JOIN("" "", VLOOKUP(C69,Покупатели,8,0),VLOOKUP(C69,Покупатели,9,0),VLOOKUP(C69,Покупатели,10,0),VLOOKUP(C69,Покупатели,11,0))"),"Акмолинская область г. Атбасар ул. Лукобелаж 39/1")</f>
        <v>Акмолинская область г. Атбасар ул. Лукобелаж 39/1</v>
      </c>
      <c r="K69" s="36">
        <f t="shared" si="25"/>
        <v>87775198432</v>
      </c>
      <c r="L69" s="36" t="str">
        <f t="shared" si="26"/>
        <v>MX4000002R0001670</v>
      </c>
      <c r="M69" s="36" t="str">
        <f t="shared" ca="1" si="18"/>
        <v>002-2013E50Q13-OK30</v>
      </c>
      <c r="N69" s="36" t="str">
        <f t="shared" si="30"/>
        <v>Прицеп 2,0*1,25 м  (до 750 кг.)</v>
      </c>
      <c r="O69" s="36" t="str">
        <f t="shared" si="27"/>
        <v>1 ось</v>
      </c>
      <c r="P69" s="36">
        <f t="shared" si="28"/>
        <v>2024</v>
      </c>
      <c r="Q69" s="36" t="str">
        <f t="shared" ca="1" si="19"/>
        <v>3150*1700*1070</v>
      </c>
      <c r="R69" s="36" t="str">
        <f t="shared" ca="1" si="20"/>
        <v>2000*1250*500</v>
      </c>
      <c r="S69" s="34" t="str">
        <f>VLOOKUP(O69,ОТТС!$A$2:$B$3,2,0)</f>
        <v>ТС KZ Е-KZ.0317.00251 от 28.02.2023</v>
      </c>
      <c r="T69" s="38">
        <v>350000</v>
      </c>
      <c r="U69" s="36" t="str">
        <f t="shared" si="29"/>
        <v>Кокшетау</v>
      </c>
    </row>
    <row r="70" spans="1:21" ht="13.2">
      <c r="A70" s="34">
        <v>1230</v>
      </c>
      <c r="B70" s="35">
        <f>VLOOKUP(A70,'Реестр договоров'!$A$2:$D$298,2,0)</f>
        <v>45485</v>
      </c>
      <c r="C70" s="36" t="str">
        <f t="shared" si="21"/>
        <v>Досболов</v>
      </c>
      <c r="D70" s="36" t="str">
        <f t="shared" si="22"/>
        <v>Муслим</v>
      </c>
      <c r="E70" s="36" t="str">
        <f t="shared" si="23"/>
        <v>Шабденұлы</v>
      </c>
      <c r="F70" s="36" t="str">
        <f t="shared" si="24"/>
        <v>038534703</v>
      </c>
      <c r="G70" s="37">
        <f>VLOOKUP(F70,Покупатели!$F$2:$N$762,2,0)</f>
        <v>42249</v>
      </c>
      <c r="H70" s="36" t="str">
        <f>VLOOKUP(F70,Покупатели!$F$2:$N$762,3,0)</f>
        <v>ҚР ІІМ</v>
      </c>
      <c r="I70" s="36">
        <f>VLOOKUP(C70,Покупатели!$C$2:$M$805,7,0)</f>
        <v>770215301244</v>
      </c>
      <c r="J70" s="36" t="str">
        <f ca="1">IFERROR(__xludf.DUMMYFUNCTION("JOIN("" "", VLOOKUP(C70,Покупатели,8,0),VLOOKUP(C70,Покупатели,9,0),VLOOKUP(C70,Покупатели,10,0),VLOOKUP(C70,Покупатели,11,0))"),"Алматинская обл. г.Конаев ул.Илийская д.30")</f>
        <v>Алматинская обл. г.Конаев ул.Илийская д.30</v>
      </c>
      <c r="K70" s="36">
        <f t="shared" si="25"/>
        <v>87012993389</v>
      </c>
      <c r="L70" s="36" t="str">
        <f t="shared" si="26"/>
        <v>MX4000002R0001470</v>
      </c>
      <c r="M70" s="36" t="str">
        <f t="shared" ca="1" si="18"/>
        <v>002-2013E50Q13-OK</v>
      </c>
      <c r="N70" s="36" t="str">
        <f t="shared" si="30"/>
        <v>Прицеп 2,0*1,25 м  (до 750 кг.)</v>
      </c>
      <c r="O70" s="36" t="str">
        <f t="shared" si="27"/>
        <v>1 ось</v>
      </c>
      <c r="P70" s="36">
        <f t="shared" si="28"/>
        <v>2024</v>
      </c>
      <c r="Q70" s="36" t="str">
        <f t="shared" ca="1" si="19"/>
        <v>3150*1700*1070</v>
      </c>
      <c r="R70" s="36" t="str">
        <f t="shared" ca="1" si="20"/>
        <v>2000*1250*500</v>
      </c>
      <c r="S70" s="34" t="str">
        <f>VLOOKUP(O70,ОТТС!$A$2:$B$3,2,0)</f>
        <v>ТС KZ Е-KZ.0317.00251 от 28.02.2023</v>
      </c>
      <c r="T70" s="39">
        <v>380000</v>
      </c>
      <c r="U70" s="36" t="str">
        <f t="shared" si="29"/>
        <v>Алматы</v>
      </c>
    </row>
    <row r="71" spans="1:21" ht="13.2">
      <c r="A71" s="34">
        <v>1231</v>
      </c>
      <c r="B71" s="35">
        <f>VLOOKUP(A71,'Реестр договоров'!$A$2:$D$298,2,0)</f>
        <v>45485</v>
      </c>
      <c r="C71" s="36" t="str">
        <f t="shared" si="21"/>
        <v>Веретенников</v>
      </c>
      <c r="D71" s="36" t="str">
        <f t="shared" si="22"/>
        <v>Николай</v>
      </c>
      <c r="E71" s="36" t="str">
        <f t="shared" si="23"/>
        <v>Викторович</v>
      </c>
      <c r="F71" s="36" t="str">
        <f t="shared" si="24"/>
        <v>049794021</v>
      </c>
      <c r="G71" s="37">
        <f>VLOOKUP(F71,Покупатели!$F$2:$N$762,2,0)</f>
        <v>44557</v>
      </c>
      <c r="H71" s="36" t="str">
        <f>VLOOKUP(F71,Покупатели!$F$2:$N$762,3,0)</f>
        <v>МВД РК</v>
      </c>
      <c r="I71" s="36">
        <f>VLOOKUP(C71,Покупатели!$C$2:$M$805,7,0)</f>
        <v>670204302152</v>
      </c>
      <c r="J71" s="36" t="str">
        <f ca="1">IFERROR(__xludf.DUMMYFUNCTION("JOIN("" "", VLOOKUP(C71,Покупатели,8,0),VLOOKUP(C71,Покупатели,9,0),VLOOKUP(C71,Покупатели,10,0),VLOOKUP(C71,Покупатели,11,0))"),"Алматинская обл. Илийский р-н, пос.Бурундай ул.Устаздар д.4А")</f>
        <v>Алматинская обл. Илийский р-н, пос.Бурундай ул.Устаздар д.4А</v>
      </c>
      <c r="K71" s="36">
        <f t="shared" si="25"/>
        <v>87714078351</v>
      </c>
      <c r="L71" s="36" t="str">
        <f t="shared" si="26"/>
        <v>MX4000002R0001472</v>
      </c>
      <c r="M71" s="36" t="str">
        <f t="shared" ca="1" si="18"/>
        <v>002-2013E50Q13-OK</v>
      </c>
      <c r="N71" s="36" t="str">
        <f t="shared" si="30"/>
        <v>Прицеп 2,0*1,25 м  (до 750 кг.)</v>
      </c>
      <c r="O71" s="36" t="str">
        <f t="shared" si="27"/>
        <v>1 ось</v>
      </c>
      <c r="P71" s="36">
        <f t="shared" si="28"/>
        <v>2024</v>
      </c>
      <c r="Q71" s="36" t="str">
        <f t="shared" ca="1" si="19"/>
        <v>3150*1700*1070</v>
      </c>
      <c r="R71" s="36" t="str">
        <f t="shared" ca="1" si="20"/>
        <v>2000*1250*500</v>
      </c>
      <c r="S71" s="34" t="str">
        <f>VLOOKUP(O71,ОТТС!$A$2:$B$3,2,0)</f>
        <v>ТС KZ Е-KZ.0317.00251 от 28.02.2023</v>
      </c>
      <c r="T71" s="39">
        <v>380000</v>
      </c>
      <c r="U71" s="36" t="str">
        <f t="shared" si="29"/>
        <v>Алматы</v>
      </c>
    </row>
    <row r="72" spans="1:21" ht="13.2">
      <c r="A72" s="34">
        <v>1233</v>
      </c>
      <c r="B72" s="35">
        <f>VLOOKUP(A72,'Реестр договоров'!$A$2:$D$298,2,0)</f>
        <v>45488</v>
      </c>
      <c r="C72" s="36" t="str">
        <f t="shared" si="21"/>
        <v>Тимкина</v>
      </c>
      <c r="D72" s="36" t="str">
        <f t="shared" si="22"/>
        <v>Ольга</v>
      </c>
      <c r="E72" s="36" t="str">
        <f t="shared" si="23"/>
        <v>Викторовна</v>
      </c>
      <c r="F72" s="36" t="str">
        <f t="shared" si="24"/>
        <v>037265241</v>
      </c>
      <c r="G72" s="37">
        <f>VLOOKUP(F72,Покупатели!$F$2:$N$762,2,0)</f>
        <v>41969</v>
      </c>
      <c r="H72" s="36" t="str">
        <f>VLOOKUP(F72,Покупатели!$F$2:$N$762,3,0)</f>
        <v>МВД РК</v>
      </c>
      <c r="I72" s="36">
        <f>VLOOKUP(C72,Покупатели!$C$2:$M$805,7,0)</f>
        <v>691129402455</v>
      </c>
      <c r="J72" s="36" t="str">
        <f ca="1">IFERROR(__xludf.DUMMYFUNCTION("JOIN("" "", VLOOKUP(C72,Покупатели,8,0),VLOOKUP(C72,Покупатели,9,0),VLOOKUP(C72,Покупатели,10,0),VLOOKUP(C72,Покупатели,11,0))"),"Алматинская обл. Жамбылский р-н, с.Узынагаш ул.Азербаева д.30")</f>
        <v>Алматинская обл. Жамбылский р-н, с.Узынагаш ул.Азербаева д.30</v>
      </c>
      <c r="K72" s="36">
        <f t="shared" si="25"/>
        <v>87078776892</v>
      </c>
      <c r="L72" s="36" t="str">
        <f t="shared" si="26"/>
        <v>MX4000002R0001622</v>
      </c>
      <c r="M72" s="36" t="str">
        <f t="shared" ca="1" si="18"/>
        <v>002-2513E50Q13-OK</v>
      </c>
      <c r="N72" s="36" t="str">
        <f t="shared" si="30"/>
        <v>Прицеп 2,5*1,25 м  (до 750 кг.)</v>
      </c>
      <c r="O72" s="36" t="str">
        <f t="shared" si="27"/>
        <v>1 ось</v>
      </c>
      <c r="P72" s="36">
        <f t="shared" si="28"/>
        <v>2024</v>
      </c>
      <c r="Q72" s="36" t="str">
        <f t="shared" ca="1" si="19"/>
        <v>3650*1700*1070</v>
      </c>
      <c r="R72" s="36" t="str">
        <f t="shared" ca="1" si="20"/>
        <v>2500*1250*500</v>
      </c>
      <c r="S72" s="34" t="str">
        <f>VLOOKUP(O72,ОТТС!$A$2:$B$3,2,0)</f>
        <v>ТС KZ Е-KZ.0317.00251 от 28.02.2023</v>
      </c>
      <c r="T72" s="39">
        <v>370000</v>
      </c>
      <c r="U72" s="36" t="str">
        <f t="shared" si="29"/>
        <v>Алматы</v>
      </c>
    </row>
    <row r="73" spans="1:21" ht="13.2">
      <c r="A73" s="34">
        <v>1234</v>
      </c>
      <c r="B73" s="35">
        <f>VLOOKUP(A73,'Реестр договоров'!$A$2:$D$298,2,0)</f>
        <v>45489</v>
      </c>
      <c r="C73" s="36" t="str">
        <f t="shared" si="21"/>
        <v>Джунуспеков</v>
      </c>
      <c r="D73" s="36" t="str">
        <f t="shared" si="22"/>
        <v>Серик</v>
      </c>
      <c r="E73" s="36" t="str">
        <f t="shared" si="23"/>
        <v>Ахметович</v>
      </c>
      <c r="F73" s="36" t="str">
        <f t="shared" si="24"/>
        <v>044734838</v>
      </c>
      <c r="G73" s="37">
        <f>VLOOKUP(F73,Покупатели!$F$2:$N$762,2,0)</f>
        <v>43320</v>
      </c>
      <c r="H73" s="36" t="str">
        <f>VLOOKUP(F73,Покупатели!$F$2:$N$762,3,0)</f>
        <v>МВД РК</v>
      </c>
      <c r="I73" s="36">
        <f>VLOOKUP(C73,Покупатели!$C$2:$M$805,7,0)</f>
        <v>730827350341</v>
      </c>
      <c r="J73" s="36" t="str">
        <f ca="1">IFERROR(__xludf.DUMMYFUNCTION("JOIN("" "", VLOOKUP(C73,Покупатели,8,0),VLOOKUP(C73,Покупатели,9,0),VLOOKUP(C73,Покупатели,10,0),VLOOKUP(C73,Покупатели,11,0))"),"Акмолинская обл. г.Ерементау ул.Мукатова д.1")</f>
        <v>Акмолинская обл. г.Ерементау ул.Мукатова д.1</v>
      </c>
      <c r="K73" s="36">
        <f t="shared" si="25"/>
        <v>87774953031</v>
      </c>
      <c r="L73" s="36" t="str">
        <f t="shared" si="26"/>
        <v>MX4000002R0001672</v>
      </c>
      <c r="M73" s="36" t="str">
        <f t="shared" ca="1" si="18"/>
        <v>002-2013E50Q13-OK</v>
      </c>
      <c r="N73" s="36" t="str">
        <f t="shared" si="30"/>
        <v>Прицеп 2,0*1,25 м  (до 750 кг.)</v>
      </c>
      <c r="O73" s="36" t="str">
        <f t="shared" si="27"/>
        <v>1 ось</v>
      </c>
      <c r="P73" s="36">
        <f t="shared" si="28"/>
        <v>2024</v>
      </c>
      <c r="Q73" s="36" t="str">
        <f t="shared" ca="1" si="19"/>
        <v>3150*1700*1070</v>
      </c>
      <c r="R73" s="36" t="str">
        <f t="shared" ca="1" si="20"/>
        <v>2000*1250*500</v>
      </c>
      <c r="S73" s="34" t="str">
        <f>VLOOKUP(O73,ОТТС!$A$2:$B$3,2,0)</f>
        <v>ТС KZ Е-KZ.0317.00251 от 28.02.2023</v>
      </c>
      <c r="T73" s="38">
        <v>450000</v>
      </c>
      <c r="U73" s="36" t="str">
        <f t="shared" si="29"/>
        <v>Астана</v>
      </c>
    </row>
    <row r="74" spans="1:21" ht="13.2">
      <c r="A74" s="34">
        <v>1235</v>
      </c>
      <c r="B74" s="35">
        <f>VLOOKUP(A74,'Реестр договоров'!$A$2:$D$298,2,0)</f>
        <v>45489</v>
      </c>
      <c r="C74" s="36" t="str">
        <f t="shared" si="21"/>
        <v>Жакаев</v>
      </c>
      <c r="D74" s="36" t="str">
        <f t="shared" si="22"/>
        <v>Дулат</v>
      </c>
      <c r="E74" s="36" t="str">
        <f t="shared" si="23"/>
        <v>Урикович</v>
      </c>
      <c r="F74" s="36" t="str">
        <f t="shared" si="24"/>
        <v>045260008</v>
      </c>
      <c r="G74" s="37">
        <f>VLOOKUP(F74,Покупатели!$F$2:$N$762,2,0)</f>
        <v>43458</v>
      </c>
      <c r="H74" s="36" t="str">
        <f>VLOOKUP(F74,Покупатели!$F$2:$N$762,3,0)</f>
        <v>МВД РК</v>
      </c>
      <c r="I74" s="36">
        <f>VLOOKUP(C74,Покупатели!$C$2:$M$805,7,0)</f>
        <v>770510350147</v>
      </c>
      <c r="J74" s="36" t="str">
        <f ca="1">IFERROR(__xludf.DUMMYFUNCTION("JOIN("" "", VLOOKUP(C74,Покупатели,8,0),VLOOKUP(C74,Покупатели,9,0),VLOOKUP(C74,Покупатели,10,0),VLOOKUP(C74,Покупатели,11,0))"),"г.Астана р-н Алматы ул.Жумабаева д.9/2, кв.40")</f>
        <v>г.Астана р-н Алматы ул.Жумабаева д.9/2, кв.40</v>
      </c>
      <c r="K74" s="36">
        <f t="shared" si="25"/>
        <v>87056317256</v>
      </c>
      <c r="L74" s="36" t="str">
        <f t="shared" si="26"/>
        <v>MX4000002R0001675</v>
      </c>
      <c r="M74" s="36" t="str">
        <f t="shared" ca="1" si="18"/>
        <v>002-2013E50Q13-OK</v>
      </c>
      <c r="N74" s="36" t="str">
        <f t="shared" si="30"/>
        <v>Прицеп 2,0*1,25 м  (до 750 кг.)</v>
      </c>
      <c r="O74" s="36" t="str">
        <f t="shared" si="27"/>
        <v>1 ось</v>
      </c>
      <c r="P74" s="36">
        <f t="shared" si="28"/>
        <v>2024</v>
      </c>
      <c r="Q74" s="36" t="str">
        <f t="shared" ca="1" si="19"/>
        <v>3150*1700*1070</v>
      </c>
      <c r="R74" s="36" t="str">
        <f t="shared" ca="1" si="20"/>
        <v>2000*1250*500</v>
      </c>
      <c r="S74" s="34" t="str">
        <f>VLOOKUP(O74,ОТТС!$A$2:$B$3,2,0)</f>
        <v>ТС KZ Е-KZ.0317.00251 от 28.02.2023</v>
      </c>
      <c r="T74" s="39">
        <v>390000</v>
      </c>
      <c r="U74" s="36" t="str">
        <f t="shared" si="29"/>
        <v>Астана</v>
      </c>
    </row>
    <row r="75" spans="1:21" ht="13.2">
      <c r="A75" s="34">
        <v>1236</v>
      </c>
      <c r="B75" s="35">
        <f>VLOOKUP(A75,'Реестр договоров'!$A$2:$D$298,2,0)</f>
        <v>45491</v>
      </c>
      <c r="C75" s="36" t="str">
        <f t="shared" si="21"/>
        <v>Казиханов</v>
      </c>
      <c r="D75" s="36" t="str">
        <f t="shared" si="22"/>
        <v>Тасбулат</v>
      </c>
      <c r="E75" s="36" t="str">
        <f t="shared" si="23"/>
        <v>Таупбекович</v>
      </c>
      <c r="F75" s="36" t="str">
        <f t="shared" si="24"/>
        <v>054371240</v>
      </c>
      <c r="G75" s="37">
        <f>VLOOKUP(F75,Покупатели!$F$2:$N$762,2,0)</f>
        <v>44935</v>
      </c>
      <c r="H75" s="36" t="str">
        <f>VLOOKUP(F75,Покупатели!$F$2:$N$762,3,0)</f>
        <v>МВД РК</v>
      </c>
      <c r="I75" s="36">
        <f>VLOOKUP(C75,Покупатели!$C$2:$M$805,7,0)</f>
        <v>961216350469</v>
      </c>
      <c r="J75" s="36" t="str">
        <f ca="1">IFERROR(__xludf.DUMMYFUNCTION("JOIN("" "", VLOOKUP(C75,Покупатели,8,0),VLOOKUP(C75,Покупатели,9,0),VLOOKUP(C75,Покупатели,10,0),VLOOKUP(C75,Покупатели,11,0))"),"г.Астана р-н Алматы ул.Тауелсиздик д.12/1 кв.28")</f>
        <v>г.Астана р-н Алматы ул.Тауелсиздик д.12/1 кв.28</v>
      </c>
      <c r="K75" s="36">
        <f t="shared" si="25"/>
        <v>87082146316</v>
      </c>
      <c r="L75" s="36" t="str">
        <f t="shared" si="26"/>
        <v>MX4000002R0001682</v>
      </c>
      <c r="M75" s="36" t="str">
        <f t="shared" ca="1" si="18"/>
        <v>002-2013E50Q13-OK</v>
      </c>
      <c r="N75" s="36" t="str">
        <f t="shared" si="30"/>
        <v>Прицеп 2,0*1,25 м  (до 750 кг.)</v>
      </c>
      <c r="O75" s="36" t="str">
        <f t="shared" si="27"/>
        <v>1 ось</v>
      </c>
      <c r="P75" s="36">
        <f t="shared" si="28"/>
        <v>2024</v>
      </c>
      <c r="Q75" s="36" t="str">
        <f t="shared" ca="1" si="19"/>
        <v>3150*1700*1070</v>
      </c>
      <c r="R75" s="36" t="str">
        <f t="shared" ca="1" si="20"/>
        <v>2000*1250*500</v>
      </c>
      <c r="S75" s="34" t="str">
        <f>VLOOKUP(O75,ОТТС!$A$2:$B$3,2,0)</f>
        <v>ТС KZ Е-KZ.0317.00251 от 28.02.2023</v>
      </c>
      <c r="T75" s="39">
        <v>380000</v>
      </c>
      <c r="U75" s="36" t="str">
        <f t="shared" si="29"/>
        <v>Астана</v>
      </c>
    </row>
    <row r="76" spans="1:21" ht="13.2">
      <c r="A76" s="34">
        <v>1237</v>
      </c>
      <c r="B76" s="35">
        <f>VLOOKUP(A76,'Реестр договоров'!$A$2:$D$298,2,0)</f>
        <v>45491</v>
      </c>
      <c r="C76" s="36" t="str">
        <f t="shared" si="21"/>
        <v>Кобжасаров</v>
      </c>
      <c r="D76" s="36" t="str">
        <f t="shared" si="22"/>
        <v>Асет</v>
      </c>
      <c r="E76" s="36" t="str">
        <f t="shared" si="23"/>
        <v>Оразбекович</v>
      </c>
      <c r="F76" s="36" t="str">
        <f t="shared" si="24"/>
        <v>056052474</v>
      </c>
      <c r="G76" s="37">
        <f>VLOOKUP(F76,Покупатели!$F$2:$N$762,2,0)</f>
        <v>45141</v>
      </c>
      <c r="H76" s="36" t="str">
        <f>VLOOKUP(F76,Покупатели!$F$2:$N$762,3,0)</f>
        <v>МВД РК</v>
      </c>
      <c r="I76" s="36">
        <f>VLOOKUP(C76,Покупатели!$C$2:$M$805,7,0)</f>
        <v>840512351042</v>
      </c>
      <c r="J76" s="36" t="str">
        <f ca="1">IFERROR(__xludf.DUMMYFUNCTION("JOIN("" "", VLOOKUP(C76,Покупатели,8,0),VLOOKUP(C76,Покупатели,9,0),VLOOKUP(C76,Покупатели,10,0),VLOOKUP(C76,Покупатели,11,0))"),"СКО р-н им. Габита Мусрепова, с Рузаевка ул. Степная 42/1")</f>
        <v>СКО р-н им. Габита Мусрепова, с Рузаевка ул. Степная 42/1</v>
      </c>
      <c r="K76" s="36">
        <f t="shared" si="25"/>
        <v>87018186335</v>
      </c>
      <c r="L76" s="36" t="str">
        <f t="shared" si="26"/>
        <v>MX4000002R0001661</v>
      </c>
      <c r="M76" s="36" t="str">
        <f t="shared" ca="1" si="18"/>
        <v>002-2013E50Q13-OK30</v>
      </c>
      <c r="N76" s="36" t="str">
        <f t="shared" si="30"/>
        <v>Прицеп 2,0*1,25 м  (до 750 кг.)</v>
      </c>
      <c r="O76" s="36" t="str">
        <f t="shared" si="27"/>
        <v>1 ось</v>
      </c>
      <c r="P76" s="36">
        <f t="shared" si="28"/>
        <v>2024</v>
      </c>
      <c r="Q76" s="36" t="str">
        <f t="shared" ca="1" si="19"/>
        <v>3150*1700*1070</v>
      </c>
      <c r="R76" s="36" t="str">
        <f t="shared" ca="1" si="20"/>
        <v>2000*1250*500</v>
      </c>
      <c r="S76" s="34" t="str">
        <f>VLOOKUP(O76,ОТТС!$A$2:$B$3,2,0)</f>
        <v>ТС KZ Е-KZ.0317.00251 от 28.02.2023</v>
      </c>
      <c r="T76" s="38">
        <v>380000</v>
      </c>
      <c r="U76" s="36" t="str">
        <f t="shared" si="29"/>
        <v>Кокшетау</v>
      </c>
    </row>
    <row r="77" spans="1:21" ht="13.2">
      <c r="A77" s="34">
        <v>1238</v>
      </c>
      <c r="B77" s="35">
        <f>VLOOKUP(A77,'Реестр договоров'!$A$2:$D$298,2,0)</f>
        <v>45491</v>
      </c>
      <c r="C77" s="36" t="str">
        <f t="shared" si="21"/>
        <v>Токтагулов</v>
      </c>
      <c r="D77" s="36" t="str">
        <f t="shared" si="22"/>
        <v>Даурен</v>
      </c>
      <c r="E77" s="36" t="str">
        <f t="shared" si="23"/>
        <v>Токтагулулы</v>
      </c>
      <c r="F77" s="36" t="str">
        <f t="shared" si="24"/>
        <v>021484601</v>
      </c>
      <c r="G77" s="37">
        <f>VLOOKUP(F77,Покупатели!$F$2:$N$762,2,0)</f>
        <v>39379</v>
      </c>
      <c r="H77" s="36" t="str">
        <f>VLOOKUP(F77,Покупатели!$F$2:$N$762,3,0)</f>
        <v>МЮ РК</v>
      </c>
      <c r="I77" s="36">
        <f>VLOOKUP(C77,Покупатели!$C$2:$M$805,7,0)</f>
        <v>820612301006</v>
      </c>
      <c r="J77" s="36" t="str">
        <f ca="1">IFERROR(__xludf.DUMMYFUNCTION("JOIN("" "", VLOOKUP(C77,Покупатели,8,0),VLOOKUP(C77,Покупатели,9,0),VLOOKUP(C77,Покупатели,10,0),VLOOKUP(C77,Покупатели,11,0))"),"г.Алматы Турксибский р-н ул.Кызылординская д.4/1")</f>
        <v>г.Алматы Турксибский р-н ул.Кызылординская д.4/1</v>
      </c>
      <c r="K77" s="36">
        <f t="shared" si="25"/>
        <v>87762230282</v>
      </c>
      <c r="L77" s="36" t="str">
        <f t="shared" si="26"/>
        <v>MX4000002R0001467</v>
      </c>
      <c r="M77" s="36" t="str">
        <f t="shared" ca="1" si="18"/>
        <v>002-2013E30Q13-OK30</v>
      </c>
      <c r="N77" s="36" t="str">
        <f t="shared" si="30"/>
        <v>Прицеп 2,0*1,25 м  (до 750 кг.)</v>
      </c>
      <c r="O77" s="36" t="str">
        <f t="shared" si="27"/>
        <v>1 ось</v>
      </c>
      <c r="P77" s="36">
        <f t="shared" si="28"/>
        <v>2024</v>
      </c>
      <c r="Q77" s="36" t="str">
        <f t="shared" ca="1" si="19"/>
        <v>3150*1700*900</v>
      </c>
      <c r="R77" s="36" t="str">
        <f t="shared" ca="1" si="20"/>
        <v>2000*1250*300</v>
      </c>
      <c r="S77" s="34" t="str">
        <f>VLOOKUP(O77,ОТТС!$A$2:$B$3,2,0)</f>
        <v>ТС KZ Е-KZ.0317.00251 от 28.02.2023</v>
      </c>
      <c r="T77" s="38">
        <v>390000</v>
      </c>
      <c r="U77" s="36" t="str">
        <f t="shared" si="29"/>
        <v>Алматы</v>
      </c>
    </row>
    <row r="78" spans="1:21" ht="13.2">
      <c r="A78" s="34">
        <v>1239</v>
      </c>
      <c r="B78" s="35">
        <f>VLOOKUP(A78,'Реестр договоров'!$A$2:$D$298,2,0)</f>
        <v>45492</v>
      </c>
      <c r="C78" s="36" t="str">
        <f t="shared" si="21"/>
        <v>Кальтенбергер</v>
      </c>
      <c r="D78" s="36" t="str">
        <f t="shared" si="22"/>
        <v>Александр</v>
      </c>
      <c r="E78" s="36" t="str">
        <f t="shared" si="23"/>
        <v>Викторович</v>
      </c>
      <c r="F78" s="36" t="str">
        <f t="shared" si="24"/>
        <v>054705124</v>
      </c>
      <c r="G78" s="37">
        <f>VLOOKUP(F78,Покупатели!$F$2:$N$762,2,0)</f>
        <v>44964</v>
      </c>
      <c r="H78" s="36" t="str">
        <f>VLOOKUP(F78,Покупатели!$F$2:$N$762,3,0)</f>
        <v>МВД РК</v>
      </c>
      <c r="I78" s="36">
        <f>VLOOKUP(C78,Покупатели!$C$2:$M$805,7,0)</f>
        <v>970125350851</v>
      </c>
      <c r="J78" s="36" t="str">
        <f ca="1">IFERROR(__xludf.DUMMYFUNCTION("JOIN("" "", VLOOKUP(C78,Покупатели,8,0),VLOOKUP(C78,Покупатели,9,0),VLOOKUP(C78,Покупатели,10,0),VLOOKUP(C78,Покупатели,11,0))"),"СКО Уалихановский район, село Кишкенеколь ул. Сейфулина 32")</f>
        <v>СКО Уалихановский район, село Кишкенеколь ул. Сейфулина 32</v>
      </c>
      <c r="K78" s="36">
        <f t="shared" si="25"/>
        <v>87054053900</v>
      </c>
      <c r="L78" s="36" t="str">
        <f t="shared" si="26"/>
        <v>MX4000002R0001667</v>
      </c>
      <c r="M78" s="36" t="str">
        <f t="shared" ca="1" si="18"/>
        <v>002-2013E50Q13-OK</v>
      </c>
      <c r="N78" s="36" t="str">
        <f t="shared" si="30"/>
        <v>Прицеп 2,0*1,25 м  (до 750 кг.)</v>
      </c>
      <c r="O78" s="36" t="str">
        <f t="shared" si="27"/>
        <v>1 ось</v>
      </c>
      <c r="P78" s="36">
        <f t="shared" si="28"/>
        <v>2024</v>
      </c>
      <c r="Q78" s="36" t="str">
        <f t="shared" ca="1" si="19"/>
        <v>3150*1700*1070</v>
      </c>
      <c r="R78" s="36" t="str">
        <f t="shared" ca="1" si="20"/>
        <v>2000*1250*500</v>
      </c>
      <c r="S78" s="34" t="str">
        <f>VLOOKUP(O78,ОТТС!$A$2:$B$3,2,0)</f>
        <v>ТС KZ Е-KZ.0317.00251 от 28.02.2023</v>
      </c>
      <c r="T78" s="39">
        <v>380000</v>
      </c>
      <c r="U78" s="36" t="str">
        <f t="shared" si="29"/>
        <v>Кокшетау</v>
      </c>
    </row>
    <row r="79" spans="1:21" ht="13.2">
      <c r="A79" s="34">
        <v>1240</v>
      </c>
      <c r="B79" s="35">
        <f>VLOOKUP(A79,'Реестр договоров'!$A$2:$D$298,2,0)</f>
        <v>45492</v>
      </c>
      <c r="C79" s="36" t="str">
        <f t="shared" si="21"/>
        <v>Ли</v>
      </c>
      <c r="D79" s="36" t="str">
        <f t="shared" si="22"/>
        <v>Вадим</v>
      </c>
      <c r="E79" s="36" t="str">
        <f t="shared" si="23"/>
        <v>Николаевич</v>
      </c>
      <c r="F79" s="36" t="str">
        <f t="shared" si="24"/>
        <v>045459103</v>
      </c>
      <c r="G79" s="37">
        <f>VLOOKUP(F79,Покупатели!$F$2:$N$762,2,0)</f>
        <v>43810</v>
      </c>
      <c r="H79" s="36" t="str">
        <f>VLOOKUP(F79,Покупатели!$F$2:$N$762,3,0)</f>
        <v>МВД РК</v>
      </c>
      <c r="I79" s="36">
        <f>VLOOKUP(C79,Покупатели!$C$2:$M$805,7,0)</f>
        <v>750706302159</v>
      </c>
      <c r="J79" s="36" t="str">
        <f ca="1">IFERROR(__xludf.DUMMYFUNCTION("JOIN("" "", VLOOKUP(C79,Покупатели,8,0),VLOOKUP(C79,Покупатели,9,0),VLOOKUP(C79,Покупатели,10,0),VLOOKUP(C79,Покупатели,11,0))"),"Алматинская обл. г.Талдыкорган ул.Аксуйская д.9, кв.2")</f>
        <v>Алматинская обл. г.Талдыкорган ул.Аксуйская д.9, кв.2</v>
      </c>
      <c r="K79" s="36">
        <f t="shared" si="25"/>
        <v>87075009091</v>
      </c>
      <c r="L79" s="36" t="str">
        <f t="shared" si="26"/>
        <v>MX4000002R0001469</v>
      </c>
      <c r="M79" s="36" t="str">
        <f t="shared" ca="1" si="18"/>
        <v>002-2013E50Q13-OK</v>
      </c>
      <c r="N79" s="36" t="str">
        <f t="shared" si="30"/>
        <v>Прицеп 2,0*1,25 м  (до 750 кг.)</v>
      </c>
      <c r="O79" s="36" t="str">
        <f t="shared" si="27"/>
        <v>1 ось</v>
      </c>
      <c r="P79" s="36">
        <f t="shared" si="28"/>
        <v>2024</v>
      </c>
      <c r="Q79" s="36" t="str">
        <f t="shared" ca="1" si="19"/>
        <v>3150*1700*1070</v>
      </c>
      <c r="R79" s="36" t="str">
        <f t="shared" ca="1" si="20"/>
        <v>2000*1250*500</v>
      </c>
      <c r="S79" s="34" t="str">
        <f>VLOOKUP(O79,ОТТС!$A$2:$B$3,2,0)</f>
        <v>ТС KZ Е-KZ.0317.00251 от 28.02.2023</v>
      </c>
      <c r="T79" s="39">
        <v>360000</v>
      </c>
      <c r="U79" s="36" t="str">
        <f t="shared" si="29"/>
        <v>Алматы</v>
      </c>
    </row>
    <row r="80" spans="1:21" ht="13.2">
      <c r="A80" s="34">
        <v>1241</v>
      </c>
      <c r="B80" s="35">
        <f>VLOOKUP(A80,'Реестр договоров'!$A$2:$D$298,2,0)</f>
        <v>45496</v>
      </c>
      <c r="C80" s="36" t="str">
        <f t="shared" si="21"/>
        <v xml:space="preserve">Кондратьев </v>
      </c>
      <c r="D80" s="36" t="str">
        <f t="shared" si="22"/>
        <v>Сергей</v>
      </c>
      <c r="E80" s="36" t="str">
        <f t="shared" si="23"/>
        <v>Николаевич</v>
      </c>
      <c r="F80" s="36" t="str">
        <f t="shared" si="24"/>
        <v>057007005</v>
      </c>
      <c r="G80" s="37">
        <f>VLOOKUP(F80,Покупатели!$F$2:$N$762,2,0)</f>
        <v>45470</v>
      </c>
      <c r="H80" s="36" t="str">
        <f>VLOOKUP(F80,Покупатели!$F$2:$N$762,3,0)</f>
        <v>МВД РК</v>
      </c>
      <c r="I80" s="36">
        <f>VLOOKUP(C80,Покупатели!$C$2:$M$805,7,0)</f>
        <v>870531300840</v>
      </c>
      <c r="J80" s="36" t="str">
        <f ca="1">IFERROR(__xludf.DUMMYFUNCTION("JOIN("" "", VLOOKUP(C80,Покупатели,8,0),VLOOKUP(C80,Покупатели,9,0),VLOOKUP(C80,Покупатели,10,0),VLOOKUP(C80,Покупатели,11,0))"),"Алматинская обл. Талгарский р-н ул. Гулдана Наурызбай батыра 24")</f>
        <v>Алматинская обл. Талгарский р-н ул. Гулдана Наурызбай батыра 24</v>
      </c>
      <c r="K80" s="36">
        <f t="shared" si="25"/>
        <v>87081037831</v>
      </c>
      <c r="L80" s="36" t="str">
        <f t="shared" si="26"/>
        <v>MX4000002R0001478</v>
      </c>
      <c r="M80" s="36" t="str">
        <f t="shared" ca="1" si="18"/>
        <v>002-2013E30Q13-OK</v>
      </c>
      <c r="N80" s="36" t="str">
        <f t="shared" si="30"/>
        <v>Прицеп 2,0*1,25 м  (до 750 кг.)</v>
      </c>
      <c r="O80" s="36" t="str">
        <f t="shared" si="27"/>
        <v>1 ось</v>
      </c>
      <c r="P80" s="36">
        <f t="shared" si="28"/>
        <v>2024</v>
      </c>
      <c r="Q80" s="36" t="str">
        <f t="shared" ca="1" si="19"/>
        <v>3150*1700*900</v>
      </c>
      <c r="R80" s="36" t="str">
        <f t="shared" ca="1" si="20"/>
        <v>2000*1250*300</v>
      </c>
      <c r="S80" s="34" t="str">
        <f>VLOOKUP(O80,ОТТС!$A$2:$B$3,2,0)</f>
        <v>ТС KZ Е-KZ.0317.00251 от 28.02.2023</v>
      </c>
      <c r="T80" s="38">
        <v>380000</v>
      </c>
      <c r="U80" s="36" t="str">
        <f t="shared" si="29"/>
        <v>Алматы</v>
      </c>
    </row>
    <row r="81" spans="1:21" ht="13.2">
      <c r="A81" s="34">
        <v>1242</v>
      </c>
      <c r="B81" s="35">
        <f>VLOOKUP(A81,'Реестр договоров'!$A$2:$D$298,2,0)</f>
        <v>45496</v>
      </c>
      <c r="C81" s="36" t="str">
        <f t="shared" si="21"/>
        <v xml:space="preserve">Жаксыбаев </v>
      </c>
      <c r="D81" s="36" t="str">
        <f t="shared" si="22"/>
        <v>Магауия</v>
      </c>
      <c r="E81" s="36" t="str">
        <f t="shared" si="23"/>
        <v>Муратович</v>
      </c>
      <c r="F81" s="36" t="str">
        <f t="shared" si="24"/>
        <v>054355863</v>
      </c>
      <c r="G81" s="37">
        <f>VLOOKUP(F81,Покупатели!$F$2:$N$762,2,0)</f>
        <v>45173</v>
      </c>
      <c r="H81" s="36" t="str">
        <f>VLOOKUP(F81,Покупатели!$F$2:$N$762,3,0)</f>
        <v>МВД РК</v>
      </c>
      <c r="I81" s="36">
        <f>VLOOKUP(C81,Покупатели!$C$2:$M$805,7,0)</f>
        <v>880914301306</v>
      </c>
      <c r="J81" s="36" t="str">
        <f ca="1">IFERROR(__xludf.DUMMYFUNCTION("JOIN("" "", VLOOKUP(C81,Покупатели,8,0),VLOOKUP(C81,Покупатели,9,0),VLOOKUP(C81,Покупатели,10,0),VLOOKUP(C81,Покупатели,11,0))")," Алматы облысы Жамбыл ауданы Жандос 7")</f>
        <v xml:space="preserve"> Алматы облысы Жамбыл ауданы Жандос 7</v>
      </c>
      <c r="K81" s="36">
        <f t="shared" si="25"/>
        <v>87018196189</v>
      </c>
      <c r="L81" s="36" t="str">
        <f t="shared" si="26"/>
        <v>MX4000002R0001501</v>
      </c>
      <c r="M81" s="36" t="str">
        <f t="shared" ca="1" si="18"/>
        <v>002-2013E30Q13-OK</v>
      </c>
      <c r="N81" s="36" t="str">
        <f t="shared" si="30"/>
        <v>Прицеп 2,0*1,25 м  (до 750 кг.)</v>
      </c>
      <c r="O81" s="36" t="str">
        <f t="shared" si="27"/>
        <v>1 ось</v>
      </c>
      <c r="P81" s="36">
        <f t="shared" si="28"/>
        <v>2024</v>
      </c>
      <c r="Q81" s="36" t="str">
        <f t="shared" ca="1" si="19"/>
        <v>3150*1700*900</v>
      </c>
      <c r="R81" s="36" t="str">
        <f t="shared" ca="1" si="20"/>
        <v>2000*1250*300</v>
      </c>
      <c r="S81" s="34" t="str">
        <f>VLOOKUP(O81,ОТТС!$A$2:$B$3,2,0)</f>
        <v>ТС KZ Е-KZ.0317.00251 от 28.02.2023</v>
      </c>
      <c r="T81" s="38">
        <v>390000</v>
      </c>
      <c r="U81" s="36" t="s">
        <v>121</v>
      </c>
    </row>
    <row r="82" spans="1:21" ht="13.2">
      <c r="A82" s="34">
        <v>1243</v>
      </c>
      <c r="B82" s="35">
        <f>VLOOKUP(A82,'Реестр договоров'!$A$2:$D$298,2,0)</f>
        <v>45496</v>
      </c>
      <c r="C82" s="36" t="str">
        <f t="shared" si="21"/>
        <v>Хомидов</v>
      </c>
      <c r="D82" s="36" t="str">
        <f t="shared" si="22"/>
        <v>Жавлон</v>
      </c>
      <c r="E82" s="36" t="str">
        <f t="shared" si="23"/>
        <v>Норбоевич</v>
      </c>
      <c r="F82" s="36" t="str">
        <f t="shared" si="24"/>
        <v>056411413</v>
      </c>
      <c r="G82" s="37">
        <f>VLOOKUP(F82,Покупатели!$F$2:$N$762,2,0)</f>
        <v>45414</v>
      </c>
      <c r="H82" s="36" t="str">
        <f>VLOOKUP(F82,Покупатели!$F$2:$N$762,3,0)</f>
        <v>МВД РК</v>
      </c>
      <c r="I82" s="36">
        <f>VLOOKUP(C82,Покупатели!$C$2:$M$805,7,0)</f>
        <v>860307000147</v>
      </c>
      <c r="J82" s="36" t="str">
        <f ca="1">IFERROR(__xludf.DUMMYFUNCTION("JOIN("" "", VLOOKUP(C82,Покупатели,8,0),VLOOKUP(C82,Покупатели,9,0),VLOOKUP(C82,Покупатели,10,0),VLOOKUP(C82,Покупатели,11,0))"),"Алматинская область Илийский район, с. Байсерке Механизатор УМР д.78")</f>
        <v>Алматинская область Илийский район, с. Байсерке Механизатор УМР д.78</v>
      </c>
      <c r="K82" s="36">
        <f t="shared" si="25"/>
        <v>87073447308</v>
      </c>
      <c r="L82" s="36" t="str">
        <f t="shared" si="26"/>
        <v>MX4000002R0001477</v>
      </c>
      <c r="M82" s="36" t="str">
        <f t="shared" ref="M82:M92" ca="1" si="31">VLOOKUP(L82,ПРИЦЕПЫ,11,0)</f>
        <v>002-2013E30Q13-OK</v>
      </c>
      <c r="N82" s="36" t="str">
        <f t="shared" si="30"/>
        <v>Прицеп 2,0*1,25 м  (до 750 кг.)</v>
      </c>
      <c r="O82" s="36" t="str">
        <f t="shared" si="27"/>
        <v>1 ось</v>
      </c>
      <c r="P82" s="36">
        <f t="shared" si="28"/>
        <v>2024</v>
      </c>
      <c r="Q82" s="36" t="str">
        <f t="shared" ca="1" si="19"/>
        <v>3150*1700*900</v>
      </c>
      <c r="R82" s="36" t="str">
        <f t="shared" ca="1" si="20"/>
        <v>2000*1250*300</v>
      </c>
      <c r="S82" s="34" t="str">
        <f>VLOOKUP(O82,ОТТС!$A$2:$B$3,2,0)</f>
        <v>ТС KZ Е-KZ.0317.00251 от 28.02.2023</v>
      </c>
      <c r="T82" s="38">
        <v>440000</v>
      </c>
      <c r="U82" s="36" t="str">
        <f t="shared" ref="U82:U145" si="32">VLOOKUP(L82,ПРИЦЕПЫ,9,0)</f>
        <v>Алматы</v>
      </c>
    </row>
    <row r="83" spans="1:21" ht="13.2">
      <c r="A83" s="34">
        <v>1244</v>
      </c>
      <c r="B83" s="35">
        <f>VLOOKUP(A83,'Реестр договоров'!$A$2:$D$298,2,0)</f>
        <v>45497</v>
      </c>
      <c r="C83" s="36" t="str">
        <f t="shared" si="21"/>
        <v>Зоркальцева</v>
      </c>
      <c r="D83" s="36" t="str">
        <f t="shared" si="22"/>
        <v>Екатерина</v>
      </c>
      <c r="E83" s="36" t="str">
        <f t="shared" si="23"/>
        <v>Ивановна</v>
      </c>
      <c r="F83" s="36" t="str">
        <f t="shared" si="24"/>
        <v>056674588</v>
      </c>
      <c r="G83" s="37">
        <f>VLOOKUP(F83,Покупатели!$F$2:$N$762,2,0)</f>
        <v>45243</v>
      </c>
      <c r="H83" s="36" t="str">
        <f>VLOOKUP(F83,Покупатели!$F$2:$N$762,3,0)</f>
        <v>МВД РК</v>
      </c>
      <c r="I83" s="36">
        <f>VLOOKUP(C83,Покупатели!$C$2:$M$805,7,0)</f>
        <v>870207450305</v>
      </c>
      <c r="J83" s="36" t="str">
        <f ca="1">IFERROR(__xludf.DUMMYFUNCTION("JOIN("" "", VLOOKUP(C83,Покупатели,8,0),VLOOKUP(C83,Покупатели,9,0),VLOOKUP(C83,Покупатели,10,0),VLOOKUP(C83,Покупатели,11,0))"),"Акмолинская обл. Шортандинский р-н, пос.Шортанды ул.Лермонтова д.16 кв.15")</f>
        <v>Акмолинская обл. Шортандинский р-н, пос.Шортанды ул.Лермонтова д.16 кв.15</v>
      </c>
      <c r="K83" s="36">
        <f t="shared" si="25"/>
        <v>87784547810</v>
      </c>
      <c r="L83" s="36" t="str">
        <f t="shared" si="26"/>
        <v>MX4000002R0001693</v>
      </c>
      <c r="M83" s="36" t="str">
        <f t="shared" ca="1" si="31"/>
        <v>002-2013E50Q13-OK</v>
      </c>
      <c r="N83" s="36" t="str">
        <f t="shared" si="30"/>
        <v>Прицеп 2,0*1,25 м  (до 750 кг.)</v>
      </c>
      <c r="O83" s="36" t="str">
        <f t="shared" si="27"/>
        <v>1 ось</v>
      </c>
      <c r="P83" s="36">
        <f t="shared" si="28"/>
        <v>2024</v>
      </c>
      <c r="Q83" s="36" t="str">
        <f t="shared" ca="1" si="19"/>
        <v>3150*1700*1070</v>
      </c>
      <c r="R83" s="36" t="str">
        <f t="shared" ca="1" si="20"/>
        <v>2000*1250*500</v>
      </c>
      <c r="S83" s="34" t="str">
        <f>VLOOKUP(O83,ОТТС!$A$2:$B$3,2,0)</f>
        <v>ТС KZ Е-KZ.0317.00251 от 28.02.2023</v>
      </c>
      <c r="T83" s="39">
        <v>380000</v>
      </c>
      <c r="U83" s="36" t="str">
        <f t="shared" si="32"/>
        <v>Астана</v>
      </c>
    </row>
    <row r="84" spans="1:21" ht="13.2">
      <c r="A84" s="34">
        <v>1245</v>
      </c>
      <c r="B84" s="35">
        <f>VLOOKUP(A84,'Реестр договоров'!$A$2:$D$298,2,0)</f>
        <v>45497</v>
      </c>
      <c r="C84" s="36" t="str">
        <f t="shared" si="21"/>
        <v>Нусипов</v>
      </c>
      <c r="D84" s="36" t="str">
        <f t="shared" si="22"/>
        <v>Бакытжан</v>
      </c>
      <c r="E84" s="36" t="str">
        <f t="shared" si="23"/>
        <v>Танибергенович</v>
      </c>
      <c r="F84" s="36">
        <f t="shared" si="24"/>
        <v>0</v>
      </c>
      <c r="G84" s="37">
        <f>VLOOKUP(F84,Покупатели!$F$2:$N$762,2,0)</f>
        <v>45497</v>
      </c>
      <c r="H84" s="36" t="str">
        <f>VLOOKUP(F84,Покупатели!$F$2:$N$762,3,0)</f>
        <v>МВД РК</v>
      </c>
      <c r="I84" s="36">
        <f>VLOOKUP(C84,Покупатели!$C$2:$M$805,7,0)</f>
        <v>880220300157</v>
      </c>
      <c r="J84" s="36" t="str">
        <f ca="1">IFERROR(__xludf.DUMMYFUNCTION("JOIN("" "", VLOOKUP(C84,Покупатели,8,0),VLOOKUP(C84,Покупатели,9,0),VLOOKUP(C84,Покупатели,10,0),VLOOKUP(C84,Покупатели,11,0))"),"0 0 0 0")</f>
        <v>0 0 0 0</v>
      </c>
      <c r="K84" s="36">
        <f t="shared" si="25"/>
        <v>0</v>
      </c>
      <c r="L84" s="36" t="str">
        <f t="shared" si="26"/>
        <v>MX4000002R0001495</v>
      </c>
      <c r="M84" s="36" t="str">
        <f t="shared" ca="1" si="31"/>
        <v>002-2013E30Q13-OK</v>
      </c>
      <c r="N84" s="36" t="str">
        <f t="shared" si="30"/>
        <v>Прицеп 2,0*1,25 м  (до 750 кг.)</v>
      </c>
      <c r="O84" s="36" t="str">
        <f t="shared" si="27"/>
        <v>1 ось</v>
      </c>
      <c r="P84" s="36">
        <f t="shared" si="28"/>
        <v>2024</v>
      </c>
      <c r="Q84" s="36" t="str">
        <f t="shared" ca="1" si="19"/>
        <v>3150*1700*900</v>
      </c>
      <c r="R84" s="36" t="str">
        <f t="shared" ca="1" si="20"/>
        <v>2000*1250*300</v>
      </c>
      <c r="S84" s="34" t="str">
        <f>VLOOKUP(O84,ОТТС!$A$2:$B$3,2,0)</f>
        <v>ТС KZ Е-KZ.0317.00251 от 28.02.2023</v>
      </c>
      <c r="T84" s="38">
        <v>440000</v>
      </c>
      <c r="U84" s="36" t="str">
        <f t="shared" si="32"/>
        <v>Алматы</v>
      </c>
    </row>
    <row r="85" spans="1:21" ht="13.2">
      <c r="A85" s="34">
        <v>1246</v>
      </c>
      <c r="B85" s="35">
        <f>VLOOKUP(A85,'Реестр договоров'!$A$2:$D$298,2,0)</f>
        <v>45497</v>
      </c>
      <c r="C85" s="36" t="str">
        <f t="shared" si="21"/>
        <v>Мусалиев</v>
      </c>
      <c r="D85" s="36" t="str">
        <f t="shared" si="22"/>
        <v>Валерий</v>
      </c>
      <c r="E85" s="36" t="str">
        <f t="shared" si="23"/>
        <v>Мукашевич</v>
      </c>
      <c r="F85" s="36" t="str">
        <f t="shared" si="24"/>
        <v>054731344</v>
      </c>
      <c r="G85" s="37">
        <f>VLOOKUP(F85,Покупатели!$F$2:$N$762,2,0)</f>
        <v>44973</v>
      </c>
      <c r="H85" s="36" t="str">
        <f>VLOOKUP(F85,Покупатели!$F$2:$N$762,3,0)</f>
        <v>МВД РК</v>
      </c>
      <c r="I85" s="36">
        <f>VLOOKUP(C85,Покупатели!$C$2:$M$805,7,0)</f>
        <v>630614301681</v>
      </c>
      <c r="J85" s="36" t="str">
        <f ca="1">IFERROR(__xludf.DUMMYFUNCTION("JOIN("" "", VLOOKUP(C85,Покупатели,8,0),VLOOKUP(C85,Покупатели,9,0),VLOOKUP(C85,Покупатели,10,0),VLOOKUP(C85,Покупатели,11,0))"),"г.Астана Алматинский р-н ул.Ш.Калдаякова д.11, кв.196")</f>
        <v>г.Астана Алматинский р-н ул.Ш.Калдаякова д.11, кв.196</v>
      </c>
      <c r="K85" s="36">
        <f t="shared" si="25"/>
        <v>87026008836</v>
      </c>
      <c r="L85" s="36" t="str">
        <f t="shared" si="26"/>
        <v>MX4000002R0001674</v>
      </c>
      <c r="M85" s="36" t="str">
        <f t="shared" ca="1" si="31"/>
        <v>002-2013E30Q13-OK</v>
      </c>
      <c r="N85" s="36" t="str">
        <f t="shared" si="30"/>
        <v>Прицеп 2,0*1,25 м  (до 750 кг.)</v>
      </c>
      <c r="O85" s="36" t="str">
        <f t="shared" si="27"/>
        <v>1 ось</v>
      </c>
      <c r="P85" s="36">
        <f t="shared" si="28"/>
        <v>2024</v>
      </c>
      <c r="Q85" s="36" t="str">
        <f t="shared" ca="1" si="19"/>
        <v>3150*1700*900</v>
      </c>
      <c r="R85" s="36" t="str">
        <f t="shared" ca="1" si="20"/>
        <v>2000*1250*300</v>
      </c>
      <c r="S85" s="34" t="str">
        <f>VLOOKUP(O85,ОТТС!$A$2:$B$3,2,0)</f>
        <v>ТС KZ Е-KZ.0317.00251 от 28.02.2023</v>
      </c>
      <c r="T85" s="38">
        <v>430000</v>
      </c>
      <c r="U85" s="36" t="str">
        <f t="shared" si="32"/>
        <v>Астана</v>
      </c>
    </row>
    <row r="86" spans="1:21" ht="13.2">
      <c r="A86" s="34">
        <v>1248</v>
      </c>
      <c r="B86" s="35">
        <f>VLOOKUP(A86,'Реестр договоров'!$A$2:$D$298,2,0)</f>
        <v>45498</v>
      </c>
      <c r="C86" s="36" t="str">
        <f t="shared" si="21"/>
        <v>Хусуров</v>
      </c>
      <c r="D86" s="36" t="str">
        <f t="shared" si="22"/>
        <v>Дильмурат</v>
      </c>
      <c r="E86" s="36" t="str">
        <f t="shared" si="23"/>
        <v>Марсович</v>
      </c>
      <c r="F86" s="36" t="str">
        <f t="shared" si="24"/>
        <v>049161307</v>
      </c>
      <c r="G86" s="37">
        <f>VLOOKUP(F86,Покупатели!$F$2:$N$762,2,0)</f>
        <v>44452</v>
      </c>
      <c r="H86" s="36" t="str">
        <f>VLOOKUP(F86,Покупатели!$F$2:$N$762,3,0)</f>
        <v>МВД РК</v>
      </c>
      <c r="I86" s="36">
        <f>VLOOKUP(C86,Покупатели!$C$2:$M$805,7,0)</f>
        <v>860811301104</v>
      </c>
      <c r="J86" s="36" t="str">
        <f ca="1">IFERROR(__xludf.DUMMYFUNCTION("JOIN("" "", VLOOKUP(C86,Покупатели,8,0),VLOOKUP(C86,Покупатели,9,0),VLOOKUP(C86,Покупатели,10,0),VLOOKUP(C86,Покупатели,11,0))"),"г.Алматы Алмалинский р-н ул.Наурызбай батыра д.99/1, кв.35")</f>
        <v>г.Алматы Алмалинский р-н ул.Наурызбай батыра д.99/1, кв.35</v>
      </c>
      <c r="K86" s="36">
        <f t="shared" si="25"/>
        <v>87058796172</v>
      </c>
      <c r="L86" s="36" t="str">
        <f t="shared" si="26"/>
        <v>MX4000002P0001412</v>
      </c>
      <c r="M86" s="36" t="str">
        <f t="shared" ca="1" si="31"/>
        <v>002-2515E30Q13-OK</v>
      </c>
      <c r="N86" s="36" t="str">
        <f t="shared" si="30"/>
        <v>Прицеп 2,5*1,5 м  (до 750 кг.)</v>
      </c>
      <c r="O86" s="36" t="str">
        <f t="shared" si="27"/>
        <v>1 ось</v>
      </c>
      <c r="P86" s="36">
        <f t="shared" si="28"/>
        <v>2023</v>
      </c>
      <c r="Q86" s="36" t="str">
        <f t="shared" ca="1" si="19"/>
        <v>3650*1950*900</v>
      </c>
      <c r="R86" s="36" t="str">
        <f t="shared" ca="1" si="20"/>
        <v>2500*1500*300</v>
      </c>
      <c r="S86" s="34" t="str">
        <f>VLOOKUP(O86,ОТТС!$A$2:$B$3,2,0)</f>
        <v>ТС KZ Е-KZ.0317.00251 от 28.02.2023</v>
      </c>
      <c r="T86" s="38">
        <v>440000</v>
      </c>
      <c r="U86" s="36" t="str">
        <f t="shared" si="32"/>
        <v>Астана</v>
      </c>
    </row>
    <row r="87" spans="1:21" ht="13.2">
      <c r="A87" s="34">
        <v>1249</v>
      </c>
      <c r="B87" s="35">
        <f>VLOOKUP(A87,'Реестр договоров'!$A$2:$D$298,2,0)</f>
        <v>45499</v>
      </c>
      <c r="C87" s="36" t="str">
        <f t="shared" si="21"/>
        <v>Мошков</v>
      </c>
      <c r="D87" s="36" t="str">
        <f t="shared" si="22"/>
        <v>Сергей</v>
      </c>
      <c r="E87" s="36" t="str">
        <f t="shared" si="23"/>
        <v>Николаевич</v>
      </c>
      <c r="F87" s="36" t="str">
        <f t="shared" si="24"/>
        <v>041746930</v>
      </c>
      <c r="G87" s="37">
        <f>VLOOKUP(F87,Покупатели!$F$2:$N$762,2,0)</f>
        <v>42628</v>
      </c>
      <c r="H87" s="36" t="str">
        <f>VLOOKUP(F87,Покупатели!$F$2:$N$762,3,0)</f>
        <v>МВД РК</v>
      </c>
      <c r="I87" s="36">
        <f>VLOOKUP(C87,Покупатели!$C$2:$M$805,7,0)</f>
        <v>711001301371</v>
      </c>
      <c r="J87" s="36" t="str">
        <f ca="1">IFERROR(__xludf.DUMMYFUNCTION("JOIN("" "", VLOOKUP(C87,Покупатели,8,0),VLOOKUP(C87,Покупатели,9,0),VLOOKUP(C87,Покупатели,10,0),VLOOKUP(C87,Покупатели,11,0))"),"Акмолинская область г. Атбасар ул. Молдагулова 21А, кв. 9")</f>
        <v>Акмолинская область г. Атбасар ул. Молдагулова 21А, кв. 9</v>
      </c>
      <c r="K87" s="36">
        <f t="shared" si="25"/>
        <v>87718325882</v>
      </c>
      <c r="L87" s="36" t="str">
        <f t="shared" si="26"/>
        <v>MX4000002R0001662</v>
      </c>
      <c r="M87" s="36" t="str">
        <f t="shared" ca="1" si="31"/>
        <v>002-2013E50Q13-OK</v>
      </c>
      <c r="N87" s="36" t="str">
        <f t="shared" si="30"/>
        <v>Прицеп 2,0*1,25 м  (до 750 кг.)</v>
      </c>
      <c r="O87" s="36" t="str">
        <f t="shared" si="27"/>
        <v>1 ось</v>
      </c>
      <c r="P87" s="36">
        <f t="shared" si="28"/>
        <v>2024</v>
      </c>
      <c r="Q87" s="36" t="str">
        <f t="shared" ca="1" si="19"/>
        <v>3150*1700*1070</v>
      </c>
      <c r="R87" s="36" t="str">
        <f t="shared" ca="1" si="20"/>
        <v>2000*1250*500</v>
      </c>
      <c r="S87" s="34" t="str">
        <f>VLOOKUP(O87,ОТТС!$A$2:$B$3,2,0)</f>
        <v>ТС KZ Е-KZ.0317.00251 от 28.02.2023</v>
      </c>
      <c r="T87" s="38">
        <v>450000</v>
      </c>
      <c r="U87" s="36" t="str">
        <f t="shared" si="32"/>
        <v>Кокшетау</v>
      </c>
    </row>
    <row r="88" spans="1:21" ht="13.2">
      <c r="A88" s="34">
        <v>1250</v>
      </c>
      <c r="B88" s="35">
        <f>VLOOKUP(A88,'Реестр договоров'!$A$2:$D$298,2,0)</f>
        <v>45503</v>
      </c>
      <c r="C88" s="36" t="str">
        <f t="shared" si="21"/>
        <v>Калменова</v>
      </c>
      <c r="D88" s="36" t="str">
        <f t="shared" si="22"/>
        <v>Айгерим</v>
      </c>
      <c r="E88" s="36" t="str">
        <f t="shared" si="23"/>
        <v>Жарылкасынкызы</v>
      </c>
      <c r="F88" s="36" t="str">
        <f t="shared" si="24"/>
        <v>050269338</v>
      </c>
      <c r="G88" s="37">
        <f>VLOOKUP(F88,Покупатели!$F$2:$N$762,2,0)</f>
        <v>44305</v>
      </c>
      <c r="H88" s="36" t="str">
        <f>VLOOKUP(F88,Покупатели!$F$2:$N$762,3,0)</f>
        <v>МВД РК</v>
      </c>
      <c r="I88" s="36">
        <f>VLOOKUP(C88,Покупатели!$C$2:$M$805,7,0)</f>
        <v>901229401734</v>
      </c>
      <c r="J88" s="36" t="str">
        <f ca="1">IFERROR(__xludf.DUMMYFUNCTION("JOIN("" "", VLOOKUP(C88,Покупатели,8,0),VLOOKUP(C88,Покупатели,9,0),VLOOKUP(C88,Покупатели,10,0),VLOOKUP(C88,Покупатели,11,0))"),"г.Астана р-н Алматы ул. Куйши дина д.1, кв.77")</f>
        <v>г.Астана р-н Алматы ул. Куйши дина д.1, кв.77</v>
      </c>
      <c r="K88" s="36">
        <f t="shared" si="25"/>
        <v>87711643260</v>
      </c>
      <c r="L88" s="36" t="str">
        <f t="shared" si="26"/>
        <v>MX4000002R0001660</v>
      </c>
      <c r="M88" s="36" t="str">
        <f t="shared" ca="1" si="31"/>
        <v>002-2013E30Q13-OK</v>
      </c>
      <c r="N88" s="36" t="str">
        <f t="shared" si="30"/>
        <v>Прицеп 2,0*1,25 м  (до 750 кг.)</v>
      </c>
      <c r="O88" s="36" t="str">
        <f t="shared" si="27"/>
        <v>1 ось</v>
      </c>
      <c r="P88" s="36">
        <f t="shared" si="28"/>
        <v>2024</v>
      </c>
      <c r="Q88" s="36" t="str">
        <f t="shared" ca="1" si="19"/>
        <v>3150*1700*900</v>
      </c>
      <c r="R88" s="36" t="str">
        <f t="shared" ca="1" si="20"/>
        <v>2000*1250*300</v>
      </c>
      <c r="S88" s="34" t="str">
        <f>VLOOKUP(O88,ОТТС!$A$2:$B$3,2,0)</f>
        <v>ТС KZ Е-KZ.0317.00251 от 28.02.2023</v>
      </c>
      <c r="T88" s="38">
        <v>430000</v>
      </c>
      <c r="U88" s="36" t="str">
        <f t="shared" si="32"/>
        <v>Астана</v>
      </c>
    </row>
    <row r="89" spans="1:21" ht="13.2">
      <c r="A89" s="34">
        <v>1251</v>
      </c>
      <c r="B89" s="35">
        <f>VLOOKUP(A89,'Реестр договоров'!$A$2:$D$298,2,0)</f>
        <v>45504</v>
      </c>
      <c r="C89" s="36" t="str">
        <f t="shared" si="21"/>
        <v>Махмутов</v>
      </c>
      <c r="D89" s="36" t="str">
        <f t="shared" si="22"/>
        <v>Тлеукабыл</v>
      </c>
      <c r="E89" s="36" t="str">
        <f t="shared" si="23"/>
        <v>Рахимбекович</v>
      </c>
      <c r="F89" s="36" t="str">
        <f t="shared" si="24"/>
        <v>016937821</v>
      </c>
      <c r="G89" s="37">
        <f>VLOOKUP(F89,Покупатели!$F$2:$N$762,2,0)</f>
        <v>38296</v>
      </c>
      <c r="H89" s="36" t="str">
        <f>VLOOKUP(F89,Покупатели!$F$2:$N$762,3,0)</f>
        <v>МВД РК</v>
      </c>
      <c r="I89" s="36">
        <f>VLOOKUP(C89,Покупатели!$C$2:$M$805,7,0)</f>
        <v>580801350535</v>
      </c>
      <c r="J89" s="36" t="str">
        <f ca="1">IFERROR(__xludf.DUMMYFUNCTION("JOIN("" "", VLOOKUP(C89,Покупатели,8,0),VLOOKUP(C89,Покупатели,9,0),VLOOKUP(C89,Покупатели,10,0),VLOOKUP(C89,Покупатели,11,0))"),"Акмолинская обл, Зерендинский район, станция Чаглинка, ул. Советская 11")</f>
        <v>Акмолинская обл, Зерендинский район, станция Чаглинка, ул. Советская 11</v>
      </c>
      <c r="K89" s="36">
        <f t="shared" si="25"/>
        <v>87074322039</v>
      </c>
      <c r="L89" s="36" t="str">
        <f t="shared" si="26"/>
        <v>MX4000002R0001691</v>
      </c>
      <c r="M89" s="36" t="str">
        <f t="shared" ca="1" si="31"/>
        <v>002-2013E50Q13-OK</v>
      </c>
      <c r="N89" s="36" t="str">
        <f t="shared" si="30"/>
        <v>Прицеп 2,0*1,25 м  (до 750 кг.)</v>
      </c>
      <c r="O89" s="36" t="str">
        <f t="shared" si="27"/>
        <v>1 ось</v>
      </c>
      <c r="P89" s="36">
        <f t="shared" si="28"/>
        <v>2024</v>
      </c>
      <c r="Q89" s="36" t="str">
        <f t="shared" ca="1" si="19"/>
        <v>3150*1700*1070</v>
      </c>
      <c r="R89" s="36" t="str">
        <f t="shared" ca="1" si="20"/>
        <v>2000*1250*500</v>
      </c>
      <c r="S89" s="34" t="str">
        <f>VLOOKUP(O89,ОТТС!$A$2:$B$3,2,0)</f>
        <v>ТС KZ Е-KZ.0317.00251 от 28.02.2023</v>
      </c>
      <c r="T89" s="38">
        <v>400000</v>
      </c>
      <c r="U89" s="36" t="str">
        <f t="shared" si="32"/>
        <v>Кокшетау</v>
      </c>
    </row>
    <row r="90" spans="1:21" ht="13.2">
      <c r="A90" s="34">
        <v>1252</v>
      </c>
      <c r="B90" s="35">
        <f>VLOOKUP(A90,'Реестр договоров'!$A$2:$D$298,2,0)</f>
        <v>45504</v>
      </c>
      <c r="C90" s="36" t="str">
        <f t="shared" si="21"/>
        <v>Якубов</v>
      </c>
      <c r="D90" s="36" t="str">
        <f t="shared" si="22"/>
        <v>Руфат</v>
      </c>
      <c r="E90" s="36" t="str">
        <f t="shared" si="23"/>
        <v>Пархатович</v>
      </c>
      <c r="F90" s="36" t="str">
        <f t="shared" si="24"/>
        <v>047059093</v>
      </c>
      <c r="G90" s="37">
        <f>VLOOKUP(F90,Покупатели!$F$2:$N$762,2,0)</f>
        <v>44092</v>
      </c>
      <c r="H90" s="36" t="str">
        <f>VLOOKUP(F90,Покупатели!$F$2:$N$762,3,0)</f>
        <v>МВД РК</v>
      </c>
      <c r="I90" s="36">
        <f>VLOOKUP(C90,Покупатели!$C$2:$M$805,7,0)</f>
        <v>930815301944</v>
      </c>
      <c r="J90" s="36" t="str">
        <f ca="1">IFERROR(__xludf.DUMMYFUNCTION("JOIN("" "", VLOOKUP(C90,Покупатели,8,0),VLOOKUP(C90,Покупатели,9,0),VLOOKUP(C90,Покупатели,10,0),VLOOKUP(C90,Покупатели,11,0))"),"Алматинская обл Уйгурский р-н, с.Кыргысай ул.Розыбакиева д.6")</f>
        <v>Алматинская обл Уйгурский р-н, с.Кыргысай ул.Розыбакиева д.6</v>
      </c>
      <c r="K90" s="36">
        <f t="shared" si="25"/>
        <v>87025514793</v>
      </c>
      <c r="L90" s="36" t="str">
        <f t="shared" si="26"/>
        <v>MX4000002R0001491</v>
      </c>
      <c r="M90" s="36" t="str">
        <f t="shared" ca="1" si="31"/>
        <v>002-2013E30Q13-OK</v>
      </c>
      <c r="N90" s="36" t="str">
        <f t="shared" si="30"/>
        <v>Прицеп 2,0*1,25 м  (до 750 кг.)</v>
      </c>
      <c r="O90" s="36" t="str">
        <f t="shared" si="27"/>
        <v>1 ось</v>
      </c>
      <c r="P90" s="36">
        <f t="shared" si="28"/>
        <v>2024</v>
      </c>
      <c r="Q90" s="36" t="str">
        <f t="shared" ca="1" si="19"/>
        <v>3150*1700*900</v>
      </c>
      <c r="R90" s="36" t="str">
        <f t="shared" ca="1" si="20"/>
        <v>2000*1250*300</v>
      </c>
      <c r="S90" s="34" t="str">
        <f>VLOOKUP(O90,ОТТС!$A$2:$B$3,2,0)</f>
        <v>ТС KZ Е-KZ.0317.00251 от 28.02.2023</v>
      </c>
      <c r="T90" s="38">
        <v>380000</v>
      </c>
      <c r="U90" s="36" t="str">
        <f t="shared" si="32"/>
        <v>Алматы</v>
      </c>
    </row>
    <row r="91" spans="1:21" ht="13.2">
      <c r="A91" s="34">
        <v>1253</v>
      </c>
      <c r="B91" s="35">
        <f>VLOOKUP(A91,'Реестр договоров'!$A$2:$D$298,2,0)</f>
        <v>45504</v>
      </c>
      <c r="C91" s="36" t="str">
        <f t="shared" si="21"/>
        <v>Гусевы</v>
      </c>
      <c r="D91" s="36" t="str">
        <f t="shared" si="22"/>
        <v>Евгений</v>
      </c>
      <c r="E91" s="36" t="str">
        <f t="shared" si="23"/>
        <v>Сергеевич</v>
      </c>
      <c r="F91" s="36" t="str">
        <f t="shared" si="24"/>
        <v>051533375</v>
      </c>
      <c r="G91" s="37">
        <f>VLOOKUP(F91,Покупатели!$F$2:$N$762,2,0)</f>
        <v>44791</v>
      </c>
      <c r="H91" s="36" t="str">
        <f>VLOOKUP(F91,Покупатели!$F$2:$N$762,3,0)</f>
        <v>МВД РК</v>
      </c>
      <c r="I91" s="36">
        <f>VLOOKUP(C91,Покупатели!$C$2:$M$805,7,0)</f>
        <v>831122300643</v>
      </c>
      <c r="J91" s="36" t="str">
        <f ca="1">IFERROR(__xludf.DUMMYFUNCTION("JOIN("" "", VLOOKUP(C91,Покупатели,8,0),VLOOKUP(C91,Покупатели,9,0),VLOOKUP(C91,Покупатели,10,0),VLOOKUP(C91,Покупатели,11,0))"),"Алматинская обл. г.Каскелен ул.Кисикова д.85")</f>
        <v>Алматинская обл. г.Каскелен ул.Кисикова д.85</v>
      </c>
      <c r="K91" s="36">
        <f t="shared" si="25"/>
        <v>87771880880</v>
      </c>
      <c r="L91" s="36" t="str">
        <f t="shared" si="26"/>
        <v>MX4000002R0001628</v>
      </c>
      <c r="M91" s="36" t="str">
        <f t="shared" ca="1" si="31"/>
        <v>002-2513E30Q13-OK</v>
      </c>
      <c r="N91" s="36" t="str">
        <f t="shared" si="30"/>
        <v>Прицеп 2,5*1,25 м  (до 750 кг.)</v>
      </c>
      <c r="O91" s="36" t="str">
        <f t="shared" si="27"/>
        <v>1 ось</v>
      </c>
      <c r="P91" s="36">
        <f t="shared" si="28"/>
        <v>2024</v>
      </c>
      <c r="Q91" s="36" t="str">
        <f t="shared" ca="1" si="19"/>
        <v>3650*1700*900</v>
      </c>
      <c r="R91" s="36" t="str">
        <f t="shared" ca="1" si="20"/>
        <v>2500*1250*300</v>
      </c>
      <c r="S91" s="34" t="str">
        <f>VLOOKUP(O91,ОТТС!$A$2:$B$3,2,0)</f>
        <v>ТС KZ Е-KZ.0317.00251 от 28.02.2023</v>
      </c>
      <c r="T91" s="38">
        <v>360000</v>
      </c>
      <c r="U91" s="36" t="str">
        <f t="shared" si="32"/>
        <v>Алматы</v>
      </c>
    </row>
    <row r="92" spans="1:21" ht="13.2">
      <c r="A92" s="34">
        <v>1254</v>
      </c>
      <c r="B92" s="35">
        <f>VLOOKUP(A92,'Реестр договоров'!$A$2:$D$298,2,0)</f>
        <v>45504</v>
      </c>
      <c r="C92" s="36" t="str">
        <f t="shared" si="21"/>
        <v>Сейдеметов1</v>
      </c>
      <c r="D92" s="36" t="str">
        <f t="shared" si="22"/>
        <v>Асхат</v>
      </c>
      <c r="E92" s="36" t="str">
        <f t="shared" si="23"/>
        <v>Ертасович</v>
      </c>
      <c r="F92" s="36" t="str">
        <f t="shared" si="24"/>
        <v>046023523</v>
      </c>
      <c r="G92" s="37">
        <f>VLOOKUP(F92,Покупатели!$F$2:$N$762,2,0)</f>
        <v>43903</v>
      </c>
      <c r="H92" s="36" t="str">
        <f>VLOOKUP(F92,Покупатели!$F$2:$N$762,3,0)</f>
        <v>МВД РК</v>
      </c>
      <c r="I92" s="36">
        <f>VLOOKUP(C92,Покупатели!$C$2:$M$805,7,0)</f>
        <v>700408301786</v>
      </c>
      <c r="J92" s="36" t="str">
        <f ca="1">IFERROR(__xludf.DUMMYFUNCTION("JOIN("" "", VLOOKUP(C92,Покупатели,8,0),VLOOKUP(C92,Покупатели,9,0),VLOOKUP(C92,Покупатели,10,0),VLOOKUP(C92,Покупатели,11,0))"),"Кызылординская обл. г.Кызылорда ул.Багаева д.4")</f>
        <v>Кызылординская обл. г.Кызылорда ул.Багаева д.4</v>
      </c>
      <c r="K92" s="36">
        <f t="shared" si="25"/>
        <v>87773342870</v>
      </c>
      <c r="L92" s="36" t="str">
        <f t="shared" si="26"/>
        <v>MX4000002R0001582</v>
      </c>
      <c r="M92" s="36" t="str">
        <f t="shared" ca="1" si="31"/>
        <v>002-2013E50Q13-OK30</v>
      </c>
      <c r="N92" s="36" t="str">
        <f t="shared" si="30"/>
        <v>Прицеп 2,0*1,25 м  (до 750 кг.)</v>
      </c>
      <c r="O92" s="36" t="str">
        <f t="shared" si="27"/>
        <v>1 ось</v>
      </c>
      <c r="P92" s="36">
        <f t="shared" si="28"/>
        <v>2024</v>
      </c>
      <c r="Q92" s="36" t="str">
        <f t="shared" ca="1" si="19"/>
        <v>3150*1700*1070</v>
      </c>
      <c r="R92" s="36" t="str">
        <f t="shared" ca="1" si="20"/>
        <v>2000*1250*500</v>
      </c>
      <c r="S92" s="34" t="str">
        <f>VLOOKUP(O92,ОТТС!$A$2:$B$3,2,0)</f>
        <v>ТС KZ Е-KZ.0317.00251 от 28.02.2023</v>
      </c>
      <c r="T92" s="38">
        <v>380000</v>
      </c>
      <c r="U92" s="36" t="str">
        <f t="shared" si="32"/>
        <v>Алматы</v>
      </c>
    </row>
    <row r="93" spans="1:21" ht="13.2">
      <c r="A93" s="34">
        <v>1255</v>
      </c>
      <c r="B93" s="35">
        <f>VLOOKUP(A93,'Реестр договоров'!$A$2:$D$298,2,0)</f>
        <v>45509</v>
      </c>
      <c r="C93" s="36" t="str">
        <f t="shared" si="21"/>
        <v xml:space="preserve">Бабенков </v>
      </c>
      <c r="D93" s="36" t="str">
        <f t="shared" si="22"/>
        <v>Александр</v>
      </c>
      <c r="E93" s="36" t="str">
        <f t="shared" si="23"/>
        <v>Евгеньевич</v>
      </c>
      <c r="F93" s="36" t="str">
        <f t="shared" si="24"/>
        <v>054257390</v>
      </c>
      <c r="G93" s="37">
        <f>VLOOKUP(F93,Покупатели!$F$2:$N$762,2,0)</f>
        <v>44897</v>
      </c>
      <c r="H93" s="36" t="str">
        <f>VLOOKUP(F93,Покупатели!$F$2:$N$762,3,0)</f>
        <v>МВД РК</v>
      </c>
      <c r="I93" s="36">
        <f>VLOOKUP(C93,Покупатели!$C$2:$M$805,7,0)</f>
        <v>811013350702</v>
      </c>
      <c r="J93" s="36" t="str">
        <f ca="1">IFERROR(__xludf.DUMMYFUNCTION("JOIN("" "", VLOOKUP(C93,Покупатели,8,0),VLOOKUP(C93,Покупатели,9,0),VLOOKUP(C93,Покупатели,10,0),VLOOKUP(C93,Покупатели,11,0))"),"СКО, район Габита Мусрепова, с. Чистополье, ул. Космонавтов, дом 5")</f>
        <v>СКО, район Габита Мусрепова, с. Чистополье, ул. Космонавтов, дом 5</v>
      </c>
      <c r="K93" s="36">
        <f t="shared" si="25"/>
        <v>87027535221</v>
      </c>
      <c r="L93" s="36" t="str">
        <f t="shared" si="26"/>
        <v>MX4000002R0001710</v>
      </c>
      <c r="M93" s="36" t="s">
        <v>912</v>
      </c>
      <c r="N93" s="36" t="s">
        <v>114</v>
      </c>
      <c r="O93" s="36" t="str">
        <f t="shared" si="27"/>
        <v>1 ось</v>
      </c>
      <c r="P93" s="36">
        <f t="shared" si="28"/>
        <v>2024</v>
      </c>
      <c r="Q93" s="36" t="s">
        <v>917</v>
      </c>
      <c r="R93" s="36" t="s">
        <v>918</v>
      </c>
      <c r="S93" s="34" t="str">
        <f>VLOOKUP(O93,ОТТС!$A$2:$B$3,2,0)</f>
        <v>ТС KZ Е-KZ.0317.00251 от 28.02.2023</v>
      </c>
      <c r="T93" s="38">
        <v>350000</v>
      </c>
      <c r="U93" s="36" t="str">
        <f t="shared" si="32"/>
        <v>Кокшетау</v>
      </c>
    </row>
    <row r="94" spans="1:21" ht="13.2">
      <c r="A94" s="34">
        <v>1256</v>
      </c>
      <c r="B94" s="35">
        <f>VLOOKUP(A94,'Реестр договоров'!$A$2:$D$298,2,0)</f>
        <v>45510</v>
      </c>
      <c r="C94" s="36" t="str">
        <f t="shared" si="21"/>
        <v>Ахатов</v>
      </c>
      <c r="D94" s="36" t="str">
        <f t="shared" si="22"/>
        <v>Жасулан</v>
      </c>
      <c r="E94" s="36" t="str">
        <f t="shared" si="23"/>
        <v>Болатович</v>
      </c>
      <c r="F94" s="36" t="str">
        <f t="shared" si="24"/>
        <v>053556638</v>
      </c>
      <c r="G94" s="37">
        <f>VLOOKUP(F94,Покупатели!$F$2:$N$762,2,0)</f>
        <v>44784</v>
      </c>
      <c r="H94" s="36" t="str">
        <f>VLOOKUP(F94,Покупатели!$F$2:$N$762,3,0)</f>
        <v>МВД РК</v>
      </c>
      <c r="I94" s="36">
        <f>VLOOKUP(C94,Покупатели!$C$2:$M$805,7,0)</f>
        <v>950322351914</v>
      </c>
      <c r="J94" s="36" t="str">
        <f ca="1">IFERROR(__xludf.DUMMYFUNCTION("JOIN("" "", VLOOKUP(C94,Покупатели,8,0),VLOOKUP(C94,Покупатели,9,0),VLOOKUP(C94,Покупатели,10,0),VLOOKUP(C94,Покупатели,11,0))"),"г.Астана р-н Есиль ул.Сарайшык 7/1")</f>
        <v>г.Астана р-н Есиль ул.Сарайшык 7/1</v>
      </c>
      <c r="K94" s="36">
        <f t="shared" si="25"/>
        <v>87058866140</v>
      </c>
      <c r="L94" s="36" t="str">
        <f t="shared" si="26"/>
        <v>MX4000002R0001490</v>
      </c>
      <c r="M94" s="36" t="str">
        <f t="shared" ref="M94:M125" ca="1" si="33">VLOOKUP(L94,ПРИЦЕПЫ,11,0)</f>
        <v>002-2013E30Q13-OK</v>
      </c>
      <c r="N94" s="36" t="str">
        <f t="shared" ref="N94:N125" si="34">VLOOKUP(L94,ПРИЦЕПЫ,2,0)</f>
        <v>Прицеп 2,0*1,25 м  (до 750 кг.)</v>
      </c>
      <c r="O94" s="36" t="str">
        <f t="shared" si="27"/>
        <v>1 ось</v>
      </c>
      <c r="P94" s="36">
        <f t="shared" si="28"/>
        <v>2024</v>
      </c>
      <c r="Q94" s="36" t="str">
        <f t="shared" ref="Q94:Q107" ca="1" si="35">VLOOKUP(M94,матрица,16,0)</f>
        <v>3150*1700*900</v>
      </c>
      <c r="R94" s="36" t="str">
        <f t="shared" ref="R94:R107" ca="1" si="36">VLOOKUP(M94,матрица,17,0)</f>
        <v>2000*1250*300</v>
      </c>
      <c r="S94" s="34" t="str">
        <f>VLOOKUP(O94,ОТТС!$A$2:$B$3,2,0)</f>
        <v>ТС KZ Е-KZ.0317.00251 от 28.02.2023</v>
      </c>
      <c r="T94" s="38">
        <v>380000</v>
      </c>
      <c r="U94" s="36" t="str">
        <f t="shared" si="32"/>
        <v>Астана</v>
      </c>
    </row>
    <row r="95" spans="1:21" ht="13.2">
      <c r="A95" s="34">
        <v>1257</v>
      </c>
      <c r="B95" s="35">
        <f>VLOOKUP(A95,'Реестр договоров'!$A$2:$D$298,2,0)</f>
        <v>45510</v>
      </c>
      <c r="C95" s="36" t="str">
        <f t="shared" si="21"/>
        <v>Легеза</v>
      </c>
      <c r="D95" s="36" t="str">
        <f t="shared" si="22"/>
        <v>Вячеслав</v>
      </c>
      <c r="E95" s="36" t="str">
        <f t="shared" si="23"/>
        <v>Михайлович</v>
      </c>
      <c r="F95" s="36" t="str">
        <f t="shared" si="24"/>
        <v>026891863</v>
      </c>
      <c r="G95" s="37">
        <f>VLOOKUP(F95,Покупатели!$F$2:$N$762,2,0)</f>
        <v>43978</v>
      </c>
      <c r="H95" s="36" t="str">
        <f>VLOOKUP(F95,Покупатели!$F$2:$N$762,3,0)</f>
        <v>МВД РК</v>
      </c>
      <c r="I95" s="36">
        <f>VLOOKUP(C95,Покупатели!$C$2:$M$805,7,0)</f>
        <v>660923300867</v>
      </c>
      <c r="J95" s="36" t="str">
        <f ca="1">IFERROR(__xludf.DUMMYFUNCTION("JOIN("" "", VLOOKUP(C95,Покупатели,8,0),VLOOKUP(C95,Покупатели,9,0),VLOOKUP(C95,Покупатели,10,0),VLOOKUP(C95,Покупатели,11,0))"),"СКО, Айыртауский р-н, с. Куспек Озерная 26")</f>
        <v>СКО, Айыртауский р-н, с. Куспек Озерная 26</v>
      </c>
      <c r="K95" s="36">
        <f t="shared" si="25"/>
        <v>87058302966</v>
      </c>
      <c r="L95" s="36" t="str">
        <f t="shared" si="26"/>
        <v>MX4000002R0001696</v>
      </c>
      <c r="M95" s="36" t="str">
        <f t="shared" si="33"/>
        <v>002-2013E50Q13-OK60</v>
      </c>
      <c r="N95" s="36" t="str">
        <f t="shared" si="34"/>
        <v>Прицеп 2,0*1,25 м  (до 750 кг.)</v>
      </c>
      <c r="O95" s="36" t="str">
        <f t="shared" si="27"/>
        <v>1 ось</v>
      </c>
      <c r="P95" s="36">
        <f t="shared" si="28"/>
        <v>2024</v>
      </c>
      <c r="Q95" s="36" t="str">
        <f t="shared" ca="1" si="35"/>
        <v>3150*1700*1070</v>
      </c>
      <c r="R95" s="36" t="str">
        <f t="shared" ca="1" si="36"/>
        <v>2000*1250*500</v>
      </c>
      <c r="S95" s="34" t="str">
        <f>VLOOKUP(O95,ОТТС!$A$2:$B$3,2,0)</f>
        <v>ТС KZ Е-KZ.0317.00251 от 28.02.2023</v>
      </c>
      <c r="T95" s="38">
        <v>360000</v>
      </c>
      <c r="U95" s="36" t="str">
        <f t="shared" si="32"/>
        <v>Кокшетау</v>
      </c>
    </row>
    <row r="96" spans="1:21" ht="13.2">
      <c r="A96" s="34">
        <v>1258</v>
      </c>
      <c r="B96" s="35">
        <f>VLOOKUP(A96,'Реестр договоров'!$A$2:$D$298,2,0)</f>
        <v>45511</v>
      </c>
      <c r="C96" s="36" t="str">
        <f t="shared" si="21"/>
        <v>Коптлеуов 1</v>
      </c>
      <c r="D96" s="36" t="str">
        <f t="shared" si="22"/>
        <v>Аслан</v>
      </c>
      <c r="E96" s="36" t="str">
        <f t="shared" si="23"/>
        <v>Толегенович</v>
      </c>
      <c r="F96" s="36">
        <f t="shared" si="24"/>
        <v>0</v>
      </c>
      <c r="G96" s="37">
        <f>VLOOKUP(F96,Покупатели!$F$2:$N$762,2,0)</f>
        <v>45497</v>
      </c>
      <c r="H96" s="36" t="str">
        <f>VLOOKUP(F96,Покупатели!$F$2:$N$762,3,0)</f>
        <v>МВД РК</v>
      </c>
      <c r="I96" s="36">
        <f>VLOOKUP(C96,Покупатели!$C$2:$M$805,7,0)</f>
        <v>780407301705</v>
      </c>
      <c r="J96" s="36" t="str">
        <f ca="1">IFERROR(__xludf.DUMMYFUNCTION("JOIN("" "", VLOOKUP(C96,Покупатели,8,0),VLOOKUP(C96,Покупатели,9,0),VLOOKUP(C96,Покупатели,10,0),VLOOKUP(C96,Покупатели,11,0))"),"0 г.Талдыкурган 0 0")</f>
        <v>0 г.Талдыкурган 0 0</v>
      </c>
      <c r="K96" s="36">
        <f t="shared" si="25"/>
        <v>0</v>
      </c>
      <c r="L96" s="36" t="str">
        <f t="shared" si="26"/>
        <v>MX4000002R0001552</v>
      </c>
      <c r="M96" s="36" t="str">
        <f t="shared" ca="1" si="33"/>
        <v>002-2013E30Q13-OK</v>
      </c>
      <c r="N96" s="36" t="str">
        <f t="shared" si="34"/>
        <v>Прицеп 2,0*1,25 м  (до 750 кг.)</v>
      </c>
      <c r="O96" s="36" t="str">
        <f t="shared" si="27"/>
        <v>1 ось</v>
      </c>
      <c r="P96" s="36">
        <f t="shared" si="28"/>
        <v>2024</v>
      </c>
      <c r="Q96" s="36" t="str">
        <f t="shared" ca="1" si="35"/>
        <v>3150*1700*900</v>
      </c>
      <c r="R96" s="36" t="str">
        <f t="shared" ca="1" si="36"/>
        <v>2000*1250*300</v>
      </c>
      <c r="S96" s="34" t="str">
        <f>VLOOKUP(O96,ОТТС!$A$2:$B$3,2,0)</f>
        <v>ТС KZ Е-KZ.0317.00251 от 28.02.2023</v>
      </c>
      <c r="T96" s="39">
        <v>320000</v>
      </c>
      <c r="U96" s="36" t="str">
        <f t="shared" si="32"/>
        <v>Алматы</v>
      </c>
    </row>
    <row r="97" spans="1:21" ht="13.2">
      <c r="A97" s="34">
        <v>1259</v>
      </c>
      <c r="B97" s="35">
        <f>VLOOKUP(A97,'Реестр договоров'!$A$2:$D$298,2,0)</f>
        <v>45514</v>
      </c>
      <c r="C97" s="36" t="str">
        <f t="shared" si="21"/>
        <v>Егорова</v>
      </c>
      <c r="D97" s="36" t="str">
        <f t="shared" si="22"/>
        <v>Виктория</v>
      </c>
      <c r="E97" s="36" t="str">
        <f t="shared" si="23"/>
        <v>Витальевна</v>
      </c>
      <c r="F97" s="36" t="str">
        <f t="shared" si="24"/>
        <v>054206455</v>
      </c>
      <c r="G97" s="37">
        <f>VLOOKUP(F97,Покупатели!$F$2:$N$762,2,0)</f>
        <v>45169</v>
      </c>
      <c r="H97" s="36" t="str">
        <f>VLOOKUP(F97,Покупатели!$F$2:$N$762,3,0)</f>
        <v>МВД РК</v>
      </c>
      <c r="I97" s="36">
        <f>VLOOKUP(C97,Покупатели!$C$2:$M$805,7,0)</f>
        <v>80818400293</v>
      </c>
      <c r="J97" s="36" t="str">
        <f ca="1">IFERROR(__xludf.DUMMYFUNCTION("JOIN("" "", VLOOKUP(C97,Покупатели,8,0),VLOOKUP(C97,Покупатели,9,0),VLOOKUP(C97,Покупатели,10,0),VLOOKUP(C97,Покупатели,11,0))"),"г.Алматы Ауезовский р-н мкр.5 д.8")</f>
        <v>г.Алматы Ауезовский р-н мкр.5 д.8</v>
      </c>
      <c r="K97" s="36">
        <f t="shared" si="25"/>
        <v>87057760007</v>
      </c>
      <c r="L97" s="36" t="str">
        <f t="shared" si="26"/>
        <v>MX4000002R0001453</v>
      </c>
      <c r="M97" s="36" t="str">
        <f t="shared" ca="1" si="33"/>
        <v>002-2013E50Q13-OK</v>
      </c>
      <c r="N97" s="36" t="str">
        <f t="shared" si="34"/>
        <v>Прицеп 2,0*1,25 м  (до 750 кг.)</v>
      </c>
      <c r="O97" s="36" t="str">
        <f t="shared" si="27"/>
        <v>1 ось</v>
      </c>
      <c r="P97" s="36">
        <f t="shared" si="28"/>
        <v>2024</v>
      </c>
      <c r="Q97" s="36" t="str">
        <f t="shared" ca="1" si="35"/>
        <v>3150*1700*1070</v>
      </c>
      <c r="R97" s="36" t="str">
        <f t="shared" ca="1" si="36"/>
        <v>2000*1250*500</v>
      </c>
      <c r="S97" s="34" t="str">
        <f>VLOOKUP(O97,ОТТС!$A$2:$B$3,2,0)</f>
        <v>ТС KZ Е-KZ.0317.00251 от 28.02.2023</v>
      </c>
      <c r="T97" s="38">
        <v>375000</v>
      </c>
      <c r="U97" s="36" t="str">
        <f t="shared" si="32"/>
        <v>Астана</v>
      </c>
    </row>
    <row r="98" spans="1:21" ht="13.2">
      <c r="A98" s="34">
        <v>1260</v>
      </c>
      <c r="B98" s="35">
        <f>VLOOKUP(A98,'Реестр договоров'!$A$2:$D$298,2,0)</f>
        <v>45517</v>
      </c>
      <c r="C98" s="36" t="str">
        <f t="shared" si="21"/>
        <v>Омержанов</v>
      </c>
      <c r="D98" s="36" t="str">
        <f t="shared" si="22"/>
        <v>Куанышбек</v>
      </c>
      <c r="E98" s="36" t="str">
        <f t="shared" si="23"/>
        <v>Жаныбекович</v>
      </c>
      <c r="F98" s="36" t="str">
        <f t="shared" si="24"/>
        <v>047325204</v>
      </c>
      <c r="G98" s="37">
        <f>VLOOKUP(F98,Покупатели!$F$2:$N$762,2,0)</f>
        <v>43857</v>
      </c>
      <c r="H98" s="36" t="str">
        <f>VLOOKUP(F98,Покупатели!$F$2:$N$762,3,0)</f>
        <v>МВД РК</v>
      </c>
      <c r="I98" s="36">
        <f>VLOOKUP(C98,Покупатели!$C$2:$M$805,7,0)</f>
        <v>840818351442</v>
      </c>
      <c r="J98" s="36" t="str">
        <f ca="1">IFERROR(__xludf.DUMMYFUNCTION("JOIN("" "", VLOOKUP(C98,Покупатели,8,0),VLOOKUP(C98,Покупатели,9,0),VLOOKUP(C98,Покупатели,10,0),VLOOKUP(C98,Покупатели,11,0))"),"Акмолинская область Аршалынский р-н ул.Добровольского д.9 кв.21")</f>
        <v>Акмолинская область Аршалынский р-н ул.Добровольского д.9 кв.21</v>
      </c>
      <c r="K98" s="36">
        <f t="shared" si="25"/>
        <v>87028211828</v>
      </c>
      <c r="L98" s="36" t="str">
        <f t="shared" si="26"/>
        <v>MX4000002R0001683</v>
      </c>
      <c r="M98" s="36" t="str">
        <f t="shared" ca="1" si="33"/>
        <v>002-2013E50Q13-OK</v>
      </c>
      <c r="N98" s="36" t="str">
        <f t="shared" si="34"/>
        <v>Прицеп 2,0*1,25 м  (до 750 кг.)</v>
      </c>
      <c r="O98" s="36" t="str">
        <f t="shared" si="27"/>
        <v>1 ось</v>
      </c>
      <c r="P98" s="36">
        <f t="shared" si="28"/>
        <v>2024</v>
      </c>
      <c r="Q98" s="36" t="str">
        <f t="shared" ca="1" si="35"/>
        <v>3150*1700*1070</v>
      </c>
      <c r="R98" s="36" t="str">
        <f t="shared" ca="1" si="36"/>
        <v>2000*1250*500</v>
      </c>
      <c r="S98" s="34" t="str">
        <f>VLOOKUP(O98,ОТТС!$A$2:$B$3,2,0)</f>
        <v>ТС KZ Е-KZ.0317.00251 от 28.02.2023</v>
      </c>
      <c r="T98" s="38">
        <v>320000</v>
      </c>
      <c r="U98" s="36" t="str">
        <f t="shared" si="32"/>
        <v>Астана</v>
      </c>
    </row>
    <row r="99" spans="1:21" ht="13.2">
      <c r="A99" s="34">
        <v>1261</v>
      </c>
      <c r="B99" s="35">
        <f>VLOOKUP(A99,'Реестр договоров'!$A$2:$D$298,2,0)</f>
        <v>45518</v>
      </c>
      <c r="C99" s="36" t="str">
        <f t="shared" si="21"/>
        <v>Ким1</v>
      </c>
      <c r="D99" s="36" t="str">
        <f t="shared" si="22"/>
        <v>Виталий</v>
      </c>
      <c r="E99" s="36" t="str">
        <f t="shared" si="23"/>
        <v>Юрьевич</v>
      </c>
      <c r="F99" s="36" t="str">
        <f t="shared" si="24"/>
        <v>049264991</v>
      </c>
      <c r="G99" s="37">
        <f>VLOOKUP(F99,Покупатели!$F$2:$N$762,2,0)</f>
        <v>44467</v>
      </c>
      <c r="H99" s="36" t="str">
        <f>VLOOKUP(F99,Покупатели!$F$2:$N$762,3,0)</f>
        <v>МВД РК</v>
      </c>
      <c r="I99" s="36">
        <f>VLOOKUP(C99,Покупатели!$C$2:$M$805,7,0)</f>
        <v>790612302244</v>
      </c>
      <c r="J99" s="36" t="str">
        <f ca="1">IFERROR(__xludf.DUMMYFUNCTION("JOIN("" "", VLOOKUP(C99,Покупатели,8,0),VLOOKUP(C99,Покупатели,9,0),VLOOKUP(C99,Покупатели,10,0),VLOOKUP(C99,Покупатели,11,0))"),"г.Алматы Медеуский р-н ул.Истомина д.122")</f>
        <v>г.Алматы Медеуский р-н ул.Истомина д.122</v>
      </c>
      <c r="K99" s="36">
        <f t="shared" si="25"/>
        <v>87714224243</v>
      </c>
      <c r="L99" s="36" t="str">
        <f t="shared" si="26"/>
        <v>MX4000002R0001581</v>
      </c>
      <c r="M99" s="36" t="str">
        <f t="shared" ca="1" si="33"/>
        <v>002-2013E30Q13-OK60</v>
      </c>
      <c r="N99" s="36" t="str">
        <f t="shared" si="34"/>
        <v>Прицеп 2,0*1,25 м  (до 750 кг.)</v>
      </c>
      <c r="O99" s="36" t="str">
        <f t="shared" si="27"/>
        <v>1 ось</v>
      </c>
      <c r="P99" s="36">
        <f t="shared" si="28"/>
        <v>2024</v>
      </c>
      <c r="Q99" s="36" t="str">
        <f t="shared" ca="1" si="35"/>
        <v>3150*1700*900</v>
      </c>
      <c r="R99" s="36" t="str">
        <f t="shared" ca="1" si="36"/>
        <v>2000*1250*300</v>
      </c>
      <c r="S99" s="34" t="str">
        <f>VLOOKUP(O99,ОТТС!$A$2:$B$3,2,0)</f>
        <v>ТС KZ Е-KZ.0317.00251 от 28.02.2023</v>
      </c>
      <c r="T99" s="38">
        <v>370000</v>
      </c>
      <c r="U99" s="36" t="str">
        <f t="shared" si="32"/>
        <v>Алматы</v>
      </c>
    </row>
    <row r="100" spans="1:21" ht="13.2">
      <c r="A100" s="34">
        <v>1262</v>
      </c>
      <c r="B100" s="35">
        <f>VLOOKUP(A100,'Реестр договоров'!$A$2:$D$298,2,0)</f>
        <v>45519</v>
      </c>
      <c r="C100" s="36" t="str">
        <f t="shared" si="21"/>
        <v>Багдадов</v>
      </c>
      <c r="D100" s="36" t="str">
        <f t="shared" si="22"/>
        <v>Багдад</v>
      </c>
      <c r="E100" s="36" t="str">
        <f t="shared" si="23"/>
        <v>Муратович</v>
      </c>
      <c r="F100" s="36" t="str">
        <f t="shared" si="24"/>
        <v>051193226</v>
      </c>
      <c r="G100" s="37">
        <f>VLOOKUP(F100,Покупатели!$F$2:$N$762,2,0)</f>
        <v>45519</v>
      </c>
      <c r="H100" s="36" t="str">
        <f>VLOOKUP(F100,Покупатели!$F$2:$N$762,3,0)</f>
        <v>МВД РК</v>
      </c>
      <c r="I100" s="36" t="str">
        <f>VLOOKUP(C100,Покупатели!$C$2:$M$805,7,0)</f>
        <v>000224551045</v>
      </c>
      <c r="J100" s="36" t="str">
        <f ca="1">IFERROR(__xludf.DUMMYFUNCTION("JOIN("" "", VLOOKUP(C100,Покупатели,8,0),VLOOKUP(C100,Покупатели,9,0),VLOOKUP(C100,Покупатели,10,0),VLOOKUP(C100,Покупатели,11,0))"),"Восточно-Казахстанская область г.Шемонаиха ул.Иртышская д.11/2")</f>
        <v>Восточно-Казахстанская область г.Шемонаиха ул.Иртышская д.11/2</v>
      </c>
      <c r="K100" s="36">
        <f t="shared" si="25"/>
        <v>87470382433</v>
      </c>
      <c r="L100" s="36" t="str">
        <f t="shared" si="26"/>
        <v>MX4000002R0001692</v>
      </c>
      <c r="M100" s="36" t="str">
        <f t="shared" ca="1" si="33"/>
        <v>002-2013E30Q13-OK</v>
      </c>
      <c r="N100" s="36" t="str">
        <f t="shared" si="34"/>
        <v>Прицеп 2,0*1,25 м  (до 750 кг.)</v>
      </c>
      <c r="O100" s="36" t="str">
        <f t="shared" si="27"/>
        <v>1 ось</v>
      </c>
      <c r="P100" s="36">
        <f t="shared" si="28"/>
        <v>2024</v>
      </c>
      <c r="Q100" s="36" t="str">
        <f t="shared" ca="1" si="35"/>
        <v>3150*1700*900</v>
      </c>
      <c r="R100" s="36" t="str">
        <f t="shared" ca="1" si="36"/>
        <v>2000*1250*300</v>
      </c>
      <c r="S100" s="34" t="str">
        <f>VLOOKUP(O100,ОТТС!$A$2:$B$3,2,0)</f>
        <v>ТС KZ Е-KZ.0317.00251 от 28.02.2023</v>
      </c>
      <c r="T100" s="38">
        <v>340000</v>
      </c>
      <c r="U100" s="36" t="str">
        <f t="shared" si="32"/>
        <v>Астана</v>
      </c>
    </row>
    <row r="101" spans="1:21" ht="13.2">
      <c r="A101" s="34">
        <v>1263</v>
      </c>
      <c r="B101" s="35">
        <f>VLOOKUP(A101,'Реестр договоров'!$A$2:$D$298,2,0)</f>
        <v>45519</v>
      </c>
      <c r="C101" s="36" t="str">
        <f t="shared" si="21"/>
        <v>Гордиенко</v>
      </c>
      <c r="D101" s="36" t="str">
        <f t="shared" si="22"/>
        <v>Леонид</v>
      </c>
      <c r="E101" s="36" t="str">
        <f t="shared" si="23"/>
        <v>Константинович</v>
      </c>
      <c r="F101" s="36" t="str">
        <f t="shared" si="24"/>
        <v>056510281</v>
      </c>
      <c r="G101" s="37">
        <f>VLOOKUP(F101,Покупатели!$F$2:$N$762,2,0)</f>
        <v>45435</v>
      </c>
      <c r="H101" s="36" t="str">
        <f>VLOOKUP(F101,Покупатели!$F$2:$N$762,3,0)</f>
        <v>МВД РК</v>
      </c>
      <c r="I101" s="36">
        <f>VLOOKUP(C101,Покупатели!$C$2:$M$805,7,0)</f>
        <v>890223300353</v>
      </c>
      <c r="J101" s="36" t="str">
        <f ca="1">IFERROR(__xludf.DUMMYFUNCTION("JOIN("" "", VLOOKUP(C101,Покупатели,8,0),VLOOKUP(C101,Покупатели,9,0),VLOOKUP(C101,Покупатели,10,0),VLOOKUP(C101,Покупатели,11,0))"),"г.Алматы Медеуский р-н ул.Саратовская д.41")</f>
        <v>г.Алматы Медеуский р-н ул.Саратовская д.41</v>
      </c>
      <c r="K101" s="36">
        <f t="shared" si="25"/>
        <v>87775255500</v>
      </c>
      <c r="L101" s="36" t="str">
        <f t="shared" si="26"/>
        <v>MX4000002R0001704</v>
      </c>
      <c r="M101" s="36" t="str">
        <f t="shared" ca="1" si="33"/>
        <v>002-2513E50Q13-OK</v>
      </c>
      <c r="N101" s="36" t="str">
        <f t="shared" si="34"/>
        <v>Прицеп 2,5*1,25 м  (до 750 кг.)</v>
      </c>
      <c r="O101" s="36" t="str">
        <f t="shared" si="27"/>
        <v>1 ось</v>
      </c>
      <c r="P101" s="36">
        <f t="shared" si="28"/>
        <v>2024</v>
      </c>
      <c r="Q101" s="36" t="str">
        <f t="shared" ca="1" si="35"/>
        <v>3650*1700*1070</v>
      </c>
      <c r="R101" s="36" t="str">
        <f t="shared" ca="1" si="36"/>
        <v>2500*1250*500</v>
      </c>
      <c r="S101" s="34" t="str">
        <f>VLOOKUP(O101,ОТТС!$A$2:$B$3,2,0)</f>
        <v>ТС KZ Е-KZ.0317.00251 от 28.02.2023</v>
      </c>
      <c r="T101" s="38">
        <v>340000</v>
      </c>
      <c r="U101" s="36" t="str">
        <f t="shared" si="32"/>
        <v>Алматы</v>
      </c>
    </row>
    <row r="102" spans="1:21" ht="13.2">
      <c r="A102" s="34">
        <v>1264</v>
      </c>
      <c r="B102" s="35">
        <f>VLOOKUP(A102,'Реестр договоров'!$A$2:$D$298,2,0)</f>
        <v>45519</v>
      </c>
      <c r="C102" s="36" t="str">
        <f t="shared" si="21"/>
        <v>Игенов</v>
      </c>
      <c r="D102" s="36" t="str">
        <f t="shared" si="22"/>
        <v>Муса</v>
      </c>
      <c r="E102" s="36" t="str">
        <f t="shared" si="23"/>
        <v>Альмусаевич</v>
      </c>
      <c r="F102" s="36" t="str">
        <f t="shared" si="24"/>
        <v>038131438</v>
      </c>
      <c r="G102" s="37">
        <f>VLOOKUP(F102,Покупатели!$F$2:$N$762,2,0)</f>
        <v>42062</v>
      </c>
      <c r="H102" s="36" t="str">
        <f>VLOOKUP(F102,Покупатели!$F$2:$N$762,3,0)</f>
        <v>МВД РК</v>
      </c>
      <c r="I102" s="36">
        <f>VLOOKUP(C102,Покупатели!$C$2:$M$805,7,0)</f>
        <v>890528351118</v>
      </c>
      <c r="J102" s="36" t="str">
        <f ca="1">IFERROR(__xludf.DUMMYFUNCTION("JOIN("" "", VLOOKUP(C102,Покупатели,8,0),VLOOKUP(C102,Покупатели,9,0),VLOOKUP(C102,Покупатели,10,0),VLOOKUP(C102,Покупатели,11,0))"),"Улытауская обл. г.Жезказган пос.Кенгир, ул.Сатпаева д.39-1")</f>
        <v>Улытауская обл. г.Жезказган пос.Кенгир, ул.Сатпаева д.39-1</v>
      </c>
      <c r="K102" s="36">
        <f t="shared" si="25"/>
        <v>87775724292</v>
      </c>
      <c r="L102" s="36" t="str">
        <f t="shared" si="26"/>
        <v>MX4000002R0001623</v>
      </c>
      <c r="M102" s="36" t="str">
        <f t="shared" ca="1" si="33"/>
        <v>002-2513E50Q13-OK</v>
      </c>
      <c r="N102" s="36" t="str">
        <f t="shared" si="34"/>
        <v>Прицеп 2,5*1,25 м  (до 750 кг.)</v>
      </c>
      <c r="O102" s="36" t="str">
        <f t="shared" si="27"/>
        <v>1 ось</v>
      </c>
      <c r="P102" s="36">
        <f t="shared" si="28"/>
        <v>2024</v>
      </c>
      <c r="Q102" s="36" t="str">
        <f t="shared" ca="1" si="35"/>
        <v>3650*1700*1070</v>
      </c>
      <c r="R102" s="36" t="str">
        <f t="shared" ca="1" si="36"/>
        <v>2500*1250*500</v>
      </c>
      <c r="S102" s="34" t="str">
        <f>VLOOKUP(O102,ОТТС!$A$2:$B$3,2,0)</f>
        <v>ТС KZ Е-KZ.0317.00251 от 28.02.2023</v>
      </c>
      <c r="T102" s="38">
        <v>380000</v>
      </c>
      <c r="U102" s="36" t="str">
        <f t="shared" si="32"/>
        <v>Алматы</v>
      </c>
    </row>
    <row r="103" spans="1:21" ht="13.2">
      <c r="A103" s="34">
        <v>1265</v>
      </c>
      <c r="B103" s="35">
        <f>VLOOKUP(A103,'Реестр договоров'!$A$2:$D$298,2,0)</f>
        <v>45519</v>
      </c>
      <c r="C103" s="36" t="str">
        <f t="shared" si="21"/>
        <v>Веселовский</v>
      </c>
      <c r="D103" s="36" t="str">
        <f t="shared" si="22"/>
        <v>Руслан</v>
      </c>
      <c r="E103" s="36" t="str">
        <f t="shared" si="23"/>
        <v>Андреевич</v>
      </c>
      <c r="F103" s="36" t="str">
        <f t="shared" si="24"/>
        <v>055163107</v>
      </c>
      <c r="G103" s="37">
        <f>VLOOKUP(F103,Покупатели!$F$2:$N$762,2,0)</f>
        <v>45273</v>
      </c>
      <c r="H103" s="36" t="str">
        <f>VLOOKUP(F103,Покупатели!$F$2:$N$762,3,0)</f>
        <v>МВД РК</v>
      </c>
      <c r="I103" s="36" t="str">
        <f>VLOOKUP(C103,Покупатели!$C$2:$M$805,7,0)</f>
        <v>071203554136</v>
      </c>
      <c r="J103" s="36" t="str">
        <f ca="1">IFERROR(__xludf.DUMMYFUNCTION("JOIN("" "", VLOOKUP(C103,Покупатели,8,0),VLOOKUP(C103,Покупатели,9,0),VLOOKUP(C103,Покупатели,10,0),VLOOKUP(C103,Покупатели,11,0))"),"Алматинская обл. Талгарский р-н п.Даулет, ул.Спандияр 85")</f>
        <v>Алматинская обл. Талгарский р-н п.Даулет, ул.Спандияр 85</v>
      </c>
      <c r="K103" s="36">
        <f t="shared" si="25"/>
        <v>87071797778</v>
      </c>
      <c r="L103" s="36" t="str">
        <f t="shared" si="26"/>
        <v>MX4000002R0001461</v>
      </c>
      <c r="M103" s="36" t="str">
        <f t="shared" ca="1" si="33"/>
        <v>002-2013E30Q13-OK</v>
      </c>
      <c r="N103" s="36" t="str">
        <f t="shared" si="34"/>
        <v>Прицеп 2,0*1,25 м  (до 750 кг.)</v>
      </c>
      <c r="O103" s="36" t="str">
        <f t="shared" si="27"/>
        <v>1 ось</v>
      </c>
      <c r="P103" s="36">
        <f t="shared" si="28"/>
        <v>2024</v>
      </c>
      <c r="Q103" s="36" t="str">
        <f t="shared" ca="1" si="35"/>
        <v>3150*1700*900</v>
      </c>
      <c r="R103" s="36" t="str">
        <f t="shared" ca="1" si="36"/>
        <v>2000*1250*300</v>
      </c>
      <c r="S103" s="34" t="str">
        <f>VLOOKUP(O103,ОТТС!$A$2:$B$3,2,0)</f>
        <v>ТС KZ Е-KZ.0317.00251 от 28.02.2023</v>
      </c>
      <c r="T103" s="38">
        <v>400000</v>
      </c>
      <c r="U103" s="36" t="str">
        <f t="shared" si="32"/>
        <v>Алматы</v>
      </c>
    </row>
    <row r="104" spans="1:21" ht="13.2">
      <c r="A104" s="34">
        <v>1266</v>
      </c>
      <c r="B104" s="35">
        <f>VLOOKUP(A104,'Реестр договоров'!$A$2:$D$298,2,0)</f>
        <v>45520</v>
      </c>
      <c r="C104" s="36" t="str">
        <f t="shared" si="21"/>
        <v>Сарбасов</v>
      </c>
      <c r="D104" s="36" t="str">
        <f t="shared" si="22"/>
        <v>Рахат</v>
      </c>
      <c r="E104" s="36" t="str">
        <f t="shared" si="23"/>
        <v>Галымович</v>
      </c>
      <c r="F104" s="36" t="str">
        <f t="shared" si="24"/>
        <v>048340558</v>
      </c>
      <c r="G104" s="37">
        <f>VLOOKUP(F104,Покупатели!$F$2:$N$762,2,0)</f>
        <v>44032</v>
      </c>
      <c r="H104" s="36" t="str">
        <f>VLOOKUP(F104,Покупатели!$F$2:$N$762,3,0)</f>
        <v>МВД РК</v>
      </c>
      <c r="I104" s="36">
        <f>VLOOKUP(C104,Покупатели!$C$2:$M$805,7,0)</f>
        <v>860601350458</v>
      </c>
      <c r="J104" s="36" t="str">
        <f ca="1">IFERROR(__xludf.DUMMYFUNCTION("JOIN("" "", VLOOKUP(C104,Покупатели,8,0),VLOOKUP(C104,Покупатели,9,0),VLOOKUP(C104,Покупатели,10,0),VLOOKUP(C104,Покупатели,11,0))"),"Акмолинская область, г. Кокшетау, ул. Андрея Остапенко, д. 23")</f>
        <v>Акмолинская область, г. Кокшетау, ул. Андрея Остапенко, д. 23</v>
      </c>
      <c r="K104" s="36">
        <f t="shared" si="25"/>
        <v>87055803822</v>
      </c>
      <c r="L104" s="36" t="str">
        <f t="shared" si="26"/>
        <v>MX4000002R0001745</v>
      </c>
      <c r="M104" s="36" t="str">
        <f t="shared" ca="1" si="33"/>
        <v>002-2013E30Q13-OK</v>
      </c>
      <c r="N104" s="36" t="str">
        <f t="shared" si="34"/>
        <v>Прицеп 2,0*1,25 м  (до 750 кг.)</v>
      </c>
      <c r="O104" s="36" t="str">
        <f t="shared" si="27"/>
        <v>1 ось</v>
      </c>
      <c r="P104" s="36">
        <f t="shared" si="28"/>
        <v>2024</v>
      </c>
      <c r="Q104" s="36" t="str">
        <f t="shared" ca="1" si="35"/>
        <v>3150*1700*900</v>
      </c>
      <c r="R104" s="36" t="str">
        <f t="shared" ca="1" si="36"/>
        <v>2000*1250*300</v>
      </c>
      <c r="S104" s="34" t="str">
        <f>VLOOKUP(O104,ОТТС!$A$2:$B$3,2,0)</f>
        <v>ТС KZ Е-KZ.0317.00251 от 28.02.2023</v>
      </c>
      <c r="T104" s="38">
        <v>360000</v>
      </c>
      <c r="U104" s="36" t="str">
        <f t="shared" si="32"/>
        <v>Кокшетау</v>
      </c>
    </row>
    <row r="105" spans="1:21" ht="13.2">
      <c r="A105" s="34">
        <v>1267</v>
      </c>
      <c r="B105" s="35">
        <f>VLOOKUP(A105,'Реестр договоров'!$A$2:$D$298,2,0)</f>
        <v>45520</v>
      </c>
      <c r="C105" s="36" t="str">
        <f t="shared" si="21"/>
        <v>Нагаев</v>
      </c>
      <c r="D105" s="36" t="str">
        <f t="shared" si="22"/>
        <v>Ильвир</v>
      </c>
      <c r="E105" s="36" t="str">
        <f t="shared" si="23"/>
        <v>Халильевич</v>
      </c>
      <c r="F105" s="36" t="str">
        <f t="shared" si="24"/>
        <v>056715188</v>
      </c>
      <c r="G105" s="37">
        <f>VLOOKUP(F105,Покупатели!$F$2:$N$762,2,0)</f>
        <v>45240</v>
      </c>
      <c r="H105" s="36" t="str">
        <f>VLOOKUP(F105,Покупатели!$F$2:$N$762,3,0)</f>
        <v>МВД РК</v>
      </c>
      <c r="I105" s="36">
        <f>VLOOKUP(C105,Покупатели!$C$2:$M$805,7,0)</f>
        <v>890928350590</v>
      </c>
      <c r="J105" s="36" t="str">
        <f ca="1">IFERROR(__xludf.DUMMYFUNCTION("JOIN("" "", VLOOKUP(C105,Покупатели,8,0),VLOOKUP(C105,Покупатели,9,0),VLOOKUP(C105,Покупатели,10,0),VLOOKUP(C105,Покупатели,11,0))"),"г.Астана р-н Сарыарка ул.С303 д. 2/5 кв. 31")</f>
        <v>г.Астана р-н Сарыарка ул.С303 д. 2/5 кв. 31</v>
      </c>
      <c r="K105" s="36">
        <f t="shared" si="25"/>
        <v>87073834084</v>
      </c>
      <c r="L105" s="36" t="str">
        <f t="shared" si="26"/>
        <v>MX4000002R0001749</v>
      </c>
      <c r="M105" s="36" t="str">
        <f t="shared" ca="1" si="33"/>
        <v>002-2013E30Q13-OK</v>
      </c>
      <c r="N105" s="36" t="str">
        <f t="shared" si="34"/>
        <v>Прицеп 2,0*1,25 м  (до 750 кг.)</v>
      </c>
      <c r="O105" s="36" t="str">
        <f t="shared" si="27"/>
        <v>1 ось</v>
      </c>
      <c r="P105" s="36">
        <f t="shared" si="28"/>
        <v>2024</v>
      </c>
      <c r="Q105" s="36" t="str">
        <f t="shared" ca="1" si="35"/>
        <v>3150*1700*900</v>
      </c>
      <c r="R105" s="36" t="str">
        <f t="shared" ca="1" si="36"/>
        <v>2000*1250*300</v>
      </c>
      <c r="S105" s="34" t="str">
        <f>VLOOKUP(O105,ОТТС!$A$2:$B$3,2,0)</f>
        <v>ТС KZ Е-KZ.0317.00251 от 28.02.2023</v>
      </c>
      <c r="T105" s="38">
        <v>380000</v>
      </c>
      <c r="U105" s="36" t="str">
        <f t="shared" si="32"/>
        <v>Астана</v>
      </c>
    </row>
    <row r="106" spans="1:21" ht="13.2">
      <c r="A106" s="34">
        <v>1268</v>
      </c>
      <c r="B106" s="35">
        <f>VLOOKUP(A106,'Реестр договоров'!$A$2:$D$298,2,0)</f>
        <v>45520</v>
      </c>
      <c r="C106" s="36" t="str">
        <f t="shared" si="21"/>
        <v>Темирбулатов</v>
      </c>
      <c r="D106" s="36" t="str">
        <f t="shared" si="22"/>
        <v>Думан</v>
      </c>
      <c r="E106" s="36" t="str">
        <f t="shared" si="23"/>
        <v>Куанышбекович</v>
      </c>
      <c r="F106" s="36" t="str">
        <f t="shared" si="24"/>
        <v>039109556</v>
      </c>
      <c r="G106" s="37">
        <f>VLOOKUP(F106,Покупатели!$F$2:$N$762,2,0)</f>
        <v>42248</v>
      </c>
      <c r="H106" s="36" t="str">
        <f>VLOOKUP(F106,Покупатели!$F$2:$N$762,3,0)</f>
        <v>МВД РК</v>
      </c>
      <c r="I106" s="36">
        <f>VLOOKUP(C106,Покупатели!$C$2:$M$805,7,0)</f>
        <v>741108350258</v>
      </c>
      <c r="J106" s="36" t="str">
        <f ca="1">IFERROR(__xludf.DUMMYFUNCTION("JOIN("" "", VLOOKUP(C106,Покупатели,8,0),VLOOKUP(C106,Покупатели,9,0),VLOOKUP(C106,Покупатели,10,0),VLOOKUP(C106,Покупатели,11,0))"),"Акмолинская обл. г.Кокшетау, с.Красный яр Ул.Мира д.5, кв.1")</f>
        <v>Акмолинская обл. г.Кокшетау, с.Красный яр Ул.Мира д.5, кв.1</v>
      </c>
      <c r="K106" s="36">
        <f t="shared" si="25"/>
        <v>87711240406</v>
      </c>
      <c r="L106" s="36" t="str">
        <f t="shared" si="26"/>
        <v>MX4000003R0001752</v>
      </c>
      <c r="M106" s="36" t="str">
        <f t="shared" ca="1" si="33"/>
        <v>002-2013-OK</v>
      </c>
      <c r="N106" s="36" t="str">
        <f t="shared" si="34"/>
        <v>Прицеп 2,0*1,25 м  (до 750 кг.)</v>
      </c>
      <c r="O106" s="36" t="str">
        <f t="shared" si="27"/>
        <v>1 ось</v>
      </c>
      <c r="P106" s="36">
        <f t="shared" si="28"/>
        <v>2024</v>
      </c>
      <c r="Q106" s="36" t="e">
        <f t="shared" ca="1" si="35"/>
        <v>#N/A</v>
      </c>
      <c r="R106" s="36" t="e">
        <f t="shared" ca="1" si="36"/>
        <v>#N/A</v>
      </c>
      <c r="S106" s="34" t="str">
        <f>VLOOKUP(O106,ОТТС!$A$2:$B$3,2,0)</f>
        <v>ТС KZ Е-KZ.0317.00251 от 28.02.2023</v>
      </c>
      <c r="T106" s="39">
        <v>350000</v>
      </c>
      <c r="U106" s="36" t="str">
        <f t="shared" si="32"/>
        <v>Кокшетау</v>
      </c>
    </row>
    <row r="107" spans="1:21" ht="13.2">
      <c r="A107" s="34">
        <v>1269</v>
      </c>
      <c r="B107" s="35">
        <f>VLOOKUP(A107,'Реестр договоров'!$A$2:$D$298,2,0)</f>
        <v>45523</v>
      </c>
      <c r="C107" s="36" t="str">
        <f t="shared" si="21"/>
        <v>Енцов</v>
      </c>
      <c r="D107" s="36" t="str">
        <f t="shared" si="22"/>
        <v>Иван</v>
      </c>
      <c r="E107" s="36" t="str">
        <f t="shared" si="23"/>
        <v>Александрович</v>
      </c>
      <c r="F107" s="36" t="str">
        <f t="shared" si="24"/>
        <v>040382892</v>
      </c>
      <c r="G107" s="37">
        <f>VLOOKUP(F107,Покупатели!$F$2:$N$762,2,0)</f>
        <v>42341</v>
      </c>
      <c r="H107" s="36" t="str">
        <f>VLOOKUP(F107,Покупатели!$F$2:$N$762,3,0)</f>
        <v>МВД РК</v>
      </c>
      <c r="I107" s="36">
        <f>VLOOKUP(C107,Покупатели!$C$2:$M$805,7,0)</f>
        <v>761026300765</v>
      </c>
      <c r="J107" s="36" t="str">
        <f ca="1">IFERROR(__xludf.DUMMYFUNCTION("JOIN("" "", VLOOKUP(C107,Покупатели,8,0),VLOOKUP(C107,Покупатели,9,0),VLOOKUP(C107,Покупатели,10,0),VLOOKUP(C107,Покупатели,11,0))"),"Акмолинская область, Астраханский район, с. Таволжанка, ул. Речная, д. 8")</f>
        <v>Акмолинская область, Астраханский район, с. Таволжанка, ул. Речная, д. 8</v>
      </c>
      <c r="K107" s="36">
        <f t="shared" si="25"/>
        <v>87022717824</v>
      </c>
      <c r="L107" s="36" t="str">
        <f t="shared" si="26"/>
        <v>MX4000002R0001750</v>
      </c>
      <c r="M107" s="36" t="str">
        <f t="shared" ca="1" si="33"/>
        <v>002-2013E30Q13-OK</v>
      </c>
      <c r="N107" s="36" t="str">
        <f t="shared" si="34"/>
        <v>Прицеп 2,0*1,25 м  (до 750 кг.)</v>
      </c>
      <c r="O107" s="36" t="str">
        <f t="shared" si="27"/>
        <v>1 ось</v>
      </c>
      <c r="P107" s="36">
        <f t="shared" si="28"/>
        <v>2024</v>
      </c>
      <c r="Q107" s="36" t="str">
        <f t="shared" ca="1" si="35"/>
        <v>3150*1700*900</v>
      </c>
      <c r="R107" s="36" t="str">
        <f t="shared" ca="1" si="36"/>
        <v>2000*1250*300</v>
      </c>
      <c r="S107" s="34" t="str">
        <f>VLOOKUP(O107,ОТТС!$A$2:$B$3,2,0)</f>
        <v>ТС KZ Е-KZ.0317.00251 от 28.02.2023</v>
      </c>
      <c r="T107" s="38">
        <v>370000</v>
      </c>
      <c r="U107" s="36" t="str">
        <f t="shared" si="32"/>
        <v>Астана</v>
      </c>
    </row>
    <row r="108" spans="1:21" ht="13.2">
      <c r="A108" s="34">
        <v>1270</v>
      </c>
      <c r="B108" s="35">
        <f>VLOOKUP(A108,'Реестр договоров'!$A$2:$D$298,2,0)</f>
        <v>45523</v>
      </c>
      <c r="C108" s="36" t="str">
        <f t="shared" si="21"/>
        <v>Руппель</v>
      </c>
      <c r="D108" s="36" t="str">
        <f t="shared" si="22"/>
        <v>Федор</v>
      </c>
      <c r="E108" s="36" t="str">
        <f t="shared" si="23"/>
        <v>Викторович</v>
      </c>
      <c r="F108" s="36" t="str">
        <f t="shared" si="24"/>
        <v>040239576</v>
      </c>
      <c r="G108" s="37">
        <f>VLOOKUP(F108,Покупатели!$F$2:$N$762,2,0)</f>
        <v>42324</v>
      </c>
      <c r="H108" s="36" t="str">
        <f>VLOOKUP(F108,Покупатели!$F$2:$N$762,3,0)</f>
        <v>МВД РК</v>
      </c>
      <c r="I108" s="36">
        <f>VLOOKUP(C108,Покупатели!$C$2:$M$805,7,0)</f>
        <v>610122350057</v>
      </c>
      <c r="J108" s="36" t="str">
        <f ca="1">IFERROR(__xludf.DUMMYFUNCTION("JOIN("" "", VLOOKUP(C108,Покупатели,8,0),VLOOKUP(C108,Покупатели,9,0),VLOOKUP(C108,Покупатели,10,0),VLOOKUP(C108,Покупатели,11,0))"),"Акмолинская область, Зерендинский район, с. Шагалалы, ул. Женис, д 32")</f>
        <v>Акмолинская область, Зерендинский район, с. Шагалалы, ул. Женис, д 32</v>
      </c>
      <c r="K108" s="36">
        <f t="shared" si="25"/>
        <v>87018759413</v>
      </c>
      <c r="L108" s="36" t="str">
        <f t="shared" si="26"/>
        <v>MX4000002R0001744</v>
      </c>
      <c r="M108" s="36" t="str">
        <f t="shared" ca="1" si="33"/>
        <v>002-2013E50Q13-OK30</v>
      </c>
      <c r="N108" s="36" t="str">
        <f t="shared" si="34"/>
        <v>Прицеп 2,0*1,25 м  (до 750 кг.)</v>
      </c>
      <c r="O108" s="36" t="str">
        <f t="shared" si="27"/>
        <v>1 ось</v>
      </c>
      <c r="P108" s="36">
        <f t="shared" si="28"/>
        <v>2024</v>
      </c>
      <c r="Q108" s="36" t="s">
        <v>917</v>
      </c>
      <c r="R108" s="36" t="s">
        <v>918</v>
      </c>
      <c r="S108" s="34" t="str">
        <f>VLOOKUP(O108,ОТТС!$A$2:$B$3,2,0)</f>
        <v>ТС KZ Е-KZ.0317.00251 от 28.02.2023</v>
      </c>
      <c r="T108" s="38">
        <v>350000</v>
      </c>
      <c r="U108" s="36" t="str">
        <f t="shared" si="32"/>
        <v>Кокшетау</v>
      </c>
    </row>
    <row r="109" spans="1:21" ht="13.2">
      <c r="A109" s="34">
        <v>1271</v>
      </c>
      <c r="B109" s="35">
        <f>VLOOKUP(A109,'Реестр договоров'!$A$2:$D$298,2,0)</f>
        <v>45523</v>
      </c>
      <c r="C109" s="36" t="str">
        <f t="shared" si="21"/>
        <v>Сейтқалиев</v>
      </c>
      <c r="D109" s="36" t="str">
        <f t="shared" si="22"/>
        <v>Дәулет</v>
      </c>
      <c r="E109" s="36" t="str">
        <f t="shared" si="23"/>
        <v>Қанатұлы</v>
      </c>
      <c r="F109" s="36" t="str">
        <f t="shared" si="24"/>
        <v>037076789</v>
      </c>
      <c r="G109" s="37">
        <f>VLOOKUP(F109,Покупатели!$F$2:$N$762,2,0)</f>
        <v>41921</v>
      </c>
      <c r="H109" s="36" t="str">
        <f>VLOOKUP(F109,Покупатели!$F$2:$N$762,3,0)</f>
        <v>ҚР ІІМ</v>
      </c>
      <c r="I109" s="36">
        <f>VLOOKUP(C109,Покупатели!$C$2:$M$805,7,0)</f>
        <v>980928301729</v>
      </c>
      <c r="J109" s="36" t="str">
        <f ca="1">IFERROR(__xludf.DUMMYFUNCTION("JOIN("" "", VLOOKUP(C109,Покупатели,8,0),VLOOKUP(C109,Покупатели,9,0),VLOOKUP(C109,Покупатели,10,0),VLOOKUP(C109,Покупатели,11,0))"),"Алматинская область, Жетысуский район,  Мкр-н Кокжиек, дом 11, кв 29")</f>
        <v>Алматинская область, Жетысуский район,  Мкр-н Кокжиек, дом 11, кв 29</v>
      </c>
      <c r="K109" s="36">
        <f t="shared" si="25"/>
        <v>87479918097</v>
      </c>
      <c r="L109" s="36" t="str">
        <f t="shared" si="26"/>
        <v>MX4000002R0001584</v>
      </c>
      <c r="M109" s="36" t="str">
        <f t="shared" ca="1" si="33"/>
        <v>002-2013E50Q13-OK</v>
      </c>
      <c r="N109" s="36" t="str">
        <f t="shared" si="34"/>
        <v>Прицеп 2,0*1,25 м  (до 750 кг.)</v>
      </c>
      <c r="O109" s="36" t="str">
        <f t="shared" si="27"/>
        <v>1 ось</v>
      </c>
      <c r="P109" s="36">
        <f t="shared" si="28"/>
        <v>2024</v>
      </c>
      <c r="Q109" s="36" t="str">
        <f t="shared" ref="Q109:Q132" ca="1" si="37">VLOOKUP(M109,матрица,16,0)</f>
        <v>3150*1700*1070</v>
      </c>
      <c r="R109" s="36" t="str">
        <f t="shared" ref="R109:R132" ca="1" si="38">VLOOKUP(M109,матрица,17,0)</f>
        <v>2000*1250*500</v>
      </c>
      <c r="S109" s="34" t="str">
        <f>VLOOKUP(O109,ОТТС!$A$2:$B$3,2,0)</f>
        <v>ТС KZ Е-KZ.0317.00251 от 28.02.2023</v>
      </c>
      <c r="T109" s="38">
        <v>380000</v>
      </c>
      <c r="U109" s="36" t="str">
        <f t="shared" si="32"/>
        <v>Алматы</v>
      </c>
    </row>
    <row r="110" spans="1:21" ht="13.2">
      <c r="A110" s="34">
        <v>1272</v>
      </c>
      <c r="B110" s="35">
        <f>VLOOKUP(A110,'Реестр договоров'!$A$2:$D$298,2,0)</f>
        <v>45524</v>
      </c>
      <c r="C110" s="36" t="str">
        <f t="shared" si="21"/>
        <v>Рамазанов</v>
      </c>
      <c r="D110" s="36" t="str">
        <f t="shared" si="22"/>
        <v>Едил</v>
      </c>
      <c r="E110" s="36" t="str">
        <f t="shared" si="23"/>
        <v>Аманжолович</v>
      </c>
      <c r="F110" s="36">
        <f t="shared" si="24"/>
        <v>54433575</v>
      </c>
      <c r="G110" s="37">
        <f>VLOOKUP(F110,Покупатели!$F$2:$N$762,2,0)</f>
        <v>45181</v>
      </c>
      <c r="H110" s="36" t="str">
        <f>VLOOKUP(F110,Покупатели!$F$2:$N$762,3,0)</f>
        <v>МВД РК</v>
      </c>
      <c r="I110" s="36">
        <f>VLOOKUP(C110,Покупатели!$C$2:$M$805,7,0)</f>
        <v>880813303006</v>
      </c>
      <c r="J110" s="36" t="str">
        <f ca="1">IFERROR(__xludf.DUMMYFUNCTION("JOIN("" "", VLOOKUP(C110,Покупатели,8,0),VLOOKUP(C110,Покупатели,9,0),VLOOKUP(C110,Покупатели,10,0),VLOOKUP(C110,Покупатели,11,0))"),"Жетысуская область, Панфиловский район, с. Ушарал, ул. 60 Жылдык, д. 49")</f>
        <v>Жетысуская область, Панфиловский район, с. Ушарал, ул. 60 Жылдык, д. 49</v>
      </c>
      <c r="K110" s="36">
        <f t="shared" si="25"/>
        <v>87476204251</v>
      </c>
      <c r="L110" s="36" t="str">
        <f t="shared" si="26"/>
        <v>MX4000002R0001611</v>
      </c>
      <c r="M110" s="36" t="str">
        <f t="shared" ca="1" si="33"/>
        <v>002-2513E50Q13-OK</v>
      </c>
      <c r="N110" s="36" t="str">
        <f t="shared" si="34"/>
        <v>Прицеп 2,5*1,25 м  (до 750 кг.)</v>
      </c>
      <c r="O110" s="36" t="str">
        <f t="shared" si="27"/>
        <v>1 ось</v>
      </c>
      <c r="P110" s="36">
        <f t="shared" si="28"/>
        <v>2024</v>
      </c>
      <c r="Q110" s="36" t="str">
        <f t="shared" ca="1" si="37"/>
        <v>3650*1700*1070</v>
      </c>
      <c r="R110" s="36" t="str">
        <f t="shared" ca="1" si="38"/>
        <v>2500*1250*500</v>
      </c>
      <c r="S110" s="34" t="str">
        <f>VLOOKUP(O110,ОТТС!$A$2:$B$3,2,0)</f>
        <v>ТС KZ Е-KZ.0317.00251 от 28.02.2023</v>
      </c>
      <c r="T110" s="38">
        <v>360000</v>
      </c>
      <c r="U110" s="36" t="str">
        <f t="shared" si="32"/>
        <v>Астана</v>
      </c>
    </row>
    <row r="111" spans="1:21" ht="13.2">
      <c r="A111" s="34">
        <v>1273</v>
      </c>
      <c r="B111" s="35">
        <f>VLOOKUP(A111,'Реестр договоров'!$A$2:$D$298,2,0)</f>
        <v>45524</v>
      </c>
      <c r="C111" s="36" t="str">
        <f t="shared" si="21"/>
        <v xml:space="preserve">Кожабаев </v>
      </c>
      <c r="D111" s="36" t="str">
        <f t="shared" si="22"/>
        <v>Серик</v>
      </c>
      <c r="E111" s="36" t="str">
        <f t="shared" si="23"/>
        <v>Айтжанович</v>
      </c>
      <c r="F111" s="36" t="str">
        <f t="shared" si="24"/>
        <v>052693850</v>
      </c>
      <c r="G111" s="37">
        <f>VLOOKUP(F111,Покупатели!$F$2:$N$762,2,0)</f>
        <v>44684</v>
      </c>
      <c r="H111" s="36" t="str">
        <f>VLOOKUP(F111,Покупатели!$F$2:$N$762,3,0)</f>
        <v>МВД РК</v>
      </c>
      <c r="I111" s="36">
        <f>VLOOKUP(C111,Покупатели!$C$2:$M$805,7,0)</f>
        <v>870626351206</v>
      </c>
      <c r="J111" s="36" t="str">
        <f ca="1">IFERROR(__xludf.DUMMYFUNCTION("JOIN("" "", VLOOKUP(C111,Покупатели,8,0),VLOOKUP(C111,Покупатели,9,0),VLOOKUP(C111,Покупатели,10,0),VLOOKUP(C111,Покупатели,11,0))"),"Акмолинская область, г.Кокшетау, мкр-н Сарыарка, д. 2, кв 38")</f>
        <v>Акмолинская область, г.Кокшетау, мкр-н Сарыарка, д. 2, кв 38</v>
      </c>
      <c r="K111" s="36">
        <f t="shared" si="25"/>
        <v>87471542181</v>
      </c>
      <c r="L111" s="36" t="str">
        <f t="shared" si="26"/>
        <v>MX4000002R0001757</v>
      </c>
      <c r="M111" s="36" t="str">
        <f t="shared" ca="1" si="33"/>
        <v>002-2013E50Q13-OK</v>
      </c>
      <c r="N111" s="36" t="str">
        <f t="shared" si="34"/>
        <v>Прицеп 2,0*1,25 м  (до 750 кг.)</v>
      </c>
      <c r="O111" s="36" t="str">
        <f t="shared" si="27"/>
        <v>1 ось</v>
      </c>
      <c r="P111" s="36">
        <f t="shared" si="28"/>
        <v>2024</v>
      </c>
      <c r="Q111" s="36" t="str">
        <f t="shared" ca="1" si="37"/>
        <v>3150*1700*1070</v>
      </c>
      <c r="R111" s="36" t="str">
        <f t="shared" ca="1" si="38"/>
        <v>2000*1250*500</v>
      </c>
      <c r="S111" s="34" t="str">
        <f>VLOOKUP(O111,ОТТС!$A$2:$B$3,2,0)</f>
        <v>ТС KZ Е-KZ.0317.00251 от 28.02.2023</v>
      </c>
      <c r="T111" s="38">
        <v>340000</v>
      </c>
      <c r="U111" s="36" t="str">
        <f t="shared" si="32"/>
        <v>Кокшетау</v>
      </c>
    </row>
    <row r="112" spans="1:21" ht="13.2">
      <c r="A112" s="34">
        <v>1274</v>
      </c>
      <c r="B112" s="35">
        <f>VLOOKUP(A112,'Реестр договоров'!$A$2:$D$298,2,0)</f>
        <v>45525</v>
      </c>
      <c r="C112" s="36" t="str">
        <f t="shared" si="21"/>
        <v>Коваль</v>
      </c>
      <c r="D112" s="36" t="str">
        <f t="shared" si="22"/>
        <v>Александр</v>
      </c>
      <c r="E112" s="36" t="str">
        <f t="shared" si="23"/>
        <v>Витальевич</v>
      </c>
      <c r="F112" s="36" t="str">
        <f t="shared" si="24"/>
        <v>042352318</v>
      </c>
      <c r="G112" s="37">
        <f>VLOOKUP(F112,Покупатели!$F$2:$N$762,2,0)</f>
        <v>45525</v>
      </c>
      <c r="H112" s="36" t="str">
        <f>VLOOKUP(F112,Покупатели!$F$2:$N$762,3,0)</f>
        <v>МВД РК</v>
      </c>
      <c r="I112" s="36" t="str">
        <f>VLOOKUP(C112,Покупатели!$C$2:$M$805,7,0)</f>
        <v>010206551326</v>
      </c>
      <c r="J112" s="36" t="str">
        <f ca="1">IFERROR(__xludf.DUMMYFUNCTION("JOIN("" "", VLOOKUP(C112,Покупатели,8,0),VLOOKUP(C112,Покупатели,9,0),VLOOKUP(C112,Покупатели,10,0),VLOOKUP(C112,Покупатели,11,0))"),"Павлодарская обл. г.Экибастуз ул.Сатпаева д.48, кв.21")</f>
        <v>Павлодарская обл. г.Экибастуз ул.Сатпаева д.48, кв.21</v>
      </c>
      <c r="K112" s="36">
        <f t="shared" si="25"/>
        <v>87058164877</v>
      </c>
      <c r="L112" s="36" t="str">
        <f t="shared" si="26"/>
        <v>MX4000002R0001679</v>
      </c>
      <c r="M112" s="36" t="str">
        <f t="shared" ca="1" si="33"/>
        <v>002-2013E30Q13-OK</v>
      </c>
      <c r="N112" s="36" t="str">
        <f t="shared" si="34"/>
        <v>Прицеп 2,0*1,25 м  (до 750 кг.)</v>
      </c>
      <c r="O112" s="36" t="str">
        <f t="shared" si="27"/>
        <v>1 ось</v>
      </c>
      <c r="P112" s="36">
        <f t="shared" si="28"/>
        <v>2024</v>
      </c>
      <c r="Q112" s="36" t="str">
        <f t="shared" ca="1" si="37"/>
        <v>3150*1700*900</v>
      </c>
      <c r="R112" s="36" t="str">
        <f t="shared" ca="1" si="38"/>
        <v>2000*1250*300</v>
      </c>
      <c r="S112" s="34" t="str">
        <f>VLOOKUP(O112,ОТТС!$A$2:$B$3,2,0)</f>
        <v>ТС KZ Е-KZ.0317.00251 от 28.02.2023</v>
      </c>
      <c r="T112" s="38">
        <v>340000</v>
      </c>
      <c r="U112" s="36" t="str">
        <f t="shared" si="32"/>
        <v>Астана</v>
      </c>
    </row>
    <row r="113" spans="1:21" ht="13.2">
      <c r="A113" s="34">
        <v>1275</v>
      </c>
      <c r="B113" s="35">
        <f>VLOOKUP(A113,'Реестр договоров'!$A$2:$D$298,2,0)</f>
        <v>45525</v>
      </c>
      <c r="C113" s="36" t="str">
        <f t="shared" si="21"/>
        <v>Хелаев</v>
      </c>
      <c r="D113" s="36" t="str">
        <f t="shared" si="22"/>
        <v>Сабир</v>
      </c>
      <c r="E113" s="36" t="str">
        <f t="shared" si="23"/>
        <v>Биналиевич</v>
      </c>
      <c r="F113" s="36" t="str">
        <f t="shared" si="24"/>
        <v>043338119</v>
      </c>
      <c r="G113" s="37">
        <f>VLOOKUP(F113,Покупатели!$F$2:$N$762,2,0)</f>
        <v>43319</v>
      </c>
      <c r="H113" s="36" t="str">
        <f>VLOOKUP(F113,Покупатели!$F$2:$N$762,3,0)</f>
        <v>МВД РК</v>
      </c>
      <c r="I113" s="36" t="str">
        <f>VLOOKUP(C113,Покупатели!$C$2:$M$805,7,0)</f>
        <v>020707501187</v>
      </c>
      <c r="J113" s="36" t="str">
        <f ca="1">IFERROR(__xludf.DUMMYFUNCTION("JOIN("" "", VLOOKUP(C113,Покупатели,8,0),VLOOKUP(C113,Покупатели,9,0),VLOOKUP(C113,Покупатели,10,0),VLOOKUP(C113,Покупатели,11,0))"),"Алматинская обл. Карасайский р-н, с.Турар ул.Байжасарова д.2/1")</f>
        <v>Алматинская обл. Карасайский р-н, с.Турар ул.Байжасарова д.2/1</v>
      </c>
      <c r="K113" s="36">
        <f t="shared" si="25"/>
        <v>87082944071</v>
      </c>
      <c r="L113" s="36" t="str">
        <f t="shared" si="26"/>
        <v>MX4000002R0001604</v>
      </c>
      <c r="M113" s="36" t="str">
        <f t="shared" ca="1" si="33"/>
        <v>002-2513E50Q13-OK</v>
      </c>
      <c r="N113" s="36" t="str">
        <f t="shared" si="34"/>
        <v>Прицеп 2,5*1,25 м  (до 750 кг.)</v>
      </c>
      <c r="O113" s="36" t="str">
        <f t="shared" si="27"/>
        <v>1 ось</v>
      </c>
      <c r="P113" s="36">
        <f t="shared" si="28"/>
        <v>2024</v>
      </c>
      <c r="Q113" s="36" t="str">
        <f t="shared" ca="1" si="37"/>
        <v>3650*1700*1070</v>
      </c>
      <c r="R113" s="36" t="str">
        <f t="shared" ca="1" si="38"/>
        <v>2500*1250*500</v>
      </c>
      <c r="S113" s="34" t="str">
        <f>VLOOKUP(O113,ОТТС!$A$2:$B$3,2,0)</f>
        <v>ТС KZ Е-KZ.0317.00251 от 28.02.2023</v>
      </c>
      <c r="T113" s="38">
        <v>380000</v>
      </c>
      <c r="U113" s="36" t="str">
        <f t="shared" si="32"/>
        <v>Алматы</v>
      </c>
    </row>
    <row r="114" spans="1:21" ht="13.2">
      <c r="A114" s="34">
        <v>1276</v>
      </c>
      <c r="B114" s="35">
        <f>VLOOKUP(A114,'Реестр договоров'!$A$2:$D$298,2,0)</f>
        <v>45526</v>
      </c>
      <c r="C114" s="36" t="str">
        <f t="shared" si="21"/>
        <v>Дусаев</v>
      </c>
      <c r="D114" s="36" t="str">
        <f t="shared" si="22"/>
        <v>Ринат</v>
      </c>
      <c r="E114" s="36" t="str">
        <f t="shared" si="23"/>
        <v>Шавкетович</v>
      </c>
      <c r="F114" s="36" t="str">
        <f t="shared" si="24"/>
        <v>039700607</v>
      </c>
      <c r="G114" s="37">
        <f>VLOOKUP(F114,Покупатели!$F$2:$N$762,2,0)</f>
        <v>42418</v>
      </c>
      <c r="H114" s="36" t="str">
        <f>VLOOKUP(F114,Покупатели!$F$2:$N$762,3,0)</f>
        <v>МВД РК</v>
      </c>
      <c r="I114" s="36">
        <f>VLOOKUP(C114,Покупатели!$C$2:$M$805,7,0)</f>
        <v>781219302427</v>
      </c>
      <c r="J114" s="36" t="str">
        <f ca="1">IFERROR(__xludf.DUMMYFUNCTION("JOIN("" "", VLOOKUP(C114,Покупатели,8,0),VLOOKUP(C114,Покупатели,9,0),VLOOKUP(C114,Покупатели,10,0),VLOOKUP(C114,Покупатели,11,0))"),"Жетысуская область, г. Талдыкорган, Подхоз 3 отделение, ул. Кокбастау, д.23")</f>
        <v>Жетысуская область, г. Талдыкорган, Подхоз 3 отделение, ул. Кокбастау, д.23</v>
      </c>
      <c r="K114" s="36">
        <f t="shared" si="25"/>
        <v>87078361703</v>
      </c>
      <c r="L114" s="36" t="str">
        <f t="shared" si="26"/>
        <v>MX4000002R0001585</v>
      </c>
      <c r="M114" s="36" t="str">
        <f t="shared" ca="1" si="33"/>
        <v>002-2013E50Q13-OK</v>
      </c>
      <c r="N114" s="36" t="str">
        <f t="shared" si="34"/>
        <v>Прицеп 2,0*1,25 м  (до 750 кг.)</v>
      </c>
      <c r="O114" s="36" t="str">
        <f t="shared" si="27"/>
        <v>1 ось</v>
      </c>
      <c r="P114" s="36">
        <f t="shared" si="28"/>
        <v>2024</v>
      </c>
      <c r="Q114" s="36" t="str">
        <f t="shared" ca="1" si="37"/>
        <v>3150*1700*1070</v>
      </c>
      <c r="R114" s="36" t="str">
        <f t="shared" ca="1" si="38"/>
        <v>2000*1250*500</v>
      </c>
      <c r="S114" s="34" t="str">
        <f>VLOOKUP(O114,ОТТС!$A$2:$B$3,2,0)</f>
        <v>ТС KZ Е-KZ.0317.00251 от 28.02.2023</v>
      </c>
      <c r="T114" s="38">
        <v>310000</v>
      </c>
      <c r="U114" s="36" t="str">
        <f t="shared" si="32"/>
        <v>Алматы</v>
      </c>
    </row>
    <row r="115" spans="1:21" ht="13.2">
      <c r="A115" s="34">
        <v>1277</v>
      </c>
      <c r="B115" s="35">
        <f>VLOOKUP(A115,'Реестр договоров'!$A$2:$D$298,2,0)</f>
        <v>45527</v>
      </c>
      <c r="C115" s="36" t="str">
        <f t="shared" si="21"/>
        <v>Ибраймов</v>
      </c>
      <c r="D115" s="36" t="str">
        <f t="shared" si="22"/>
        <v>Ермек</v>
      </c>
      <c r="E115" s="36" t="str">
        <f t="shared" si="23"/>
        <v>Түсіпбекұлы</v>
      </c>
      <c r="F115" s="36" t="str">
        <f t="shared" si="24"/>
        <v>052097912</v>
      </c>
      <c r="G115" s="37">
        <f>VLOOKUP(F115,Покупатели!$F$2:$N$762,2,0)</f>
        <v>44594</v>
      </c>
      <c r="H115" s="36" t="str">
        <f>VLOOKUP(F115,Покупатели!$F$2:$N$762,3,0)</f>
        <v>ҚР ІІМ</v>
      </c>
      <c r="I115" s="36">
        <f>VLOOKUP(C115,Покупатели!$C$2:$M$805,7,0)</f>
        <v>901013351333</v>
      </c>
      <c r="J115" s="36" t="str">
        <f ca="1">IFERROR(__xludf.DUMMYFUNCTION("JOIN("" "", VLOOKUP(C115,Покупатели,8,0),VLOOKUP(C115,Покупатели,9,0),VLOOKUP(C115,Покупатели,10,0),VLOOKUP(C115,Покупатели,11,0))"),"г.Астана р-н Сарыарка Богенбай батыра д.25")</f>
        <v>г.Астана р-н Сарыарка Богенбай батыра д.25</v>
      </c>
      <c r="K115" s="36">
        <f t="shared" si="25"/>
        <v>87028656566</v>
      </c>
      <c r="L115" s="36" t="str">
        <f t="shared" si="26"/>
        <v>MX4000002R0001751</v>
      </c>
      <c r="M115" s="36" t="str">
        <f t="shared" ca="1" si="33"/>
        <v>002-2013E30Q13-OK</v>
      </c>
      <c r="N115" s="36" t="str">
        <f t="shared" si="34"/>
        <v>Прицеп 2,0*1,25 м  (до 750 кг.)</v>
      </c>
      <c r="O115" s="36" t="str">
        <f t="shared" si="27"/>
        <v>1 ось</v>
      </c>
      <c r="P115" s="36">
        <f t="shared" si="28"/>
        <v>2024</v>
      </c>
      <c r="Q115" s="36" t="str">
        <f t="shared" ca="1" si="37"/>
        <v>3150*1700*900</v>
      </c>
      <c r="R115" s="36" t="str">
        <f t="shared" ca="1" si="38"/>
        <v>2000*1250*300</v>
      </c>
      <c r="S115" s="34" t="str">
        <f>VLOOKUP(O115,ОТТС!$A$2:$B$3,2,0)</f>
        <v>ТС KZ Е-KZ.0317.00251 от 28.02.2023</v>
      </c>
      <c r="T115" s="38">
        <v>380000</v>
      </c>
      <c r="U115" s="36" t="str">
        <f t="shared" si="32"/>
        <v>Астана</v>
      </c>
    </row>
    <row r="116" spans="1:21" ht="13.2">
      <c r="A116" s="34">
        <v>1278</v>
      </c>
      <c r="B116" s="35">
        <f>VLOOKUP(A116,'Реестр договоров'!$A$2:$D$298,2,0)</f>
        <v>45528</v>
      </c>
      <c r="C116" s="36" t="str">
        <f t="shared" si="21"/>
        <v>Баядилов</v>
      </c>
      <c r="D116" s="36" t="str">
        <f t="shared" si="22"/>
        <v>Амангельды</v>
      </c>
      <c r="E116" s="36" t="str">
        <f t="shared" si="23"/>
        <v>Сматович</v>
      </c>
      <c r="F116" s="36" t="str">
        <f t="shared" si="24"/>
        <v>056418753</v>
      </c>
      <c r="G116" s="37">
        <f>VLOOKUP(F116,Покупатели!$F$2:$N$762,2,0)</f>
        <v>45426</v>
      </c>
      <c r="H116" s="36" t="str">
        <f>VLOOKUP(F116,Покупатели!$F$2:$N$762,3,0)</f>
        <v>МВД РК</v>
      </c>
      <c r="I116" s="36">
        <f>VLOOKUP(C116,Покупатели!$C$2:$M$805,7,0)</f>
        <v>690621301541</v>
      </c>
      <c r="J116" s="36" t="str">
        <f ca="1">IFERROR(__xludf.DUMMYFUNCTION("JOIN("" "", VLOOKUP(C116,Покупатели,8,0),VLOOKUP(C116,Покупатели,9,0),VLOOKUP(C116,Покупатели,10,0),VLOOKUP(C116,Покупатели,11,0))"),"г.Алматы Медеуский р-н мкр.Коктобе, ул.Домбыра д.48")</f>
        <v>г.Алматы Медеуский р-н мкр.Коктобе, ул.Домбыра д.48</v>
      </c>
      <c r="K116" s="36">
        <f t="shared" si="25"/>
        <v>87776844355</v>
      </c>
      <c r="L116" s="36" t="str">
        <f t="shared" si="26"/>
        <v>MX4000002R0001579</v>
      </c>
      <c r="M116" s="36" t="str">
        <f t="shared" ca="1" si="33"/>
        <v>002-2013E30Q13-OK</v>
      </c>
      <c r="N116" s="36" t="str">
        <f t="shared" si="34"/>
        <v>Прицеп 2,0*1,25 м  (до 750 кг.)</v>
      </c>
      <c r="O116" s="36" t="str">
        <f t="shared" si="27"/>
        <v>1 ось</v>
      </c>
      <c r="P116" s="36">
        <f t="shared" si="28"/>
        <v>2024</v>
      </c>
      <c r="Q116" s="36" t="str">
        <f t="shared" ca="1" si="37"/>
        <v>3150*1700*900</v>
      </c>
      <c r="R116" s="36" t="str">
        <f t="shared" ca="1" si="38"/>
        <v>2000*1250*300</v>
      </c>
      <c r="S116" s="34" t="str">
        <f>VLOOKUP(O116,ОТТС!$A$2:$B$3,2,0)</f>
        <v>ТС KZ Е-KZ.0317.00251 от 28.02.2023</v>
      </c>
      <c r="T116" s="38">
        <v>380000</v>
      </c>
      <c r="U116" s="36" t="str">
        <f t="shared" si="32"/>
        <v>Алматы</v>
      </c>
    </row>
    <row r="117" spans="1:21" ht="13.2">
      <c r="A117" s="34">
        <v>1279</v>
      </c>
      <c r="B117" s="35">
        <f>VLOOKUP(A117,'Реестр договоров'!$A$2:$D$298,2,0)</f>
        <v>45528</v>
      </c>
      <c r="C117" s="36" t="str">
        <f t="shared" si="21"/>
        <v>Месевро</v>
      </c>
      <c r="D117" s="36" t="str">
        <f t="shared" si="22"/>
        <v>Роман</v>
      </c>
      <c r="E117" s="36" t="str">
        <f t="shared" si="23"/>
        <v>Вячеславович</v>
      </c>
      <c r="F117" s="36" t="str">
        <f t="shared" si="24"/>
        <v>048188849</v>
      </c>
      <c r="G117" s="37">
        <f>VLOOKUP(F117,Покупатели!$F$2:$N$762,2,0)</f>
        <v>44292</v>
      </c>
      <c r="H117" s="36" t="str">
        <f>VLOOKUP(F117,Покупатели!$F$2:$N$762,3,0)</f>
        <v>МВД РК</v>
      </c>
      <c r="I117" s="36">
        <f>VLOOKUP(C117,Покупатели!$C$2:$M$805,7,0)</f>
        <v>851214300558</v>
      </c>
      <c r="J117" s="36" t="str">
        <f ca="1">IFERROR(__xludf.DUMMYFUNCTION("JOIN("" "", VLOOKUP(C117,Покупатели,8,0),VLOOKUP(C117,Покупатели,9,0),VLOOKUP(C117,Покупатели,10,0),VLOOKUP(C117,Покупатели,11,0))"),"г.Алматы Бостандыкский р-н ул.Навои д.208/6, кв.171")</f>
        <v>г.Алматы Бостандыкский р-н ул.Навои д.208/6, кв.171</v>
      </c>
      <c r="K117" s="36">
        <f t="shared" si="25"/>
        <v>87052047706</v>
      </c>
      <c r="L117" s="36" t="str">
        <f t="shared" si="26"/>
        <v>MX4000002R0001753</v>
      </c>
      <c r="M117" s="36" t="str">
        <f t="shared" ca="1" si="33"/>
        <v>002-2515Q13-OK</v>
      </c>
      <c r="N117" s="36" t="str">
        <f t="shared" si="34"/>
        <v>Прицеп 2,5*1,5 м  (до 750 кг.)</v>
      </c>
      <c r="O117" s="36" t="str">
        <f t="shared" si="27"/>
        <v>1 ось</v>
      </c>
      <c r="P117" s="36">
        <f t="shared" si="28"/>
        <v>2024</v>
      </c>
      <c r="Q117" s="36" t="str">
        <f t="shared" ca="1" si="37"/>
        <v>4000*1950*650</v>
      </c>
      <c r="R117" s="36" t="str">
        <f t="shared" ca="1" si="38"/>
        <v>2500*1500*0</v>
      </c>
      <c r="S117" s="34" t="str">
        <f>VLOOKUP(O117,ОТТС!$A$2:$B$3,2,0)</f>
        <v>ТС KZ Е-KZ.0317.00251 от 28.02.2023</v>
      </c>
      <c r="T117" s="38">
        <v>380000</v>
      </c>
      <c r="U117" s="36" t="str">
        <f t="shared" si="32"/>
        <v>Алматы</v>
      </c>
    </row>
    <row r="118" spans="1:21" ht="13.2">
      <c r="A118" s="34">
        <v>1280</v>
      </c>
      <c r="B118" s="35">
        <f>VLOOKUP(A118,'Реестр договоров'!$A$2:$D$298,2,0)</f>
        <v>45530</v>
      </c>
      <c r="C118" s="36" t="str">
        <f t="shared" si="21"/>
        <v>Мустаев</v>
      </c>
      <c r="D118" s="36" t="str">
        <f t="shared" si="22"/>
        <v>Молдагали</v>
      </c>
      <c r="E118" s="36" t="str">
        <f t="shared" si="23"/>
        <v>Мульдибикович</v>
      </c>
      <c r="F118" s="36" t="str">
        <f t="shared" si="24"/>
        <v>049810912</v>
      </c>
      <c r="G118" s="37">
        <f>VLOOKUP(F118,Покупатели!$F$2:$N$762,2,0)</f>
        <v>44236</v>
      </c>
      <c r="H118" s="36" t="str">
        <f>VLOOKUP(F118,Покупатели!$F$2:$N$762,3,0)</f>
        <v>МВД РК</v>
      </c>
      <c r="I118" s="36">
        <f>VLOOKUP(C118,Покупатели!$C$2:$M$805,7,0)</f>
        <v>661117301172</v>
      </c>
      <c r="J118" s="36" t="str">
        <f ca="1">IFERROR(__xludf.DUMMYFUNCTION("JOIN("" "", VLOOKUP(C118,Покупатели,8,0),VLOOKUP(C118,Покупатели,9,0),VLOOKUP(C118,Покупатели,10,0),VLOOKUP(C118,Покупатели,11,0))"),"Уральская область, Бурлинский район, г. Аксай, мкр-н 5,  дом 14, кв 130")</f>
        <v>Уральская область, Бурлинский район, г. Аксай, мкр-н 5,  дом 14, кв 130</v>
      </c>
      <c r="K118" s="36">
        <f t="shared" si="25"/>
        <v>87772351587</v>
      </c>
      <c r="L118" s="36" t="str">
        <f t="shared" si="26"/>
        <v>MX4000002R0001580</v>
      </c>
      <c r="M118" s="36" t="str">
        <f t="shared" ca="1" si="33"/>
        <v>002-2013E30Q13-OK</v>
      </c>
      <c r="N118" s="36" t="str">
        <f t="shared" si="34"/>
        <v>Прицеп 2,0*1,25 м  (до 750 кг.)</v>
      </c>
      <c r="O118" s="36" t="str">
        <f t="shared" si="27"/>
        <v>1 ось</v>
      </c>
      <c r="P118" s="36">
        <f t="shared" si="28"/>
        <v>2024</v>
      </c>
      <c r="Q118" s="36" t="str">
        <f t="shared" ca="1" si="37"/>
        <v>3150*1700*900</v>
      </c>
      <c r="R118" s="36" t="str">
        <f t="shared" ca="1" si="38"/>
        <v>2000*1250*300</v>
      </c>
      <c r="S118" s="34" t="str">
        <f>VLOOKUP(O118,ОТТС!$A$2:$B$3,2,0)</f>
        <v>ТС KZ Е-KZ.0317.00251 от 28.02.2023</v>
      </c>
      <c r="T118" s="38">
        <v>380000</v>
      </c>
      <c r="U118" s="36" t="str">
        <f t="shared" si="32"/>
        <v>Алматы</v>
      </c>
    </row>
    <row r="119" spans="1:21" ht="13.2">
      <c r="A119" s="34">
        <v>1281</v>
      </c>
      <c r="B119" s="35">
        <f>VLOOKUP(A119,'Реестр договоров'!$A$2:$D$298,2,0)</f>
        <v>45532</v>
      </c>
      <c r="C119" s="36" t="str">
        <f t="shared" si="21"/>
        <v>Избасханов</v>
      </c>
      <c r="D119" s="36" t="str">
        <f t="shared" si="22"/>
        <v>Данияр</v>
      </c>
      <c r="E119" s="36" t="str">
        <f t="shared" si="23"/>
        <v>Жанабаевич</v>
      </c>
      <c r="F119" s="36" t="str">
        <f t="shared" si="24"/>
        <v>054887893</v>
      </c>
      <c r="G119" s="37">
        <f>VLOOKUP(F119,Покупатели!$F$2:$N$762,2,0)</f>
        <v>45530</v>
      </c>
      <c r="H119" s="36" t="str">
        <f>VLOOKUP(F119,Покупатели!$F$2:$N$762,3,0)</f>
        <v>МВД РК</v>
      </c>
      <c r="I119" s="36">
        <f>VLOOKUP(C119,Покупатели!$C$2:$M$805,7,0)</f>
        <v>890312302026</v>
      </c>
      <c r="J119" s="36" t="str">
        <f ca="1">IFERROR(__xludf.DUMMYFUNCTION("JOIN("" "", VLOOKUP(C119,Покупатели,8,0),VLOOKUP(C119,Покупатели,9,0),VLOOKUP(C119,Покупатели,10,0),VLOOKUP(C119,Покупатели,11,0))"),"г.Астана р-н Алматы ул.Нажемиденова д.29, кв.124")</f>
        <v>г.Астана р-н Алматы ул.Нажемиденова д.29, кв.124</v>
      </c>
      <c r="K119" s="36">
        <f t="shared" si="25"/>
        <v>87713010191</v>
      </c>
      <c r="L119" s="36" t="str">
        <f t="shared" si="26"/>
        <v>MX4000002R0001759</v>
      </c>
      <c r="M119" s="36" t="str">
        <f t="shared" ca="1" si="33"/>
        <v>002-2013E50Q13-OK30</v>
      </c>
      <c r="N119" s="36" t="str">
        <f t="shared" si="34"/>
        <v>Прицеп 2,0*1,25 м  (до 750 кг.)</v>
      </c>
      <c r="O119" s="36" t="str">
        <f t="shared" si="27"/>
        <v>1 ось</v>
      </c>
      <c r="P119" s="36">
        <f t="shared" si="28"/>
        <v>2024</v>
      </c>
      <c r="Q119" s="36" t="str">
        <f t="shared" ca="1" si="37"/>
        <v>3150*1700*1070</v>
      </c>
      <c r="R119" s="36" t="str">
        <f t="shared" ca="1" si="38"/>
        <v>2000*1250*500</v>
      </c>
      <c r="S119" s="34" t="str">
        <f>VLOOKUP(O119,ОТТС!$A$2:$B$3,2,0)</f>
        <v>ТС KZ Е-KZ.0317.00251 от 28.02.2023</v>
      </c>
      <c r="T119" s="38">
        <v>320000</v>
      </c>
      <c r="U119" s="36" t="str">
        <f t="shared" si="32"/>
        <v>Астана</v>
      </c>
    </row>
    <row r="120" spans="1:21" ht="13.2">
      <c r="A120" s="34">
        <v>1282</v>
      </c>
      <c r="B120" s="35">
        <f>VLOOKUP(A120,'Реестр договоров'!$A$2:$D$298,2,0)</f>
        <v>45531</v>
      </c>
      <c r="C120" s="36" t="str">
        <f t="shared" si="21"/>
        <v>Саденов</v>
      </c>
      <c r="D120" s="36" t="str">
        <f t="shared" si="22"/>
        <v>Мурат</v>
      </c>
      <c r="E120" s="36" t="str">
        <f t="shared" si="23"/>
        <v>Кенгирбаевич</v>
      </c>
      <c r="F120" s="36" t="str">
        <f t="shared" si="24"/>
        <v>046870188</v>
      </c>
      <c r="G120" s="37">
        <f>VLOOKUP(F120,Покупатели!$F$2:$N$762,2,0)</f>
        <v>45531</v>
      </c>
      <c r="H120" s="36" t="str">
        <f>VLOOKUP(F120,Покупатели!$F$2:$N$762,3,0)</f>
        <v>МВД РК</v>
      </c>
      <c r="I120" s="36">
        <f>VLOOKUP(C120,Покупатели!$C$2:$M$805,7,0)</f>
        <v>690504350028</v>
      </c>
      <c r="J120" s="36" t="str">
        <f ca="1">IFERROR(__xludf.DUMMYFUNCTION("JOIN("" "", VLOOKUP(C120,Покупатели,8,0),VLOOKUP(C120,Покупатели,9,0),VLOOKUP(C120,Покупатели,10,0),VLOOKUP(C120,Покупатели,11,0))"),"г.Астана р-н Сарыарка ул.Байсеитова д.8, кв.325")</f>
        <v>г.Астана р-н Сарыарка ул.Байсеитова д.8, кв.325</v>
      </c>
      <c r="K120" s="36">
        <f t="shared" si="25"/>
        <v>87019298265</v>
      </c>
      <c r="L120" s="36" t="str">
        <f t="shared" si="26"/>
        <v>MX4000002R0001639</v>
      </c>
      <c r="M120" s="36" t="str">
        <f t="shared" ca="1" si="33"/>
        <v>002-2513E30Q13-OK</v>
      </c>
      <c r="N120" s="36" t="str">
        <f t="shared" si="34"/>
        <v>Прицеп 2,5*1,25 м  (до 750 кг.)</v>
      </c>
      <c r="O120" s="36" t="str">
        <f t="shared" si="27"/>
        <v>1 ось</v>
      </c>
      <c r="P120" s="36">
        <f t="shared" si="28"/>
        <v>2024</v>
      </c>
      <c r="Q120" s="36" t="str">
        <f t="shared" ca="1" si="37"/>
        <v>3650*1700*900</v>
      </c>
      <c r="R120" s="36" t="str">
        <f t="shared" ca="1" si="38"/>
        <v>2500*1250*300</v>
      </c>
      <c r="S120" s="34" t="str">
        <f>VLOOKUP(O120,ОТТС!$A$2:$B$3,2,0)</f>
        <v>ТС KZ Е-KZ.0317.00251 от 28.02.2023</v>
      </c>
      <c r="T120" s="39">
        <v>360000</v>
      </c>
      <c r="U120" s="36" t="str">
        <f t="shared" si="32"/>
        <v>Астана</v>
      </c>
    </row>
    <row r="121" spans="1:21" ht="13.2">
      <c r="A121" s="34">
        <v>1283</v>
      </c>
      <c r="B121" s="35">
        <f>VLOOKUP(A121,'Реестр договоров'!$A$2:$D$298,2,0)</f>
        <v>45531</v>
      </c>
      <c r="C121" s="36" t="str">
        <f t="shared" si="21"/>
        <v>Иванова</v>
      </c>
      <c r="D121" s="36" t="str">
        <f t="shared" si="22"/>
        <v>Юрий</v>
      </c>
      <c r="E121" s="36" t="str">
        <f t="shared" si="23"/>
        <v>Николаевич</v>
      </c>
      <c r="F121" s="36" t="str">
        <f t="shared" si="24"/>
        <v>049059264</v>
      </c>
      <c r="G121" s="37">
        <f>VLOOKUP(F121,Покупатели!$F$2:$N$762,2,0)</f>
        <v>44123</v>
      </c>
      <c r="H121" s="36" t="str">
        <f>VLOOKUP(F121,Покупатели!$F$2:$N$762,3,0)</f>
        <v>МВД РК</v>
      </c>
      <c r="I121" s="36">
        <f>VLOOKUP(C121,Покупатели!$C$2:$M$805,7,0)</f>
        <v>840507350969</v>
      </c>
      <c r="J121" s="36" t="str">
        <f ca="1">IFERROR(__xludf.DUMMYFUNCTION("JOIN("" "", VLOOKUP(C121,Покупатели,8,0),VLOOKUP(C121,Покупатели,9,0),VLOOKUP(C121,Покупатели,10,0),VLOOKUP(C121,Покупатели,11,0))"),"Акмолинская обл. Егиндикольский р-н, с.Спиридоновка ул. Целинная д.4/2")</f>
        <v>Акмолинская обл. Егиндикольский р-н, с.Спиридоновка ул. Целинная д.4/2</v>
      </c>
      <c r="K121" s="36">
        <f t="shared" si="25"/>
        <v>87787416541</v>
      </c>
      <c r="L121" s="36" t="str">
        <f t="shared" si="26"/>
        <v>MX4000002R0001665</v>
      </c>
      <c r="M121" s="36" t="str">
        <f t="shared" ca="1" si="33"/>
        <v>002-2013E50Q13-OK</v>
      </c>
      <c r="N121" s="36" t="str">
        <f t="shared" si="34"/>
        <v>Прицеп 2,0*1,25 м  (до 750 кг.)</v>
      </c>
      <c r="O121" s="36" t="str">
        <f t="shared" si="27"/>
        <v>1 ось</v>
      </c>
      <c r="P121" s="36">
        <f t="shared" si="28"/>
        <v>2024</v>
      </c>
      <c r="Q121" s="36" t="str">
        <f t="shared" ca="1" si="37"/>
        <v>3150*1700*1070</v>
      </c>
      <c r="R121" s="36" t="str">
        <f t="shared" ca="1" si="38"/>
        <v>2000*1250*500</v>
      </c>
      <c r="S121" s="34" t="str">
        <f>VLOOKUP(O121,ОТТС!$A$2:$B$3,2,0)</f>
        <v>ТС KZ Е-KZ.0317.00251 от 28.02.2023</v>
      </c>
      <c r="T121" s="38">
        <v>380000</v>
      </c>
      <c r="U121" s="36" t="str">
        <f t="shared" si="32"/>
        <v>Астана</v>
      </c>
    </row>
    <row r="122" spans="1:21" ht="13.2">
      <c r="A122" s="34">
        <v>1284</v>
      </c>
      <c r="B122" s="35">
        <f>VLOOKUP(A122,'Реестр договоров'!$A$2:$D$298,2,0)</f>
        <v>45532</v>
      </c>
      <c r="C122" s="36" t="str">
        <f t="shared" si="21"/>
        <v>Нурабаев</v>
      </c>
      <c r="D122" s="36" t="str">
        <f t="shared" si="22"/>
        <v>Ауез</v>
      </c>
      <c r="E122" s="36" t="str">
        <f t="shared" si="23"/>
        <v>Бекенович</v>
      </c>
      <c r="F122" s="36" t="str">
        <f t="shared" si="24"/>
        <v>056517776</v>
      </c>
      <c r="G122" s="37">
        <f>VLOOKUP(F122,Покупатели!$F$2:$N$762,2,0)</f>
        <v>45215</v>
      </c>
      <c r="H122" s="36" t="str">
        <f>VLOOKUP(F122,Покупатели!$F$2:$N$762,3,0)</f>
        <v>МВД РК</v>
      </c>
      <c r="I122" s="36">
        <f>VLOOKUP(C122,Покупатели!$C$2:$M$805,7,0)</f>
        <v>511120350167</v>
      </c>
      <c r="J122" s="36" t="str">
        <f ca="1">IFERROR(__xludf.DUMMYFUNCTION("JOIN("" "", VLOOKUP(C122,Покупатели,8,0),VLOOKUP(C122,Покупатели,9,0),VLOOKUP(C122,Покупатели,10,0),VLOOKUP(C122,Покупатели,11,0))"),"Акмолинская область, г. Кокшетау,  Мкр-н Бирлик, ул. Белес, д.14")</f>
        <v>Акмолинская область, г. Кокшетау,  Мкр-н Бирлик, ул. Белес, д.14</v>
      </c>
      <c r="K122" s="36">
        <f t="shared" si="25"/>
        <v>87012889269</v>
      </c>
      <c r="L122" s="36" t="str">
        <f t="shared" si="26"/>
        <v>MX4000002R0001447</v>
      </c>
      <c r="M122" s="36" t="str">
        <f t="shared" ca="1" si="33"/>
        <v>002-2513E50Q13-OK</v>
      </c>
      <c r="N122" s="36" t="str">
        <f t="shared" si="34"/>
        <v>Прицеп 2,5*1,25 м  (до 750 кг.)</v>
      </c>
      <c r="O122" s="36" t="str">
        <f t="shared" si="27"/>
        <v>1 ось</v>
      </c>
      <c r="P122" s="36">
        <f t="shared" si="28"/>
        <v>2024</v>
      </c>
      <c r="Q122" s="36" t="str">
        <f t="shared" ca="1" si="37"/>
        <v>3650*1700*1070</v>
      </c>
      <c r="R122" s="36" t="str">
        <f t="shared" ca="1" si="38"/>
        <v>2500*1250*500</v>
      </c>
      <c r="S122" s="34" t="str">
        <f>VLOOKUP(O122,ОТТС!$A$2:$B$3,2,0)</f>
        <v>ТС KZ Е-KZ.0317.00251 от 28.02.2023</v>
      </c>
      <c r="T122" s="38">
        <v>320000</v>
      </c>
      <c r="U122" s="36" t="str">
        <f t="shared" si="32"/>
        <v>Кокшетау</v>
      </c>
    </row>
    <row r="123" spans="1:21" ht="13.2">
      <c r="A123" s="34">
        <v>1286</v>
      </c>
      <c r="B123" s="35">
        <f>VLOOKUP(A123,'Реестр договоров'!$A$2:$D$298,2,0)</f>
        <v>45532</v>
      </c>
      <c r="C123" s="36" t="str">
        <f t="shared" si="21"/>
        <v>Жұманғазы</v>
      </c>
      <c r="D123" s="36" t="str">
        <f t="shared" si="22"/>
        <v>Мереке</v>
      </c>
      <c r="E123" s="36" t="str">
        <f t="shared" si="23"/>
        <v>Серікұлы</v>
      </c>
      <c r="F123" s="36" t="str">
        <f t="shared" si="24"/>
        <v>050479157</v>
      </c>
      <c r="G123" s="37">
        <f>VLOOKUP(F123,Покупатели!$F$2:$N$762,2,0)</f>
        <v>44662</v>
      </c>
      <c r="H123" s="36" t="str">
        <f>VLOOKUP(F123,Покупатели!$F$2:$N$762,3,0)</f>
        <v>ҚР ІІМ</v>
      </c>
      <c r="I123" s="36">
        <f>VLOOKUP(C123,Покупатели!$C$2:$M$805,7,0)</f>
        <v>960308300447</v>
      </c>
      <c r="J123" s="36" t="str">
        <f ca="1">IFERROR(__xludf.DUMMYFUNCTION("JOIN("" "", VLOOKUP(C123,Покупатели,8,0),VLOOKUP(C123,Покупатели,9,0),VLOOKUP(C123,Покупатели,10,0),VLOOKUP(C123,Покупатели,11,0))"),"Алматинская обл г.Талгар ул.Жубанова д.36")</f>
        <v>Алматинская обл г.Талгар ул.Жубанова д.36</v>
      </c>
      <c r="K123" s="36">
        <f t="shared" si="25"/>
        <v>87081968389</v>
      </c>
      <c r="L123" s="36" t="str">
        <f t="shared" si="26"/>
        <v>MX4000002R0001736</v>
      </c>
      <c r="M123" s="36" t="str">
        <f t="shared" ca="1" si="33"/>
        <v>002-2013E50Q13-OK</v>
      </c>
      <c r="N123" s="36" t="str">
        <f t="shared" si="34"/>
        <v>Прицеп 2,0*1,25 м  (до 750 кг.)</v>
      </c>
      <c r="O123" s="36" t="str">
        <f t="shared" si="27"/>
        <v>1 ось</v>
      </c>
      <c r="P123" s="36">
        <f t="shared" si="28"/>
        <v>2024</v>
      </c>
      <c r="Q123" s="36" t="str">
        <f t="shared" ca="1" si="37"/>
        <v>3150*1700*1070</v>
      </c>
      <c r="R123" s="36" t="str">
        <f t="shared" ca="1" si="38"/>
        <v>2000*1250*500</v>
      </c>
      <c r="S123" s="34" t="str">
        <f>VLOOKUP(O123,ОТТС!$A$2:$B$3,2,0)</f>
        <v>ТС KZ Е-KZ.0317.00251 от 28.02.2023</v>
      </c>
      <c r="T123" s="38">
        <v>380000</v>
      </c>
      <c r="U123" s="36" t="str">
        <f t="shared" si="32"/>
        <v>Алматы</v>
      </c>
    </row>
    <row r="124" spans="1:21" ht="13.2">
      <c r="A124" s="34">
        <v>1287</v>
      </c>
      <c r="B124" s="35">
        <f>VLOOKUP(A124,'Реестр договоров'!$A$2:$D$298,2,0)</f>
        <v>45533</v>
      </c>
      <c r="C124" s="36" t="str">
        <f t="shared" si="21"/>
        <v>Омарова</v>
      </c>
      <c r="D124" s="36" t="str">
        <f t="shared" si="22"/>
        <v>Азамат</v>
      </c>
      <c r="E124" s="36" t="str">
        <f t="shared" si="23"/>
        <v>Жаксылыкович</v>
      </c>
      <c r="F124" s="36" t="str">
        <f t="shared" si="24"/>
        <v>050701597</v>
      </c>
      <c r="G124" s="37">
        <f>VLOOKUP(F124,Покупатели!$F$2:$N$762,2,0)</f>
        <v>44694</v>
      </c>
      <c r="H124" s="36" t="str">
        <f>VLOOKUP(F124,Покупатели!$F$2:$N$762,3,0)</f>
        <v>МВД РК</v>
      </c>
      <c r="I124" s="36">
        <f>VLOOKUP(C124,Покупатели!$C$2:$M$805,7,0)</f>
        <v>870221300230</v>
      </c>
      <c r="J124" s="36" t="str">
        <f ca="1">IFERROR(__xludf.DUMMYFUNCTION("JOIN("" "", VLOOKUP(C124,Покупатели,8,0),VLOOKUP(C124,Покупатели,9,0),VLOOKUP(C124,Покупатели,10,0),VLOOKUP(C124,Покупатели,11,0))"),"г.Алматы Наурызбайский р-н мкр.Тастыбулак ул.Школа 39, д.2")</f>
        <v>г.Алматы Наурызбайский р-н мкр.Тастыбулак ул.Школа 39, д.2</v>
      </c>
      <c r="K124" s="36">
        <f t="shared" si="25"/>
        <v>87711915519</v>
      </c>
      <c r="L124" s="36" t="str">
        <f t="shared" si="26"/>
        <v>MX4000002R0001731</v>
      </c>
      <c r="M124" s="36" t="str">
        <f t="shared" ca="1" si="33"/>
        <v>002-2013E30Q13-OK</v>
      </c>
      <c r="N124" s="36" t="str">
        <f t="shared" si="34"/>
        <v>Прицеп 2,0*1,25 м  (до 750 кг.)</v>
      </c>
      <c r="O124" s="36" t="str">
        <f t="shared" si="27"/>
        <v>1 ось</v>
      </c>
      <c r="P124" s="36">
        <f t="shared" si="28"/>
        <v>2024</v>
      </c>
      <c r="Q124" s="36" t="str">
        <f t="shared" ca="1" si="37"/>
        <v>3150*1700*900</v>
      </c>
      <c r="R124" s="36" t="str">
        <f t="shared" ca="1" si="38"/>
        <v>2000*1250*300</v>
      </c>
      <c r="S124" s="34" t="str">
        <f>VLOOKUP(O124,ОТТС!$A$2:$B$3,2,0)</f>
        <v>ТС KZ Е-KZ.0317.00251 от 28.02.2023</v>
      </c>
      <c r="T124" s="38">
        <v>400000</v>
      </c>
      <c r="U124" s="36" t="str">
        <f t="shared" si="32"/>
        <v>Алматы</v>
      </c>
    </row>
    <row r="125" spans="1:21" ht="13.2">
      <c r="A125" s="34">
        <v>1288</v>
      </c>
      <c r="B125" s="35">
        <f>VLOOKUP(A125,'Реестр договоров'!$A$2:$D$298,2,0)</f>
        <v>45537</v>
      </c>
      <c r="C125" s="36" t="str">
        <f t="shared" si="21"/>
        <v>Гильмизянов</v>
      </c>
      <c r="D125" s="36" t="str">
        <f t="shared" si="22"/>
        <v>Румен</v>
      </c>
      <c r="E125" s="36" t="str">
        <f t="shared" si="23"/>
        <v>Камилевич</v>
      </c>
      <c r="F125" s="36" t="str">
        <f t="shared" si="24"/>
        <v>040847226</v>
      </c>
      <c r="G125" s="37">
        <f>VLOOKUP(F125,Покупатели!$F$2:$N$762,2,0)</f>
        <v>42426</v>
      </c>
      <c r="H125" s="36" t="str">
        <f>VLOOKUP(F125,Покупатели!$F$2:$N$762,3,0)</f>
        <v>МВД РК</v>
      </c>
      <c r="I125" s="36">
        <f>VLOOKUP(C125,Покупатели!$C$2:$M$805,7,0)</f>
        <v>710401301294</v>
      </c>
      <c r="J125" s="36" t="str">
        <f ca="1">IFERROR(__xludf.DUMMYFUNCTION("JOIN("" "", VLOOKUP(C125,Покупатели,8,0),VLOOKUP(C125,Покупатели,9,0),VLOOKUP(C125,Покупатели,10,0),VLOOKUP(C125,Покупатели,11,0))"),"Акмолинская область,  г. Кокшетау, Садовое товарищество Автомобилист, ул. Восьмая, д.4")</f>
        <v>Акмолинская область,  г. Кокшетау, Садовое товарищество Автомобилист, ул. Восьмая, д.4</v>
      </c>
      <c r="K125" s="36">
        <f t="shared" si="25"/>
        <v>87012575636</v>
      </c>
      <c r="L125" s="36" t="str">
        <f t="shared" si="26"/>
        <v>MX4000002R0001762</v>
      </c>
      <c r="M125" s="36" t="str">
        <f t="shared" ca="1" si="33"/>
        <v>002-2013E50Q13-OK</v>
      </c>
      <c r="N125" s="36" t="str">
        <f t="shared" si="34"/>
        <v>Прицеп 2,0*1,25 м  (до 750 кг.)</v>
      </c>
      <c r="O125" s="36" t="str">
        <f t="shared" si="27"/>
        <v>1 ось</v>
      </c>
      <c r="P125" s="36">
        <f t="shared" si="28"/>
        <v>2024</v>
      </c>
      <c r="Q125" s="36" t="str">
        <f t="shared" ca="1" si="37"/>
        <v>3150*1700*1070</v>
      </c>
      <c r="R125" s="36" t="str">
        <f t="shared" ca="1" si="38"/>
        <v>2000*1250*500</v>
      </c>
      <c r="S125" s="34" t="str">
        <f>VLOOKUP(O125,ОТТС!$A$2:$B$3,2,0)</f>
        <v>ТС KZ Е-KZ.0317.00251 от 28.02.2023</v>
      </c>
      <c r="T125" s="38">
        <v>380000</v>
      </c>
      <c r="U125" s="36" t="str">
        <f t="shared" si="32"/>
        <v>Кокшетау</v>
      </c>
    </row>
    <row r="126" spans="1:21" ht="13.2">
      <c r="A126" s="34">
        <v>1290</v>
      </c>
      <c r="B126" s="35">
        <f>VLOOKUP(A126,'Реестр договоров'!$A$2:$D$298,2,0)</f>
        <v>45537</v>
      </c>
      <c r="C126" s="36" t="str">
        <f t="shared" si="21"/>
        <v>Уристемов</v>
      </c>
      <c r="D126" s="36" t="str">
        <f t="shared" si="22"/>
        <v>Самат</v>
      </c>
      <c r="E126" s="36" t="str">
        <f t="shared" si="23"/>
        <v>Булатбекович</v>
      </c>
      <c r="F126" s="36" t="str">
        <f t="shared" si="24"/>
        <v>053870776</v>
      </c>
      <c r="G126" s="37">
        <f>VLOOKUP(F126,Покупатели!$F$2:$N$762,2,0)</f>
        <v>44845</v>
      </c>
      <c r="H126" s="36" t="str">
        <f>VLOOKUP(F126,Покупатели!$F$2:$N$762,3,0)</f>
        <v>МВД РК</v>
      </c>
      <c r="I126" s="36">
        <f>VLOOKUP(C126,Покупатели!$C$2:$M$805,7,0)</f>
        <v>871004350625</v>
      </c>
      <c r="J126" s="36" t="str">
        <f ca="1">IFERROR(__xludf.DUMMYFUNCTION("JOIN("" "", VLOOKUP(C126,Покупатели,8,0),VLOOKUP(C126,Покупатели,9,0),VLOOKUP(C126,Покупатели,10,0),VLOOKUP(C126,Покупатели,11,0))"),"г.Астана р-н Нура ул.И.Омарова д.2/1")</f>
        <v>г.Астана р-н Нура ул.И.Омарова д.2/1</v>
      </c>
      <c r="K126" s="36">
        <f t="shared" si="25"/>
        <v>87012770977</v>
      </c>
      <c r="L126" s="36" t="str">
        <f t="shared" si="26"/>
        <v>MX4000002R0001760</v>
      </c>
      <c r="M126" s="36" t="str">
        <f t="shared" ref="M126:M157" ca="1" si="39">VLOOKUP(L126,ПРИЦЕПЫ,11,0)</f>
        <v>002-2013E50Q13-OK30</v>
      </c>
      <c r="N126" s="36" t="str">
        <f t="shared" ref="N126:N157" si="40">VLOOKUP(L126,ПРИЦЕПЫ,2,0)</f>
        <v>Прицеп 2,0*1,25 м  (до 750 кг.)</v>
      </c>
      <c r="O126" s="36" t="str">
        <f t="shared" si="27"/>
        <v>1 ось</v>
      </c>
      <c r="P126" s="36">
        <f t="shared" si="28"/>
        <v>2024</v>
      </c>
      <c r="Q126" s="36" t="str">
        <f t="shared" ca="1" si="37"/>
        <v>3150*1700*1070</v>
      </c>
      <c r="R126" s="36" t="str">
        <f t="shared" ca="1" si="38"/>
        <v>2000*1250*500</v>
      </c>
      <c r="S126" s="34" t="str">
        <f>VLOOKUP(O126,ОТТС!$A$2:$B$3,2,0)</f>
        <v>ТС KZ Е-KZ.0317.00251 от 28.02.2023</v>
      </c>
      <c r="T126" s="38">
        <v>460000</v>
      </c>
      <c r="U126" s="36" t="str">
        <f t="shared" si="32"/>
        <v>Астана</v>
      </c>
    </row>
    <row r="127" spans="1:21" ht="13.2">
      <c r="A127" s="34">
        <v>1291</v>
      </c>
      <c r="B127" s="35">
        <f>VLOOKUP(A127,'Реестр договоров'!$A$2:$D$298,2,0)</f>
        <v>45538</v>
      </c>
      <c r="C127" s="36" t="str">
        <f t="shared" si="21"/>
        <v>Нүкен</v>
      </c>
      <c r="D127" s="36" t="str">
        <f t="shared" si="22"/>
        <v>Абай</v>
      </c>
      <c r="E127" s="36" t="str">
        <f t="shared" si="23"/>
        <v>Қайратұлы</v>
      </c>
      <c r="F127" s="36" t="str">
        <f t="shared" si="24"/>
        <v>036970109</v>
      </c>
      <c r="G127" s="37">
        <f>VLOOKUP(F127,Покупатели!$F$2:$N$762,2,0)</f>
        <v>41893</v>
      </c>
      <c r="H127" s="36" t="str">
        <f>VLOOKUP(F127,Покупатели!$F$2:$N$762,3,0)</f>
        <v>ҚР ІІМ</v>
      </c>
      <c r="I127" s="36">
        <f>VLOOKUP(C127,Покупатели!$C$2:$M$805,7,0)</f>
        <v>950411301218</v>
      </c>
      <c r="J127" s="36" t="str">
        <f ca="1">IFERROR(__xludf.DUMMYFUNCTION("JOIN("" "", VLOOKUP(C127,Покупатели,8,0),VLOOKUP(C127,Покупатели,9,0),VLOOKUP(C127,Покупатели,10,0),VLOOKUP(C127,Покупатели,11,0))"),"Алматинская обл. Илийский р-н, п.Жапек батыра ул.Оналбай д.24")</f>
        <v>Алматинская обл. Илийский р-н, п.Жапек батыра ул.Оналбай д.24</v>
      </c>
      <c r="K127" s="36">
        <f t="shared" si="25"/>
        <v>87472909330</v>
      </c>
      <c r="L127" s="36" t="str">
        <f t="shared" si="26"/>
        <v>MX4000002R0001723</v>
      </c>
      <c r="M127" s="36" t="str">
        <f t="shared" ca="1" si="39"/>
        <v>002-2013E50Q13-OK60</v>
      </c>
      <c r="N127" s="36" t="str">
        <f t="shared" si="40"/>
        <v>Прицеп 2,0*1,25 м  (до 750 кг.)</v>
      </c>
      <c r="O127" s="36" t="str">
        <f t="shared" si="27"/>
        <v>1 ось</v>
      </c>
      <c r="P127" s="36">
        <f t="shared" si="28"/>
        <v>2024</v>
      </c>
      <c r="Q127" s="36" t="str">
        <f t="shared" ca="1" si="37"/>
        <v>3150*1700*1070</v>
      </c>
      <c r="R127" s="36" t="str">
        <f t="shared" ca="1" si="38"/>
        <v>2000*1250*500</v>
      </c>
      <c r="S127" s="34" t="str">
        <f>VLOOKUP(O127,ОТТС!$A$2:$B$3,2,0)</f>
        <v>ТС KZ Е-KZ.0317.00251 от 28.02.2023</v>
      </c>
      <c r="T127" s="38">
        <v>390000</v>
      </c>
      <c r="U127" s="36" t="str">
        <f t="shared" si="32"/>
        <v>Алматы</v>
      </c>
    </row>
    <row r="128" spans="1:21" ht="13.2">
      <c r="A128" s="34">
        <v>1292</v>
      </c>
      <c r="B128" s="35">
        <f>VLOOKUP(A128,'Реестр договоров'!$A$2:$D$298,2,0)</f>
        <v>45539</v>
      </c>
      <c r="C128" s="36" t="str">
        <f t="shared" si="21"/>
        <v>Тасенов</v>
      </c>
      <c r="D128" s="36" t="str">
        <f t="shared" si="22"/>
        <v>Жанат</v>
      </c>
      <c r="E128" s="36" t="str">
        <f t="shared" si="23"/>
        <v>Серикович</v>
      </c>
      <c r="F128" s="36" t="str">
        <f t="shared" si="24"/>
        <v>041419486</v>
      </c>
      <c r="G128" s="37">
        <f>VLOOKUP(F128,Покупатели!$F$2:$N$762,2,0)</f>
        <v>42556</v>
      </c>
      <c r="H128" s="36" t="str">
        <f>VLOOKUP(F128,Покупатели!$F$2:$N$762,3,0)</f>
        <v>МВД РК</v>
      </c>
      <c r="I128" s="36" t="str">
        <f>VLOOKUP(C128,Покупатели!$C$2:$M$805,7,0)</f>
        <v>831205350086</v>
      </c>
      <c r="J128" s="36" t="str">
        <f ca="1">IFERROR(__xludf.DUMMYFUNCTION("JOIN("" "", VLOOKUP(C128,Покупатели,8,0),VLOOKUP(C128,Покупатели,9,0),VLOOKUP(C128,Покупатели,10,0),VLOOKUP(C128,Покупатели,11,0))"),"Акмолинская область, Сандыктауский р-н, с.Меньшиковка ул.Магжана Тасенова д.6")</f>
        <v>Акмолинская область, Сандыктауский р-н, с.Меньшиковка ул.Магжана Тасенова д.6</v>
      </c>
      <c r="K128" s="36">
        <f t="shared" si="25"/>
        <v>87716971503</v>
      </c>
      <c r="L128" s="36" t="str">
        <f t="shared" si="26"/>
        <v>MX4000002N0000672</v>
      </c>
      <c r="M128" s="36" t="str">
        <f t="shared" ca="1" si="39"/>
        <v>002-2013E30Q13-OK60</v>
      </c>
      <c r="N128" s="36" t="str">
        <f t="shared" si="40"/>
        <v>Прицеп 2,0*1,25 м  (до 750 кг.)</v>
      </c>
      <c r="O128" s="36" t="str">
        <f t="shared" si="27"/>
        <v>1 ось</v>
      </c>
      <c r="P128" s="36">
        <f t="shared" si="28"/>
        <v>2022</v>
      </c>
      <c r="Q128" s="36" t="str">
        <f t="shared" ca="1" si="37"/>
        <v>3150*1700*900</v>
      </c>
      <c r="R128" s="36" t="str">
        <f t="shared" ca="1" si="38"/>
        <v>2000*1250*300</v>
      </c>
      <c r="S128" s="34" t="str">
        <f>VLOOKUP(O128,ОТТС!$A$2:$B$3,2,0)</f>
        <v>ТС KZ Е-KZ.0317.00251 от 28.02.2023</v>
      </c>
      <c r="T128" s="39">
        <v>430000</v>
      </c>
      <c r="U128" s="36" t="str">
        <f t="shared" si="32"/>
        <v>Кокшетау</v>
      </c>
    </row>
    <row r="129" spans="1:21" ht="13.2">
      <c r="A129" s="34">
        <v>1293</v>
      </c>
      <c r="B129" s="35">
        <f>VLOOKUP(A129,'Реестр договоров'!$A$2:$D$298,2,0)</f>
        <v>45538</v>
      </c>
      <c r="C129" s="36" t="str">
        <f t="shared" si="21"/>
        <v>Волков</v>
      </c>
      <c r="D129" s="36" t="str">
        <f t="shared" si="22"/>
        <v>Константин</v>
      </c>
      <c r="E129" s="36" t="str">
        <f t="shared" si="23"/>
        <v>Павлович</v>
      </c>
      <c r="F129" s="36" t="str">
        <f t="shared" si="24"/>
        <v>017944938</v>
      </c>
      <c r="G129" s="37">
        <f>VLOOKUP(F129,Покупатели!$F$2:$N$762,2,0)</f>
        <v>38580</v>
      </c>
      <c r="H129" s="36" t="str">
        <f>VLOOKUP(F129,Покупатели!$F$2:$N$762,3,0)</f>
        <v>МЮ РК</v>
      </c>
      <c r="I129" s="36">
        <f>VLOOKUP(C129,Покупатели!$C$2:$M$805,7,0)</f>
        <v>800215350220</v>
      </c>
      <c r="J129" s="36" t="str">
        <f ca="1">IFERROR(__xludf.DUMMYFUNCTION("JOIN("" "", VLOOKUP(C129,Покупатели,8,0),VLOOKUP(C129,Покупатели,9,0),VLOOKUP(C129,Покупатели,10,0),VLOOKUP(C129,Покупатели,11,0))"),"Акмолинская область, г. Атбасар,  поселок КСМК,  д.28")</f>
        <v>Акмолинская область, г. Атбасар,  поселок КСМК,  д.28</v>
      </c>
      <c r="K129" s="36">
        <f t="shared" si="25"/>
        <v>87052940001</v>
      </c>
      <c r="L129" s="36" t="str">
        <f t="shared" si="26"/>
        <v>MX4000002R0001655</v>
      </c>
      <c r="M129" s="36" t="str">
        <f t="shared" ca="1" si="39"/>
        <v>002-2013E30Q13-OK30</v>
      </c>
      <c r="N129" s="36" t="str">
        <f t="shared" si="40"/>
        <v>Прицеп 2,0*1,25 м  (до 750 кг.)</v>
      </c>
      <c r="O129" s="36" t="str">
        <f t="shared" si="27"/>
        <v>1 ось</v>
      </c>
      <c r="P129" s="36">
        <f t="shared" si="28"/>
        <v>2024</v>
      </c>
      <c r="Q129" s="36" t="str">
        <f t="shared" ca="1" si="37"/>
        <v>3150*1700*900</v>
      </c>
      <c r="R129" s="36" t="str">
        <f t="shared" ca="1" si="38"/>
        <v>2000*1250*300</v>
      </c>
      <c r="S129" s="34" t="str">
        <f>VLOOKUP(O129,ОТТС!$A$2:$B$3,2,0)</f>
        <v>ТС KZ Е-KZ.0317.00251 от 28.02.2023</v>
      </c>
      <c r="T129" s="38">
        <v>450000</v>
      </c>
      <c r="U129" s="36" t="str">
        <f t="shared" si="32"/>
        <v>Кокшетау</v>
      </c>
    </row>
    <row r="130" spans="1:21" ht="13.2">
      <c r="A130" s="34">
        <v>1294</v>
      </c>
      <c r="B130" s="35">
        <f>VLOOKUP(A130,'Реестр договоров'!$A$2:$D$298,2,0)</f>
        <v>45539</v>
      </c>
      <c r="C130" s="36" t="str">
        <f t="shared" ref="C130:C193" si="41">VLOOKUP(A130,Реестр_Договоров,3,0)</f>
        <v>Щербаков</v>
      </c>
      <c r="D130" s="36" t="str">
        <f t="shared" ref="D130:D193" si="42">VLOOKUP(C130,Покупатели,2,0)</f>
        <v>Владимир</v>
      </c>
      <c r="E130" s="36" t="str">
        <f t="shared" ref="E130:E193" si="43">VLOOKUP(C130,Покупатели,3,0)</f>
        <v>Алексеевич</v>
      </c>
      <c r="F130" s="36" t="str">
        <f t="shared" ref="F130:F193" si="44">VLOOKUP(C130,Покупатели,4,0)</f>
        <v>021624413</v>
      </c>
      <c r="G130" s="37">
        <f>VLOOKUP(F130,Покупатели!$F$2:$N$762,2,0)</f>
        <v>39388</v>
      </c>
      <c r="H130" s="36" t="str">
        <f>VLOOKUP(F130,Покупатели!$F$2:$N$762,3,0)</f>
        <v>МЮ РК</v>
      </c>
      <c r="I130" s="36">
        <f>VLOOKUP(C130,Покупатели!$C$2:$M$805,7,0)</f>
        <v>620324350671</v>
      </c>
      <c r="J130" s="36" t="str">
        <f ca="1">IFERROR(__xludf.DUMMYFUNCTION("JOIN("" "", VLOOKUP(C130,Покупатели,8,0),VLOOKUP(C130,Покупатели,9,0),VLOOKUP(C130,Покупатели,10,0),VLOOKUP(C130,Покупатели,11,0))"),"Акмолинская обл. Целиноградский р-н, с Шубары ул.Мира д.3, кв.2")</f>
        <v>Акмолинская обл. Целиноградский р-н, с Шубары ул.Мира д.3, кв.2</v>
      </c>
      <c r="K130" s="36">
        <f t="shared" ref="K130:K193" si="45">VLOOKUP(C130,Покупатели,12,0)</f>
        <v>87016178097</v>
      </c>
      <c r="L130" s="36" t="str">
        <f t="shared" ref="L130:L193" si="46">VLOOKUP(A130,Реестр_Договоров,4,0)</f>
        <v>MX4000002R0001761</v>
      </c>
      <c r="M130" s="36" t="str">
        <f t="shared" ca="1" si="39"/>
        <v>002-2013E50Q13-OK30</v>
      </c>
      <c r="N130" s="36" t="str">
        <f t="shared" si="40"/>
        <v>Прицеп 2,0*1,25 м  (до 750 кг.)</v>
      </c>
      <c r="O130" s="36" t="str">
        <f t="shared" ref="O130:O193" si="47">VLOOKUP(L130,ПРИЦЕПЫ,10,0)</f>
        <v>1 ось</v>
      </c>
      <c r="P130" s="36">
        <f t="shared" ref="P130:P193" si="48">YEAR(VLOOKUP(L130,ПРИЦЕПЫ,7,0))</f>
        <v>2024</v>
      </c>
      <c r="Q130" s="36" t="str">
        <f t="shared" ca="1" si="37"/>
        <v>3150*1700*1070</v>
      </c>
      <c r="R130" s="36" t="str">
        <f t="shared" ca="1" si="38"/>
        <v>2000*1250*500</v>
      </c>
      <c r="S130" s="34" t="str">
        <f>VLOOKUP(O130,ОТТС!$A$2:$B$3,2,0)</f>
        <v>ТС KZ Е-KZ.0317.00251 от 28.02.2023</v>
      </c>
      <c r="T130" s="39">
        <v>370000</v>
      </c>
      <c r="U130" s="36" t="str">
        <f t="shared" si="32"/>
        <v>Астана</v>
      </c>
    </row>
    <row r="131" spans="1:21" ht="13.2">
      <c r="A131" s="34">
        <v>1295</v>
      </c>
      <c r="B131" s="35">
        <f>VLOOKUP(A131,'Реестр договоров'!$A$2:$D$298,2,0)</f>
        <v>45540</v>
      </c>
      <c r="C131" s="36" t="str">
        <f t="shared" si="41"/>
        <v>Губайдуллин</v>
      </c>
      <c r="D131" s="36" t="str">
        <f t="shared" si="42"/>
        <v>Рамиль</v>
      </c>
      <c r="E131" s="36" t="str">
        <f t="shared" si="43"/>
        <v>Габидович</v>
      </c>
      <c r="F131" s="36" t="str">
        <f t="shared" si="44"/>
        <v>038325051</v>
      </c>
      <c r="G131" s="37">
        <f>VLOOKUP(F131,Покупатели!$F$2:$N$762,2,0)</f>
        <v>42222</v>
      </c>
      <c r="H131" s="36" t="str">
        <f>VLOOKUP(F131,Покупатели!$F$2:$N$762,3,0)</f>
        <v>МВД РК</v>
      </c>
      <c r="I131" s="36">
        <f>VLOOKUP(C131,Покупатели!$C$2:$M$805,7,0)</f>
        <v>750418301096</v>
      </c>
      <c r="J131" s="36" t="str">
        <f ca="1">IFERROR(__xludf.DUMMYFUNCTION("JOIN("" "", VLOOKUP(C131,Покупатели,8,0),VLOOKUP(C131,Покупатели,9,0),VLOOKUP(C131,Покупатели,10,0),VLOOKUP(C131,Покупатели,11,0))"),"г.Алматы Алатауский р-н мкр.Айгерим, ул.Бокина д.34")</f>
        <v>г.Алматы Алатауский р-н мкр.Айгерим, ул.Бокина д.34</v>
      </c>
      <c r="K131" s="36">
        <f t="shared" si="45"/>
        <v>87471395288</v>
      </c>
      <c r="L131" s="36" t="str">
        <f t="shared" si="46"/>
        <v>MX4000004R0001756</v>
      </c>
      <c r="M131" s="36" t="str">
        <f t="shared" si="39"/>
        <v>004-2515E50Q13-OK90</v>
      </c>
      <c r="N131" s="36" t="str">
        <f t="shared" si="40"/>
        <v>Прицеп 2,5*1,5 м  (до 750 кг.)</v>
      </c>
      <c r="O131" s="36" t="str">
        <f t="shared" si="47"/>
        <v>2 оси</v>
      </c>
      <c r="P131" s="36">
        <f t="shared" si="48"/>
        <v>2024</v>
      </c>
      <c r="Q131" s="36" t="str">
        <f t="shared" ca="1" si="37"/>
        <v>3650*1950*1070</v>
      </c>
      <c r="R131" s="36" t="str">
        <f t="shared" ca="1" si="38"/>
        <v>4000*1500*500</v>
      </c>
      <c r="S131" s="34" t="str">
        <f>VLOOKUP(O131,ОТТС!$A$2:$B$3,2,0)</f>
        <v>ТС KZ Е-KZ.0317.00219.П1 от 17.07.2025</v>
      </c>
      <c r="T131" s="38">
        <v>435000</v>
      </c>
      <c r="U131" s="36" t="str">
        <f t="shared" si="32"/>
        <v>Алматы</v>
      </c>
    </row>
    <row r="132" spans="1:21" ht="13.2">
      <c r="A132" s="34">
        <v>1296</v>
      </c>
      <c r="B132" s="35">
        <f>VLOOKUP(A132,'Реестр договоров'!$A$2:$D$298,2,0)</f>
        <v>45540</v>
      </c>
      <c r="C132" s="36" t="str">
        <f t="shared" si="41"/>
        <v>Юрчук</v>
      </c>
      <c r="D132" s="36" t="str">
        <f t="shared" si="42"/>
        <v>Александр</v>
      </c>
      <c r="E132" s="36" t="str">
        <f t="shared" si="43"/>
        <v>Александрович</v>
      </c>
      <c r="F132" s="36" t="str">
        <f t="shared" si="44"/>
        <v>039923190</v>
      </c>
      <c r="G132" s="37">
        <f>VLOOKUP(F132,Покупатели!$F$2:$N$762,2,0)</f>
        <v>42292</v>
      </c>
      <c r="H132" s="36" t="str">
        <f>VLOOKUP(F132,Покупатели!$F$2:$N$762,3,0)</f>
        <v>МВД РК</v>
      </c>
      <c r="I132" s="36">
        <f>VLOOKUP(C132,Покупатели!$C$2:$M$805,7,0)</f>
        <v>901030350506</v>
      </c>
      <c r="J132" s="36" t="str">
        <f ca="1">IFERROR(__xludf.DUMMYFUNCTION("JOIN("" "", VLOOKUP(C132,Покупатели,8,0),VLOOKUP(C132,Покупатели,9,0),VLOOKUP(C132,Покупатели,10,0),VLOOKUP(C132,Покупатели,11,0))"),"Акмолинская область,  г. Кокшетау, ул. Акана Серы,  д 97, кв 35")</f>
        <v>Акмолинская область,  г. Кокшетау, ул. Акана Серы,  д 97, кв 35</v>
      </c>
      <c r="K132" s="36">
        <f t="shared" si="45"/>
        <v>87016713246</v>
      </c>
      <c r="L132" s="36" t="str">
        <f t="shared" si="46"/>
        <v>MX4000002R0001765</v>
      </c>
      <c r="M132" s="36" t="str">
        <f t="shared" ca="1" si="39"/>
        <v>002-2013E50Q13-OK</v>
      </c>
      <c r="N132" s="36" t="str">
        <f t="shared" si="40"/>
        <v>Прицеп 2,0*1,25 м  (до 750 кг.)</v>
      </c>
      <c r="O132" s="36" t="str">
        <f t="shared" si="47"/>
        <v>1 ось</v>
      </c>
      <c r="P132" s="36">
        <f t="shared" si="48"/>
        <v>2024</v>
      </c>
      <c r="Q132" s="36" t="str">
        <f t="shared" ca="1" si="37"/>
        <v>3150*1700*1070</v>
      </c>
      <c r="R132" s="36" t="str">
        <f t="shared" ca="1" si="38"/>
        <v>2000*1250*500</v>
      </c>
      <c r="S132" s="34" t="str">
        <f>VLOOKUP(O132,ОТТС!$A$2:$B$3,2,0)</f>
        <v>ТС KZ Е-KZ.0317.00251 от 28.02.2023</v>
      </c>
      <c r="T132" s="38">
        <v>480000</v>
      </c>
      <c r="U132" s="36" t="str">
        <f t="shared" si="32"/>
        <v>Кокшетау</v>
      </c>
    </row>
    <row r="133" spans="1:21" ht="13.2">
      <c r="A133" s="34">
        <v>1297</v>
      </c>
      <c r="B133" s="35">
        <f>VLOOKUP(A133,'Реестр договоров'!$A$2:$D$298,2,0)</f>
        <v>45541</v>
      </c>
      <c r="C133" s="36" t="str">
        <f t="shared" si="41"/>
        <v xml:space="preserve">Абдукадырова </v>
      </c>
      <c r="D133" s="36" t="str">
        <f t="shared" si="42"/>
        <v>Сандуғаш</v>
      </c>
      <c r="E133" s="36" t="str">
        <f t="shared" si="43"/>
        <v>Нышанбайқызы</v>
      </c>
      <c r="F133" s="36" t="str">
        <f t="shared" si="44"/>
        <v>044500467</v>
      </c>
      <c r="G133" s="37">
        <f>VLOOKUP(F133,Покупатели!$F$2:$N$762,2,0)</f>
        <v>43619</v>
      </c>
      <c r="H133" s="36" t="str">
        <f>VLOOKUP(F133,Покупатели!$F$2:$N$762,3,0)</f>
        <v>ҚР ІІМ</v>
      </c>
      <c r="I133" s="36">
        <f>VLOOKUP(C133,Покупатели!$C$2:$M$805,7,0)</f>
        <v>920319400588</v>
      </c>
      <c r="J133" s="36" t="str">
        <f ca="1">IFERROR(__xludf.DUMMYFUNCTION("JOIN("" "", VLOOKUP(C133,Покупатели,8,0),VLOOKUP(C133,Покупатели,9,0),VLOOKUP(C133,Покупатели,10,0),VLOOKUP(C133,Покупатели,11,0))"),"Алматинская область, Илийский район, с. Чапаево, дача Дружба, линия 8,  д. 1б")</f>
        <v>Алматинская область, Илийский район, с. Чапаево, дача Дружба, линия 8,  д. 1б</v>
      </c>
      <c r="K133" s="36">
        <f t="shared" si="45"/>
        <v>87077746392</v>
      </c>
      <c r="L133" s="36" t="str">
        <f t="shared" si="46"/>
        <v>MX4000002R0001583</v>
      </c>
      <c r="M133" s="36" t="str">
        <f t="shared" ca="1" si="39"/>
        <v>002-2013E30Q13-OK</v>
      </c>
      <c r="N133" s="36" t="str">
        <f t="shared" si="40"/>
        <v>Прицеп 2,0*1,25 м  (до 750 кг.)</v>
      </c>
      <c r="O133" s="36" t="str">
        <f t="shared" si="47"/>
        <v>1 ось</v>
      </c>
      <c r="P133" s="36">
        <f t="shared" si="48"/>
        <v>2024</v>
      </c>
      <c r="Q133" s="36" t="s">
        <v>921</v>
      </c>
      <c r="R133" s="36" t="s">
        <v>922</v>
      </c>
      <c r="S133" s="34" t="str">
        <f>VLOOKUP(O133,ОТТС!$A$2:$B$3,2,0)</f>
        <v>ТС KZ Е-KZ.0317.00251 от 28.02.2023</v>
      </c>
      <c r="T133" s="38">
        <v>580000</v>
      </c>
      <c r="U133" s="36" t="str">
        <f t="shared" si="32"/>
        <v>Алматы</v>
      </c>
    </row>
    <row r="134" spans="1:21" ht="13.2">
      <c r="A134" s="34">
        <v>1298</v>
      </c>
      <c r="B134" s="35">
        <f>VLOOKUP(A134,'Реестр договоров'!$A$2:$D$298,2,0)</f>
        <v>45541</v>
      </c>
      <c r="C134" s="36" t="str">
        <f t="shared" si="41"/>
        <v>Данегулов</v>
      </c>
      <c r="D134" s="36" t="str">
        <f t="shared" si="42"/>
        <v>Коркем</v>
      </c>
      <c r="E134" s="36" t="str">
        <f t="shared" si="43"/>
        <v>Базарбайулы</v>
      </c>
      <c r="F134" s="36" t="str">
        <f t="shared" si="44"/>
        <v>038786243</v>
      </c>
      <c r="G134" s="37">
        <f>VLOOKUP(F134,Покупатели!$F$2:$N$762,2,0)</f>
        <v>42275</v>
      </c>
      <c r="H134" s="36" t="str">
        <f>VLOOKUP(F134,Покупатели!$F$2:$N$762,3,0)</f>
        <v>МВД РК</v>
      </c>
      <c r="I134" s="36">
        <f>VLOOKUP(C134,Покупатели!$C$2:$M$805,7,0)</f>
        <v>820420300619</v>
      </c>
      <c r="J134" s="36" t="str">
        <f ca="1">IFERROR(__xludf.DUMMYFUNCTION("JOIN("" "", VLOOKUP(C134,Покупатели,8,0),VLOOKUP(C134,Покупатели,9,0),VLOOKUP(C134,Покупатели,10,0),VLOOKUP(C134,Покупатели,11,0))"),"г.Астана р-н Нура ул.Бектурова д.7")</f>
        <v>г.Астана р-н Нура ул.Бектурова д.7</v>
      </c>
      <c r="K134" s="36">
        <f t="shared" si="45"/>
        <v>87013017000</v>
      </c>
      <c r="L134" s="36" t="str">
        <f t="shared" si="46"/>
        <v>MX4000002R0001766</v>
      </c>
      <c r="M134" s="36" t="str">
        <f t="shared" ca="1" si="39"/>
        <v>002-2513E30Q13-OK120</v>
      </c>
      <c r="N134" s="36" t="str">
        <f t="shared" si="40"/>
        <v>Прицеп 2,5*1,25 м  (до 750 кг.)</v>
      </c>
      <c r="O134" s="36" t="str">
        <f t="shared" si="47"/>
        <v>1 ось</v>
      </c>
      <c r="P134" s="36">
        <f t="shared" si="48"/>
        <v>2024</v>
      </c>
      <c r="Q134" s="36" t="e">
        <f t="shared" ref="Q134:Q171" ca="1" si="49">VLOOKUP(M134,матрица,16,0)</f>
        <v>#N/A</v>
      </c>
      <c r="R134" s="36" t="e">
        <f t="shared" ref="R134:R171" ca="1" si="50">VLOOKUP(M134,матрица,17,0)</f>
        <v>#N/A</v>
      </c>
      <c r="S134" s="34" t="str">
        <f>VLOOKUP(O134,ОТТС!$A$2:$B$3,2,0)</f>
        <v>ТС KZ Е-KZ.0317.00251 от 28.02.2023</v>
      </c>
      <c r="T134" s="38">
        <v>650000</v>
      </c>
      <c r="U134" s="36" t="str">
        <f t="shared" si="32"/>
        <v>Астана</v>
      </c>
    </row>
    <row r="135" spans="1:21" ht="13.2">
      <c r="A135" s="34">
        <v>1299</v>
      </c>
      <c r="B135" s="35">
        <f>VLOOKUP(A135,'Реестр договоров'!$A$2:$D$298,2,0)</f>
        <v>45541</v>
      </c>
      <c r="C135" s="36" t="str">
        <f t="shared" si="41"/>
        <v>Озиев</v>
      </c>
      <c r="D135" s="36" t="str">
        <f t="shared" si="42"/>
        <v>Азиз</v>
      </c>
      <c r="E135" s="36" t="str">
        <f t="shared" si="43"/>
        <v>Набиевич</v>
      </c>
      <c r="F135" s="36" t="str">
        <f t="shared" si="44"/>
        <v>041888899</v>
      </c>
      <c r="G135" s="37">
        <f>VLOOKUP(F135,Покупатели!$F$2:$N$762,2,0)</f>
        <v>42943</v>
      </c>
      <c r="H135" s="36" t="str">
        <f>VLOOKUP(F135,Покупатели!$F$2:$N$762,3,0)</f>
        <v>МВД РК</v>
      </c>
      <c r="I135" s="36" t="str">
        <f>VLOOKUP(C135,Покупатели!$C$2:$M$805,7,0)</f>
        <v>010722500456</v>
      </c>
      <c r="J135" s="36" t="str">
        <f ca="1">IFERROR(__xludf.DUMMYFUNCTION("JOIN("" "", VLOOKUP(C135,Покупатели,8,0),VLOOKUP(C135,Покупатели,9,0),VLOOKUP(C135,Покупатели,10,0),VLOOKUP(C135,Покупатели,11,0))"),"Жамбыльская обл Кордайский р-н, с.Кайнар ул.Мектеп д.1")</f>
        <v>Жамбыльская обл Кордайский р-н, с.Кайнар ул.Мектеп д.1</v>
      </c>
      <c r="K135" s="36">
        <f t="shared" si="45"/>
        <v>87473235199</v>
      </c>
      <c r="L135" s="36" t="str">
        <f t="shared" si="46"/>
        <v>MX4000002R0001747</v>
      </c>
      <c r="M135" s="36" t="str">
        <f t="shared" ca="1" si="39"/>
        <v>002-2013E50Q13-OK</v>
      </c>
      <c r="N135" s="36" t="str">
        <f t="shared" si="40"/>
        <v>Прицеп 2,0*1,25 м  (до 750 кг.)</v>
      </c>
      <c r="O135" s="36" t="str">
        <f t="shared" si="47"/>
        <v>1 ось</v>
      </c>
      <c r="P135" s="36">
        <f t="shared" si="48"/>
        <v>2024</v>
      </c>
      <c r="Q135" s="36" t="str">
        <f t="shared" ca="1" si="49"/>
        <v>3150*1700*1070</v>
      </c>
      <c r="R135" s="36" t="str">
        <f t="shared" ca="1" si="50"/>
        <v>2000*1250*500</v>
      </c>
      <c r="S135" s="34" t="str">
        <f>VLOOKUP(O135,ОТТС!$A$2:$B$3,2,0)</f>
        <v>ТС KZ Е-KZ.0317.00251 от 28.02.2023</v>
      </c>
      <c r="T135" s="38">
        <v>300000</v>
      </c>
      <c r="U135" s="36" t="str">
        <f t="shared" si="32"/>
        <v>Алматы</v>
      </c>
    </row>
    <row r="136" spans="1:21" ht="13.2">
      <c r="A136" s="34">
        <v>1300</v>
      </c>
      <c r="B136" s="35">
        <f>VLOOKUP(A136,'Реестр договоров'!$A$2:$D$298,2,0)</f>
        <v>45544</v>
      </c>
      <c r="C136" s="36" t="str">
        <f t="shared" si="41"/>
        <v>Асылов</v>
      </c>
      <c r="D136" s="36" t="str">
        <f t="shared" si="42"/>
        <v>Адилбек</v>
      </c>
      <c r="E136" s="36" t="str">
        <f t="shared" si="43"/>
        <v>Алпысбаевич</v>
      </c>
      <c r="F136" s="36" t="str">
        <f t="shared" si="44"/>
        <v>055252492</v>
      </c>
      <c r="G136" s="37">
        <f>VLOOKUP(F136,Покупатели!$F$2:$N$762,2,0)</f>
        <v>45050</v>
      </c>
      <c r="H136" s="36" t="str">
        <f>VLOOKUP(F136,Покупатели!$F$2:$N$762,3,0)</f>
        <v>МВД РК</v>
      </c>
      <c r="I136" s="36">
        <f>VLOOKUP(C136,Покупатели!$C$2:$M$805,7,0)</f>
        <v>780415302965</v>
      </c>
      <c r="J136" s="36" t="str">
        <f ca="1">IFERROR(__xludf.DUMMYFUNCTION("JOIN("" "", VLOOKUP(C136,Покупатели,8,0),VLOOKUP(C136,Покупатели,9,0),VLOOKUP(C136,Покупатели,10,0),VLOOKUP(C136,Покупатели,11,0))"),"Акмолинская обл. Целиноградский р-н,  п.Коянды 0")</f>
        <v>Акмолинская обл. Целиноградский р-н,  п.Коянды 0</v>
      </c>
      <c r="K136" s="36">
        <f t="shared" si="45"/>
        <v>87002142490</v>
      </c>
      <c r="L136" s="36" t="str">
        <f t="shared" si="46"/>
        <v>MX4000002R0001763</v>
      </c>
      <c r="M136" s="36" t="str">
        <f t="shared" ca="1" si="39"/>
        <v>002-2013E50Q13-OK</v>
      </c>
      <c r="N136" s="36" t="str">
        <f t="shared" si="40"/>
        <v>Прицеп 2,0*1,25 м  (до 750 кг.)</v>
      </c>
      <c r="O136" s="36" t="str">
        <f t="shared" si="47"/>
        <v>1 ось</v>
      </c>
      <c r="P136" s="36">
        <f t="shared" si="48"/>
        <v>2024</v>
      </c>
      <c r="Q136" s="36" t="str">
        <f t="shared" ca="1" si="49"/>
        <v>3150*1700*1070</v>
      </c>
      <c r="R136" s="36" t="str">
        <f t="shared" ca="1" si="50"/>
        <v>2000*1250*500</v>
      </c>
      <c r="S136" s="34" t="str">
        <f>VLOOKUP(O136,ОТТС!$A$2:$B$3,2,0)</f>
        <v>ТС KZ Е-KZ.0317.00251 от 28.02.2023</v>
      </c>
      <c r="T136" s="38">
        <v>410000</v>
      </c>
      <c r="U136" s="36" t="str">
        <f t="shared" si="32"/>
        <v>Астана</v>
      </c>
    </row>
    <row r="137" spans="1:21" ht="13.2">
      <c r="A137" s="34">
        <v>1301</v>
      </c>
      <c r="B137" s="35">
        <f>VLOOKUP(A137,'Реестр договоров'!$A$2:$D$298,2,0)</f>
        <v>45544</v>
      </c>
      <c r="C137" s="36" t="str">
        <f t="shared" si="41"/>
        <v>Кожахметова</v>
      </c>
      <c r="D137" s="36" t="str">
        <f t="shared" si="42"/>
        <v>Азамат</v>
      </c>
      <c r="E137" s="36" t="str">
        <f t="shared" si="43"/>
        <v>Ерсаинович</v>
      </c>
      <c r="F137" s="36" t="str">
        <f t="shared" si="44"/>
        <v>038500042</v>
      </c>
      <c r="G137" s="37">
        <f>VLOOKUP(F137,Покупатели!$F$2:$N$762,2,0)</f>
        <v>42146</v>
      </c>
      <c r="H137" s="36" t="str">
        <f>VLOOKUP(F137,Покупатели!$F$2:$N$762,3,0)</f>
        <v>МВД РК</v>
      </c>
      <c r="I137" s="36">
        <f>VLOOKUP(C137,Покупатели!$C$2:$M$805,7,0)</f>
        <v>900526350242</v>
      </c>
      <c r="J137" s="36" t="str">
        <f ca="1">IFERROR(__xludf.DUMMYFUNCTION("JOIN("" "", VLOOKUP(C137,Покупатели,8,0),VLOOKUP(C137,Покупатели,9,0),VLOOKUP(C137,Покупатели,10,0),VLOOKUP(C137,Покупатели,11,0))"),"Акмолинская область г. Кокшетау мкр. Васильковский дом 20, кв. 509")</f>
        <v>Акмолинская область г. Кокшетау мкр. Васильковский дом 20, кв. 509</v>
      </c>
      <c r="K137" s="36">
        <f t="shared" si="45"/>
        <v>87059735628</v>
      </c>
      <c r="L137" s="36" t="str">
        <f t="shared" si="46"/>
        <v>MX4000002R0001701</v>
      </c>
      <c r="M137" s="36" t="str">
        <f t="shared" ca="1" si="39"/>
        <v>002-2513E30Q13-OK</v>
      </c>
      <c r="N137" s="36" t="str">
        <f t="shared" si="40"/>
        <v>Прицеп 2,5*1,25 м  (до 750 кг.)</v>
      </c>
      <c r="O137" s="36" t="str">
        <f t="shared" si="47"/>
        <v>1 ось</v>
      </c>
      <c r="P137" s="36">
        <f t="shared" si="48"/>
        <v>2024</v>
      </c>
      <c r="Q137" s="36" t="str">
        <f t="shared" ca="1" si="49"/>
        <v>3650*1700*900</v>
      </c>
      <c r="R137" s="36" t="str">
        <f t="shared" ca="1" si="50"/>
        <v>2500*1250*300</v>
      </c>
      <c r="S137" s="34" t="str">
        <f>VLOOKUP(O137,ОТТС!$A$2:$B$3,2,0)</f>
        <v>ТС KZ Е-KZ.0317.00251 от 28.02.2023</v>
      </c>
      <c r="T137" s="38">
        <v>380000</v>
      </c>
      <c r="U137" s="36" t="str">
        <f t="shared" si="32"/>
        <v>Кокшетау</v>
      </c>
    </row>
    <row r="138" spans="1:21" ht="13.2">
      <c r="A138" s="34">
        <v>1302</v>
      </c>
      <c r="B138" s="35">
        <f>VLOOKUP(A138,'Реестр договоров'!$A$2:$D$298,2,0)</f>
        <v>45544</v>
      </c>
      <c r="C138" s="36" t="str">
        <f t="shared" si="41"/>
        <v>Сейдеметов2</v>
      </c>
      <c r="D138" s="36" t="str">
        <f t="shared" si="42"/>
        <v>Асхат</v>
      </c>
      <c r="E138" s="36" t="str">
        <f t="shared" si="43"/>
        <v>Ертасович</v>
      </c>
      <c r="F138" s="36" t="str">
        <f t="shared" si="44"/>
        <v>046023523</v>
      </c>
      <c r="G138" s="37">
        <f>VLOOKUP(F138,Покупатели!$F$2:$N$762,2,0)</f>
        <v>43903</v>
      </c>
      <c r="H138" s="36" t="str">
        <f>VLOOKUP(F138,Покупатели!$F$2:$N$762,3,0)</f>
        <v>МВД РК</v>
      </c>
      <c r="I138" s="36">
        <f>VLOOKUP(C138,Покупатели!$C$2:$M$805,7,0)</f>
        <v>700408301786</v>
      </c>
      <c r="J138" s="36" t="str">
        <f ca="1">IFERROR(__xludf.DUMMYFUNCTION("JOIN("" "", VLOOKUP(C138,Покупатели,8,0),VLOOKUP(C138,Покупатели,9,0),VLOOKUP(C138,Покупатели,10,0),VLOOKUP(C138,Покупатели,11,0))"),"Кызылординская обл. г.Кызылорда ул.Багаева д.4")</f>
        <v>Кызылординская обл. г.Кызылорда ул.Багаева д.4</v>
      </c>
      <c r="K138" s="36">
        <f t="shared" si="45"/>
        <v>87773342870</v>
      </c>
      <c r="L138" s="36" t="str">
        <f t="shared" si="46"/>
        <v>MX4000002R0001730</v>
      </c>
      <c r="M138" s="36" t="str">
        <f t="shared" ca="1" si="39"/>
        <v>002-2013E50Q13-OK30</v>
      </c>
      <c r="N138" s="36" t="str">
        <f t="shared" si="40"/>
        <v>Прицеп 2,0*1,25 м  (до 750 кг.)</v>
      </c>
      <c r="O138" s="36" t="str">
        <f t="shared" si="47"/>
        <v>1 ось</v>
      </c>
      <c r="P138" s="36">
        <f t="shared" si="48"/>
        <v>2024</v>
      </c>
      <c r="Q138" s="36" t="str">
        <f t="shared" ca="1" si="49"/>
        <v>3150*1700*1070</v>
      </c>
      <c r="R138" s="36" t="str">
        <f t="shared" ca="1" si="50"/>
        <v>2000*1250*500</v>
      </c>
      <c r="S138" s="34" t="str">
        <f>VLOOKUP(O138,ОТТС!$A$2:$B$3,2,0)</f>
        <v>ТС KZ Е-KZ.0317.00251 от 28.02.2023</v>
      </c>
      <c r="T138" s="38">
        <v>340000</v>
      </c>
      <c r="U138" s="36" t="str">
        <f t="shared" si="32"/>
        <v>Алматы</v>
      </c>
    </row>
    <row r="139" spans="1:21" ht="13.2">
      <c r="A139" s="34">
        <v>1303</v>
      </c>
      <c r="B139" s="35">
        <f>VLOOKUP(A139,'Реестр договоров'!$A$2:$D$298,2,0)</f>
        <v>45544</v>
      </c>
      <c r="C139" s="36" t="str">
        <f t="shared" si="41"/>
        <v>Сейдеметов</v>
      </c>
      <c r="D139" s="36" t="str">
        <f t="shared" si="42"/>
        <v>Асхат</v>
      </c>
      <c r="E139" s="36" t="str">
        <f t="shared" si="43"/>
        <v>Ертасович</v>
      </c>
      <c r="F139" s="36" t="str">
        <f t="shared" si="44"/>
        <v>046023523</v>
      </c>
      <c r="G139" s="37">
        <f>VLOOKUP(F139,Покупатели!$F$2:$N$762,2,0)</f>
        <v>43903</v>
      </c>
      <c r="H139" s="36" t="str">
        <f>VLOOKUP(F139,Покупатели!$F$2:$N$762,3,0)</f>
        <v>МВД РК</v>
      </c>
      <c r="I139" s="36">
        <f>VLOOKUP(C139,Покупатели!$C$2:$M$805,7,0)</f>
        <v>700408301786</v>
      </c>
      <c r="J139" s="36" t="str">
        <f ca="1">IFERROR(__xludf.DUMMYFUNCTION("JOIN("" "", VLOOKUP(C139,Покупатели,8,0),VLOOKUP(C139,Покупатели,9,0),VLOOKUP(C139,Покупатели,10,0),VLOOKUP(C139,Покупатели,11,0))"),"Кызылординская обл. г.Кызылорда ул.Багаева д.4")</f>
        <v>Кызылординская обл. г.Кызылорда ул.Багаева д.4</v>
      </c>
      <c r="K139" s="36">
        <f t="shared" si="45"/>
        <v>87773342870</v>
      </c>
      <c r="L139" s="36" t="str">
        <f t="shared" si="46"/>
        <v>MX4000002R0001734</v>
      </c>
      <c r="M139" s="36" t="str">
        <f t="shared" ca="1" si="39"/>
        <v>002-2013E50Q13-OK30</v>
      </c>
      <c r="N139" s="36" t="str">
        <f t="shared" si="40"/>
        <v>Прицеп 2,0*1,25 м  (до 750 кг.)</v>
      </c>
      <c r="O139" s="36" t="str">
        <f t="shared" si="47"/>
        <v>1 ось</v>
      </c>
      <c r="P139" s="36">
        <f t="shared" si="48"/>
        <v>2024</v>
      </c>
      <c r="Q139" s="36" t="str">
        <f t="shared" ca="1" si="49"/>
        <v>3150*1700*1070</v>
      </c>
      <c r="R139" s="36" t="str">
        <f t="shared" ca="1" si="50"/>
        <v>2000*1250*500</v>
      </c>
      <c r="S139" s="34" t="str">
        <f>VLOOKUP(O139,ОТТС!$A$2:$B$3,2,0)</f>
        <v>ТС KZ Е-KZ.0317.00251 от 28.02.2023</v>
      </c>
      <c r="T139" s="38">
        <v>380000</v>
      </c>
      <c r="U139" s="36" t="str">
        <f t="shared" si="32"/>
        <v>Алматы</v>
      </c>
    </row>
    <row r="140" spans="1:21" ht="13.2">
      <c r="A140" s="34">
        <v>1304</v>
      </c>
      <c r="B140" s="35">
        <f>VLOOKUP(A140,'Реестр договоров'!$A$2:$D$298,2,0)</f>
        <v>45544</v>
      </c>
      <c r="C140" s="36" t="str">
        <f t="shared" si="41"/>
        <v>Калмамбетов</v>
      </c>
      <c r="D140" s="36" t="str">
        <f t="shared" si="42"/>
        <v>Даурен</v>
      </c>
      <c r="E140" s="36" t="str">
        <f t="shared" si="43"/>
        <v>Жаксылыкович</v>
      </c>
      <c r="F140" s="36" t="str">
        <f t="shared" si="44"/>
        <v>055985061</v>
      </c>
      <c r="G140" s="37">
        <f>VLOOKUP(F140,Покупатели!$F$2:$N$762,2,0)</f>
        <v>45369</v>
      </c>
      <c r="H140" s="36" t="str">
        <f>VLOOKUP(F140,Покупатели!$F$2:$N$762,3,0)</f>
        <v>МВД РК</v>
      </c>
      <c r="I140" s="36">
        <f>VLOOKUP(C140,Покупатели!$C$2:$M$805,7,0)</f>
        <v>890101301665</v>
      </c>
      <c r="J140" s="36" t="str">
        <f ca="1">IFERROR(__xludf.DUMMYFUNCTION("JOIN("" "", VLOOKUP(C140,Покупатели,8,0),VLOOKUP(C140,Покупатели,9,0),VLOOKUP(C140,Покупатели,10,0),VLOOKUP(C140,Покупатели,11,0))"),"Алматинская обл. г.Конаев мкр.3 д.26, кв.23")</f>
        <v>Алматинская обл. г.Конаев мкр.3 д.26, кв.23</v>
      </c>
      <c r="K140" s="36">
        <f t="shared" si="45"/>
        <v>87470361946</v>
      </c>
      <c r="L140" s="36" t="str">
        <f t="shared" si="46"/>
        <v>MX4000004R0001755</v>
      </c>
      <c r="M140" s="36" t="str">
        <f t="shared" si="39"/>
        <v>004-2515E50Q13-OK</v>
      </c>
      <c r="N140" s="36" t="str">
        <f t="shared" si="40"/>
        <v>Прицеп 2,5*1,5 м  (до 750 кг.)</v>
      </c>
      <c r="O140" s="36" t="str">
        <f t="shared" si="47"/>
        <v>2 оси</v>
      </c>
      <c r="P140" s="36">
        <f t="shared" si="48"/>
        <v>2024</v>
      </c>
      <c r="Q140" s="36" t="str">
        <f t="shared" ca="1" si="49"/>
        <v>3650*1950*1070</v>
      </c>
      <c r="R140" s="36" t="str">
        <f t="shared" ca="1" si="50"/>
        <v>4000*1500*500</v>
      </c>
      <c r="S140" s="34" t="str">
        <f>VLOOKUP(O140,ОТТС!$A$2:$B$3,2,0)</f>
        <v>ТС KZ Е-KZ.0317.00219.П1 от 17.07.2025</v>
      </c>
      <c r="T140" s="38">
        <v>350000</v>
      </c>
      <c r="U140" s="36" t="str">
        <f t="shared" si="32"/>
        <v>Алматы</v>
      </c>
    </row>
    <row r="141" spans="1:21" ht="13.2">
      <c r="A141" s="34">
        <v>1305</v>
      </c>
      <c r="B141" s="35">
        <f>VLOOKUP(A141,'Реестр договоров'!$A$2:$D$298,2,0)</f>
        <v>45545</v>
      </c>
      <c r="C141" s="36" t="str">
        <f t="shared" si="41"/>
        <v>Камаев</v>
      </c>
      <c r="D141" s="36" t="str">
        <f t="shared" si="42"/>
        <v>Омар</v>
      </c>
      <c r="E141" s="36" t="str">
        <f t="shared" si="43"/>
        <v>Айтхалеевич</v>
      </c>
      <c r="F141" s="36" t="str">
        <f t="shared" si="44"/>
        <v>055826396</v>
      </c>
      <c r="G141" s="37">
        <f>VLOOKUP(F141,Покупатели!$F$2:$N$762,2,0)</f>
        <v>45111</v>
      </c>
      <c r="H141" s="36" t="str">
        <f>VLOOKUP(F141,Покупатели!$F$2:$N$762,3,0)</f>
        <v>МВД РК</v>
      </c>
      <c r="I141" s="36">
        <f>VLOOKUP(C141,Покупатели!$C$2:$M$805,7,0)</f>
        <v>931109000062</v>
      </c>
      <c r="J141" s="36" t="str">
        <f ca="1">IFERROR(__xludf.DUMMYFUNCTION("JOIN("" "", VLOOKUP(C141,Покупатели,8,0),VLOOKUP(C141,Покупатели,9,0),VLOOKUP(C141,Покупатели,10,0),VLOOKUP(C141,Покупатели,11,0))"),"Акмолинская обл. Аршалынский р-н, ст.Бабатай ул.Уалиханова д.58")</f>
        <v>Акмолинская обл. Аршалынский р-н, ст.Бабатай ул.Уалиханова д.58</v>
      </c>
      <c r="K141" s="36">
        <f t="shared" si="45"/>
        <v>87773022758</v>
      </c>
      <c r="L141" s="36" t="str">
        <f t="shared" si="46"/>
        <v>MX4000002R0001758</v>
      </c>
      <c r="M141" s="36" t="str">
        <f t="shared" ca="1" si="39"/>
        <v>002-2013E30Q13-OK</v>
      </c>
      <c r="N141" s="36" t="str">
        <f t="shared" si="40"/>
        <v>Прицеп 2,0*1,25 м  (до 750 кг.)</v>
      </c>
      <c r="O141" s="36" t="str">
        <f t="shared" si="47"/>
        <v>1 ось</v>
      </c>
      <c r="P141" s="36">
        <f t="shared" si="48"/>
        <v>2024</v>
      </c>
      <c r="Q141" s="36" t="str">
        <f t="shared" ca="1" si="49"/>
        <v>3150*1700*900</v>
      </c>
      <c r="R141" s="36" t="str">
        <f t="shared" ca="1" si="50"/>
        <v>2000*1250*300</v>
      </c>
      <c r="S141" s="34" t="str">
        <f>VLOOKUP(O141,ОТТС!$A$2:$B$3,2,0)</f>
        <v>ТС KZ Е-KZ.0317.00251 от 28.02.2023</v>
      </c>
      <c r="T141" s="38">
        <v>360000</v>
      </c>
      <c r="U141" s="36" t="str">
        <f t="shared" si="32"/>
        <v>Астана</v>
      </c>
    </row>
    <row r="142" spans="1:21" ht="13.2">
      <c r="A142" s="34">
        <v>1306</v>
      </c>
      <c r="B142" s="35">
        <f>VLOOKUP(A142,'Реестр договоров'!$A$2:$D$298,2,0)</f>
        <v>45545</v>
      </c>
      <c r="C142" s="36" t="str">
        <f t="shared" si="41"/>
        <v>Грачев</v>
      </c>
      <c r="D142" s="36" t="str">
        <f t="shared" si="42"/>
        <v>Евгений</v>
      </c>
      <c r="E142" s="36" t="str">
        <f t="shared" si="43"/>
        <v>Александрович</v>
      </c>
      <c r="F142" s="36" t="str">
        <f t="shared" si="44"/>
        <v>037251935</v>
      </c>
      <c r="G142" s="37">
        <f>VLOOKUP(F142,Покупатели!$F$2:$N$762,2,0)</f>
        <v>41967</v>
      </c>
      <c r="H142" s="36" t="str">
        <f>VLOOKUP(F142,Покупатели!$F$2:$N$762,3,0)</f>
        <v>МВД РК</v>
      </c>
      <c r="I142" s="36">
        <f>VLOOKUP(C142,Покупатели!$C$2:$M$805,7,0)</f>
        <v>820508301992</v>
      </c>
      <c r="J142" s="36" t="str">
        <f ca="1">IFERROR(__xludf.DUMMYFUNCTION("JOIN("" "", VLOOKUP(C142,Покупатели,8,0),VLOOKUP(C142,Покупатели,9,0),VLOOKUP(C142,Покупатели,10,0),VLOOKUP(C142,Покупатели,11,0))"),"Жетысуская область, г. Талдыкорган, ул. Молодогвардейская, д.16")</f>
        <v>Жетысуская область, г. Талдыкорган, ул. Молодогвардейская, д.16</v>
      </c>
      <c r="K142" s="36">
        <f t="shared" si="45"/>
        <v>87776221237</v>
      </c>
      <c r="L142" s="36" t="str">
        <f t="shared" si="46"/>
        <v>MX4000002R0001733</v>
      </c>
      <c r="M142" s="36" t="str">
        <f t="shared" ca="1" si="39"/>
        <v>002-2013E30Q13-OK</v>
      </c>
      <c r="N142" s="36" t="str">
        <f t="shared" si="40"/>
        <v>Прицеп 2,0*1,25 м  (до 750 кг.)</v>
      </c>
      <c r="O142" s="36" t="str">
        <f t="shared" si="47"/>
        <v>1 ось</v>
      </c>
      <c r="P142" s="36">
        <f t="shared" si="48"/>
        <v>2024</v>
      </c>
      <c r="Q142" s="36" t="str">
        <f t="shared" ca="1" si="49"/>
        <v>3150*1700*900</v>
      </c>
      <c r="R142" s="36" t="str">
        <f t="shared" ca="1" si="50"/>
        <v>2000*1250*300</v>
      </c>
      <c r="S142" s="34" t="str">
        <f>VLOOKUP(O142,ОТТС!$A$2:$B$3,2,0)</f>
        <v>ТС KZ Е-KZ.0317.00251 от 28.02.2023</v>
      </c>
      <c r="T142" s="39">
        <v>360000</v>
      </c>
      <c r="U142" s="36" t="str">
        <f t="shared" si="32"/>
        <v>Алматы</v>
      </c>
    </row>
    <row r="143" spans="1:21" ht="13.2">
      <c r="A143" s="34">
        <v>1307</v>
      </c>
      <c r="B143" s="35">
        <f>VLOOKUP(A143,'Реестр договоров'!$A$2:$D$298,2,0)</f>
        <v>45545</v>
      </c>
      <c r="C143" s="36" t="str">
        <f t="shared" si="41"/>
        <v>Батолин</v>
      </c>
      <c r="D143" s="36" t="str">
        <f t="shared" si="42"/>
        <v>Александр</v>
      </c>
      <c r="E143" s="36" t="str">
        <f t="shared" si="43"/>
        <v>Геннадьевич</v>
      </c>
      <c r="F143" s="36" t="str">
        <f t="shared" si="44"/>
        <v>041014094</v>
      </c>
      <c r="G143" s="37">
        <f>VLOOKUP(F143,Покупатели!$F$2:$N$762,2,0)</f>
        <v>42471</v>
      </c>
      <c r="H143" s="36" t="str">
        <f>VLOOKUP(F143,Покупатели!$F$2:$N$762,3,0)</f>
        <v>МВД РК</v>
      </c>
      <c r="I143" s="36">
        <f>VLOOKUP(C143,Покупатели!$C$2:$M$805,7,0)</f>
        <v>830404351112</v>
      </c>
      <c r="J143" s="36" t="str">
        <f ca="1">IFERROR(__xludf.DUMMYFUNCTION("JOIN("" "", VLOOKUP(C143,Покупатели,8,0),VLOOKUP(C143,Покупатели,9,0),VLOOKUP(C143,Покупатели,10,0),VLOOKUP(C143,Покупатели,11,0))"),"Акмолинская  г.Акколь Мира 7")</f>
        <v>Акмолинская  г.Акколь Мира 7</v>
      </c>
      <c r="K143" s="36">
        <f t="shared" si="45"/>
        <v>87028176109</v>
      </c>
      <c r="L143" s="36" t="str">
        <f t="shared" si="46"/>
        <v>MX4000002R0001602</v>
      </c>
      <c r="M143" s="36" t="str">
        <f t="shared" ca="1" si="39"/>
        <v>002-2513E50Q13-OK</v>
      </c>
      <c r="N143" s="36" t="str">
        <f t="shared" si="40"/>
        <v>Прицеп 2,5*1,25 м  (до 750 кг.)</v>
      </c>
      <c r="O143" s="36" t="str">
        <f t="shared" si="47"/>
        <v>1 ось</v>
      </c>
      <c r="P143" s="36">
        <f t="shared" si="48"/>
        <v>2024</v>
      </c>
      <c r="Q143" s="36" t="str">
        <f t="shared" ca="1" si="49"/>
        <v>3650*1700*1070</v>
      </c>
      <c r="R143" s="36" t="str">
        <f t="shared" ca="1" si="50"/>
        <v>2500*1250*500</v>
      </c>
      <c r="S143" s="34" t="str">
        <f>VLOOKUP(O143,ОТТС!$A$2:$B$3,2,0)</f>
        <v>ТС KZ Е-KZ.0317.00251 от 28.02.2023</v>
      </c>
      <c r="T143" s="38">
        <v>320000</v>
      </c>
      <c r="U143" s="36" t="str">
        <f t="shared" si="32"/>
        <v>Астана</v>
      </c>
    </row>
    <row r="144" spans="1:21" ht="13.2">
      <c r="A144" s="34">
        <v>1308</v>
      </c>
      <c r="B144" s="35">
        <f>VLOOKUP(A144,'Реестр договоров'!$A$2:$D$298,2,0)</f>
        <v>45546</v>
      </c>
      <c r="C144" s="36" t="str">
        <f t="shared" si="41"/>
        <v>Докенов</v>
      </c>
      <c r="D144" s="36" t="str">
        <f t="shared" si="42"/>
        <v>Ерлан</v>
      </c>
      <c r="E144" s="36" t="str">
        <f t="shared" si="43"/>
        <v>Меделович</v>
      </c>
      <c r="F144" s="36" t="str">
        <f t="shared" si="44"/>
        <v>045829109</v>
      </c>
      <c r="G144" s="37">
        <f>VLOOKUP(F144,Покупатели!$F$2:$N$762,2,0)</f>
        <v>43874</v>
      </c>
      <c r="H144" s="36" t="str">
        <f>VLOOKUP(F144,Покупатели!$F$2:$N$762,3,0)</f>
        <v>МВД РК</v>
      </c>
      <c r="I144" s="36">
        <f>VLOOKUP(C144,Покупатели!$C$2:$M$805,7,0)</f>
        <v>710312300669</v>
      </c>
      <c r="J144" s="36" t="str">
        <f ca="1">IFERROR(__xludf.DUMMYFUNCTION("JOIN("" "", VLOOKUP(C144,Покупатели,8,0),VLOOKUP(C144,Покупатели,9,0),VLOOKUP(C144,Покупатели,10,0),VLOOKUP(C144,Покупатели,11,0))"),"г.Алматы Наурызбайский р-н мкр.Акжар, ул.Маканшы д.85б")</f>
        <v>г.Алматы Наурызбайский р-н мкр.Акжар, ул.Маканшы д.85б</v>
      </c>
      <c r="K144" s="36">
        <f t="shared" si="45"/>
        <v>87017205151</v>
      </c>
      <c r="L144" s="36" t="str">
        <f t="shared" si="46"/>
        <v>MX4000002R0001746</v>
      </c>
      <c r="M144" s="36" t="str">
        <f t="shared" ca="1" si="39"/>
        <v>002-2013E50Q13-OK</v>
      </c>
      <c r="N144" s="36" t="str">
        <f t="shared" si="40"/>
        <v>Прицеп 2,0*1,25 м  (до 750 кг.)</v>
      </c>
      <c r="O144" s="36" t="str">
        <f t="shared" si="47"/>
        <v>1 ось</v>
      </c>
      <c r="P144" s="36">
        <f t="shared" si="48"/>
        <v>2024</v>
      </c>
      <c r="Q144" s="36" t="str">
        <f t="shared" ca="1" si="49"/>
        <v>3150*1700*1070</v>
      </c>
      <c r="R144" s="36" t="str">
        <f t="shared" ca="1" si="50"/>
        <v>2000*1250*500</v>
      </c>
      <c r="S144" s="34" t="str">
        <f>VLOOKUP(O144,ОТТС!$A$2:$B$3,2,0)</f>
        <v>ТС KZ Е-KZ.0317.00251 от 28.02.2023</v>
      </c>
      <c r="T144" s="38">
        <v>350000</v>
      </c>
      <c r="U144" s="36" t="str">
        <f t="shared" si="32"/>
        <v>Алматы</v>
      </c>
    </row>
    <row r="145" spans="1:21" ht="13.2">
      <c r="A145" s="34">
        <v>1309</v>
      </c>
      <c r="B145" s="35">
        <f>VLOOKUP(A145,'Реестр договоров'!$A$2:$D$298,2,0)</f>
        <v>45546</v>
      </c>
      <c r="C145" s="36" t="str">
        <f t="shared" si="41"/>
        <v>Матин</v>
      </c>
      <c r="D145" s="36" t="str">
        <f t="shared" si="42"/>
        <v>Эрик</v>
      </c>
      <c r="E145" s="36" t="str">
        <f t="shared" si="43"/>
        <v>Маратович</v>
      </c>
      <c r="F145" s="36" t="str">
        <f t="shared" si="44"/>
        <v>043272339</v>
      </c>
      <c r="G145" s="37">
        <f>VLOOKUP(F145,Покупатели!$F$2:$N$762,2,0)</f>
        <v>43301</v>
      </c>
      <c r="H145" s="36" t="str">
        <f>VLOOKUP(F145,Покупатели!$F$2:$N$762,3,0)</f>
        <v>МВД РК</v>
      </c>
      <c r="I145" s="36">
        <f>VLOOKUP(C145,Покупатели!$C$2:$M$805,7,0)</f>
        <v>700903350418</v>
      </c>
      <c r="J145" s="36" t="str">
        <f ca="1">IFERROR(__xludf.DUMMYFUNCTION("JOIN("" "", VLOOKUP(C145,Покупатели,8,0),VLOOKUP(C145,Покупатели,9,0),VLOOKUP(C145,Покупатели,10,0),VLOOKUP(C145,Покупатели,11,0))"),"Алматинская область, г. Алматы, ул. Дулатова, д. 67, кв 8")</f>
        <v>Алматинская область, г. Алматы, ул. Дулатова, д. 67, кв 8</v>
      </c>
      <c r="K145" s="36">
        <f t="shared" si="45"/>
        <v>87059156120</v>
      </c>
      <c r="L145" s="36" t="str">
        <f t="shared" si="46"/>
        <v>MX4000002R0001735</v>
      </c>
      <c r="M145" s="36" t="str">
        <f t="shared" ca="1" si="39"/>
        <v>002-2013E50Q13-OK</v>
      </c>
      <c r="N145" s="36" t="str">
        <f t="shared" si="40"/>
        <v>Прицеп 2,0*1,25 м  (до 750 кг.)</v>
      </c>
      <c r="O145" s="36" t="str">
        <f t="shared" si="47"/>
        <v>1 ось</v>
      </c>
      <c r="P145" s="36">
        <f t="shared" si="48"/>
        <v>2024</v>
      </c>
      <c r="Q145" s="36" t="str">
        <f t="shared" ca="1" si="49"/>
        <v>3150*1700*1070</v>
      </c>
      <c r="R145" s="36" t="str">
        <f t="shared" ca="1" si="50"/>
        <v>2000*1250*500</v>
      </c>
      <c r="S145" s="34" t="str">
        <f>VLOOKUP(O145,ОТТС!$A$2:$B$3,2,0)</f>
        <v>ТС KZ Е-KZ.0317.00251 от 28.02.2023</v>
      </c>
      <c r="T145" s="38">
        <v>380000</v>
      </c>
      <c r="U145" s="36" t="str">
        <f t="shared" si="32"/>
        <v>Алматы</v>
      </c>
    </row>
    <row r="146" spans="1:21" ht="13.2">
      <c r="A146" s="34">
        <v>1310</v>
      </c>
      <c r="B146" s="35">
        <f>VLOOKUP(A146,'Реестр договоров'!$A$2:$D$298,2,0)</f>
        <v>45546</v>
      </c>
      <c r="C146" s="36" t="str">
        <f t="shared" si="41"/>
        <v xml:space="preserve">Махметов </v>
      </c>
      <c r="D146" s="36" t="str">
        <f t="shared" si="42"/>
        <v>Амантай</v>
      </c>
      <c r="E146" s="36" t="str">
        <f t="shared" si="43"/>
        <v>Тойшибекович</v>
      </c>
      <c r="F146" s="36" t="str">
        <f t="shared" si="44"/>
        <v>045548612</v>
      </c>
      <c r="G146" s="37">
        <f>VLOOKUP(F146,Покупатели!$F$2:$N$762,2,0)</f>
        <v>43523</v>
      </c>
      <c r="H146" s="36" t="str">
        <f>VLOOKUP(F146,Покупатели!$F$2:$N$762,3,0)</f>
        <v>МВД РК</v>
      </c>
      <c r="I146" s="36">
        <f>VLOOKUP(C146,Покупатели!$C$2:$M$805,7,0)</f>
        <v>670101350291</v>
      </c>
      <c r="J146" s="36" t="str">
        <f ca="1">IFERROR(__xludf.DUMMYFUNCTION("JOIN("" "", VLOOKUP(C146,Покупатели,8,0),VLOOKUP(C146,Покупатели,9,0),VLOOKUP(C146,Покупатели,10,0),VLOOKUP(C146,Покупатели,11,0))"),"Акмолинская  Целиноградский Кошкарбаева 23")</f>
        <v>Акмолинская  Целиноградский Кошкарбаева 23</v>
      </c>
      <c r="K146" s="36">
        <f t="shared" si="45"/>
        <v>87475529062</v>
      </c>
      <c r="L146" s="36" t="str">
        <f t="shared" si="46"/>
        <v>MX4000002R0001764</v>
      </c>
      <c r="M146" s="36" t="str">
        <f t="shared" ca="1" si="39"/>
        <v>002-2013E50Q13-OK</v>
      </c>
      <c r="N146" s="36" t="str">
        <f t="shared" si="40"/>
        <v>Прицеп 2,0*1,25 м  (до 750 кг.)</v>
      </c>
      <c r="O146" s="36" t="str">
        <f t="shared" si="47"/>
        <v>1 ось</v>
      </c>
      <c r="P146" s="36">
        <f t="shared" si="48"/>
        <v>2024</v>
      </c>
      <c r="Q146" s="36" t="str">
        <f t="shared" ca="1" si="49"/>
        <v>3150*1700*1070</v>
      </c>
      <c r="R146" s="36" t="str">
        <f t="shared" ca="1" si="50"/>
        <v>2000*1250*500</v>
      </c>
      <c r="S146" s="34" t="str">
        <f>VLOOKUP(O146,ОТТС!$A$2:$B$3,2,0)</f>
        <v>ТС KZ Е-KZ.0317.00251 от 28.02.2023</v>
      </c>
      <c r="T146" s="38">
        <v>380000</v>
      </c>
      <c r="U146" s="36" t="str">
        <f t="shared" ref="U146:U209" si="51">VLOOKUP(L146,ПРИЦЕПЫ,9,0)</f>
        <v>Астана</v>
      </c>
    </row>
    <row r="147" spans="1:21" ht="13.2">
      <c r="A147" s="34">
        <v>1311</v>
      </c>
      <c r="B147" s="35">
        <f>VLOOKUP(A147,'Реестр договоров'!$A$2:$D$298,2,0)</f>
        <v>45547</v>
      </c>
      <c r="C147" s="36" t="str">
        <f t="shared" si="41"/>
        <v>Максимов</v>
      </c>
      <c r="D147" s="36" t="str">
        <f t="shared" si="42"/>
        <v>Сухрабжан</v>
      </c>
      <c r="E147" s="36" t="str">
        <f t="shared" si="43"/>
        <v>Шакиржанович</v>
      </c>
      <c r="F147" s="36" t="str">
        <f t="shared" si="44"/>
        <v>056992955</v>
      </c>
      <c r="G147" s="37">
        <f>VLOOKUP(F147,Покупатели!$F$2:$N$762,2,0)</f>
        <v>45478</v>
      </c>
      <c r="H147" s="36" t="str">
        <f>VLOOKUP(F147,Покупатели!$F$2:$N$762,3,0)</f>
        <v>МВД РК</v>
      </c>
      <c r="I147" s="36">
        <f>VLOOKUP(C147,Покупатели!$C$2:$M$805,7,0)</f>
        <v>790714301419</v>
      </c>
      <c r="J147" s="36" t="str">
        <f ca="1">IFERROR(__xludf.DUMMYFUNCTION("JOIN("" "", VLOOKUP(C147,Покупатели,8,0),VLOOKUP(C147,Покупатели,9,0),VLOOKUP(C147,Покупатели,10,0),VLOOKUP(C147,Покупатели,11,0))"),"Алматинская обл. с.Космос ул.Бейбитшилик 12")</f>
        <v>Алматинская обл. с.Космос ул.Бейбитшилик 12</v>
      </c>
      <c r="K147" s="36">
        <f t="shared" si="45"/>
        <v>87714920202</v>
      </c>
      <c r="L147" s="36" t="str">
        <f t="shared" si="46"/>
        <v>MX4000002R0001729</v>
      </c>
      <c r="M147" s="36" t="str">
        <f t="shared" ca="1" si="39"/>
        <v>002-2013E50Q13-OK</v>
      </c>
      <c r="N147" s="36" t="str">
        <f t="shared" si="40"/>
        <v>Прицеп 2,0*1,25 м  (до 750 кг.)</v>
      </c>
      <c r="O147" s="36" t="str">
        <f t="shared" si="47"/>
        <v>1 ось</v>
      </c>
      <c r="P147" s="36">
        <f t="shared" si="48"/>
        <v>2024</v>
      </c>
      <c r="Q147" s="36" t="str">
        <f t="shared" ca="1" si="49"/>
        <v>3150*1700*1070</v>
      </c>
      <c r="R147" s="36" t="str">
        <f t="shared" ca="1" si="50"/>
        <v>2000*1250*500</v>
      </c>
      <c r="S147" s="34" t="str">
        <f>VLOOKUP(O147,ОТТС!$A$2:$B$3,2,0)</f>
        <v>ТС KZ Е-KZ.0317.00251 от 28.02.2023</v>
      </c>
      <c r="T147" s="38">
        <v>320000</v>
      </c>
      <c r="U147" s="36" t="str">
        <f t="shared" si="51"/>
        <v>Алматы</v>
      </c>
    </row>
    <row r="148" spans="1:21" ht="13.2">
      <c r="A148" s="34">
        <v>1312</v>
      </c>
      <c r="B148" s="35">
        <f>VLOOKUP(A148,'Реестр договоров'!$A$2:$D$298,2,0)</f>
        <v>45547</v>
      </c>
      <c r="C148" s="36" t="str">
        <f t="shared" si="41"/>
        <v>Семенихин</v>
      </c>
      <c r="D148" s="36" t="str">
        <f t="shared" si="42"/>
        <v>Дмитрий</v>
      </c>
      <c r="E148" s="36" t="str">
        <f t="shared" si="43"/>
        <v>Алексеевич</v>
      </c>
      <c r="F148" s="36" t="str">
        <f t="shared" si="44"/>
        <v>038496731</v>
      </c>
      <c r="G148" s="37">
        <f>VLOOKUP(F148,Покупатели!$F$2:$N$762,2,0)</f>
        <v>42244</v>
      </c>
      <c r="H148" s="36" t="str">
        <f>VLOOKUP(F148,Покупатели!$F$2:$N$762,3,0)</f>
        <v>МВД РК</v>
      </c>
      <c r="I148" s="36">
        <f>VLOOKUP(C148,Покупатели!$C$2:$M$805,7,0)</f>
        <v>900901300799</v>
      </c>
      <c r="J148" s="36" t="str">
        <f ca="1">IFERROR(__xludf.DUMMYFUNCTION("JOIN("" "", VLOOKUP(C148,Покупатели,8,0),VLOOKUP(C148,Покупатели,9,0),VLOOKUP(C148,Покупатели,10,0),VLOOKUP(C148,Покупатели,11,0))"),"г.Алматы р-н Жетысу ул.Омская д.126")</f>
        <v>г.Алматы р-н Жетысу ул.Омская д.126</v>
      </c>
      <c r="K148" s="36">
        <f t="shared" si="45"/>
        <v>89689016368</v>
      </c>
      <c r="L148" s="36" t="str">
        <f t="shared" si="46"/>
        <v>MX4000002R0001737</v>
      </c>
      <c r="M148" s="36" t="str">
        <f t="shared" ca="1" si="39"/>
        <v>002-2013E30Q13-OK</v>
      </c>
      <c r="N148" s="36" t="str">
        <f t="shared" si="40"/>
        <v>Прицеп 2,0*1,25 м  (до 750 кг.)</v>
      </c>
      <c r="O148" s="36" t="str">
        <f t="shared" si="47"/>
        <v>1 ось</v>
      </c>
      <c r="P148" s="36">
        <f t="shared" si="48"/>
        <v>2024</v>
      </c>
      <c r="Q148" s="36" t="str">
        <f t="shared" ca="1" si="49"/>
        <v>3150*1700*900</v>
      </c>
      <c r="R148" s="36" t="str">
        <f t="shared" ca="1" si="50"/>
        <v>2000*1250*300</v>
      </c>
      <c r="S148" s="34" t="str">
        <f>VLOOKUP(O148,ОТТС!$A$2:$B$3,2,0)</f>
        <v>ТС KZ Е-KZ.0317.00251 от 28.02.2023</v>
      </c>
      <c r="T148" s="38">
        <v>360000</v>
      </c>
      <c r="U148" s="36" t="str">
        <f t="shared" si="51"/>
        <v>Алматы</v>
      </c>
    </row>
    <row r="149" spans="1:21" ht="13.2">
      <c r="A149" s="34">
        <v>1313</v>
      </c>
      <c r="B149" s="35">
        <f>VLOOKUP(A149,'Реестр договоров'!$A$2:$D$298,2,0)</f>
        <v>45547</v>
      </c>
      <c r="C149" s="36" t="str">
        <f t="shared" si="41"/>
        <v>Кузнецов 1</v>
      </c>
      <c r="D149" s="36" t="str">
        <f t="shared" si="42"/>
        <v>Анатолий</v>
      </c>
      <c r="E149" s="36" t="str">
        <f t="shared" si="43"/>
        <v>Владимирович</v>
      </c>
      <c r="F149" s="36" t="str">
        <f t="shared" si="44"/>
        <v>039040884</v>
      </c>
      <c r="G149" s="37">
        <f>VLOOKUP(F149,Покупатели!$F$2:$N$762,2,0)</f>
        <v>42235</v>
      </c>
      <c r="H149" s="36" t="str">
        <f>VLOOKUP(F149,Покупатели!$F$2:$N$762,3,0)</f>
        <v>МВД РК</v>
      </c>
      <c r="I149" s="36">
        <f>VLOOKUP(C149,Покупатели!$C$2:$M$805,7,0)</f>
        <v>870610350667</v>
      </c>
      <c r="J149" s="36" t="str">
        <f ca="1">IFERROR(__xludf.DUMMYFUNCTION("JOIN("" "", VLOOKUP(C149,Покупатели,8,0),VLOOKUP(C149,Покупатели,9,0),VLOOKUP(C149,Покупатели,10,0),VLOOKUP(C149,Покупатели,11,0))"),"Карагандинская обл. г.Караганда 13 мкр. д.35, кв.15")</f>
        <v>Карагандинская обл. г.Караганда 13 мкр. д.35, кв.15</v>
      </c>
      <c r="K149" s="36">
        <f t="shared" si="45"/>
        <v>87074902236</v>
      </c>
      <c r="L149" s="36" t="str">
        <f t="shared" si="46"/>
        <v>MX4000002R0001767</v>
      </c>
      <c r="M149" s="36" t="str">
        <f t="shared" ca="1" si="39"/>
        <v>002-2013E50Q13-OK30</v>
      </c>
      <c r="N149" s="36" t="str">
        <f t="shared" si="40"/>
        <v>Прицеп 2,0*1,25 м  (до 750 кг.)</v>
      </c>
      <c r="O149" s="36" t="str">
        <f t="shared" si="47"/>
        <v>1 ось</v>
      </c>
      <c r="P149" s="36">
        <f t="shared" si="48"/>
        <v>2024</v>
      </c>
      <c r="Q149" s="36" t="str">
        <f t="shared" ca="1" si="49"/>
        <v>3150*1700*1070</v>
      </c>
      <c r="R149" s="36" t="str">
        <f t="shared" ca="1" si="50"/>
        <v>2000*1250*500</v>
      </c>
      <c r="S149" s="34" t="str">
        <f>VLOOKUP(O149,ОТТС!$A$2:$B$3,2,0)</f>
        <v>ТС KZ Е-KZ.0317.00251 от 28.02.2023</v>
      </c>
      <c r="T149" s="38">
        <v>380000</v>
      </c>
      <c r="U149" s="36" t="str">
        <f t="shared" si="51"/>
        <v>Астана</v>
      </c>
    </row>
    <row r="150" spans="1:21" ht="13.2">
      <c r="A150" s="34">
        <v>1315</v>
      </c>
      <c r="B150" s="35">
        <f>VLOOKUP(A150,'Реестр договоров'!$A$2:$D$298,2,0)</f>
        <v>45551</v>
      </c>
      <c r="C150" s="36" t="str">
        <f t="shared" si="41"/>
        <v>Дурсунов</v>
      </c>
      <c r="D150" s="36" t="str">
        <f t="shared" si="42"/>
        <v>Юсуп</v>
      </c>
      <c r="E150" s="36" t="str">
        <f t="shared" si="43"/>
        <v>Агапашаевич</v>
      </c>
      <c r="F150" s="36" t="str">
        <f t="shared" si="44"/>
        <v>039415855</v>
      </c>
      <c r="G150" s="37">
        <f>VLOOKUP(F150,Покупатели!$F$2:$N$762,2,0)</f>
        <v>42363</v>
      </c>
      <c r="H150" s="36" t="str">
        <f>VLOOKUP(F150,Покупатели!$F$2:$N$762,3,0)</f>
        <v>МВД РК</v>
      </c>
      <c r="I150" s="36">
        <f>VLOOKUP(C150,Покупатели!$C$2:$M$805,7,0)</f>
        <v>790326301549</v>
      </c>
      <c r="J150" s="36" t="str">
        <f ca="1">IFERROR(__xludf.DUMMYFUNCTION("JOIN("" "", VLOOKUP(C150,Покупатели,8,0),VLOOKUP(C150,Покупатели,9,0),VLOOKUP(C150,Покупатели,10,0),VLOOKUP(C150,Покупатели,11,0))"),"Алматинская обл Карасайский р-н, п.Улан ул.Ауезова 2д")</f>
        <v>Алматинская обл Карасайский р-н, п.Улан ул.Ауезова 2д</v>
      </c>
      <c r="K150" s="36">
        <f t="shared" si="45"/>
        <v>87072077010</v>
      </c>
      <c r="L150" s="36" t="str">
        <f t="shared" si="46"/>
        <v>MX4000002R0001476</v>
      </c>
      <c r="M150" s="36" t="str">
        <f t="shared" ca="1" si="39"/>
        <v>002-2013E30Q13-OK</v>
      </c>
      <c r="N150" s="36" t="str">
        <f t="shared" si="40"/>
        <v>Прицеп 2,0*1,25 м  (до 750 кг.)</v>
      </c>
      <c r="O150" s="36" t="str">
        <f t="shared" si="47"/>
        <v>1 ось</v>
      </c>
      <c r="P150" s="36">
        <f t="shared" si="48"/>
        <v>2024</v>
      </c>
      <c r="Q150" s="36" t="str">
        <f t="shared" ca="1" si="49"/>
        <v>3150*1700*900</v>
      </c>
      <c r="R150" s="36" t="str">
        <f t="shared" ca="1" si="50"/>
        <v>2000*1250*300</v>
      </c>
      <c r="S150" s="34" t="str">
        <f>VLOOKUP(O150,ОТТС!$A$2:$B$3,2,0)</f>
        <v>ТС KZ Е-KZ.0317.00251 от 28.02.2023</v>
      </c>
      <c r="T150" s="38">
        <v>380000</v>
      </c>
      <c r="U150" s="36" t="str">
        <f t="shared" si="51"/>
        <v>Алматы</v>
      </c>
    </row>
    <row r="151" spans="1:21" ht="13.2">
      <c r="A151" s="34">
        <v>1316</v>
      </c>
      <c r="B151" s="35">
        <f>VLOOKUP(A151,'Реестр договоров'!$A$2:$D$298,2,0)</f>
        <v>45552</v>
      </c>
      <c r="C151" s="36" t="str">
        <f t="shared" si="41"/>
        <v>Никулина</v>
      </c>
      <c r="D151" s="36" t="str">
        <f t="shared" si="42"/>
        <v>Алла</v>
      </c>
      <c r="E151" s="36" t="str">
        <f t="shared" si="43"/>
        <v>Владимировна</v>
      </c>
      <c r="F151" s="36" t="str">
        <f t="shared" si="44"/>
        <v>023670367</v>
      </c>
      <c r="G151" s="37">
        <f>VLOOKUP(F151,Покупатели!$F$2:$N$762,2,0)</f>
        <v>40031</v>
      </c>
      <c r="H151" s="36" t="str">
        <f>VLOOKUP(F151,Покупатели!$F$2:$N$762,3,0)</f>
        <v>МЮ РК</v>
      </c>
      <c r="I151" s="36">
        <f>VLOOKUP(C151,Покупатели!$C$2:$M$805,7,0)</f>
        <v>640424400341</v>
      </c>
      <c r="J151" s="36" t="str">
        <f ca="1">IFERROR(__xludf.DUMMYFUNCTION("JOIN("" "", VLOOKUP(C151,Покупатели,8,0),VLOOKUP(C151,Покупатели,9,0),VLOOKUP(C151,Покупатели,10,0),VLOOKUP(C151,Покупатели,11,0))"),"СКО, с. Саумалколь, Айыртауский район, ул. Уалиханова, д.16")</f>
        <v>СКО, с. Саумалколь, Айыртауский район, ул. Уалиханова, д.16</v>
      </c>
      <c r="K151" s="36">
        <f t="shared" si="45"/>
        <v>87016511740</v>
      </c>
      <c r="L151" s="36" t="str">
        <f t="shared" si="46"/>
        <v>MX4000002R0001772</v>
      </c>
      <c r="M151" s="36" t="str">
        <f t="shared" ca="1" si="39"/>
        <v>002-2013E30Q13-OK30</v>
      </c>
      <c r="N151" s="36" t="str">
        <f t="shared" si="40"/>
        <v>Прицеп 2,0*1,25 м  (до 750 кг.)</v>
      </c>
      <c r="O151" s="36" t="str">
        <f t="shared" si="47"/>
        <v>1 ось</v>
      </c>
      <c r="P151" s="36">
        <f t="shared" si="48"/>
        <v>2024</v>
      </c>
      <c r="Q151" s="36" t="str">
        <f t="shared" ca="1" si="49"/>
        <v>3150*1700*900</v>
      </c>
      <c r="R151" s="36" t="str">
        <f t="shared" ca="1" si="50"/>
        <v>2000*1250*300</v>
      </c>
      <c r="S151" s="34" t="str">
        <f>VLOOKUP(O151,ОТТС!$A$2:$B$3,2,0)</f>
        <v>ТС KZ Е-KZ.0317.00251 от 28.02.2023</v>
      </c>
      <c r="T151" s="39">
        <v>380000</v>
      </c>
      <c r="U151" s="36" t="str">
        <f t="shared" si="51"/>
        <v>Кокшетау</v>
      </c>
    </row>
    <row r="152" spans="1:21" ht="13.2">
      <c r="A152" s="34">
        <v>1317</v>
      </c>
      <c r="B152" s="35">
        <f>VLOOKUP(A152,'Реестр договоров'!$A$2:$D$298,2,0)</f>
        <v>45552</v>
      </c>
      <c r="C152" s="36" t="str">
        <f t="shared" si="41"/>
        <v>Абдуакилов</v>
      </c>
      <c r="D152" s="36" t="str">
        <f t="shared" si="42"/>
        <v>Айкын</v>
      </c>
      <c r="E152" s="36" t="str">
        <f t="shared" si="43"/>
        <v>Серикбаевич</v>
      </c>
      <c r="F152" s="36" t="str">
        <f t="shared" si="44"/>
        <v>039588497</v>
      </c>
      <c r="G152" s="37">
        <f>VLOOKUP(F152,Покупатели!$F$2:$N$762,2,0)</f>
        <v>42402</v>
      </c>
      <c r="H152" s="36" t="str">
        <f>VLOOKUP(F152,Покупатели!$F$2:$N$762,3,0)</f>
        <v>МВД РК</v>
      </c>
      <c r="I152" s="36">
        <f>VLOOKUP(C152,Покупатели!$C$2:$M$805,7,0)</f>
        <v>770815301751</v>
      </c>
      <c r="J152" s="36" t="str">
        <f ca="1">IFERROR(__xludf.DUMMYFUNCTION("JOIN("" "", VLOOKUP(C152,Покупатели,8,0),VLOOKUP(C152,Покупатели,9,0),VLOOKUP(C152,Покупатели,10,0),VLOOKUP(C152,Покупатели,11,0))"),"г.Алматы мкр.Шанырак1 ул.Акжол д.25/1")</f>
        <v>г.Алматы мкр.Шанырак1 ул.Акжол д.25/1</v>
      </c>
      <c r="K152" s="36">
        <f t="shared" si="45"/>
        <v>87718637835</v>
      </c>
      <c r="L152" s="36" t="str">
        <f t="shared" si="46"/>
        <v>MX4000002R0001739</v>
      </c>
      <c r="M152" s="36" t="str">
        <f t="shared" ca="1" si="39"/>
        <v>002-2013E50Q13-OK</v>
      </c>
      <c r="N152" s="36" t="str">
        <f t="shared" si="40"/>
        <v>Прицеп 2,0*1,25 м  (до 750 кг.)</v>
      </c>
      <c r="O152" s="36" t="str">
        <f t="shared" si="47"/>
        <v>1 ось</v>
      </c>
      <c r="P152" s="36">
        <f t="shared" si="48"/>
        <v>2024</v>
      </c>
      <c r="Q152" s="36" t="str">
        <f t="shared" ca="1" si="49"/>
        <v>3150*1700*1070</v>
      </c>
      <c r="R152" s="36" t="str">
        <f t="shared" ca="1" si="50"/>
        <v>2000*1250*500</v>
      </c>
      <c r="S152" s="34" t="str">
        <f>VLOOKUP(O152,ОТТС!$A$2:$B$3,2,0)</f>
        <v>ТС KZ Е-KZ.0317.00251 от 28.02.2023</v>
      </c>
      <c r="T152" s="39">
        <v>340000</v>
      </c>
      <c r="U152" s="36" t="str">
        <f t="shared" si="51"/>
        <v>Алматы</v>
      </c>
    </row>
    <row r="153" spans="1:21" ht="13.2">
      <c r="A153" s="34">
        <v>1318</v>
      </c>
      <c r="B153" s="35">
        <f>VLOOKUP(A153,'Реестр договоров'!$A$2:$D$298,2,0)</f>
        <v>45553</v>
      </c>
      <c r="C153" s="36" t="str">
        <f t="shared" si="41"/>
        <v>Тонких</v>
      </c>
      <c r="D153" s="36" t="str">
        <f t="shared" si="42"/>
        <v>Татьяна</v>
      </c>
      <c r="E153" s="36" t="str">
        <f t="shared" si="43"/>
        <v>Юрьевна</v>
      </c>
      <c r="F153" s="36" t="str">
        <f t="shared" si="44"/>
        <v>050771616</v>
      </c>
      <c r="G153" s="37">
        <f>VLOOKUP(F153,Покупатели!$F$2:$N$762,2,0)</f>
        <v>44378</v>
      </c>
      <c r="H153" s="36" t="str">
        <f>VLOOKUP(F153,Покупатели!$F$2:$N$762,3,0)</f>
        <v>МВД РК</v>
      </c>
      <c r="I153" s="36">
        <f>VLOOKUP(C153,Покупатели!$C$2:$M$805,7,0)</f>
        <v>760705400859</v>
      </c>
      <c r="J153" s="36" t="str">
        <f ca="1">IFERROR(__xludf.DUMMYFUNCTION("JOIN("" "", VLOOKUP(C153,Покупатели,8,0),VLOOKUP(C153,Покупатели,9,0),VLOOKUP(C153,Покупатели,10,0),VLOOKUP(C153,Покупатели,11,0))"),"Акмолинская область, г. Кокшетау, ул. Сулейменова 22, кв. 38")</f>
        <v>Акмолинская область, г. Кокшетау, ул. Сулейменова 22, кв. 38</v>
      </c>
      <c r="K153" s="36">
        <f t="shared" si="45"/>
        <v>87012528830</v>
      </c>
      <c r="L153" s="36" t="str">
        <f t="shared" si="46"/>
        <v>MX4000002R0001773</v>
      </c>
      <c r="M153" s="36" t="str">
        <f t="shared" ca="1" si="39"/>
        <v>002-2013E30Q13-OK</v>
      </c>
      <c r="N153" s="36" t="str">
        <f t="shared" si="40"/>
        <v>Прицеп 2,0*1,25 м  (до 750 кг.)</v>
      </c>
      <c r="O153" s="36" t="str">
        <f t="shared" si="47"/>
        <v>1 ось</v>
      </c>
      <c r="P153" s="36">
        <f t="shared" si="48"/>
        <v>2024</v>
      </c>
      <c r="Q153" s="36" t="str">
        <f t="shared" ca="1" si="49"/>
        <v>3150*1700*900</v>
      </c>
      <c r="R153" s="36" t="str">
        <f t="shared" ca="1" si="50"/>
        <v>2000*1250*300</v>
      </c>
      <c r="S153" s="34" t="str">
        <f>VLOOKUP(O153,ОТТС!$A$2:$B$3,2,0)</f>
        <v>ТС KZ Е-KZ.0317.00251 от 28.02.2023</v>
      </c>
      <c r="T153" s="39">
        <v>310000</v>
      </c>
      <c r="U153" s="36" t="str">
        <f t="shared" si="51"/>
        <v>Кокшетау</v>
      </c>
    </row>
    <row r="154" spans="1:21" ht="13.2">
      <c r="A154" s="34">
        <v>1319</v>
      </c>
      <c r="B154" s="35">
        <f>VLOOKUP(A154,'Реестр договоров'!$A$2:$D$298,2,0)</f>
        <v>45589</v>
      </c>
      <c r="C154" s="36" t="str">
        <f t="shared" si="41"/>
        <v>Горелов</v>
      </c>
      <c r="D154" s="36" t="str">
        <f t="shared" si="42"/>
        <v>Александр</v>
      </c>
      <c r="E154" s="36" t="str">
        <f t="shared" si="43"/>
        <v>Петрович</v>
      </c>
      <c r="F154" s="36" t="str">
        <f t="shared" si="44"/>
        <v>038543238</v>
      </c>
      <c r="G154" s="37">
        <f>VLOOKUP(F154,Покупатели!$F$2:$N$762,2,0)</f>
        <v>42156</v>
      </c>
      <c r="H154" s="36" t="str">
        <f>VLOOKUP(F154,Покупатели!$F$2:$N$762,3,0)</f>
        <v>МВД РК</v>
      </c>
      <c r="I154" s="36">
        <f>VLOOKUP(C154,Покупатели!$C$2:$M$805,7,0)</f>
        <v>851027350934</v>
      </c>
      <c r="J154" s="36" t="str">
        <f ca="1">IFERROR(__xludf.DUMMYFUNCTION("JOIN("" "", VLOOKUP(C154,Покупатели,8,0),VLOOKUP(C154,Покупатели,9,0),VLOOKUP(C154,Покупатели,10,0),VLOOKUP(C154,Покупатели,11,0))"),"Акмолинская обл. Целиноградский р-н, п.Акмол ул.Ш.Исенова д.11/1")</f>
        <v>Акмолинская обл. Целиноградский р-н, п.Акмол ул.Ш.Исенова д.11/1</v>
      </c>
      <c r="K154" s="36">
        <f t="shared" si="45"/>
        <v>87024111056</v>
      </c>
      <c r="L154" s="36" t="str">
        <f t="shared" si="46"/>
        <v>MX4000002R0001770</v>
      </c>
      <c r="M154" s="36" t="str">
        <f t="shared" ca="1" si="39"/>
        <v>002-2013E50Q13-OK</v>
      </c>
      <c r="N154" s="36" t="str">
        <f t="shared" si="40"/>
        <v>Прицеп 2,0*1,25 м  (до 750 кг.)</v>
      </c>
      <c r="O154" s="36" t="str">
        <f t="shared" si="47"/>
        <v>1 ось</v>
      </c>
      <c r="P154" s="36">
        <f t="shared" si="48"/>
        <v>2024</v>
      </c>
      <c r="Q154" s="36" t="str">
        <f t="shared" ca="1" si="49"/>
        <v>3150*1700*1070</v>
      </c>
      <c r="R154" s="36" t="str">
        <f t="shared" ca="1" si="50"/>
        <v>2000*1250*500</v>
      </c>
      <c r="S154" s="34" t="str">
        <f>VLOOKUP(O154,ОТТС!$A$2:$B$3,2,0)</f>
        <v>ТС KZ Е-KZ.0317.00251 от 28.02.2023</v>
      </c>
      <c r="T154" s="38">
        <v>370000</v>
      </c>
      <c r="U154" s="36" t="str">
        <f t="shared" si="51"/>
        <v>Астана</v>
      </c>
    </row>
    <row r="155" spans="1:21" ht="13.2">
      <c r="A155" s="34">
        <v>1320</v>
      </c>
      <c r="B155" s="35">
        <f>VLOOKUP(A155,'Реестр договоров'!$A$2:$D$298,2,0)</f>
        <v>45553</v>
      </c>
      <c r="C155" s="36" t="str">
        <f t="shared" si="41"/>
        <v>Сагинбеков 1</v>
      </c>
      <c r="D155" s="36" t="str">
        <f t="shared" si="42"/>
        <v>Жандос</v>
      </c>
      <c r="E155" s="36" t="str">
        <f t="shared" si="43"/>
        <v>Сансызбаевич</v>
      </c>
      <c r="F155" s="36" t="str">
        <f t="shared" si="44"/>
        <v>038683683</v>
      </c>
      <c r="G155" s="37">
        <f>VLOOKUP(F155,Покупатели!$F$2:$N$762,2,0)</f>
        <v>42265</v>
      </c>
      <c r="H155" s="36" t="str">
        <f>VLOOKUP(F155,Покупатели!$F$2:$N$762,3,0)</f>
        <v>МВД РК</v>
      </c>
      <c r="I155" s="36">
        <f>VLOOKUP(C155,Покупатели!$C$2:$M$805,7,0)</f>
        <v>811223301736</v>
      </c>
      <c r="J155" s="36" t="str">
        <f ca="1">IFERROR(__xludf.DUMMYFUNCTION("JOIN("" "", VLOOKUP(C155,Покупатели,8,0),VLOOKUP(C155,Покупатели,9,0),VLOOKUP(C155,Покупатели,10,0),VLOOKUP(C155,Покупатели,11,0))"),"Алматинская область, Илийский район, поселок Жапек батыр, ул. Тулебаева,  д. 100в")</f>
        <v>Алматинская область, Илийский район, поселок Жапек батыр, ул. Тулебаева,  д. 100в</v>
      </c>
      <c r="K155" s="36">
        <f t="shared" si="45"/>
        <v>87028037171</v>
      </c>
      <c r="L155" s="36" t="str">
        <f t="shared" si="46"/>
        <v>MX4000002R0001738</v>
      </c>
      <c r="M155" s="36" t="str">
        <f t="shared" ca="1" si="39"/>
        <v>002-2013E30Q13-OK</v>
      </c>
      <c r="N155" s="36" t="str">
        <f t="shared" si="40"/>
        <v>Прицеп 2,0*1,25 м  (до 750 кг.)</v>
      </c>
      <c r="O155" s="36" t="str">
        <f t="shared" si="47"/>
        <v>1 ось</v>
      </c>
      <c r="P155" s="36">
        <f t="shared" si="48"/>
        <v>2024</v>
      </c>
      <c r="Q155" s="36" t="str">
        <f t="shared" ca="1" si="49"/>
        <v>3150*1700*900</v>
      </c>
      <c r="R155" s="36" t="str">
        <f t="shared" ca="1" si="50"/>
        <v>2000*1250*300</v>
      </c>
      <c r="S155" s="34" t="str">
        <f>VLOOKUP(O155,ОТТС!$A$2:$B$3,2,0)</f>
        <v>ТС KZ Е-KZ.0317.00251 от 28.02.2023</v>
      </c>
      <c r="T155" s="38">
        <v>360000</v>
      </c>
      <c r="U155" s="36" t="str">
        <f t="shared" si="51"/>
        <v>Алматы</v>
      </c>
    </row>
    <row r="156" spans="1:21" ht="13.2">
      <c r="A156" s="34">
        <v>1321</v>
      </c>
      <c r="B156" s="35">
        <f>VLOOKUP(A156,'Реестр договоров'!$A$2:$D$298,2,0)</f>
        <v>45554</v>
      </c>
      <c r="C156" s="36" t="str">
        <f t="shared" si="41"/>
        <v>Оболгазиева</v>
      </c>
      <c r="D156" s="36" t="str">
        <f t="shared" si="42"/>
        <v>Хуршидам</v>
      </c>
      <c r="E156" s="36" t="str">
        <f t="shared" si="43"/>
        <v>Тудахуновна</v>
      </c>
      <c r="F156" s="36" t="str">
        <f t="shared" si="44"/>
        <v>042344609</v>
      </c>
      <c r="G156" s="37">
        <f>VLOOKUP(F156,Покупатели!$F$2:$N$762,2,0)</f>
        <v>43061</v>
      </c>
      <c r="H156" s="36" t="str">
        <f>VLOOKUP(F156,Покупатели!$F$2:$N$762,3,0)</f>
        <v>МВД РК</v>
      </c>
      <c r="I156" s="36">
        <f>VLOOKUP(C156,Покупатели!$C$2:$M$805,7,0)</f>
        <v>911015400526</v>
      </c>
      <c r="J156" s="36" t="str">
        <f ca="1">IFERROR(__xludf.DUMMYFUNCTION("JOIN("" "", VLOOKUP(C156,Покупатели,8,0),VLOOKUP(C156,Покупатели,9,0),VLOOKUP(C156,Покупатели,10,0),VLOOKUP(C156,Покупатели,11,0))"),"Алматинская обл. Енбекшиказахский р-н, с.Шелек ул.Жибек жолы д.33, кв.30")</f>
        <v>Алматинская обл. Енбекшиказахский р-н, с.Шелек ул.Жибек жолы д.33, кв.30</v>
      </c>
      <c r="K156" s="36">
        <f t="shared" si="45"/>
        <v>87772606069</v>
      </c>
      <c r="L156" s="36" t="str">
        <f t="shared" si="46"/>
        <v>MX4000002R0001727</v>
      </c>
      <c r="M156" s="36" t="str">
        <f t="shared" ca="1" si="39"/>
        <v>002-2013E50Q13-OK</v>
      </c>
      <c r="N156" s="36" t="str">
        <f t="shared" si="40"/>
        <v>Прицеп 2,0*1,25 м  (до 750 кг.)</v>
      </c>
      <c r="O156" s="36" t="str">
        <f t="shared" si="47"/>
        <v>1 ось</v>
      </c>
      <c r="P156" s="36">
        <f t="shared" si="48"/>
        <v>2024</v>
      </c>
      <c r="Q156" s="36" t="str">
        <f t="shared" ca="1" si="49"/>
        <v>3150*1700*1070</v>
      </c>
      <c r="R156" s="36" t="str">
        <f t="shared" ca="1" si="50"/>
        <v>2000*1250*500</v>
      </c>
      <c r="S156" s="34" t="str">
        <f>VLOOKUP(O156,ОТТС!$A$2:$B$3,2,0)</f>
        <v>ТС KZ Е-KZ.0317.00251 от 28.02.2023</v>
      </c>
      <c r="T156" s="38">
        <v>380000</v>
      </c>
      <c r="U156" s="36" t="str">
        <f t="shared" si="51"/>
        <v>Алматы</v>
      </c>
    </row>
    <row r="157" spans="1:21" ht="13.2">
      <c r="A157" s="34">
        <v>1322</v>
      </c>
      <c r="B157" s="35">
        <f>VLOOKUP(A157,'Реестр договоров'!$A$2:$D$298,2,0)</f>
        <v>45555</v>
      </c>
      <c r="C157" s="36" t="str">
        <f t="shared" si="41"/>
        <v>Колибердин</v>
      </c>
      <c r="D157" s="36" t="str">
        <f t="shared" si="42"/>
        <v>Дмитрий</v>
      </c>
      <c r="E157" s="36" t="str">
        <f t="shared" si="43"/>
        <v>Игоревич</v>
      </c>
      <c r="F157" s="36" t="str">
        <f t="shared" si="44"/>
        <v>052639477</v>
      </c>
      <c r="G157" s="37">
        <f>VLOOKUP(F157,Покупатели!$F$2:$N$762,2,0)</f>
        <v>44963</v>
      </c>
      <c r="H157" s="36" t="str">
        <f>VLOOKUP(F157,Покупатели!$F$2:$N$762,3,0)</f>
        <v>МВД РК</v>
      </c>
      <c r="I157" s="36">
        <f>VLOOKUP(C157,Покупатели!$C$2:$M$805,7,0)</f>
        <v>880114301446</v>
      </c>
      <c r="J157" s="36" t="str">
        <f ca="1">IFERROR(__xludf.DUMMYFUNCTION("JOIN("" "", VLOOKUP(C157,Покупатели,8,0),VLOOKUP(C157,Покупатели,9,0),VLOOKUP(C157,Покупатели,10,0),VLOOKUP(C157,Покупатели,11,0))"),"г.Алматы  Турксибский р-н ул.Спартака д.36 кв.9")</f>
        <v>г.Алматы  Турксибский р-н ул.Спартака д.36 кв.9</v>
      </c>
      <c r="K157" s="36">
        <f t="shared" si="45"/>
        <v>87772708954</v>
      </c>
      <c r="L157" s="36" t="str">
        <f t="shared" si="46"/>
        <v>MX4000002R0001728</v>
      </c>
      <c r="M157" s="36" t="str">
        <f t="shared" ca="1" si="39"/>
        <v>002-2013E50Q13-OK</v>
      </c>
      <c r="N157" s="36" t="str">
        <f t="shared" si="40"/>
        <v>Прицеп 2,0*1,25 м  (до 750 кг.)</v>
      </c>
      <c r="O157" s="36" t="str">
        <f t="shared" si="47"/>
        <v>1 ось</v>
      </c>
      <c r="P157" s="36">
        <f t="shared" si="48"/>
        <v>2024</v>
      </c>
      <c r="Q157" s="36" t="str">
        <f t="shared" ca="1" si="49"/>
        <v>3150*1700*1070</v>
      </c>
      <c r="R157" s="36" t="str">
        <f t="shared" ca="1" si="50"/>
        <v>2000*1250*500</v>
      </c>
      <c r="S157" s="34" t="str">
        <f>VLOOKUP(O157,ОТТС!$A$2:$B$3,2,0)</f>
        <v>ТС KZ Е-KZ.0317.00251 от 28.02.2023</v>
      </c>
      <c r="T157" s="38">
        <v>380000</v>
      </c>
      <c r="U157" s="36" t="str">
        <f t="shared" si="51"/>
        <v>Алматы</v>
      </c>
    </row>
    <row r="158" spans="1:21" ht="13.2">
      <c r="A158" s="34">
        <v>1323</v>
      </c>
      <c r="B158" s="35">
        <f>VLOOKUP(A158,'Реестр договоров'!$A$2:$D$298,2,0)</f>
        <v>45556</v>
      </c>
      <c r="C158" s="36" t="str">
        <f t="shared" si="41"/>
        <v>Абдували</v>
      </c>
      <c r="D158" s="36" t="str">
        <f t="shared" si="42"/>
        <v>Мақсат</v>
      </c>
      <c r="E158" s="36" t="str">
        <f t="shared" si="43"/>
        <v>Мырзағұлұлы</v>
      </c>
      <c r="F158" s="36" t="str">
        <f t="shared" si="44"/>
        <v>050037079</v>
      </c>
      <c r="G158" s="37">
        <f>VLOOKUP(F158,Покупатели!$F$2:$N$762,2,0)</f>
        <v>44596</v>
      </c>
      <c r="H158" s="36" t="str">
        <f>VLOOKUP(F158,Покупатели!$F$2:$N$762,3,0)</f>
        <v>ҚР ІІМ</v>
      </c>
      <c r="I158" s="36">
        <f>VLOOKUP(C158,Покупатели!$C$2:$M$805,7,0)</f>
        <v>860801302435</v>
      </c>
      <c r="J158" s="36" t="str">
        <f ca="1">IFERROR(__xludf.DUMMYFUNCTION("JOIN("" "", VLOOKUP(C158,Покупатели,8,0),VLOOKUP(C158,Покупатели,9,0),VLOOKUP(C158,Покупатели,10,0),VLOOKUP(C158,Покупатели,11,0))"),"Алматинская обл. Илийский р-н, с.Байсерке ПКС дача Нур-терек ул.Байтерек д.2")</f>
        <v>Алматинская обл. Илийский р-н, с.Байсерке ПКС дача Нур-терек ул.Байтерек д.2</v>
      </c>
      <c r="K158" s="36">
        <f t="shared" si="45"/>
        <v>87079216167</v>
      </c>
      <c r="L158" s="36" t="str">
        <f t="shared" si="46"/>
        <v>MX4000002R0001690</v>
      </c>
      <c r="M158" s="36" t="str">
        <f t="shared" ref="M158:M189" ca="1" si="52">VLOOKUP(L158,ПРИЦЕПЫ,11,0)</f>
        <v>002-2013E50Q13-OK</v>
      </c>
      <c r="N158" s="36" t="str">
        <f t="shared" ref="N158:N189" si="53">VLOOKUP(L158,ПРИЦЕПЫ,2,0)</f>
        <v>Прицеп 2,0*1,25 м  (до 750 кг.)</v>
      </c>
      <c r="O158" s="36" t="str">
        <f t="shared" si="47"/>
        <v>1 ось</v>
      </c>
      <c r="P158" s="36">
        <f t="shared" si="48"/>
        <v>2024</v>
      </c>
      <c r="Q158" s="36" t="str">
        <f t="shared" ca="1" si="49"/>
        <v>3150*1700*1070</v>
      </c>
      <c r="R158" s="36" t="str">
        <f t="shared" ca="1" si="50"/>
        <v>2000*1250*500</v>
      </c>
      <c r="S158" s="34" t="str">
        <f>VLOOKUP(O158,ОТТС!$A$2:$B$3,2,0)</f>
        <v>ТС KZ Е-KZ.0317.00251 от 28.02.2023</v>
      </c>
      <c r="T158" s="38">
        <v>445000</v>
      </c>
      <c r="U158" s="36" t="str">
        <f t="shared" si="51"/>
        <v>Алматы</v>
      </c>
    </row>
    <row r="159" spans="1:21" ht="13.2">
      <c r="A159" s="34">
        <v>1324</v>
      </c>
      <c r="B159" s="35">
        <f>VLOOKUP(A159,'Реестр договоров'!$A$2:$D$298,2,0)</f>
        <v>45556</v>
      </c>
      <c r="C159" s="36" t="str">
        <f t="shared" si="41"/>
        <v>Абдурахманов</v>
      </c>
      <c r="D159" s="36" t="str">
        <f t="shared" si="42"/>
        <v>Эркин</v>
      </c>
      <c r="E159" s="36" t="str">
        <f t="shared" si="43"/>
        <v>Турсунович</v>
      </c>
      <c r="F159" s="36" t="str">
        <f t="shared" si="44"/>
        <v>023982724</v>
      </c>
      <c r="G159" s="37">
        <f>VLOOKUP(F159,Покупатели!$F$2:$N$762,2,0)</f>
        <v>40010</v>
      </c>
      <c r="H159" s="36" t="str">
        <f>VLOOKUP(F159,Покупатели!$F$2:$N$762,3,0)</f>
        <v>МЮ РК</v>
      </c>
      <c r="I159" s="36">
        <f>VLOOKUP(C159,Покупатели!$C$2:$M$805,7,0)</f>
        <v>840818399010</v>
      </c>
      <c r="J159" s="36" t="str">
        <f ca="1">IFERROR(__xludf.DUMMYFUNCTION("JOIN("" "", VLOOKUP(C159,Покупатели,8,0),VLOOKUP(C159,Покупатели,9,0),VLOOKUP(C159,Покупатели,10,0),VLOOKUP(C159,Покупатели,11,0))"),"Алматинская область, г. Алматы, ул. Загородная 5, кв 3")</f>
        <v>Алматинская область, г. Алматы, ул. Загородная 5, кв 3</v>
      </c>
      <c r="K159" s="36">
        <f t="shared" si="45"/>
        <v>87071200888</v>
      </c>
      <c r="L159" s="36" t="str">
        <f t="shared" si="46"/>
        <v>MX4000002R0001706</v>
      </c>
      <c r="M159" s="36" t="str">
        <f t="shared" ca="1" si="52"/>
        <v>002-2513E50Q13-OK</v>
      </c>
      <c r="N159" s="36" t="str">
        <f t="shared" si="53"/>
        <v>Прицеп 2,5*1,25 м  (до 750 кг.)</v>
      </c>
      <c r="O159" s="36" t="str">
        <f t="shared" si="47"/>
        <v>1 ось</v>
      </c>
      <c r="P159" s="36">
        <f t="shared" si="48"/>
        <v>2024</v>
      </c>
      <c r="Q159" s="36" t="str">
        <f t="shared" ca="1" si="49"/>
        <v>3650*1700*1070</v>
      </c>
      <c r="R159" s="36" t="str">
        <f t="shared" ca="1" si="50"/>
        <v>2500*1250*500</v>
      </c>
      <c r="S159" s="34" t="str">
        <f>VLOOKUP(O159,ОТТС!$A$2:$B$3,2,0)</f>
        <v>ТС KZ Е-KZ.0317.00251 от 28.02.2023</v>
      </c>
      <c r="T159" s="38">
        <v>380000</v>
      </c>
      <c r="U159" s="36" t="str">
        <f t="shared" si="51"/>
        <v>Алматы</v>
      </c>
    </row>
    <row r="160" spans="1:21" ht="13.2">
      <c r="A160" s="34">
        <v>1325</v>
      </c>
      <c r="B160" s="35">
        <f>VLOOKUP(A160,'Реестр договоров'!$A$2:$D$298,2,0)</f>
        <v>45557</v>
      </c>
      <c r="C160" s="36" t="str">
        <f t="shared" si="41"/>
        <v>Мәжіг</v>
      </c>
      <c r="D160" s="36" t="str">
        <f t="shared" si="42"/>
        <v>Базар</v>
      </c>
      <c r="E160" s="36">
        <f t="shared" si="43"/>
        <v>0</v>
      </c>
      <c r="F160" s="36" t="str">
        <f t="shared" si="44"/>
        <v>049649766</v>
      </c>
      <c r="G160" s="37">
        <f>VLOOKUP(F160,Покупатели!$F$2:$N$762,2,0)</f>
        <v>44215</v>
      </c>
      <c r="H160" s="36" t="str">
        <f>VLOOKUP(F160,Покупатели!$F$2:$N$762,3,0)</f>
        <v>ҚР ІІМ</v>
      </c>
      <c r="I160" s="36">
        <f>VLOOKUP(C160,Покупатели!$C$2:$M$805,7,0)</f>
        <v>650929399024</v>
      </c>
      <c r="J160" s="36" t="str">
        <f ca="1">IFERROR(__xludf.DUMMYFUNCTION("JOIN("" "", VLOOKUP(C160,Покупатели,8,0),VLOOKUP(C160,Покупатели,9,0),VLOOKUP(C160,Покупатели,10,0),VLOOKUP(C160,Покупатели,11,0))"),"Қарағанды облысы Осакаровка ауылы, Сарыөзек ауылы Байтайлақ батыр көшесі 1")</f>
        <v>Қарағанды облысы Осакаровка ауылы, Сарыөзек ауылы Байтайлақ батыр көшесі 1</v>
      </c>
      <c r="K160" s="36">
        <f t="shared" si="45"/>
        <v>87472568872</v>
      </c>
      <c r="L160" s="36" t="str">
        <f t="shared" si="46"/>
        <v>MX4000002N0000964</v>
      </c>
      <c r="M160" s="36" t="str">
        <f t="shared" ca="1" si="52"/>
        <v>002-2013E50Q13-OK</v>
      </c>
      <c r="N160" s="36" t="str">
        <f t="shared" si="53"/>
        <v>Прицеп 2,0*1,25 м  (до 750 кг.)</v>
      </c>
      <c r="O160" s="36" t="str">
        <f t="shared" si="47"/>
        <v>1 ось</v>
      </c>
      <c r="P160" s="36">
        <f t="shared" si="48"/>
        <v>2024</v>
      </c>
      <c r="Q160" s="36" t="str">
        <f t="shared" ca="1" si="49"/>
        <v>3150*1700*1070</v>
      </c>
      <c r="R160" s="36" t="str">
        <f t="shared" ca="1" si="50"/>
        <v>2000*1250*500</v>
      </c>
      <c r="S160" s="34" t="str">
        <f>VLOOKUP(O160,ОТТС!$A$2:$B$3,2,0)</f>
        <v>ТС KZ Е-KZ.0317.00251 от 28.02.2023</v>
      </c>
      <c r="T160" s="38">
        <v>420000</v>
      </c>
      <c r="U160" s="36" t="str">
        <f t="shared" si="51"/>
        <v>Астана</v>
      </c>
    </row>
    <row r="161" spans="1:21" ht="13.2">
      <c r="A161" s="34">
        <v>1326</v>
      </c>
      <c r="B161" s="35">
        <f>VLOOKUP(A161,'Реестр договоров'!$A$2:$D$298,2,0)</f>
        <v>45557</v>
      </c>
      <c r="C161" s="36" t="str">
        <f t="shared" si="41"/>
        <v>Иванов 1</v>
      </c>
      <c r="D161" s="36" t="str">
        <f t="shared" si="42"/>
        <v>Николай</v>
      </c>
      <c r="E161" s="36" t="str">
        <f t="shared" si="43"/>
        <v>Васильевич</v>
      </c>
      <c r="F161" s="36" t="str">
        <f t="shared" si="44"/>
        <v>058208874</v>
      </c>
      <c r="G161" s="37">
        <f>VLOOKUP(F161,Покупатели!$F$2:$N$762,2,0)</f>
        <v>45460</v>
      </c>
      <c r="H161" s="36" t="str">
        <f>VLOOKUP(F161,Покупатели!$F$2:$N$762,3,0)</f>
        <v>МВД РК</v>
      </c>
      <c r="I161" s="36">
        <f>VLOOKUP(C161,Покупатели!$C$2:$M$805,7,0)</f>
        <v>610413350118</v>
      </c>
      <c r="J161" s="36" t="str">
        <f ca="1">IFERROR(__xludf.DUMMYFUNCTION("JOIN("" "", VLOOKUP(C161,Покупатели,8,0),VLOOKUP(C161,Покупатели,9,0),VLOOKUP(C161,Покупатели,10,0),VLOOKUP(C161,Покупатели,11,0))"),"г.Астана р-н Сарыарка ул.Ч.Айтматова  77/3")</f>
        <v>г.Астана р-н Сарыарка ул.Ч.Айтматова  77/3</v>
      </c>
      <c r="K161" s="36">
        <f t="shared" si="45"/>
        <v>87013876620</v>
      </c>
      <c r="L161" s="36" t="str">
        <f t="shared" si="46"/>
        <v>MX4000002R0001775</v>
      </c>
      <c r="M161" s="36" t="str">
        <f t="shared" ca="1" si="52"/>
        <v>002-2013E50Q13-OK30</v>
      </c>
      <c r="N161" s="36" t="str">
        <f t="shared" si="53"/>
        <v>Прицеп 2,0*1,25 м  (до 750 кг.)</v>
      </c>
      <c r="O161" s="36" t="str">
        <f t="shared" si="47"/>
        <v>1 ось</v>
      </c>
      <c r="P161" s="36">
        <f t="shared" si="48"/>
        <v>2024</v>
      </c>
      <c r="Q161" s="36" t="str">
        <f t="shared" ca="1" si="49"/>
        <v>3150*1700*1070</v>
      </c>
      <c r="R161" s="36" t="str">
        <f t="shared" ca="1" si="50"/>
        <v>2000*1250*500</v>
      </c>
      <c r="S161" s="34" t="str">
        <f>VLOOKUP(O161,ОТТС!$A$2:$B$3,2,0)</f>
        <v>ТС KZ Е-KZ.0317.00251 от 28.02.2023</v>
      </c>
      <c r="T161" s="38">
        <v>440000</v>
      </c>
      <c r="U161" s="36" t="str">
        <f t="shared" si="51"/>
        <v>Астана</v>
      </c>
    </row>
    <row r="162" spans="1:21" ht="13.2">
      <c r="A162" s="34">
        <v>1327</v>
      </c>
      <c r="B162" s="35">
        <f>VLOOKUP(A162,'Реестр договоров'!$A$2:$D$298,2,0)</f>
        <v>45558</v>
      </c>
      <c r="C162" s="36" t="str">
        <f t="shared" si="41"/>
        <v>Килымжанов</v>
      </c>
      <c r="D162" s="36" t="str">
        <f t="shared" si="42"/>
        <v>Жайык</v>
      </c>
      <c r="E162" s="36" t="str">
        <f t="shared" si="43"/>
        <v>Дузбайулы</v>
      </c>
      <c r="F162" s="36" t="str">
        <f t="shared" si="44"/>
        <v>048980421</v>
      </c>
      <c r="G162" s="37">
        <f>VLOOKUP(F162,Покупатели!$F$2:$N$762,2,0)</f>
        <v>44419</v>
      </c>
      <c r="H162" s="36" t="str">
        <f>VLOOKUP(F162,Покупатели!$F$2:$N$762,3,0)</f>
        <v>МВД РК</v>
      </c>
      <c r="I162" s="36">
        <f>VLOOKUP(C162,Покупатели!$C$2:$M$805,7,0)</f>
        <v>651014301100</v>
      </c>
      <c r="J162" s="36" t="str">
        <f ca="1">IFERROR(__xludf.DUMMYFUNCTION("JOIN("" "", VLOOKUP(C162,Покупатели,8,0),VLOOKUP(C162,Покупатели,9,0),VLOOKUP(C162,Покупатели,10,0),VLOOKUP(C162,Покупатели,11,0))"),"Алматинская обл. г.Каскелен ул.Байгазиева 79")</f>
        <v>Алматинская обл. г.Каскелен ул.Байгазиева 79</v>
      </c>
      <c r="K162" s="36">
        <f t="shared" si="45"/>
        <v>87014018989</v>
      </c>
      <c r="L162" s="36" t="str">
        <f t="shared" si="46"/>
        <v>MX4000002R0001740</v>
      </c>
      <c r="M162" s="36" t="str">
        <f t="shared" ca="1" si="52"/>
        <v>002-2013E50Q13-OK</v>
      </c>
      <c r="N162" s="36" t="str">
        <f t="shared" si="53"/>
        <v>Прицеп 2,0*1,25 м  (до 750 кг.)</v>
      </c>
      <c r="O162" s="36" t="str">
        <f t="shared" si="47"/>
        <v>1 ось</v>
      </c>
      <c r="P162" s="36">
        <f t="shared" si="48"/>
        <v>2024</v>
      </c>
      <c r="Q162" s="36" t="str">
        <f t="shared" ca="1" si="49"/>
        <v>3150*1700*1070</v>
      </c>
      <c r="R162" s="36" t="str">
        <f t="shared" ca="1" si="50"/>
        <v>2000*1250*500</v>
      </c>
      <c r="S162" s="34" t="str">
        <f>VLOOKUP(O162,ОТТС!$A$2:$B$3,2,0)</f>
        <v>ТС KZ Е-KZ.0317.00251 от 28.02.2023</v>
      </c>
      <c r="T162" s="39">
        <v>540000</v>
      </c>
      <c r="U162" s="36" t="str">
        <f t="shared" si="51"/>
        <v>Алматы</v>
      </c>
    </row>
    <row r="163" spans="1:21" ht="13.2">
      <c r="A163" s="34">
        <v>1328</v>
      </c>
      <c r="B163" s="35">
        <f>VLOOKUP(A163,'Реестр договоров'!$A$2:$D$298,2,0)</f>
        <v>45558</v>
      </c>
      <c r="C163" s="36" t="str">
        <f t="shared" si="41"/>
        <v>Жуматаев</v>
      </c>
      <c r="D163" s="36" t="str">
        <f t="shared" si="42"/>
        <v>Алмас</v>
      </c>
      <c r="E163" s="36" t="str">
        <f t="shared" si="43"/>
        <v>Казбекович</v>
      </c>
      <c r="F163" s="36" t="str">
        <f t="shared" si="44"/>
        <v>050905982</v>
      </c>
      <c r="G163" s="37">
        <f>VLOOKUP(F163,Покупатели!$F$2:$N$762,2,0)</f>
        <v>45558</v>
      </c>
      <c r="H163" s="36" t="str">
        <f>VLOOKUP(F163,Покупатели!$F$2:$N$762,3,0)</f>
        <v>МВД РК</v>
      </c>
      <c r="I163" s="36">
        <f>VLOOKUP(C163,Покупатели!$C$2:$M$805,7,0)</f>
        <v>860823350346</v>
      </c>
      <c r="J163" s="36" t="str">
        <f ca="1">IFERROR(__xludf.DUMMYFUNCTION("JOIN("" "", VLOOKUP(C163,Покупатели,8,0),VLOOKUP(C163,Покупатели,9,0),VLOOKUP(C163,Покупатели,10,0),VLOOKUP(C163,Покупатели,11,0))"),"Павлодарская обл. г.Павлодар ул.Майры д.27/2, кв.165")</f>
        <v>Павлодарская обл. г.Павлодар ул.Майры д.27/2, кв.165</v>
      </c>
      <c r="K163" s="36">
        <f t="shared" si="45"/>
        <v>87773142212</v>
      </c>
      <c r="L163" s="36" t="str">
        <f t="shared" si="46"/>
        <v>MX4000002R0001776</v>
      </c>
      <c r="M163" s="36" t="str">
        <f t="shared" ca="1" si="52"/>
        <v>002-2013E50Q13-OK60</v>
      </c>
      <c r="N163" s="36" t="str">
        <f t="shared" si="53"/>
        <v>Прицеп 2,0*1,25 м  (до 750 кг.)</v>
      </c>
      <c r="O163" s="36" t="str">
        <f t="shared" si="47"/>
        <v>1 ось</v>
      </c>
      <c r="P163" s="36">
        <f t="shared" si="48"/>
        <v>2024</v>
      </c>
      <c r="Q163" s="36" t="str">
        <f t="shared" ca="1" si="49"/>
        <v>3150*1700*1070</v>
      </c>
      <c r="R163" s="36" t="str">
        <f t="shared" ca="1" si="50"/>
        <v>2000*1250*500</v>
      </c>
      <c r="S163" s="34" t="str">
        <f>VLOOKUP(O163,ОТТС!$A$2:$B$3,2,0)</f>
        <v>ТС KZ Е-KZ.0317.00251 от 28.02.2023</v>
      </c>
      <c r="T163" s="38">
        <v>380000</v>
      </c>
      <c r="U163" s="36" t="str">
        <f t="shared" si="51"/>
        <v>Астана</v>
      </c>
    </row>
    <row r="164" spans="1:21" ht="13.2">
      <c r="A164" s="34">
        <v>1329</v>
      </c>
      <c r="B164" s="35">
        <f>VLOOKUP(A164,'Реестр договоров'!$A$2:$D$298,2,0)</f>
        <v>45558</v>
      </c>
      <c r="C164" s="36" t="str">
        <f t="shared" si="41"/>
        <v>Адешов</v>
      </c>
      <c r="D164" s="36" t="str">
        <f t="shared" si="42"/>
        <v>Сержан</v>
      </c>
      <c r="E164" s="36" t="str">
        <f t="shared" si="43"/>
        <v>Кожабекович</v>
      </c>
      <c r="F164" s="36" t="str">
        <f t="shared" si="44"/>
        <v>047736490</v>
      </c>
      <c r="G164" s="37">
        <f>VLOOKUP(F164,Покупатели!$F$2:$N$762,2,0)</f>
        <v>43964</v>
      </c>
      <c r="H164" s="36" t="str">
        <f>VLOOKUP(F164,Покупатели!$F$2:$N$762,3,0)</f>
        <v>МВД РК</v>
      </c>
      <c r="I164" s="36">
        <f>VLOOKUP(C164,Покупатели!$C$2:$M$805,7,0)</f>
        <v>850205300368</v>
      </c>
      <c r="J164" s="36" t="str">
        <f ca="1">IFERROR(__xludf.DUMMYFUNCTION("JOIN("" "", VLOOKUP(C164,Покупатели,8,0),VLOOKUP(C164,Покупатели,9,0),VLOOKUP(C164,Покупатели,10,0),VLOOKUP(C164,Покупатели,11,0))"),"г.Астана р-н Есиль ул.Сыганак д.33, кв.216")</f>
        <v>г.Астана р-н Есиль ул.Сыганак д.33, кв.216</v>
      </c>
      <c r="K164" s="36">
        <f t="shared" si="45"/>
        <v>87023809088</v>
      </c>
      <c r="L164" s="36" t="str">
        <f t="shared" si="46"/>
        <v>MX4000002R0001777</v>
      </c>
      <c r="M164" s="36" t="str">
        <f t="shared" ca="1" si="52"/>
        <v>002-2013E50Q13-OK60</v>
      </c>
      <c r="N164" s="36" t="str">
        <f t="shared" si="53"/>
        <v>Прицеп 2,0*1,25 м  (до 750 кг.)</v>
      </c>
      <c r="O164" s="36" t="str">
        <f t="shared" si="47"/>
        <v>1 ось</v>
      </c>
      <c r="P164" s="36">
        <f t="shared" si="48"/>
        <v>2024</v>
      </c>
      <c r="Q164" s="36" t="str">
        <f t="shared" ca="1" si="49"/>
        <v>3150*1700*1070</v>
      </c>
      <c r="R164" s="36" t="str">
        <f t="shared" ca="1" si="50"/>
        <v>2000*1250*500</v>
      </c>
      <c r="S164" s="34" t="str">
        <f>VLOOKUP(O164,ОТТС!$A$2:$B$3,2,0)</f>
        <v>ТС KZ Е-KZ.0317.00251 от 28.02.2023</v>
      </c>
      <c r="T164" s="38">
        <v>360000</v>
      </c>
      <c r="U164" s="36" t="str">
        <f t="shared" si="51"/>
        <v>Астана</v>
      </c>
    </row>
    <row r="165" spans="1:21" ht="13.2">
      <c r="A165" s="34">
        <v>1330</v>
      </c>
      <c r="B165" s="35">
        <f>VLOOKUP(A165,'Реестр договоров'!$A$2:$D$298,2,0)</f>
        <v>45559</v>
      </c>
      <c r="C165" s="36" t="str">
        <f t="shared" si="41"/>
        <v>Калиева 1</v>
      </c>
      <c r="D165" s="36" t="str">
        <f t="shared" si="42"/>
        <v>Серик</v>
      </c>
      <c r="E165" s="36" t="str">
        <f t="shared" si="43"/>
        <v>Хабиденович</v>
      </c>
      <c r="F165" s="36" t="str">
        <f t="shared" si="44"/>
        <v>023397306</v>
      </c>
      <c r="G165" s="37">
        <f>VLOOKUP(F165,Покупатели!$F$2:$N$762,2,0)</f>
        <v>39833</v>
      </c>
      <c r="H165" s="36" t="str">
        <f>VLOOKUP(F165,Покупатели!$F$2:$N$762,3,0)</f>
        <v>МЮ РК</v>
      </c>
      <c r="I165" s="36">
        <f>VLOOKUP(C165,Покупатели!$C$2:$M$805,7,0)</f>
        <v>831129300403</v>
      </c>
      <c r="J165" s="36" t="str">
        <f ca="1">IFERROR(__xludf.DUMMYFUNCTION("JOIN("" "", VLOOKUP(C165,Покупатели,8,0),VLOOKUP(C165,Покупатели,9,0),VLOOKUP(C165,Покупатели,10,0),VLOOKUP(C165,Покупатели,11,0))"),"Жетысу обл г.Талдыкорган ул.Айтыкова д.28/2")</f>
        <v>Жетысу обл г.Талдыкорган ул.Айтыкова д.28/2</v>
      </c>
      <c r="K165" s="36">
        <f t="shared" si="45"/>
        <v>87017010183</v>
      </c>
      <c r="L165" s="36" t="str">
        <f t="shared" si="46"/>
        <v>MX4000002R0001471</v>
      </c>
      <c r="M165" s="36" t="str">
        <f t="shared" ca="1" si="52"/>
        <v>002-2013E30Q13-OK</v>
      </c>
      <c r="N165" s="36" t="str">
        <f t="shared" si="53"/>
        <v>Прицеп 2,0*1,25 м  (до 750 кг.)</v>
      </c>
      <c r="O165" s="36" t="str">
        <f t="shared" si="47"/>
        <v>1 ось</v>
      </c>
      <c r="P165" s="36">
        <f t="shared" si="48"/>
        <v>2024</v>
      </c>
      <c r="Q165" s="36" t="str">
        <f t="shared" ca="1" si="49"/>
        <v>3150*1700*900</v>
      </c>
      <c r="R165" s="36" t="str">
        <f t="shared" ca="1" si="50"/>
        <v>2000*1250*300</v>
      </c>
      <c r="S165" s="34" t="str">
        <f>VLOOKUP(O165,ОТТС!$A$2:$B$3,2,0)</f>
        <v>ТС KZ Е-KZ.0317.00251 от 28.02.2023</v>
      </c>
      <c r="T165" s="38">
        <v>410000</v>
      </c>
      <c r="U165" s="36" t="str">
        <f t="shared" si="51"/>
        <v>Алматы</v>
      </c>
    </row>
    <row r="166" spans="1:21" ht="13.2">
      <c r="A166" s="34">
        <v>1331</v>
      </c>
      <c r="B166" s="35">
        <f>VLOOKUP(A166,'Реестр договоров'!$A$2:$D$298,2,0)</f>
        <v>45560</v>
      </c>
      <c r="C166" s="36" t="str">
        <f t="shared" si="41"/>
        <v>Таласов</v>
      </c>
      <c r="D166" s="36" t="str">
        <f t="shared" si="42"/>
        <v>Серик</v>
      </c>
      <c r="E166" s="36" t="str">
        <f t="shared" si="43"/>
        <v>Махметович</v>
      </c>
      <c r="F166" s="36" t="str">
        <f t="shared" si="44"/>
        <v>041075300</v>
      </c>
      <c r="G166" s="37">
        <f>VLOOKUP(F166,Покупатели!$F$2:$N$762,2,0)</f>
        <v>42481</v>
      </c>
      <c r="H166" s="36" t="str">
        <f>VLOOKUP(F166,Покупатели!$F$2:$N$762,3,0)</f>
        <v>МВД РК</v>
      </c>
      <c r="I166" s="36">
        <f>VLOOKUP(C166,Покупатели!$C$2:$M$805,7,0)</f>
        <v>540828350397</v>
      </c>
      <c r="J166" s="36" t="str">
        <f ca="1">IFERROR(__xludf.DUMMYFUNCTION("JOIN("" "", VLOOKUP(C166,Покупатели,8,0),VLOOKUP(C166,Покупатели,9,0),VLOOKUP(C166,Покупатели,10,0),VLOOKUP(C166,Покупатели,11,0))"),"Акмолинская область г. Атбасар ул. Заттаевича 69")</f>
        <v>Акмолинская область г. Атбасар ул. Заттаевича 69</v>
      </c>
      <c r="K166" s="36">
        <f t="shared" si="45"/>
        <v>87761208395</v>
      </c>
      <c r="L166" s="36" t="str">
        <f t="shared" si="46"/>
        <v>MX4000002R0001779</v>
      </c>
      <c r="M166" s="36" t="str">
        <f t="shared" ca="1" si="52"/>
        <v>002-2013E50Q13-OK</v>
      </c>
      <c r="N166" s="36" t="str">
        <f t="shared" si="53"/>
        <v>Прицеп 2,0*1,25 м  (до 750 кг.)</v>
      </c>
      <c r="O166" s="36" t="str">
        <f t="shared" si="47"/>
        <v>1 ось</v>
      </c>
      <c r="P166" s="36">
        <f t="shared" si="48"/>
        <v>2024</v>
      </c>
      <c r="Q166" s="36" t="str">
        <f t="shared" ca="1" si="49"/>
        <v>3150*1700*1070</v>
      </c>
      <c r="R166" s="36" t="str">
        <f t="shared" ca="1" si="50"/>
        <v>2000*1250*500</v>
      </c>
      <c r="S166" s="34" t="str">
        <f>VLOOKUP(O166,ОТТС!$A$2:$B$3,2,0)</f>
        <v>ТС KZ Е-KZ.0317.00251 от 28.02.2023</v>
      </c>
      <c r="T166" s="38">
        <v>370000</v>
      </c>
      <c r="U166" s="36" t="str">
        <f t="shared" si="51"/>
        <v>Кокшетау</v>
      </c>
    </row>
    <row r="167" spans="1:21" ht="13.2">
      <c r="A167" s="34">
        <v>1333</v>
      </c>
      <c r="B167" s="35">
        <f>VLOOKUP(A167,'Реестр договоров'!$A$2:$D$298,2,0)</f>
        <v>45562</v>
      </c>
      <c r="C167" s="36" t="str">
        <f t="shared" si="41"/>
        <v>Бердиханова 1</v>
      </c>
      <c r="D167" s="36" t="str">
        <f t="shared" si="42"/>
        <v>Полаткалий</v>
      </c>
      <c r="E167" s="36" t="str">
        <f t="shared" si="43"/>
        <v>Нурдаулетович</v>
      </c>
      <c r="F167" s="36" t="str">
        <f t="shared" si="44"/>
        <v>055060113</v>
      </c>
      <c r="G167" s="37">
        <f>VLOOKUP(F167,Покупатели!$F$2:$N$762,2,0)</f>
        <v>45261</v>
      </c>
      <c r="H167" s="36" t="str">
        <f>VLOOKUP(F167,Покупатели!$F$2:$N$762,3,0)</f>
        <v>МВД РК</v>
      </c>
      <c r="I167" s="36">
        <f>VLOOKUP(C167,Покупатели!$C$2:$M$805,7,0)</f>
        <v>810522303061</v>
      </c>
      <c r="J167" s="36" t="str">
        <f ca="1">IFERROR(__xludf.DUMMYFUNCTION("JOIN("" "", VLOOKUP(C167,Покупатели,8,0),VLOOKUP(C167,Покупатели,9,0),VLOOKUP(C167,Покупатели,10,0),VLOOKUP(C167,Покупатели,11,0))"),"Жамбыльская обл. Байзакский р-н, с.Сарыкемер ул.Орынкулов 119 а1 переулок")</f>
        <v>Жамбыльская обл. Байзакский р-н, с.Сарыкемер ул.Орынкулов 119 а1 переулок</v>
      </c>
      <c r="K167" s="36">
        <f t="shared" si="45"/>
        <v>87087435052</v>
      </c>
      <c r="L167" s="36" t="str">
        <f t="shared" si="46"/>
        <v>MX4000002R0001743</v>
      </c>
      <c r="M167" s="36" t="str">
        <f t="shared" ca="1" si="52"/>
        <v>002-2013E30Q13</v>
      </c>
      <c r="N167" s="36" t="str">
        <f t="shared" si="53"/>
        <v>Прицеп 2,0*1,25 м  (до 750 кг.)</v>
      </c>
      <c r="O167" s="36" t="str">
        <f t="shared" si="47"/>
        <v>1 ось</v>
      </c>
      <c r="P167" s="36">
        <f t="shared" si="48"/>
        <v>2024</v>
      </c>
      <c r="Q167" s="36" t="str">
        <f t="shared" ca="1" si="49"/>
        <v>3150*1700*900</v>
      </c>
      <c r="R167" s="36" t="str">
        <f t="shared" ca="1" si="50"/>
        <v>2000*1250*300</v>
      </c>
      <c r="S167" s="34" t="str">
        <f>VLOOKUP(O167,ОТТС!$A$2:$B$3,2,0)</f>
        <v>ТС KZ Е-KZ.0317.00251 от 28.02.2023</v>
      </c>
      <c r="T167" s="38">
        <v>413000</v>
      </c>
      <c r="U167" s="36" t="str">
        <f t="shared" si="51"/>
        <v>Алматы</v>
      </c>
    </row>
    <row r="168" spans="1:21" ht="13.2">
      <c r="A168" s="34">
        <v>1334</v>
      </c>
      <c r="B168" s="35">
        <f>VLOOKUP(A168,'Реестр договоров'!$A$2:$D$298,2,0)</f>
        <v>45562</v>
      </c>
      <c r="C168" s="36" t="str">
        <f t="shared" si="41"/>
        <v>Мукушев</v>
      </c>
      <c r="D168" s="36" t="str">
        <f t="shared" si="42"/>
        <v>Расим</v>
      </c>
      <c r="E168" s="36" t="str">
        <f t="shared" si="43"/>
        <v>Болатович</v>
      </c>
      <c r="F168" s="36" t="str">
        <f t="shared" si="44"/>
        <v>054542249</v>
      </c>
      <c r="G168" s="37">
        <f>VLOOKUP(F168,Покупатели!$F$2:$N$762,2,0)</f>
        <v>45195</v>
      </c>
      <c r="H168" s="36" t="str">
        <f>VLOOKUP(F168,Покупатели!$F$2:$N$762,3,0)</f>
        <v>МВД РК</v>
      </c>
      <c r="I168" s="36">
        <f>VLOOKUP(C168,Покупатели!$C$2:$M$805,7,0)</f>
        <v>871108300446</v>
      </c>
      <c r="J168" s="36" t="str">
        <f ca="1">IFERROR(__xludf.DUMMYFUNCTION("JOIN("" "", VLOOKUP(C168,Покупатели,8,0),VLOOKUP(C168,Покупатели,9,0),VLOOKUP(C168,Покупатели,10,0),VLOOKUP(C168,Покупатели,11,0))"),"Жетысуйская обл Ескельдинский р-н, с.Карабулак ул.Сейфуллина 82")</f>
        <v>Жетысуйская обл Ескельдинский р-н, с.Карабулак ул.Сейфуллина 82</v>
      </c>
      <c r="K168" s="36">
        <f t="shared" si="45"/>
        <v>87088111987</v>
      </c>
      <c r="L168" s="36" t="str">
        <f t="shared" si="46"/>
        <v>MX4000002R0001741</v>
      </c>
      <c r="M168" s="36" t="str">
        <f t="shared" ca="1" si="52"/>
        <v>002-2013E50Q13-OK</v>
      </c>
      <c r="N168" s="36" t="str">
        <f t="shared" si="53"/>
        <v>Прицеп 2,0*1,25 м  (до 750 кг.)</v>
      </c>
      <c r="O168" s="36" t="str">
        <f t="shared" si="47"/>
        <v>1 ось</v>
      </c>
      <c r="P168" s="36">
        <f t="shared" si="48"/>
        <v>2024</v>
      </c>
      <c r="Q168" s="36" t="str">
        <f t="shared" ca="1" si="49"/>
        <v>3150*1700*1070</v>
      </c>
      <c r="R168" s="36" t="str">
        <f t="shared" ca="1" si="50"/>
        <v>2000*1250*500</v>
      </c>
      <c r="S168" s="34" t="str">
        <f>VLOOKUP(O168,ОТТС!$A$2:$B$3,2,0)</f>
        <v>ТС KZ Е-KZ.0317.00251 от 28.02.2023</v>
      </c>
      <c r="T168" s="38">
        <v>380000</v>
      </c>
      <c r="U168" s="36" t="str">
        <f t="shared" si="51"/>
        <v>Алматы</v>
      </c>
    </row>
    <row r="169" spans="1:21" ht="13.2">
      <c r="A169" s="34">
        <v>1335</v>
      </c>
      <c r="B169" s="35">
        <f>VLOOKUP(A169,'Реестр договоров'!$A$2:$D$298,2,0)</f>
        <v>45563</v>
      </c>
      <c r="C169" s="36" t="str">
        <f t="shared" si="41"/>
        <v>Тусупов</v>
      </c>
      <c r="D169" s="36" t="str">
        <f t="shared" si="42"/>
        <v>Азамат</v>
      </c>
      <c r="E169" s="36" t="str">
        <f t="shared" si="43"/>
        <v>Тлеубердинович</v>
      </c>
      <c r="F169" s="36" t="str">
        <f t="shared" si="44"/>
        <v>051483568</v>
      </c>
      <c r="G169" s="37">
        <f>VLOOKUP(F169,Покупатели!$F$2:$N$762,2,0)</f>
        <v>44489</v>
      </c>
      <c r="H169" s="36" t="str">
        <f>VLOOKUP(F169,Покупатели!$F$2:$N$762,3,0)</f>
        <v>МВД РК</v>
      </c>
      <c r="I169" s="36">
        <f>VLOOKUP(C169,Покупатели!$C$2:$M$805,7,0)</f>
        <v>780222301551</v>
      </c>
      <c r="J169" s="36" t="str">
        <f ca="1">IFERROR(__xludf.DUMMYFUNCTION("JOIN("" "", VLOOKUP(C169,Покупатели,8,0),VLOOKUP(C169,Покупатели,9,0),VLOOKUP(C169,Покупатели,10,0),VLOOKUP(C169,Покупатели,11,0))"),"Карагандинская обл г.Караганда ул.Жанторе Абишева д.9")</f>
        <v>Карагандинская обл г.Караганда ул.Жанторе Абишева д.9</v>
      </c>
      <c r="K169" s="36">
        <f t="shared" si="45"/>
        <v>87713343187</v>
      </c>
      <c r="L169" s="36" t="str">
        <f t="shared" si="46"/>
        <v>MX4000004N0000876</v>
      </c>
      <c r="M169" s="36" t="str">
        <f t="shared" si="52"/>
        <v>004-3015E30Q13-OK90</v>
      </c>
      <c r="N169" s="36" t="str">
        <f t="shared" si="53"/>
        <v>Прицеп 3,0*1,5 м  (до 750 кг.)</v>
      </c>
      <c r="O169" s="36" t="str">
        <f t="shared" si="47"/>
        <v>2 оси</v>
      </c>
      <c r="P169" s="36">
        <f t="shared" si="48"/>
        <v>2023</v>
      </c>
      <c r="Q169" s="36" t="e">
        <f t="shared" si="49"/>
        <v>#N/A</v>
      </c>
      <c r="R169" s="36" t="e">
        <f t="shared" si="50"/>
        <v>#N/A</v>
      </c>
      <c r="S169" s="34" t="str">
        <f>VLOOKUP(O169,ОТТС!$A$2:$B$3,2,0)</f>
        <v>ТС KZ Е-KZ.0317.00219.П1 от 17.07.2025</v>
      </c>
      <c r="T169" s="38">
        <v>380000</v>
      </c>
      <c r="U169" s="36" t="str">
        <f t="shared" si="51"/>
        <v>Астана</v>
      </c>
    </row>
    <row r="170" spans="1:21" ht="13.2">
      <c r="A170" s="34">
        <v>1336</v>
      </c>
      <c r="B170" s="35">
        <f>VLOOKUP(A170,'Реестр договоров'!$A$2:$D$298,2,0)</f>
        <v>45563</v>
      </c>
      <c r="C170" s="36" t="str">
        <f t="shared" si="41"/>
        <v>Заколодний</v>
      </c>
      <c r="D170" s="36" t="str">
        <f t="shared" si="42"/>
        <v>Николай</v>
      </c>
      <c r="E170" s="36" t="str">
        <f t="shared" si="43"/>
        <v>Викторович</v>
      </c>
      <c r="F170" s="36" t="str">
        <f t="shared" si="44"/>
        <v>055587944</v>
      </c>
      <c r="G170" s="37">
        <f>VLOOKUP(F170,Покупатели!$F$2:$N$762,2,0)</f>
        <v>45083</v>
      </c>
      <c r="H170" s="36" t="str">
        <f>VLOOKUP(F170,Покупатели!$F$2:$N$762,3,0)</f>
        <v>МВД РК</v>
      </c>
      <c r="I170" s="36">
        <f>VLOOKUP(C170,Покупатели!$C$2:$M$805,7,0)</f>
        <v>910522350689</v>
      </c>
      <c r="J170" s="36" t="str">
        <f ca="1">IFERROR(__xludf.DUMMYFUNCTION("JOIN("" "", VLOOKUP(C170,Покупатели,8,0),VLOOKUP(C170,Покупатели,9,0),VLOOKUP(C170,Покупатели,10,0),VLOOKUP(C170,Покупатели,11,0))"),"г.Астана Сарыакркинский р-н второй переулок Толеубаева д.2")</f>
        <v>г.Астана Сарыакркинский р-н второй переулок Толеубаева д.2</v>
      </c>
      <c r="K170" s="36">
        <f t="shared" si="45"/>
        <v>87472595819</v>
      </c>
      <c r="L170" s="36" t="str">
        <f t="shared" si="46"/>
        <v>MX4000002R0001778</v>
      </c>
      <c r="M170" s="36" t="str">
        <f t="shared" ca="1" si="52"/>
        <v>002-2013E50Q13-OK</v>
      </c>
      <c r="N170" s="36" t="str">
        <f t="shared" si="53"/>
        <v>Прицеп 2,0*1,25 м  (до 750 кг.)</v>
      </c>
      <c r="O170" s="36" t="str">
        <f t="shared" si="47"/>
        <v>1 ось</v>
      </c>
      <c r="P170" s="36">
        <f t="shared" si="48"/>
        <v>2024</v>
      </c>
      <c r="Q170" s="36" t="str">
        <f t="shared" ca="1" si="49"/>
        <v>3150*1700*1070</v>
      </c>
      <c r="R170" s="36" t="str">
        <f t="shared" ca="1" si="50"/>
        <v>2000*1250*500</v>
      </c>
      <c r="S170" s="34" t="str">
        <f>VLOOKUP(O170,ОТТС!$A$2:$B$3,2,0)</f>
        <v>ТС KZ Е-KZ.0317.00251 от 28.02.2023</v>
      </c>
      <c r="T170" s="38">
        <v>380000</v>
      </c>
      <c r="U170" s="36" t="str">
        <f t="shared" si="51"/>
        <v>Астана</v>
      </c>
    </row>
    <row r="171" spans="1:21" ht="13.2">
      <c r="A171" s="34">
        <v>1337</v>
      </c>
      <c r="B171" s="35">
        <f>VLOOKUP(A171,'Реестр договоров'!$A$2:$D$298,2,0)</f>
        <v>45565</v>
      </c>
      <c r="C171" s="36" t="str">
        <f t="shared" si="41"/>
        <v>Акишева</v>
      </c>
      <c r="D171" s="36" t="str">
        <f t="shared" si="42"/>
        <v>Алия</v>
      </c>
      <c r="E171" s="36" t="str">
        <f t="shared" si="43"/>
        <v>Мамбетовна</v>
      </c>
      <c r="F171" s="36" t="str">
        <f t="shared" si="44"/>
        <v>041135278</v>
      </c>
      <c r="G171" s="37">
        <f>VLOOKUP(F171,Покупатели!$F$2:$N$762,2,0)</f>
        <v>42501</v>
      </c>
      <c r="H171" s="36" t="str">
        <f>VLOOKUP(F171,Покупатели!$F$2:$N$762,3,0)</f>
        <v>МВД РК</v>
      </c>
      <c r="I171" s="36">
        <f>VLOOKUP(C171,Покупатели!$C$2:$M$805,7,0)</f>
        <v>940415450718</v>
      </c>
      <c r="J171" s="36" t="str">
        <f ca="1">IFERROR(__xludf.DUMMYFUNCTION("JOIN("" "", VLOOKUP(C171,Покупатели,8,0),VLOOKUP(C171,Покупатели,9,0),VLOOKUP(C171,Покупатели,10,0),VLOOKUP(C171,Покупатели,11,0))"),"Акмолинская область г. Кокшетау ул. Автомобилистов 2")</f>
        <v>Акмолинская область г. Кокшетау ул. Автомобилистов 2</v>
      </c>
      <c r="K171" s="36">
        <f t="shared" si="45"/>
        <v>87029308002</v>
      </c>
      <c r="L171" s="36" t="str">
        <f t="shared" si="46"/>
        <v>MX4000004R0001799</v>
      </c>
      <c r="M171" s="36" t="str">
        <f t="shared" ca="1" si="52"/>
        <v>002-2515E50Q13-OK</v>
      </c>
      <c r="N171" s="36" t="str">
        <f t="shared" si="53"/>
        <v>Прицеп 2,5*1,5 м  (до 750 кг.)</v>
      </c>
      <c r="O171" s="36" t="str">
        <f t="shared" si="47"/>
        <v>2 оси</v>
      </c>
      <c r="P171" s="36">
        <f t="shared" si="48"/>
        <v>2024</v>
      </c>
      <c r="Q171" s="36" t="str">
        <f t="shared" ca="1" si="49"/>
        <v>3650*1950*1070</v>
      </c>
      <c r="R171" s="36" t="str">
        <f t="shared" ca="1" si="50"/>
        <v>2500*1500*500</v>
      </c>
      <c r="S171" s="34" t="str">
        <f>VLOOKUP(O171,ОТТС!$A$2:$B$3,2,0)</f>
        <v>ТС KZ Е-KZ.0317.00219.П1 от 17.07.2025</v>
      </c>
      <c r="T171" s="38">
        <v>350000</v>
      </c>
      <c r="U171" s="36" t="str">
        <f t="shared" si="51"/>
        <v>Кокшетау</v>
      </c>
    </row>
    <row r="172" spans="1:21" ht="13.2">
      <c r="A172" s="34">
        <v>1338</v>
      </c>
      <c r="B172" s="35">
        <f>VLOOKUP(A172,'Реестр договоров'!$A$2:$D$298,2,0)</f>
        <v>45567</v>
      </c>
      <c r="C172" s="36" t="str">
        <f t="shared" si="41"/>
        <v>Сұлтанов</v>
      </c>
      <c r="D172" s="36" t="str">
        <f t="shared" si="42"/>
        <v>Еламан</v>
      </c>
      <c r="E172" s="36" t="str">
        <f t="shared" si="43"/>
        <v>Ерланұлы</v>
      </c>
      <c r="F172" s="36" t="str">
        <f t="shared" si="44"/>
        <v>042850025</v>
      </c>
      <c r="G172" s="37">
        <f>VLOOKUP(F172,Покупатели!$F$2:$N$762,2,0)</f>
        <v>43193</v>
      </c>
      <c r="H172" s="36" t="str">
        <f>VLOOKUP(F172,Покупатели!$F$2:$N$762,3,0)</f>
        <v>ҚР ІІМ</v>
      </c>
      <c r="I172" s="36">
        <f>VLOOKUP(C172,Покупатели!$C$2:$M$805,7,0)</f>
        <v>960413300966</v>
      </c>
      <c r="J172" s="36" t="str">
        <f ca="1">IFERROR(__xludf.DUMMYFUNCTION("JOIN("" "", VLOOKUP(C172,Покупатели,8,0),VLOOKUP(C172,Покупатели,9,0),VLOOKUP(C172,Покупатели,10,0),VLOOKUP(C172,Покупатели,11,0))"),"Алматинская обл. Коксуйский р-н, с.Балпык би ул.Тазабулак 32 д.7")</f>
        <v>Алматинская обл. Коксуйский р-н, с.Балпык би ул.Тазабулак 32 д.7</v>
      </c>
      <c r="K172" s="36">
        <f t="shared" si="45"/>
        <v>87086692404</v>
      </c>
      <c r="L172" s="36" t="str">
        <f t="shared" si="46"/>
        <v>MX4000002R0001624</v>
      </c>
      <c r="M172" s="36" t="str">
        <f t="shared" ca="1" si="52"/>
        <v>002-2513E30Q13-OK</v>
      </c>
      <c r="N172" s="36" t="str">
        <f t="shared" si="53"/>
        <v>Прицеп 2,5*1,25 м  (до 750 кг.)</v>
      </c>
      <c r="O172" s="36" t="str">
        <f t="shared" si="47"/>
        <v>1 ось</v>
      </c>
      <c r="P172" s="36">
        <f t="shared" si="48"/>
        <v>2024</v>
      </c>
      <c r="Q172" s="36" t="s">
        <v>919</v>
      </c>
      <c r="R172" s="36" t="s">
        <v>920</v>
      </c>
      <c r="S172" s="34" t="str">
        <f>VLOOKUP(O172,ОТТС!$A$2:$B$3,2,0)</f>
        <v>ТС KZ Е-KZ.0317.00251 от 28.02.2023</v>
      </c>
      <c r="T172" s="38">
        <v>550000</v>
      </c>
      <c r="U172" s="36" t="str">
        <f t="shared" si="51"/>
        <v>Алматы</v>
      </c>
    </row>
    <row r="173" spans="1:21" ht="13.2">
      <c r="A173" s="34">
        <v>1339</v>
      </c>
      <c r="B173" s="35">
        <f>VLOOKUP(A173,'Реестр договоров'!$A$2:$D$298,2,0)</f>
        <v>45568</v>
      </c>
      <c r="C173" s="36" t="str">
        <f t="shared" si="41"/>
        <v>Габдуллин1</v>
      </c>
      <c r="D173" s="36" t="str">
        <f t="shared" si="42"/>
        <v>Ильяс</v>
      </c>
      <c r="E173" s="36" t="str">
        <f t="shared" si="43"/>
        <v>Серикович</v>
      </c>
      <c r="F173" s="36" t="str">
        <f t="shared" si="44"/>
        <v>018447550</v>
      </c>
      <c r="G173" s="37">
        <f>VLOOKUP(F173,Покупатели!$F$2:$N$762,2,0)</f>
        <v>38758</v>
      </c>
      <c r="H173" s="36" t="str">
        <f>VLOOKUP(F173,Покупатели!$F$2:$N$762,3,0)</f>
        <v>МЮ РК</v>
      </c>
      <c r="I173" s="36">
        <f>VLOOKUP(C173,Покупатели!$C$2:$M$805,7,0)</f>
        <v>810101351786</v>
      </c>
      <c r="J173" s="36" t="str">
        <f ca="1">IFERROR(__xludf.DUMMYFUNCTION("JOIN("" "", VLOOKUP(C173,Покупатели,8,0),VLOOKUP(C173,Покупатели,9,0),VLOOKUP(C173,Покупатели,10,0),VLOOKUP(C173,Покупатели,11,0))"),"СКО Тайыншинский район, село Петровка ул. Советская  28")</f>
        <v>СКО Тайыншинский район, село Петровка ул. Советская  28</v>
      </c>
      <c r="K173" s="36">
        <f t="shared" si="45"/>
        <v>87754062114</v>
      </c>
      <c r="L173" s="36" t="str">
        <f t="shared" si="46"/>
        <v>MX4000002R0001802</v>
      </c>
      <c r="M173" s="36" t="str">
        <f t="shared" ca="1" si="52"/>
        <v>002-2013E50Q13-OK30</v>
      </c>
      <c r="N173" s="36" t="str">
        <f t="shared" si="53"/>
        <v>Прицеп 2,0*1,25 м  (до 750 кг.)</v>
      </c>
      <c r="O173" s="36" t="str">
        <f t="shared" si="47"/>
        <v>1 ось</v>
      </c>
      <c r="P173" s="36">
        <f t="shared" si="48"/>
        <v>2024</v>
      </c>
      <c r="Q173" s="36" t="str">
        <f t="shared" ref="Q173:Q212" ca="1" si="54">VLOOKUP(M173,матрица,16,0)</f>
        <v>3150*1700*1070</v>
      </c>
      <c r="R173" s="36" t="str">
        <f t="shared" ref="R173:R212" ca="1" si="55">VLOOKUP(M173,матрица,17,0)</f>
        <v>2000*1250*500</v>
      </c>
      <c r="S173" s="34" t="str">
        <f>VLOOKUP(O173,ОТТС!$A$2:$B$3,2,0)</f>
        <v>ТС KZ Е-KZ.0317.00251 от 28.02.2023</v>
      </c>
      <c r="T173" s="38">
        <v>370000</v>
      </c>
      <c r="U173" s="36" t="str">
        <f t="shared" si="51"/>
        <v>Кокшетау</v>
      </c>
    </row>
    <row r="174" spans="1:21" ht="13.2">
      <c r="A174" s="34">
        <v>1340</v>
      </c>
      <c r="B174" s="35">
        <f>VLOOKUP(A174,'Реестр договоров'!$A$2:$D$298,2,0)</f>
        <v>45568</v>
      </c>
      <c r="C174" s="36" t="str">
        <f t="shared" si="41"/>
        <v>Ахриев</v>
      </c>
      <c r="D174" s="36" t="str">
        <f t="shared" si="42"/>
        <v>Дауд</v>
      </c>
      <c r="E174" s="36" t="str">
        <f t="shared" si="43"/>
        <v>Мухарбекович</v>
      </c>
      <c r="F174" s="36" t="str">
        <f t="shared" si="44"/>
        <v>046841690</v>
      </c>
      <c r="G174" s="37">
        <f>VLOOKUP(F174,Покупатели!$F$2:$N$762,2,0)</f>
        <v>43777</v>
      </c>
      <c r="H174" s="36" t="str">
        <f>VLOOKUP(F174,Покупатели!$F$2:$N$762,3,0)</f>
        <v>МВД РК</v>
      </c>
      <c r="I174" s="36">
        <f>VLOOKUP(C174,Покупатели!$C$2:$M$805,7,0)</f>
        <v>741113350423</v>
      </c>
      <c r="J174" s="36" t="str">
        <f ca="1">IFERROR(__xludf.DUMMYFUNCTION("JOIN("" "", VLOOKUP(C174,Покупатели,8,0),VLOOKUP(C174,Покупатели,9,0),VLOOKUP(C174,Покупатели,10,0),VLOOKUP(C174,Покупатели,11,0))"),"Акмолинская область г. Кокшетау ул. Шевцова 63")</f>
        <v>Акмолинская область г. Кокшетау ул. Шевцова 63</v>
      </c>
      <c r="K174" s="36">
        <f t="shared" si="45"/>
        <v>87015127552</v>
      </c>
      <c r="L174" s="36" t="str">
        <f t="shared" si="46"/>
        <v>MX4000002R0001805</v>
      </c>
      <c r="M174" s="36" t="str">
        <f t="shared" ca="1" si="52"/>
        <v>002-2513E30Q13-OK</v>
      </c>
      <c r="N174" s="36" t="str">
        <f t="shared" si="53"/>
        <v>Прицеп 2,5*1,25 м  (до 750 кг.)</v>
      </c>
      <c r="O174" s="36" t="str">
        <f t="shared" si="47"/>
        <v>1 ось</v>
      </c>
      <c r="P174" s="36">
        <f t="shared" si="48"/>
        <v>2024</v>
      </c>
      <c r="Q174" s="36" t="str">
        <f t="shared" ca="1" si="54"/>
        <v>3650*1700*900</v>
      </c>
      <c r="R174" s="36" t="str">
        <f t="shared" ca="1" si="55"/>
        <v>2500*1250*300</v>
      </c>
      <c r="S174" s="34" t="str">
        <f>VLOOKUP(O174,ОТТС!$A$2:$B$3,2,0)</f>
        <v>ТС KZ Е-KZ.0317.00251 от 28.02.2023</v>
      </c>
      <c r="T174" s="38">
        <v>340000</v>
      </c>
      <c r="U174" s="36" t="str">
        <f t="shared" si="51"/>
        <v>Кокшетау</v>
      </c>
    </row>
    <row r="175" spans="1:21" ht="13.2">
      <c r="A175" s="34">
        <v>1341</v>
      </c>
      <c r="B175" s="35">
        <f>VLOOKUP(A175,'Реестр договоров'!$A$2:$D$298,2,0)</f>
        <v>45570</v>
      </c>
      <c r="C175" s="36" t="str">
        <f t="shared" si="41"/>
        <v>Зырянов 1</v>
      </c>
      <c r="D175" s="36" t="str">
        <f t="shared" si="42"/>
        <v>Игорь</v>
      </c>
      <c r="E175" s="36" t="str">
        <f t="shared" si="43"/>
        <v>Владимирович</v>
      </c>
      <c r="F175" s="36" t="str">
        <f t="shared" si="44"/>
        <v>043900133</v>
      </c>
      <c r="G175" s="37">
        <f>VLOOKUP(F175,Покупатели!$F$2:$N$762,2,0)</f>
        <v>43475</v>
      </c>
      <c r="H175" s="36" t="str">
        <f>VLOOKUP(F175,Покупатели!$F$2:$N$762,3,0)</f>
        <v>МВД РК</v>
      </c>
      <c r="I175" s="36">
        <f>VLOOKUP(C175,Покупатели!$C$2:$M$805,7,0)</f>
        <v>890121300399</v>
      </c>
      <c r="J175" s="36" t="str">
        <f ca="1">IFERROR(__xludf.DUMMYFUNCTION("JOIN("" "", VLOOKUP(C175,Покупатели,8,0),VLOOKUP(C175,Покупатели,9,0),VLOOKUP(C175,Покупатели,10,0),VLOOKUP(C175,Покупатели,11,0))"),"Жетысуская область, г. Текели, ул. Чайковского, д.78")</f>
        <v>Жетысуская область, г. Текели, ул. Чайковского, д.78</v>
      </c>
      <c r="K175" s="36">
        <f t="shared" si="45"/>
        <v>87059907871</v>
      </c>
      <c r="L175" s="36" t="str">
        <f t="shared" si="46"/>
        <v>MX4000002R0001658</v>
      </c>
      <c r="M175" s="36" t="str">
        <f t="shared" ca="1" si="52"/>
        <v>002-2013E30Q13-OK</v>
      </c>
      <c r="N175" s="36" t="str">
        <f t="shared" si="53"/>
        <v>Прицеп 2,0*1,25 м  (до 750 кг.)</v>
      </c>
      <c r="O175" s="36" t="str">
        <f t="shared" si="47"/>
        <v>1 ось</v>
      </c>
      <c r="P175" s="36">
        <f t="shared" si="48"/>
        <v>2024</v>
      </c>
      <c r="Q175" s="36" t="str">
        <f t="shared" ca="1" si="54"/>
        <v>3150*1700*900</v>
      </c>
      <c r="R175" s="36" t="str">
        <f t="shared" ca="1" si="55"/>
        <v>2000*1250*300</v>
      </c>
      <c r="S175" s="34" t="str">
        <f>VLOOKUP(O175,ОТТС!$A$2:$B$3,2,0)</f>
        <v>ТС KZ Е-KZ.0317.00251 от 28.02.2023</v>
      </c>
      <c r="T175" s="38">
        <v>350000</v>
      </c>
      <c r="U175" s="36" t="str">
        <f t="shared" si="51"/>
        <v>Алматы</v>
      </c>
    </row>
    <row r="176" spans="1:21" ht="13.2">
      <c r="A176" s="34">
        <v>1342</v>
      </c>
      <c r="B176" s="35">
        <f>VLOOKUP(A176,'Реестр договоров'!$A$2:$D$298,2,0)</f>
        <v>45570</v>
      </c>
      <c r="C176" s="36" t="str">
        <f t="shared" si="41"/>
        <v>Салпеков</v>
      </c>
      <c r="D176" s="36" t="str">
        <f t="shared" si="42"/>
        <v>Алмас</v>
      </c>
      <c r="E176" s="36" t="str">
        <f t="shared" si="43"/>
        <v>Сайлаубекович</v>
      </c>
      <c r="F176" s="36" t="str">
        <f t="shared" si="44"/>
        <v>043304931</v>
      </c>
      <c r="G176" s="37">
        <f>VLOOKUP(F176,Покупатели!$F$2:$N$762,2,0)</f>
        <v>43311</v>
      </c>
      <c r="H176" s="36" t="str">
        <f>VLOOKUP(F176,Покупатели!$F$2:$N$762,3,0)</f>
        <v>МВД РК</v>
      </c>
      <c r="I176" s="36">
        <f>VLOOKUP(C176,Покупатели!$C$2:$M$805,7,0)</f>
        <v>821201300393</v>
      </c>
      <c r="J176" s="36" t="str">
        <f ca="1">IFERROR(__xludf.DUMMYFUNCTION("JOIN("" "", VLOOKUP(C176,Покупатели,8,0),VLOOKUP(C176,Покупатели,9,0),VLOOKUP(C176,Покупатели,10,0),VLOOKUP(C176,Покупатели,11,0))"),"Алматинская область, г. Алматы, Ауэзовский район,  мкр-н Мамыр-2, кв.18")</f>
        <v>Алматинская область, г. Алматы, Ауэзовский район,  мкр-н Мамыр-2, кв.18</v>
      </c>
      <c r="K176" s="36">
        <f t="shared" si="45"/>
        <v>87075550035</v>
      </c>
      <c r="L176" s="36" t="str">
        <f t="shared" si="46"/>
        <v>MX4000002R0001742</v>
      </c>
      <c r="M176" s="36" t="str">
        <f t="shared" ca="1" si="52"/>
        <v>002-2013E50Q13-OK</v>
      </c>
      <c r="N176" s="36" t="str">
        <f t="shared" si="53"/>
        <v>Прицеп 2,0*1,25 м  (до 750 кг.)</v>
      </c>
      <c r="O176" s="36" t="str">
        <f t="shared" si="47"/>
        <v>1 ось</v>
      </c>
      <c r="P176" s="36">
        <f t="shared" si="48"/>
        <v>2024</v>
      </c>
      <c r="Q176" s="36" t="str">
        <f t="shared" ca="1" si="54"/>
        <v>3150*1700*1070</v>
      </c>
      <c r="R176" s="36" t="str">
        <f t="shared" ca="1" si="55"/>
        <v>2000*1250*500</v>
      </c>
      <c r="S176" s="34" t="str">
        <f>VLOOKUP(O176,ОТТС!$A$2:$B$3,2,0)</f>
        <v>ТС KZ Е-KZ.0317.00251 от 28.02.2023</v>
      </c>
      <c r="T176" s="38">
        <v>360000</v>
      </c>
      <c r="U176" s="36" t="str">
        <f t="shared" si="51"/>
        <v>Алматы</v>
      </c>
    </row>
    <row r="177" spans="1:21" ht="13.2">
      <c r="A177" s="34">
        <v>1343</v>
      </c>
      <c r="B177" s="35">
        <f>VLOOKUP(A177,'Реестр договоров'!$A$2:$D$298,2,0)</f>
        <v>45570</v>
      </c>
      <c r="C177" s="36" t="str">
        <f t="shared" si="41"/>
        <v>Мусаев</v>
      </c>
      <c r="D177" s="36" t="str">
        <f t="shared" si="42"/>
        <v>Еркин</v>
      </c>
      <c r="E177" s="36" t="str">
        <f t="shared" si="43"/>
        <v>Маликович</v>
      </c>
      <c r="F177" s="36" t="str">
        <f t="shared" si="44"/>
        <v>037636085</v>
      </c>
      <c r="G177" s="37">
        <f>VLOOKUP(F177,Покупатели!$F$2:$N$762,2,0)</f>
        <v>42061</v>
      </c>
      <c r="H177" s="36" t="str">
        <f>VLOOKUP(F177,Покупатели!$F$2:$N$762,3,0)</f>
        <v>МВД РК</v>
      </c>
      <c r="I177" s="36">
        <f>VLOOKUP(C177,Покупатели!$C$2:$M$805,7,0)</f>
        <v>900425301047</v>
      </c>
      <c r="J177" s="36" t="str">
        <f ca="1">IFERROR(__xludf.DUMMYFUNCTION("JOIN("" "", VLOOKUP(C177,Покупатели,8,0),VLOOKUP(C177,Покупатели,9,0),VLOOKUP(C177,Покупатели,10,0),VLOOKUP(C177,Покупатели,11,0))"),"Алматинская область, г. Алматы, Наурызбайский район, ул. Малинка, д. 68")</f>
        <v>Алматинская область, г. Алматы, Наурызбайский район, ул. Малинка, д. 68</v>
      </c>
      <c r="K177" s="36">
        <f t="shared" si="45"/>
        <v>87756234209</v>
      </c>
      <c r="L177" s="36" t="str">
        <f t="shared" si="46"/>
        <v>MX4000002R0001708</v>
      </c>
      <c r="M177" s="36" t="str">
        <f t="shared" ca="1" si="52"/>
        <v>002-2513E30Q13-OK</v>
      </c>
      <c r="N177" s="36" t="str">
        <f t="shared" si="53"/>
        <v>Прицеп 2,5*1,25 м  (до 750 кг.)</v>
      </c>
      <c r="O177" s="36" t="str">
        <f t="shared" si="47"/>
        <v>1 ось</v>
      </c>
      <c r="P177" s="36">
        <f t="shared" si="48"/>
        <v>2024</v>
      </c>
      <c r="Q177" s="36" t="str">
        <f t="shared" ca="1" si="54"/>
        <v>3650*1700*900</v>
      </c>
      <c r="R177" s="36" t="str">
        <f t="shared" ca="1" si="55"/>
        <v>2500*1250*300</v>
      </c>
      <c r="S177" s="34" t="str">
        <f>VLOOKUP(O177,ОТТС!$A$2:$B$3,2,0)</f>
        <v>ТС KZ Е-KZ.0317.00251 от 28.02.2023</v>
      </c>
      <c r="T177" s="38">
        <v>370000</v>
      </c>
      <c r="U177" s="36" t="str">
        <f t="shared" si="51"/>
        <v>Алматы</v>
      </c>
    </row>
    <row r="178" spans="1:21" ht="13.2">
      <c r="A178" s="34">
        <v>1344</v>
      </c>
      <c r="B178" s="35">
        <f>VLOOKUP(A178,'Реестр договоров'!$A$2:$D$298,2,0)</f>
        <v>45573</v>
      </c>
      <c r="C178" s="36" t="str">
        <f t="shared" si="41"/>
        <v>Телхожаев</v>
      </c>
      <c r="D178" s="36" t="str">
        <f t="shared" si="42"/>
        <v>Ержан</v>
      </c>
      <c r="E178" s="36" t="str">
        <f t="shared" si="43"/>
        <v>Турсынович</v>
      </c>
      <c r="F178" s="36" t="str">
        <f t="shared" si="44"/>
        <v>043441651</v>
      </c>
      <c r="G178" s="37">
        <f>VLOOKUP(F178,Покупатели!$F$2:$N$762,2,0)</f>
        <v>43348</v>
      </c>
      <c r="H178" s="36" t="str">
        <f>VLOOKUP(F178,Покупатели!$F$2:$N$762,3,0)</f>
        <v>МВД РК</v>
      </c>
      <c r="I178" s="36">
        <f>VLOOKUP(C178,Покупатели!$C$2:$M$805,7,0)</f>
        <v>830112301129</v>
      </c>
      <c r="J178" s="36" t="str">
        <f ca="1">IFERROR(__xludf.DUMMYFUNCTION("JOIN("" "", VLOOKUP(C178,Покупатели,8,0),VLOOKUP(C178,Покупатели,9,0),VLOOKUP(C178,Покупатели,10,0),VLOOKUP(C178,Покупатели,11,0))"),"Алматинская область, г. Алматы, ул. Калкаман Жуалы, д.12, кв. 21")</f>
        <v>Алматинская область, г. Алматы, ул. Калкаман Жуалы, д.12, кв. 21</v>
      </c>
      <c r="K178" s="36">
        <f t="shared" si="45"/>
        <v>87053487502</v>
      </c>
      <c r="L178" s="36" t="str">
        <f t="shared" si="46"/>
        <v>MX4000002R0001732</v>
      </c>
      <c r="M178" s="36" t="str">
        <f t="shared" ca="1" si="52"/>
        <v>002-2013E30Q13-OK</v>
      </c>
      <c r="N178" s="36" t="str">
        <f t="shared" si="53"/>
        <v>Прицеп 2,0*1,25 м  (до 750 кг.)</v>
      </c>
      <c r="O178" s="36" t="str">
        <f t="shared" si="47"/>
        <v>1 ось</v>
      </c>
      <c r="P178" s="36">
        <f t="shared" si="48"/>
        <v>2024</v>
      </c>
      <c r="Q178" s="36" t="str">
        <f t="shared" ca="1" si="54"/>
        <v>3150*1700*900</v>
      </c>
      <c r="R178" s="36" t="str">
        <f t="shared" ca="1" si="55"/>
        <v>2000*1250*300</v>
      </c>
      <c r="S178" s="34" t="str">
        <f>VLOOKUP(O178,ОТТС!$A$2:$B$3,2,0)</f>
        <v>ТС KZ Е-KZ.0317.00251 от 28.02.2023</v>
      </c>
      <c r="T178" s="38">
        <v>395000</v>
      </c>
      <c r="U178" s="36" t="str">
        <f t="shared" si="51"/>
        <v>Алматы</v>
      </c>
    </row>
    <row r="179" spans="1:21" ht="13.2">
      <c r="A179" s="34">
        <v>1345</v>
      </c>
      <c r="B179" s="35">
        <f>VLOOKUP(A179,'Реестр договоров'!$A$2:$D$298,2,0)</f>
        <v>45576</v>
      </c>
      <c r="C179" s="36" t="str">
        <f t="shared" si="41"/>
        <v>Кулмаганбетов</v>
      </c>
      <c r="D179" s="36" t="str">
        <f t="shared" si="42"/>
        <v>Руслан</v>
      </c>
      <c r="E179" s="36" t="str">
        <f t="shared" si="43"/>
        <v>Бауржанұлы</v>
      </c>
      <c r="F179" s="36" t="str">
        <f t="shared" si="44"/>
        <v>038501775</v>
      </c>
      <c r="G179" s="37">
        <f>VLOOKUP(F179,Покупатели!$F$2:$N$762,2,0)</f>
        <v>42244</v>
      </c>
      <c r="H179" s="36" t="str">
        <f>VLOOKUP(F179,Покупатели!$F$2:$N$762,3,0)</f>
        <v>ҚР ІІМ</v>
      </c>
      <c r="I179" s="36">
        <f>VLOOKUP(C179,Покупатели!$C$2:$M$805,7,0)</f>
        <v>940101301736</v>
      </c>
      <c r="J179" s="36" t="str">
        <f ca="1">IFERROR(__xludf.DUMMYFUNCTION("JOIN("" "", VLOOKUP(C179,Покупатели,8,0),VLOOKUP(C179,Покупатели,9,0),VLOOKUP(C179,Покупатели,10,0),VLOOKUP(C179,Покупатели,11,0))"),"Акмолинская область г. Кокшетау ул. Кенесары дом 28, кв. 3")</f>
        <v>Акмолинская область г. Кокшетау ул. Кенесары дом 28, кв. 3</v>
      </c>
      <c r="K179" s="36">
        <f t="shared" si="45"/>
        <v>87071995759</v>
      </c>
      <c r="L179" s="36" t="str">
        <f t="shared" si="46"/>
        <v>MX4000005R0001814</v>
      </c>
      <c r="M179" s="36" t="str">
        <f t="shared" si="52"/>
        <v>004-3015E30Q13-OK</v>
      </c>
      <c r="N179" s="36" t="str">
        <f t="shared" si="53"/>
        <v>Прицеп 3,0*1,5 м  (до 750 кг.)</v>
      </c>
      <c r="O179" s="36" t="str">
        <f t="shared" si="47"/>
        <v>2 оси</v>
      </c>
      <c r="P179" s="36">
        <f t="shared" si="48"/>
        <v>2024</v>
      </c>
      <c r="Q179" s="36">
        <f t="shared" si="54"/>
        <v>0</v>
      </c>
      <c r="R179" s="36">
        <f t="shared" si="55"/>
        <v>0</v>
      </c>
      <c r="S179" s="34" t="str">
        <f>VLOOKUP(O179,ОТТС!$A$2:$B$3,2,0)</f>
        <v>ТС KZ Е-KZ.0317.00219.П1 от 17.07.2025</v>
      </c>
      <c r="T179" s="38">
        <v>440000</v>
      </c>
      <c r="U179" s="36" t="str">
        <f t="shared" si="51"/>
        <v>Кокшетау</v>
      </c>
    </row>
    <row r="180" spans="1:21" ht="13.2">
      <c r="A180" s="34">
        <v>1346</v>
      </c>
      <c r="B180" s="35">
        <f>VLOOKUP(A180,'Реестр договоров'!$A$2:$D$298,2,0)</f>
        <v>45576</v>
      </c>
      <c r="C180" s="36" t="str">
        <f t="shared" si="41"/>
        <v>Бектемисов</v>
      </c>
      <c r="D180" s="36" t="str">
        <f t="shared" si="42"/>
        <v>Айдын</v>
      </c>
      <c r="E180" s="36" t="str">
        <f t="shared" si="43"/>
        <v>Бектурсынович</v>
      </c>
      <c r="F180" s="36" t="str">
        <f t="shared" si="44"/>
        <v>038233545</v>
      </c>
      <c r="G180" s="37">
        <f>VLOOKUP(F180,Покупатели!$F$2:$N$762,2,0)</f>
        <v>42209</v>
      </c>
      <c r="H180" s="36" t="str">
        <f>VLOOKUP(F180,Покупатели!$F$2:$N$762,3,0)</f>
        <v>МВД РК</v>
      </c>
      <c r="I180" s="36">
        <f>VLOOKUP(C180,Покупатели!$C$2:$M$805,7,0)</f>
        <v>900715302448</v>
      </c>
      <c r="J180" s="36" t="str">
        <f ca="1">IFERROR(__xludf.DUMMYFUNCTION("JOIN("" "", VLOOKUP(C180,Покупатели,8,0),VLOOKUP(C180,Покупатели,9,0),VLOOKUP(C180,Покупатели,10,0),VLOOKUP(C180,Покупатели,11,0))"),"обл. Жетысу р-н Коксу, с.Талапты ул.Толебаева 12")</f>
        <v>обл. Жетысу р-н Коксу, с.Талапты ул.Толебаева 12</v>
      </c>
      <c r="K180" s="36">
        <f t="shared" si="45"/>
        <v>87773879377</v>
      </c>
      <c r="L180" s="36" t="str">
        <f t="shared" si="46"/>
        <v>MX4000002R0001787</v>
      </c>
      <c r="M180" s="36" t="str">
        <f t="shared" ca="1" si="52"/>
        <v>002-2013E50Q13-OK</v>
      </c>
      <c r="N180" s="36" t="str">
        <f t="shared" si="53"/>
        <v>Прицеп 2,0*1,25 м  (до 750 кг.)</v>
      </c>
      <c r="O180" s="36" t="str">
        <f t="shared" si="47"/>
        <v>1 ось</v>
      </c>
      <c r="P180" s="36">
        <f t="shared" si="48"/>
        <v>2024</v>
      </c>
      <c r="Q180" s="36" t="str">
        <f t="shared" ca="1" si="54"/>
        <v>3150*1700*1070</v>
      </c>
      <c r="R180" s="36" t="str">
        <f t="shared" ca="1" si="55"/>
        <v>2000*1250*500</v>
      </c>
      <c r="S180" s="34" t="str">
        <f>VLOOKUP(O180,ОТТС!$A$2:$B$3,2,0)</f>
        <v>ТС KZ Е-KZ.0317.00251 от 28.02.2023</v>
      </c>
      <c r="T180" s="39">
        <v>340000</v>
      </c>
      <c r="U180" s="36" t="str">
        <f t="shared" si="51"/>
        <v>Алматы</v>
      </c>
    </row>
    <row r="181" spans="1:21" ht="13.2">
      <c r="A181" s="34">
        <v>1347</v>
      </c>
      <c r="B181" s="35">
        <f>VLOOKUP(A181,'Реестр договоров'!$A$2:$D$298,2,0)</f>
        <v>45580</v>
      </c>
      <c r="C181" s="36" t="str">
        <f t="shared" si="41"/>
        <v>Тумгоева</v>
      </c>
      <c r="D181" s="36" t="str">
        <f t="shared" si="42"/>
        <v>Фатима</v>
      </c>
      <c r="E181" s="36" t="str">
        <f t="shared" si="43"/>
        <v>Османовна</v>
      </c>
      <c r="F181" s="36" t="str">
        <f t="shared" si="44"/>
        <v>041858064</v>
      </c>
      <c r="G181" s="37">
        <f>VLOOKUP(F181,Покупатели!$F$2:$N$762,2,0)</f>
        <v>42655</v>
      </c>
      <c r="H181" s="36" t="str">
        <f>VLOOKUP(F181,Покупатели!$F$2:$N$762,3,0)</f>
        <v>МВД РК</v>
      </c>
      <c r="I181" s="36">
        <f>VLOOKUP(C181,Покупатели!$C$2:$M$805,7,0)</f>
        <v>721130450121</v>
      </c>
      <c r="J181" s="36" t="str">
        <f ca="1">IFERROR(__xludf.DUMMYFUNCTION("JOIN("" "", VLOOKUP(C181,Покупатели,8,0),VLOOKUP(C181,Покупатели,9,0),VLOOKUP(C181,Покупатели,10,0),VLOOKUP(C181,Покупатели,11,0))"),"Акмолинская обл. г.Атбасар ул.Фрунзе  д.44")</f>
        <v>Акмолинская обл. г.Атбасар ул.Фрунзе  д.44</v>
      </c>
      <c r="K181" s="36">
        <f t="shared" si="45"/>
        <v>87054261109</v>
      </c>
      <c r="L181" s="36" t="str">
        <f t="shared" si="46"/>
        <v>MX4000004R0001807</v>
      </c>
      <c r="M181" s="36" t="str">
        <f t="shared" si="52"/>
        <v>004-2515E30Q13-OK</v>
      </c>
      <c r="N181" s="36" t="str">
        <f t="shared" si="53"/>
        <v>Прицеп 2,5*1,5 м  (до 750 кг.)</v>
      </c>
      <c r="O181" s="36" t="str">
        <f t="shared" si="47"/>
        <v>2 оси</v>
      </c>
      <c r="P181" s="36">
        <f t="shared" si="48"/>
        <v>2024</v>
      </c>
      <c r="Q181" s="36" t="str">
        <f t="shared" ca="1" si="54"/>
        <v>3650*1950*900</v>
      </c>
      <c r="R181" s="36" t="str">
        <f t="shared" ca="1" si="55"/>
        <v>4000*1500*300</v>
      </c>
      <c r="S181" s="34" t="str">
        <f>VLOOKUP(O181,ОТТС!$A$2:$B$3,2,0)</f>
        <v>ТС KZ Е-KZ.0317.00219.П1 от 17.07.2025</v>
      </c>
      <c r="T181" s="39">
        <v>340000</v>
      </c>
      <c r="U181" s="36" t="str">
        <f t="shared" si="51"/>
        <v>Астана</v>
      </c>
    </row>
    <row r="182" spans="1:21" ht="13.2">
      <c r="A182" s="34">
        <v>1348</v>
      </c>
      <c r="B182" s="35">
        <f>VLOOKUP(A182,'Реестр договоров'!$A$2:$D$298,2,0)</f>
        <v>45582</v>
      </c>
      <c r="C182" s="36" t="str">
        <f t="shared" si="41"/>
        <v>Кожахметов</v>
      </c>
      <c r="D182" s="36" t="str">
        <f t="shared" si="42"/>
        <v>Досбол</v>
      </c>
      <c r="E182" s="36" t="str">
        <f t="shared" si="43"/>
        <v>Болатович</v>
      </c>
      <c r="F182" s="36" t="str">
        <f t="shared" si="44"/>
        <v>047073795</v>
      </c>
      <c r="G182" s="37">
        <f>VLOOKUP(F182,Покупатели!$F$2:$N$762,2,0)</f>
        <v>44096</v>
      </c>
      <c r="H182" s="36" t="str">
        <f>VLOOKUP(F182,Покупатели!$F$2:$N$762,3,0)</f>
        <v>МВД РК</v>
      </c>
      <c r="I182" s="36">
        <f>VLOOKUP(C182,Покупатели!$C$2:$M$805,7,0)</f>
        <v>850127302182</v>
      </c>
      <c r="J182" s="36" t="str">
        <f ca="1">IFERROR(__xludf.DUMMYFUNCTION("JOIN("" "", VLOOKUP(C182,Покупатели,8,0),VLOOKUP(C182,Покупатели,9,0),VLOOKUP(C182,Покупатели,10,0),VLOOKUP(C182,Покупатели,11,0))"),"Алматинская обл. Илийский р-н, пос.Отеген батыр ул.Абая д.1в, кв.21")</f>
        <v>Алматинская обл. Илийский р-н, пос.Отеген батыр ул.Абая д.1в, кв.21</v>
      </c>
      <c r="K182" s="36">
        <f t="shared" si="45"/>
        <v>87013467536</v>
      </c>
      <c r="L182" s="36" t="str">
        <f t="shared" si="46"/>
        <v>MX4000002R0001781</v>
      </c>
      <c r="M182" s="36" t="str">
        <f t="shared" ca="1" si="52"/>
        <v>002-2013E50Q13-OK</v>
      </c>
      <c r="N182" s="36" t="str">
        <f t="shared" si="53"/>
        <v>Прицеп 2,0*1,25 м  (до 750 кг.)</v>
      </c>
      <c r="O182" s="36" t="str">
        <f t="shared" si="47"/>
        <v>1 ось</v>
      </c>
      <c r="P182" s="36">
        <f t="shared" si="48"/>
        <v>2024</v>
      </c>
      <c r="Q182" s="36" t="str">
        <f t="shared" ca="1" si="54"/>
        <v>3150*1700*1070</v>
      </c>
      <c r="R182" s="36" t="str">
        <f t="shared" ca="1" si="55"/>
        <v>2000*1250*500</v>
      </c>
      <c r="S182" s="34" t="str">
        <f>VLOOKUP(O182,ОТТС!$A$2:$B$3,2,0)</f>
        <v>ТС KZ Е-KZ.0317.00251 от 28.02.2023</v>
      </c>
      <c r="T182" s="39">
        <v>340000</v>
      </c>
      <c r="U182" s="36" t="str">
        <f t="shared" si="51"/>
        <v>Кокшетау</v>
      </c>
    </row>
    <row r="183" spans="1:21" ht="13.2">
      <c r="A183" s="34">
        <v>1349</v>
      </c>
      <c r="B183" s="35">
        <f>VLOOKUP(A183,'Реестр договоров'!$A$2:$D$298,2,0)</f>
        <v>45582</v>
      </c>
      <c r="C183" s="36" t="str">
        <f t="shared" si="41"/>
        <v>Рахимжанов</v>
      </c>
      <c r="D183" s="36" t="str">
        <f t="shared" si="42"/>
        <v>Турлыбек</v>
      </c>
      <c r="E183" s="36" t="str">
        <f t="shared" si="43"/>
        <v>Мажитович</v>
      </c>
      <c r="F183" s="36" t="str">
        <f t="shared" si="44"/>
        <v>012721628</v>
      </c>
      <c r="G183" s="37">
        <f>VLOOKUP(F183,Покупатели!$F$2:$N$762,2,0)</f>
        <v>38091</v>
      </c>
      <c r="H183" s="36" t="str">
        <f>VLOOKUP(F183,Покупатели!$F$2:$N$762,3,0)</f>
        <v>МВД РК</v>
      </c>
      <c r="I183" s="36">
        <f>VLOOKUP(C183,Покупатели!$C$2:$M$805,7,0)</f>
        <v>580515301641</v>
      </c>
      <c r="J183" s="36" t="str">
        <f ca="1">IFERROR(__xludf.DUMMYFUNCTION("JOIN("" "", VLOOKUP(C183,Покупатели,8,0),VLOOKUP(C183,Покупатели,9,0),VLOOKUP(C183,Покупатели,10,0),VLOOKUP(C183,Покупатели,11,0))"),"Акмолинская обл г.Косшы ул.Жамбыла 5")</f>
        <v>Акмолинская обл г.Косшы ул.Жамбыла 5</v>
      </c>
      <c r="K183" s="36">
        <f t="shared" si="45"/>
        <v>87711628984</v>
      </c>
      <c r="L183" s="36" t="str">
        <f t="shared" si="46"/>
        <v>MX4000004R0001769</v>
      </c>
      <c r="M183" s="36" t="str">
        <f t="shared" si="52"/>
        <v>004-2515E30Q13-OK</v>
      </c>
      <c r="N183" s="36" t="str">
        <f t="shared" si="53"/>
        <v>Прицеп 2,5*1,5 м  (до 750 кг.)</v>
      </c>
      <c r="O183" s="36" t="str">
        <f t="shared" si="47"/>
        <v>2 оси</v>
      </c>
      <c r="P183" s="36">
        <f t="shared" si="48"/>
        <v>2024</v>
      </c>
      <c r="Q183" s="36" t="str">
        <f t="shared" ca="1" si="54"/>
        <v>3650*1950*900</v>
      </c>
      <c r="R183" s="36" t="str">
        <f t="shared" ca="1" si="55"/>
        <v>4000*1500*300</v>
      </c>
      <c r="S183" s="34" t="str">
        <f>VLOOKUP(O183,ОТТС!$A$2:$B$3,2,0)</f>
        <v>ТС KZ Е-KZ.0317.00219.П1 от 17.07.2025</v>
      </c>
      <c r="T183" s="39">
        <v>340000</v>
      </c>
      <c r="U183" s="36" t="str">
        <f t="shared" si="51"/>
        <v>Астана</v>
      </c>
    </row>
    <row r="184" spans="1:21" ht="13.2">
      <c r="A184" s="34">
        <v>1350</v>
      </c>
      <c r="B184" s="35">
        <f>VLOOKUP(A184,'Реестр договоров'!$A$2:$D$298,2,0)</f>
        <v>45582</v>
      </c>
      <c r="C184" s="36" t="str">
        <f t="shared" si="41"/>
        <v>Межевика</v>
      </c>
      <c r="D184" s="36" t="str">
        <f t="shared" si="42"/>
        <v>Алексей</v>
      </c>
      <c r="E184" s="36" t="str">
        <f t="shared" si="43"/>
        <v>Николаевич</v>
      </c>
      <c r="F184" s="36" t="str">
        <f t="shared" si="44"/>
        <v>044543848</v>
      </c>
      <c r="G184" s="37">
        <f>VLOOKUP(F184,Покупатели!$F$2:$N$762,2,0)</f>
        <v>43280</v>
      </c>
      <c r="H184" s="36" t="str">
        <f>VLOOKUP(F184,Покупатели!$F$2:$N$762,3,0)</f>
        <v>МВД РК</v>
      </c>
      <c r="I184" s="36">
        <f>VLOOKUP(C184,Покупатели!$C$2:$M$805,7,0)</f>
        <v>730628350508</v>
      </c>
      <c r="J184" s="36" t="str">
        <f ca="1">IFERROR(__xludf.DUMMYFUNCTION("JOIN("" "", VLOOKUP(C184,Покупатели,8,0),VLOOKUP(C184,Покупатели,9,0),VLOOKUP(C184,Покупатели,10,0),VLOOKUP(C184,Покупатели,11,0))"),"г.Астана р-н Байконур пер. Ташенова д.4/1, кв. 77")</f>
        <v>г.Астана р-н Байконур пер. Ташенова д.4/1, кв. 77</v>
      </c>
      <c r="K184" s="36">
        <f t="shared" si="45"/>
        <v>87014848127</v>
      </c>
      <c r="L184" s="36" t="str">
        <f t="shared" si="46"/>
        <v>MX4000002R0001804</v>
      </c>
      <c r="M184" s="36" t="str">
        <f t="shared" ca="1" si="52"/>
        <v>002-2013E50Q13-OK</v>
      </c>
      <c r="N184" s="36" t="str">
        <f t="shared" si="53"/>
        <v>Прицеп 2,0*1,25 м  (до 750 кг.)</v>
      </c>
      <c r="O184" s="36" t="str">
        <f t="shared" si="47"/>
        <v>1 ось</v>
      </c>
      <c r="P184" s="36">
        <f t="shared" si="48"/>
        <v>2024</v>
      </c>
      <c r="Q184" s="36" t="str">
        <f t="shared" ca="1" si="54"/>
        <v>3150*1700*1070</v>
      </c>
      <c r="R184" s="36" t="str">
        <f t="shared" ca="1" si="55"/>
        <v>2000*1250*500</v>
      </c>
      <c r="S184" s="34" t="str">
        <f>VLOOKUP(O184,ОТТС!$A$2:$B$3,2,0)</f>
        <v>ТС KZ Е-KZ.0317.00251 от 28.02.2023</v>
      </c>
      <c r="T184" s="39">
        <v>360000</v>
      </c>
      <c r="U184" s="36" t="str">
        <f t="shared" si="51"/>
        <v>Астана</v>
      </c>
    </row>
    <row r="185" spans="1:21" ht="13.2">
      <c r="A185" s="34">
        <v>1352</v>
      </c>
      <c r="B185" s="35">
        <f>VLOOKUP(A185,'Реестр договоров'!$A$2:$D$298,2,0)</f>
        <v>45584</v>
      </c>
      <c r="C185" s="36" t="str">
        <f t="shared" si="41"/>
        <v>Хабибуллин</v>
      </c>
      <c r="D185" s="36" t="str">
        <f t="shared" si="42"/>
        <v>Ахат</v>
      </c>
      <c r="E185" s="36" t="str">
        <f t="shared" si="43"/>
        <v>Рустамович</v>
      </c>
      <c r="F185" s="36" t="str">
        <f t="shared" si="44"/>
        <v>048590269</v>
      </c>
      <c r="G185" s="37">
        <f>VLOOKUP(F185,Покупатели!$F$2:$N$762,2,0)</f>
        <v>44361</v>
      </c>
      <c r="H185" s="36" t="str">
        <f>VLOOKUP(F185,Покупатели!$F$2:$N$762,3,0)</f>
        <v>МВД РК</v>
      </c>
      <c r="I185" s="36">
        <f>VLOOKUP(C185,Покупатели!$C$2:$M$805,7,0)</f>
        <v>850321300160</v>
      </c>
      <c r="J185" s="36" t="str">
        <f ca="1">IFERROR(__xludf.DUMMYFUNCTION("JOIN("" "", VLOOKUP(C185,Покупатели,8,0),VLOOKUP(C185,Покупатели,9,0),VLOOKUP(C185,Покупатели,10,0),VLOOKUP(C185,Покупатели,11,0))"),"Алматинская область, Талгарский район, с. Белбулак, ул.Арифова, д.4")</f>
        <v>Алматинская область, Талгарский район, с. Белбулак, ул.Арифова, д.4</v>
      </c>
      <c r="K185" s="36">
        <f t="shared" si="45"/>
        <v>87001015181</v>
      </c>
      <c r="L185" s="36" t="str">
        <f t="shared" si="46"/>
        <v>MX4000002R0001796</v>
      </c>
      <c r="M185" s="36" t="str">
        <f t="shared" ca="1" si="52"/>
        <v>002-2515E30Q13-OK</v>
      </c>
      <c r="N185" s="36" t="str">
        <f t="shared" si="53"/>
        <v>Прицеп 2,5*1,5 м  (до 750 кг.)</v>
      </c>
      <c r="O185" s="36" t="str">
        <f t="shared" si="47"/>
        <v>1 ось</v>
      </c>
      <c r="P185" s="36">
        <f t="shared" si="48"/>
        <v>2024</v>
      </c>
      <c r="Q185" s="36" t="str">
        <f t="shared" ca="1" si="54"/>
        <v>3650*1950*900</v>
      </c>
      <c r="R185" s="36" t="str">
        <f t="shared" ca="1" si="55"/>
        <v>2500*1500*300</v>
      </c>
      <c r="S185" s="34" t="str">
        <f>VLOOKUP(O185,ОТТС!$A$2:$B$3,2,0)</f>
        <v>ТС KZ Е-KZ.0317.00251 от 28.02.2023</v>
      </c>
      <c r="T185" s="39">
        <v>340000</v>
      </c>
      <c r="U185" s="36" t="str">
        <f t="shared" si="51"/>
        <v>Алматы</v>
      </c>
    </row>
    <row r="186" spans="1:21" ht="13.2">
      <c r="A186" s="34">
        <v>1353</v>
      </c>
      <c r="B186" s="35">
        <f>VLOOKUP(A186,'Реестр договоров'!$A$2:$D$298,2,0)</f>
        <v>45588</v>
      </c>
      <c r="C186" s="36" t="str">
        <f t="shared" si="41"/>
        <v>Белгибаев</v>
      </c>
      <c r="D186" s="36" t="str">
        <f t="shared" si="42"/>
        <v>Ахметбек</v>
      </c>
      <c r="E186" s="36" t="str">
        <f t="shared" si="43"/>
        <v>Кабденович</v>
      </c>
      <c r="F186" s="36" t="str">
        <f t="shared" si="44"/>
        <v>057820400</v>
      </c>
      <c r="G186" s="37">
        <f>VLOOKUP(F186,Покупатели!$F$2:$N$762,2,0)</f>
        <v>45588</v>
      </c>
      <c r="H186" s="36" t="str">
        <f>VLOOKUP(F186,Покупатели!$F$2:$N$762,3,0)</f>
        <v>МВД РК</v>
      </c>
      <c r="I186" s="36">
        <f>VLOOKUP(C186,Покупатели!$C$2:$M$805,7,0)</f>
        <v>600120302857</v>
      </c>
      <c r="J186" s="36" t="str">
        <f ca="1">IFERROR(__xludf.DUMMYFUNCTION("JOIN("" "", VLOOKUP(C186,Покупатели,8,0),VLOOKUP(C186,Покупатели,9,0),VLOOKUP(C186,Покупатели,10,0),VLOOKUP(C186,Покупатели,11,0))"),"г.Астана р-н Нура ул.Анет баба д.11/1, кв.119")</f>
        <v>г.Астана р-н Нура ул.Анет баба д.11/1, кв.119</v>
      </c>
      <c r="K186" s="36">
        <f t="shared" si="45"/>
        <v>87711333335</v>
      </c>
      <c r="L186" s="36" t="str">
        <f t="shared" si="46"/>
        <v>MX4000002R0001801</v>
      </c>
      <c r="M186" s="36" t="str">
        <f t="shared" ca="1" si="52"/>
        <v>002-2013E50Q13-OK30</v>
      </c>
      <c r="N186" s="36" t="str">
        <f t="shared" si="53"/>
        <v>Прицеп 2,0*1,25 м  (до 750 кг.)</v>
      </c>
      <c r="O186" s="36" t="str">
        <f t="shared" si="47"/>
        <v>1 ось</v>
      </c>
      <c r="P186" s="36">
        <f t="shared" si="48"/>
        <v>2024</v>
      </c>
      <c r="Q186" s="36" t="str">
        <f t="shared" ca="1" si="54"/>
        <v>3150*1700*1070</v>
      </c>
      <c r="R186" s="36" t="str">
        <f t="shared" ca="1" si="55"/>
        <v>2000*1250*500</v>
      </c>
      <c r="S186" s="34" t="str">
        <f>VLOOKUP(O186,ОТТС!$A$2:$B$3,2,0)</f>
        <v>ТС KZ Е-KZ.0317.00251 от 28.02.2023</v>
      </c>
      <c r="T186" s="39">
        <v>340000</v>
      </c>
      <c r="U186" s="36" t="str">
        <f t="shared" si="51"/>
        <v>Астана</v>
      </c>
    </row>
    <row r="187" spans="1:21" ht="13.2">
      <c r="A187" s="34">
        <v>1354</v>
      </c>
      <c r="B187" s="35">
        <f>VLOOKUP(A187,'Реестр договоров'!$A$2:$D$298,2,0)</f>
        <v>45588</v>
      </c>
      <c r="C187" s="36" t="str">
        <f t="shared" si="41"/>
        <v>Ескалиев</v>
      </c>
      <c r="D187" s="36" t="str">
        <f t="shared" si="42"/>
        <v>Ерлан</v>
      </c>
      <c r="E187" s="36" t="str">
        <f t="shared" si="43"/>
        <v>Утепбергенович</v>
      </c>
      <c r="F187" s="36" t="str">
        <f t="shared" si="44"/>
        <v>043093364</v>
      </c>
      <c r="G187" s="37">
        <f>VLOOKUP(F187,Покупатели!$F$2:$N$762,2,0)</f>
        <v>45588</v>
      </c>
      <c r="H187" s="36" t="str">
        <f>VLOOKUP(F187,Покупатели!$F$2:$N$762,3,0)</f>
        <v>МВД РК</v>
      </c>
      <c r="I187" s="36">
        <f>VLOOKUP(C187,Покупатели!$C$2:$M$805,7,0)</f>
        <v>861125300932</v>
      </c>
      <c r="J187" s="36" t="str">
        <f ca="1">IFERROR(__xludf.DUMMYFUNCTION("JOIN("" "", VLOOKUP(C187,Покупатели,8,0),VLOOKUP(C187,Покупатели,9,0),VLOOKUP(C187,Покупатели,10,0),VLOOKUP(C187,Покупатели,11,0))"),"г.Астана р-н Нура ул.Толе би д.44/1, кв158")</f>
        <v>г.Астана р-н Нура ул.Толе би д.44/1, кв158</v>
      </c>
      <c r="K187" s="36">
        <f t="shared" si="45"/>
        <v>87477903530</v>
      </c>
      <c r="L187" s="36" t="str">
        <f t="shared" si="46"/>
        <v>MX4000002R0001803</v>
      </c>
      <c r="M187" s="36" t="str">
        <f t="shared" ca="1" si="52"/>
        <v>002-2013E30Q13-OK60</v>
      </c>
      <c r="N187" s="36" t="str">
        <f t="shared" si="53"/>
        <v>Прицеп 2,0*1,25 м  (до 750 кг.)</v>
      </c>
      <c r="O187" s="36" t="str">
        <f t="shared" si="47"/>
        <v>1 ось</v>
      </c>
      <c r="P187" s="36">
        <f t="shared" si="48"/>
        <v>2024</v>
      </c>
      <c r="Q187" s="36" t="str">
        <f t="shared" ca="1" si="54"/>
        <v>3150*1700*900</v>
      </c>
      <c r="R187" s="36" t="str">
        <f t="shared" ca="1" si="55"/>
        <v>2000*1250*300</v>
      </c>
      <c r="S187" s="34" t="str">
        <f>VLOOKUP(O187,ОТТС!$A$2:$B$3,2,0)</f>
        <v>ТС KZ Е-KZ.0317.00251 от 28.02.2023</v>
      </c>
      <c r="T187" s="39">
        <v>380000</v>
      </c>
      <c r="U187" s="36" t="str">
        <f t="shared" si="51"/>
        <v>Астана</v>
      </c>
    </row>
    <row r="188" spans="1:21" ht="13.2">
      <c r="A188" s="34">
        <v>1355</v>
      </c>
      <c r="B188" s="35">
        <f>VLOOKUP(A188,'Реестр договоров'!$A$2:$D$298,2,0)</f>
        <v>45588</v>
      </c>
      <c r="C188" s="36" t="str">
        <f t="shared" si="41"/>
        <v>Трутнев</v>
      </c>
      <c r="D188" s="36" t="str">
        <f t="shared" si="42"/>
        <v>Иван</v>
      </c>
      <c r="E188" s="36" t="str">
        <f t="shared" si="43"/>
        <v>Владимирович</v>
      </c>
      <c r="F188" s="36" t="str">
        <f t="shared" si="44"/>
        <v>040259634</v>
      </c>
      <c r="G188" s="37">
        <f>VLOOKUP(F188,Покупатели!$F$2:$N$762,2,0)</f>
        <v>42326</v>
      </c>
      <c r="H188" s="36" t="str">
        <f>VLOOKUP(F188,Покупатели!$F$2:$N$762,3,0)</f>
        <v>МВД РК</v>
      </c>
      <c r="I188" s="36">
        <f>VLOOKUP(C188,Покупатели!$C$2:$M$805,7,0)</f>
        <v>590605300555</v>
      </c>
      <c r="J188" s="36" t="str">
        <f ca="1">IFERROR(__xludf.DUMMYFUNCTION("JOIN("" "", VLOOKUP(C188,Покупатели,8,0),VLOOKUP(C188,Покупатели,9,0),VLOOKUP(C188,Покупатели,10,0),VLOOKUP(C188,Покупатели,11,0))"),"СКО,  район Габита Мусрепова, с. Симоновка,  ул. Центральный, д.13")</f>
        <v>СКО,  район Габита Мусрепова, с. Симоновка,  ул. Центральный, д.13</v>
      </c>
      <c r="K188" s="36">
        <f t="shared" si="45"/>
        <v>87769689581</v>
      </c>
      <c r="L188" s="36" t="str">
        <f t="shared" si="46"/>
        <v>MX4000002R0001817</v>
      </c>
      <c r="M188" s="36" t="str">
        <f t="shared" ca="1" si="52"/>
        <v>002-2013E50Q13-OK30</v>
      </c>
      <c r="N188" s="36" t="str">
        <f t="shared" si="53"/>
        <v>Прицеп 2,0*1,25 м  (до 750 кг.)</v>
      </c>
      <c r="O188" s="36" t="str">
        <f t="shared" si="47"/>
        <v>1 ось</v>
      </c>
      <c r="P188" s="36">
        <f t="shared" si="48"/>
        <v>2024</v>
      </c>
      <c r="Q188" s="36" t="str">
        <f t="shared" ca="1" si="54"/>
        <v>3150*1700*1070</v>
      </c>
      <c r="R188" s="36" t="str">
        <f t="shared" ca="1" si="55"/>
        <v>2000*1250*500</v>
      </c>
      <c r="S188" s="34" t="str">
        <f>VLOOKUP(O188,ОТТС!$A$2:$B$3,2,0)</f>
        <v>ТС KZ Е-KZ.0317.00251 от 28.02.2023</v>
      </c>
      <c r="T188" s="39">
        <v>290000</v>
      </c>
      <c r="U188" s="36" t="str">
        <f t="shared" si="51"/>
        <v>Кокшетау</v>
      </c>
    </row>
    <row r="189" spans="1:21" ht="13.2">
      <c r="A189" s="34">
        <v>1356</v>
      </c>
      <c r="B189" s="35">
        <f>VLOOKUP(A189,'Реестр договоров'!$A$2:$D$298,2,0)</f>
        <v>45593</v>
      </c>
      <c r="C189" s="36" t="str">
        <f t="shared" si="41"/>
        <v>Әбіл</v>
      </c>
      <c r="D189" s="36" t="str">
        <f t="shared" si="42"/>
        <v>Алдияр</v>
      </c>
      <c r="E189" s="36" t="str">
        <f t="shared" si="43"/>
        <v>Бұршақбайұлы</v>
      </c>
      <c r="F189" s="36" t="str">
        <f t="shared" si="44"/>
        <v>042249149</v>
      </c>
      <c r="G189" s="37">
        <f>VLOOKUP(F189,Покупатели!$F$2:$N$762,2,0)</f>
        <v>43033</v>
      </c>
      <c r="H189" s="36" t="str">
        <f>VLOOKUP(F189,Покупатели!$F$2:$N$762,3,0)</f>
        <v>ҚР ІІМ</v>
      </c>
      <c r="I189" s="36">
        <f>VLOOKUP(C189,Покупатели!$C$2:$M$805,7,0)</f>
        <v>930410350643</v>
      </c>
      <c r="J189" s="36" t="str">
        <f ca="1">IFERROR(__xludf.DUMMYFUNCTION("JOIN("" "", VLOOKUP(C189,Покупатели,8,0),VLOOKUP(C189,Покупатели,9,0),VLOOKUP(C189,Покупатели,10,0),VLOOKUP(C189,Покупатели,11,0))"),"Алматинская обл. Талгарский р-н, г.Талгар ул.Малькеева д.4А")</f>
        <v>Алматинская обл. Талгарский р-н, г.Талгар ул.Малькеева д.4А</v>
      </c>
      <c r="K189" s="36">
        <f t="shared" si="45"/>
        <v>87005008710</v>
      </c>
      <c r="L189" s="36" t="str">
        <f t="shared" si="46"/>
        <v>MX4000002R0001619</v>
      </c>
      <c r="M189" s="36" t="str">
        <f t="shared" ca="1" si="52"/>
        <v>002-2513E50Q13-OK</v>
      </c>
      <c r="N189" s="36" t="str">
        <f t="shared" si="53"/>
        <v>Прицеп 2,5*1,25 м  (до 750 кг.)</v>
      </c>
      <c r="O189" s="36" t="str">
        <f t="shared" si="47"/>
        <v>1 ось</v>
      </c>
      <c r="P189" s="36">
        <f t="shared" si="48"/>
        <v>2024</v>
      </c>
      <c r="Q189" s="36" t="str">
        <f t="shared" ca="1" si="54"/>
        <v>3650*1700*1070</v>
      </c>
      <c r="R189" s="36" t="str">
        <f t="shared" ca="1" si="55"/>
        <v>2500*1250*500</v>
      </c>
      <c r="S189" s="34" t="str">
        <f>VLOOKUP(O189,ОТТС!$A$2:$B$3,2,0)</f>
        <v>ТС KZ Е-KZ.0317.00251 от 28.02.2023</v>
      </c>
      <c r="T189" s="39">
        <v>380000</v>
      </c>
      <c r="U189" s="36" t="str">
        <f t="shared" si="51"/>
        <v>Алматы</v>
      </c>
    </row>
    <row r="190" spans="1:21" ht="13.2">
      <c r="A190" s="34">
        <v>1357</v>
      </c>
      <c r="B190" s="35">
        <f>VLOOKUP(A190,'Реестр договоров'!$A$2:$D$298,2,0)</f>
        <v>45588</v>
      </c>
      <c r="C190" s="36" t="str">
        <f t="shared" si="41"/>
        <v>Ибрагимов 1</v>
      </c>
      <c r="D190" s="36" t="str">
        <f t="shared" si="42"/>
        <v>Лязги</v>
      </c>
      <c r="E190" s="36" t="str">
        <f t="shared" si="43"/>
        <v>Захарович</v>
      </c>
      <c r="F190" s="36" t="str">
        <f t="shared" si="44"/>
        <v>049634541</v>
      </c>
      <c r="G190" s="37">
        <f>VLOOKUP(F190,Покупатели!$F$2:$N$762,2,0)</f>
        <v>44526</v>
      </c>
      <c r="H190" s="36" t="str">
        <f>VLOOKUP(F190,Покупатели!$F$2:$N$762,3,0)</f>
        <v>МВД РК</v>
      </c>
      <c r="I190" s="36">
        <f>VLOOKUP(C190,Покупатели!$C$2:$M$805,7,0)</f>
        <v>720707300727</v>
      </c>
      <c r="J190" s="36" t="str">
        <f ca="1">IFERROR(__xludf.DUMMYFUNCTION("JOIN("" "", VLOOKUP(C190,Покупатели,8,0),VLOOKUP(C190,Покупатели,9,0),VLOOKUP(C190,Покупатели,10,0),VLOOKUP(C190,Покупатели,11,0))"),"Алматинская обл. Илийский р-н, пос. Караой ул. Амангельды 1а")</f>
        <v>Алматинская обл. Илийский р-н, пос. Караой ул. Амангельды 1а</v>
      </c>
      <c r="K190" s="36">
        <f t="shared" si="45"/>
        <v>87014419777</v>
      </c>
      <c r="L190" s="36" t="str">
        <f t="shared" si="46"/>
        <v>MX4000002R0001754</v>
      </c>
      <c r="M190" s="36" t="str">
        <f t="shared" ref="M190:M215" ca="1" si="56">VLOOKUP(L190,ПРИЦЕПЫ,11,0)</f>
        <v>002-2515E50Q13-OK</v>
      </c>
      <c r="N190" s="36" t="str">
        <f t="shared" ref="N190:N215" si="57">VLOOKUP(L190,ПРИЦЕПЫ,2,0)</f>
        <v>Прицеп 2,5*1,5 м  (до 750 кг.)</v>
      </c>
      <c r="O190" s="36" t="str">
        <f t="shared" si="47"/>
        <v>1 ось</v>
      </c>
      <c r="P190" s="36">
        <f t="shared" si="48"/>
        <v>2024</v>
      </c>
      <c r="Q190" s="36" t="str">
        <f t="shared" ca="1" si="54"/>
        <v>3650*1950*1070</v>
      </c>
      <c r="R190" s="36" t="str">
        <f t="shared" ca="1" si="55"/>
        <v>2500*1500*500</v>
      </c>
      <c r="S190" s="34" t="str">
        <f>VLOOKUP(O190,ОТТС!$A$2:$B$3,2,0)</f>
        <v>ТС KZ Е-KZ.0317.00251 от 28.02.2023</v>
      </c>
      <c r="T190" s="39">
        <v>380000</v>
      </c>
      <c r="U190" s="36" t="str">
        <f t="shared" si="51"/>
        <v>Алматы</v>
      </c>
    </row>
    <row r="191" spans="1:21" ht="13.2">
      <c r="A191" s="34">
        <v>1358</v>
      </c>
      <c r="B191" s="35">
        <f>VLOOKUP(A191,'Реестр договоров'!$A$2:$D$298,2,0)</f>
        <v>45593</v>
      </c>
      <c r="C191" s="36" t="str">
        <f t="shared" si="41"/>
        <v>Майкотов</v>
      </c>
      <c r="D191" s="36" t="str">
        <f t="shared" si="42"/>
        <v>Нурлан</v>
      </c>
      <c r="E191" s="36" t="str">
        <f t="shared" si="43"/>
        <v>Серикбаевич</v>
      </c>
      <c r="F191" s="36" t="str">
        <f t="shared" si="44"/>
        <v>044192173</v>
      </c>
      <c r="G191" s="37">
        <f>VLOOKUP(F191,Покупатели!$F$2:$N$762,2,0)</f>
        <v>43543</v>
      </c>
      <c r="H191" s="36" t="str">
        <f>VLOOKUP(F191,Покупатели!$F$2:$N$762,3,0)</f>
        <v>МВД РК</v>
      </c>
      <c r="I191" s="36">
        <f>VLOOKUP(C191,Покупатели!$C$2:$M$805,7,0)</f>
        <v>770302302681</v>
      </c>
      <c r="J191" s="36" t="str">
        <f ca="1">IFERROR(__xludf.DUMMYFUNCTION("JOIN("" "", VLOOKUP(C191,Покупатели,8,0),VLOOKUP(C191,Покупатели,9,0),VLOOKUP(C191,Покупатели,10,0),VLOOKUP(C191,Покупатели,11,0))"),"Алматинская область, Жамбылский район, с. Жайсан, ул. Косбасарова, д.13А")</f>
        <v>Алматинская область, Жамбылский район, с. Жайсан, ул. Косбасарова, д.13А</v>
      </c>
      <c r="K191" s="36">
        <f t="shared" si="45"/>
        <v>87077712417</v>
      </c>
      <c r="L191" s="36" t="str">
        <f t="shared" si="46"/>
        <v>MX4000002R0001668</v>
      </c>
      <c r="M191" s="36" t="str">
        <f t="shared" ca="1" si="56"/>
        <v>002-2013E30Q13-OK30</v>
      </c>
      <c r="N191" s="36" t="str">
        <f t="shared" si="57"/>
        <v>Прицеп 2,0*1,25 м  (до 750 кг.)</v>
      </c>
      <c r="O191" s="36" t="str">
        <f t="shared" si="47"/>
        <v>1 ось</v>
      </c>
      <c r="P191" s="36">
        <f t="shared" si="48"/>
        <v>2024</v>
      </c>
      <c r="Q191" s="36" t="str">
        <f t="shared" ca="1" si="54"/>
        <v>3150*1700*900</v>
      </c>
      <c r="R191" s="36" t="str">
        <f t="shared" ca="1" si="55"/>
        <v>2000*1250*300</v>
      </c>
      <c r="S191" s="34" t="str">
        <f>VLOOKUP(O191,ОТТС!$A$2:$B$3,2,0)</f>
        <v>ТС KZ Е-KZ.0317.00251 от 28.02.2023</v>
      </c>
      <c r="T191" s="39">
        <v>460000</v>
      </c>
      <c r="U191" s="36" t="str">
        <f t="shared" si="51"/>
        <v>Алматы</v>
      </c>
    </row>
    <row r="192" spans="1:21" ht="13.2">
      <c r="A192" s="34">
        <v>1359</v>
      </c>
      <c r="B192" s="35">
        <f>VLOOKUP(A192,'Реестр договоров'!$A$2:$D$298,2,0)</f>
        <v>45593</v>
      </c>
      <c r="C192" s="36" t="str">
        <f t="shared" si="41"/>
        <v>Жұматай</v>
      </c>
      <c r="D192" s="36" t="str">
        <f t="shared" si="42"/>
        <v>Абай</v>
      </c>
      <c r="E192" s="36" t="str">
        <f t="shared" si="43"/>
        <v>Мейіржанұлы</v>
      </c>
      <c r="F192" s="36" t="str">
        <f t="shared" si="44"/>
        <v>049438325</v>
      </c>
      <c r="G192" s="37">
        <f>VLOOKUP(F192,Покупатели!$F$2:$N$762,2,0)</f>
        <v>44495</v>
      </c>
      <c r="H192" s="36" t="str">
        <f>VLOOKUP(F192,Покупатели!$F$2:$N$762,3,0)</f>
        <v>ҚР ІІМ</v>
      </c>
      <c r="I192" s="36">
        <f>VLOOKUP(C192,Покупатели!$C$2:$M$805,7,0)</f>
        <v>950923300322</v>
      </c>
      <c r="J192" s="36" t="str">
        <f ca="1">IFERROR(__xludf.DUMMYFUNCTION("JOIN("" "", VLOOKUP(C192,Покупатели,8,0),VLOOKUP(C192,Покупатели,9,0),VLOOKUP(C192,Покупатели,10,0),VLOOKUP(C192,Покупатели,11,0))"),"Алматинская область, г. Конаев, мкр-н 5, д. 2Б, кв 46")</f>
        <v>Алматинская область, г. Конаев, мкр-н 5, д. 2Б, кв 46</v>
      </c>
      <c r="K192" s="36">
        <f t="shared" si="45"/>
        <v>87076271715</v>
      </c>
      <c r="L192" s="36" t="str">
        <f t="shared" si="46"/>
        <v>MX4000002R0001705</v>
      </c>
      <c r="M192" s="36" t="str">
        <f t="shared" ca="1" si="56"/>
        <v>002-2513E30Q13-OK</v>
      </c>
      <c r="N192" s="36" t="str">
        <f t="shared" si="57"/>
        <v>Прицеп 2,5*1,25 м  (до 750 кг.)</v>
      </c>
      <c r="O192" s="36" t="str">
        <f t="shared" si="47"/>
        <v>1 ось</v>
      </c>
      <c r="P192" s="36">
        <f t="shared" si="48"/>
        <v>2024</v>
      </c>
      <c r="Q192" s="36" t="str">
        <f t="shared" ca="1" si="54"/>
        <v>3650*1700*900</v>
      </c>
      <c r="R192" s="36" t="str">
        <f t="shared" ca="1" si="55"/>
        <v>2500*1250*300</v>
      </c>
      <c r="S192" s="34" t="str">
        <f>VLOOKUP(O192,ОТТС!$A$2:$B$3,2,0)</f>
        <v>ТС KZ Е-KZ.0317.00251 от 28.02.2023</v>
      </c>
      <c r="T192" s="39">
        <v>370000</v>
      </c>
      <c r="U192" s="36" t="str">
        <f t="shared" si="51"/>
        <v>Алматы</v>
      </c>
    </row>
    <row r="193" spans="1:21" ht="13.2">
      <c r="A193" s="34">
        <v>1360</v>
      </c>
      <c r="B193" s="35">
        <f>VLOOKUP(A193,'Реестр договоров'!$A$2:$D$298,2,0)</f>
        <v>45594</v>
      </c>
      <c r="C193" s="36" t="str">
        <f t="shared" si="41"/>
        <v>Шонтаев</v>
      </c>
      <c r="D193" s="36" t="str">
        <f t="shared" si="42"/>
        <v>Рауан</v>
      </c>
      <c r="E193" s="36" t="str">
        <f t="shared" si="43"/>
        <v>Гаухарбекович</v>
      </c>
      <c r="F193" s="36" t="str">
        <f t="shared" si="44"/>
        <v>041203765</v>
      </c>
      <c r="G193" s="37">
        <f>VLOOKUP(F193,Покупатели!$F$2:$N$762,2,0)</f>
        <v>42773</v>
      </c>
      <c r="H193" s="36" t="str">
        <f>VLOOKUP(F193,Покупатели!$F$2:$N$762,3,0)</f>
        <v>МВД РК</v>
      </c>
      <c r="I193" s="36">
        <f>VLOOKUP(C193,Покупатели!$C$2:$M$805,7,0)</f>
        <v>870710301563</v>
      </c>
      <c r="J193" s="36" t="str">
        <f ca="1">IFERROR(__xludf.DUMMYFUNCTION("JOIN("" "", VLOOKUP(C193,Покупатели,8,0),VLOOKUP(C193,Покупатели,9,0),VLOOKUP(C193,Покупатели,10,0),VLOOKUP(C193,Покупатели,11,0))"),"г.Алматы мкр.Акбулак ул.Шарипова 93")</f>
        <v>г.Алматы мкр.Акбулак ул.Шарипова 93</v>
      </c>
      <c r="K193" s="36">
        <f t="shared" si="45"/>
        <v>87472528288</v>
      </c>
      <c r="L193" s="36" t="str">
        <f t="shared" si="46"/>
        <v>MX4000002R0001603</v>
      </c>
      <c r="M193" s="36" t="str">
        <f t="shared" ca="1" si="56"/>
        <v>002-2513E50Q15-OK</v>
      </c>
      <c r="N193" s="36" t="str">
        <f t="shared" si="57"/>
        <v>Прицеп 2,5*1,25 м  (до 750 кг.)</v>
      </c>
      <c r="O193" s="36" t="str">
        <f t="shared" si="47"/>
        <v>1 ось</v>
      </c>
      <c r="P193" s="36">
        <f t="shared" si="48"/>
        <v>2024</v>
      </c>
      <c r="Q193" s="36" t="str">
        <f t="shared" ca="1" si="54"/>
        <v>3650*1700*1070</v>
      </c>
      <c r="R193" s="36" t="str">
        <f t="shared" ca="1" si="55"/>
        <v>2500*1250*500</v>
      </c>
      <c r="S193" s="34" t="str">
        <f>VLOOKUP(O193,ОТТС!$A$2:$B$3,2,0)</f>
        <v>ТС KZ Е-KZ.0317.00251 от 28.02.2023</v>
      </c>
      <c r="T193" s="39">
        <v>370000</v>
      </c>
      <c r="U193" s="36" t="str">
        <f t="shared" si="51"/>
        <v>Алматы</v>
      </c>
    </row>
    <row r="194" spans="1:21" ht="13.2">
      <c r="A194" s="34">
        <v>1361</v>
      </c>
      <c r="B194" s="35">
        <f>VLOOKUP(A194,'Реестр договоров'!$A$2:$D$298,2,0)</f>
        <v>45594</v>
      </c>
      <c r="C194" s="36" t="str">
        <f t="shared" ref="C194:C257" si="58">VLOOKUP(A194,Реестр_Договоров,3,0)</f>
        <v>Бердумұрат</v>
      </c>
      <c r="D194" s="36" t="str">
        <f t="shared" ref="D194:D257" si="59">VLOOKUP(C194,Покупатели,2,0)</f>
        <v>Мереке</v>
      </c>
      <c r="E194" s="36" t="str">
        <f t="shared" ref="E194:E214" si="60">VLOOKUP(C194,Покупатели,3,0)</f>
        <v>Тұрсұнұлы</v>
      </c>
      <c r="F194" s="36" t="str">
        <f t="shared" ref="F194:F257" si="61">VLOOKUP(C194,Покупатели,4,0)</f>
        <v>040820194</v>
      </c>
      <c r="G194" s="37">
        <f>VLOOKUP(F194,Покупатели!$F$2:$N$762,2,0)</f>
        <v>42424</v>
      </c>
      <c r="H194" s="36" t="str">
        <f>VLOOKUP(F194,Покупатели!$F$2:$N$762,3,0)</f>
        <v>ҚР ІІМ</v>
      </c>
      <c r="I194" s="36">
        <f>VLOOKUP(C194,Покупатели!$C$2:$M$805,7,0)</f>
        <v>700420350482</v>
      </c>
      <c r="J194" s="36" t="str">
        <f ca="1">IFERROR(__xludf.DUMMYFUNCTION("JOIN("" "", VLOOKUP(C194,Покупатели,8,0),VLOOKUP(C194,Покупатели,9,0),VLOOKUP(C194,Покупатели,10,0),VLOOKUP(C194,Покупатели,11,0))"),"Акмолинская область, г. Кокшетау,  ул. Ауельбекова, д. 157А, кв 8")</f>
        <v>Акмолинская область, г. Кокшетау,  ул. Ауельбекова, д. 157А, кв 8</v>
      </c>
      <c r="K194" s="36">
        <f t="shared" ref="K194:K257" si="62">VLOOKUP(C194,Покупатели,12,0)</f>
        <v>87015361904</v>
      </c>
      <c r="L194" s="36" t="str">
        <f t="shared" ref="L194:L257" si="63">VLOOKUP(A194,Реестр_Договоров,4,0)</f>
        <v>MX4000002R0001609</v>
      </c>
      <c r="M194" s="36" t="str">
        <f t="shared" ca="1" si="56"/>
        <v>002-2513E30Q13</v>
      </c>
      <c r="N194" s="36" t="str">
        <f t="shared" si="57"/>
        <v>Прицеп 2,5*1,25 м  (до 750 кг.)</v>
      </c>
      <c r="O194" s="36" t="str">
        <f t="shared" ref="O194:O257" si="64">VLOOKUP(L194,ПРИЦЕПЫ,10,0)</f>
        <v>1 ось</v>
      </c>
      <c r="P194" s="36">
        <f t="shared" ref="P194:P257" si="65">YEAR(VLOOKUP(L194,ПРИЦЕПЫ,7,0))</f>
        <v>2024</v>
      </c>
      <c r="Q194" s="36" t="str">
        <f t="shared" ca="1" si="54"/>
        <v>3650*1700*900</v>
      </c>
      <c r="R194" s="36" t="str">
        <f t="shared" ca="1" si="55"/>
        <v>2500*1250*300</v>
      </c>
      <c r="S194" s="34" t="str">
        <f>VLOOKUP(O194,ОТТС!$A$2:$B$3,2,0)</f>
        <v>ТС KZ Е-KZ.0317.00251 от 28.02.2023</v>
      </c>
      <c r="T194" s="39">
        <v>370000</v>
      </c>
      <c r="U194" s="36" t="str">
        <f t="shared" si="51"/>
        <v>Кокшетау</v>
      </c>
    </row>
    <row r="195" spans="1:21" ht="13.2">
      <c r="A195" s="34">
        <v>1363</v>
      </c>
      <c r="B195" s="35">
        <f>VLOOKUP(A195,'Реестр договоров'!$A$2:$D$298,2,0)</f>
        <v>45595</v>
      </c>
      <c r="C195" s="36" t="str">
        <f t="shared" si="58"/>
        <v>Есмуратов</v>
      </c>
      <c r="D195" s="36" t="str">
        <f t="shared" si="59"/>
        <v>Руслан</v>
      </c>
      <c r="E195" s="36" t="str">
        <f t="shared" si="60"/>
        <v>Аскарович</v>
      </c>
      <c r="F195" s="36" t="str">
        <f t="shared" si="61"/>
        <v>052422335</v>
      </c>
      <c r="G195" s="37">
        <f>VLOOKUP(F195,Покупатели!$F$2:$N$762,2,0)</f>
        <v>44938</v>
      </c>
      <c r="H195" s="36" t="str">
        <f>VLOOKUP(F195,Покупатели!$F$2:$N$762,3,0)</f>
        <v>МВД РК</v>
      </c>
      <c r="I195" s="36">
        <f>VLOOKUP(C195,Покупатели!$C$2:$M$805,7,0)</f>
        <v>830312302263</v>
      </c>
      <c r="J195" s="36" t="str">
        <f ca="1">IFERROR(__xludf.DUMMYFUNCTION("JOIN("" "", VLOOKUP(C195,Покупатели,8,0),VLOOKUP(C195,Покупатели,9,0),VLOOKUP(C195,Покупатели,10,0),VLOOKUP(C195,Покупатели,11,0))"),"Алматинская обл Талгарский р-н, пос.Бесагаш ул.Кашаубаева 33")</f>
        <v>Алматинская обл Талгарский р-н, пос.Бесагаш ул.Кашаубаева 33</v>
      </c>
      <c r="K195" s="36">
        <f t="shared" si="62"/>
        <v>87773072818</v>
      </c>
      <c r="L195" s="36" t="str">
        <f t="shared" si="63"/>
        <v>MX4000004R0001793</v>
      </c>
      <c r="M195" s="36" t="str">
        <f t="shared" ca="1" si="56"/>
        <v>002-3015E30Q13-OK</v>
      </c>
      <c r="N195" s="36" t="str">
        <f t="shared" si="57"/>
        <v>Прицеп 3,0*1,5 м  (до 750 кг.)</v>
      </c>
      <c r="O195" s="36" t="str">
        <f t="shared" si="64"/>
        <v>2 оси</v>
      </c>
      <c r="P195" s="36">
        <f t="shared" si="65"/>
        <v>2024</v>
      </c>
      <c r="Q195" s="36" t="str">
        <f t="shared" ca="1" si="54"/>
        <v>3800*1950*900</v>
      </c>
      <c r="R195" s="36" t="str">
        <f t="shared" ca="1" si="55"/>
        <v>3000*1500*300</v>
      </c>
      <c r="S195" s="34" t="str">
        <f>VLOOKUP(O195,ОТТС!$A$2:$B$3,2,0)</f>
        <v>ТС KZ Е-KZ.0317.00219.П1 от 17.07.2025</v>
      </c>
      <c r="T195" s="39">
        <v>380000</v>
      </c>
      <c r="U195" s="36" t="str">
        <f t="shared" si="51"/>
        <v>Алматы</v>
      </c>
    </row>
    <row r="196" spans="1:21" ht="13.2">
      <c r="A196" s="34">
        <v>1364</v>
      </c>
      <c r="B196" s="35">
        <f>VLOOKUP(A196,'Реестр договоров'!$A$2:$D$298,2,0)</f>
        <v>45596</v>
      </c>
      <c r="C196" s="36" t="str">
        <f t="shared" si="58"/>
        <v>Жумабай</v>
      </c>
      <c r="D196" s="36" t="str">
        <f t="shared" si="59"/>
        <v>Азамат</v>
      </c>
      <c r="E196" s="36" t="str">
        <f t="shared" si="60"/>
        <v>Жумабаевич</v>
      </c>
      <c r="F196" s="36" t="str">
        <f t="shared" si="61"/>
        <v>037733129</v>
      </c>
      <c r="G196" s="37">
        <f>VLOOKUP(F196,Покупатели!$F$2:$N$762,2,0)</f>
        <v>42094</v>
      </c>
      <c r="H196" s="36" t="str">
        <f>VLOOKUP(F196,Покупатели!$F$2:$N$762,3,0)</f>
        <v>МВД РК</v>
      </c>
      <c r="I196" s="36">
        <f>VLOOKUP(C196,Покупатели!$C$2:$M$805,7,0)</f>
        <v>911124301134</v>
      </c>
      <c r="J196" s="36" t="str">
        <f ca="1">IFERROR(__xludf.DUMMYFUNCTION("JOIN("" "", VLOOKUP(C196,Покупатели,8,0),VLOOKUP(C196,Покупатели,9,0),VLOOKUP(C196,Покупатели,10,0),VLOOKUP(C196,Покупатели,11,0))"),"Алматинская обл г.Талдыкорган, с.Еркин ул.Акажанулы 43")</f>
        <v>Алматинская обл г.Талдыкорган, с.Еркин ул.Акажанулы 43</v>
      </c>
      <c r="K196" s="36">
        <f t="shared" si="62"/>
        <v>87071683813</v>
      </c>
      <c r="L196" s="36" t="str">
        <f t="shared" si="63"/>
        <v>MX4000002R0001636</v>
      </c>
      <c r="M196" s="36" t="str">
        <f t="shared" ca="1" si="56"/>
        <v>002-2513E50Q13-OK</v>
      </c>
      <c r="N196" s="36" t="str">
        <f t="shared" si="57"/>
        <v>Прицеп 2,5*1,25 м  (до 750 кг.)</v>
      </c>
      <c r="O196" s="36" t="str">
        <f t="shared" si="64"/>
        <v>1 ось</v>
      </c>
      <c r="P196" s="36">
        <f t="shared" si="65"/>
        <v>2024</v>
      </c>
      <c r="Q196" s="36" t="str">
        <f t="shared" ca="1" si="54"/>
        <v>3650*1700*1070</v>
      </c>
      <c r="R196" s="36" t="str">
        <f t="shared" ca="1" si="55"/>
        <v>2500*1250*500</v>
      </c>
      <c r="S196" s="34" t="str">
        <f>VLOOKUP(O196,ОТТС!$A$2:$B$3,2,0)</f>
        <v>ТС KZ Е-KZ.0317.00251 от 28.02.2023</v>
      </c>
      <c r="T196" s="39">
        <v>380000</v>
      </c>
      <c r="U196" s="36" t="str">
        <f t="shared" si="51"/>
        <v>Алматы</v>
      </c>
    </row>
    <row r="197" spans="1:21" ht="13.2">
      <c r="A197" s="34">
        <v>1365</v>
      </c>
      <c r="B197" s="35">
        <f>VLOOKUP(A197,'Реестр договоров'!$A$2:$D$298,2,0)</f>
        <v>45600</v>
      </c>
      <c r="C197" s="36" t="str">
        <f t="shared" si="58"/>
        <v>Калиев</v>
      </c>
      <c r="D197" s="36" t="str">
        <f t="shared" si="59"/>
        <v>Даулет</v>
      </c>
      <c r="E197" s="36" t="str">
        <f t="shared" si="60"/>
        <v>Уралұлы</v>
      </c>
      <c r="F197" s="36" t="str">
        <f t="shared" si="61"/>
        <v>052780790</v>
      </c>
      <c r="G197" s="37">
        <f>VLOOKUP(F197,Покупатели!$F$2:$N$762,2,0)</f>
        <v>44692</v>
      </c>
      <c r="H197" s="36" t="str">
        <f>VLOOKUP(F197,Покупатели!$F$2:$N$762,3,0)</f>
        <v>МВД РК</v>
      </c>
      <c r="I197" s="36">
        <f>VLOOKUP(C197,Покупатели!$C$2:$M$805,7,0)</f>
        <v>800103301213</v>
      </c>
      <c r="J197" s="36" t="str">
        <f ca="1">IFERROR(__xludf.DUMMYFUNCTION("JOIN("" "", VLOOKUP(C197,Покупатели,8,0),VLOOKUP(C197,Покупатели,9,0),VLOOKUP(C197,Покупатели,10,0),VLOOKUP(C197,Покупатели,11,0))"),"г.Астана р-н Алматы ул.Кордай д.75, кв.370")</f>
        <v>г.Астана р-н Алматы ул.Кордай д.75, кв.370</v>
      </c>
      <c r="K197" s="36">
        <f t="shared" si="62"/>
        <v>87784206011</v>
      </c>
      <c r="L197" s="36" t="str">
        <f t="shared" si="63"/>
        <v>MX4000002R0001816</v>
      </c>
      <c r="M197" s="36" t="str">
        <f t="shared" ca="1" si="56"/>
        <v>002-2013E50Q13-OK30</v>
      </c>
      <c r="N197" s="36" t="str">
        <f t="shared" si="57"/>
        <v>Прицеп 2,0*1,25 м  (до 750 кг.)</v>
      </c>
      <c r="O197" s="36" t="str">
        <f t="shared" si="64"/>
        <v>1 ось</v>
      </c>
      <c r="P197" s="36">
        <f t="shared" si="65"/>
        <v>2024</v>
      </c>
      <c r="Q197" s="36" t="str">
        <f t="shared" ca="1" si="54"/>
        <v>3150*1700*1070</v>
      </c>
      <c r="R197" s="36" t="str">
        <f t="shared" ca="1" si="55"/>
        <v>2000*1250*500</v>
      </c>
      <c r="S197" s="34" t="str">
        <f>VLOOKUP(O197,ОТТС!$A$2:$B$3,2,0)</f>
        <v>ТС KZ Е-KZ.0317.00251 от 28.02.2023</v>
      </c>
      <c r="T197" s="39">
        <v>340000</v>
      </c>
      <c r="U197" s="36" t="str">
        <f t="shared" si="51"/>
        <v>Астана</v>
      </c>
    </row>
    <row r="198" spans="1:21" ht="13.2">
      <c r="A198" s="34">
        <v>1366</v>
      </c>
      <c r="B198" s="35">
        <f>VLOOKUP(A198,'Реестр договоров'!$A$2:$D$298,2,0)</f>
        <v>45598</v>
      </c>
      <c r="C198" s="36" t="str">
        <f t="shared" si="58"/>
        <v>Зайцев1</v>
      </c>
      <c r="D198" s="36" t="str">
        <f t="shared" si="59"/>
        <v>Максим</v>
      </c>
      <c r="E198" s="36" t="str">
        <f t="shared" si="60"/>
        <v>Васильевич</v>
      </c>
      <c r="F198" s="36" t="str">
        <f t="shared" si="61"/>
        <v>048899870</v>
      </c>
      <c r="G198" s="37">
        <f>VLOOKUP(F198,Покупатели!$F$2:$N$762,2,0)</f>
        <v>44105</v>
      </c>
      <c r="H198" s="36" t="str">
        <f>VLOOKUP(F198,Покупатели!$F$2:$N$762,3,0)</f>
        <v>МВД РК</v>
      </c>
      <c r="I198" s="36">
        <f>VLOOKUP(C198,Покупатели!$C$2:$M$805,7,0)</f>
        <v>850202350144</v>
      </c>
      <c r="J198" s="36" t="str">
        <f ca="1">IFERROR(__xludf.DUMMYFUNCTION("JOIN("" "", VLOOKUP(C198,Покупатели,8,0),VLOOKUP(C198,Покупатели,9,0),VLOOKUP(C198,Покупатели,10,0),VLOOKUP(C198,Покупатели,11,0))"),"Акмолинская обл. г.Акколь ул.Нурмагамбетова 58")</f>
        <v>Акмолинская обл. г.Акколь ул.Нурмагамбетова 58</v>
      </c>
      <c r="K198" s="36">
        <f t="shared" si="62"/>
        <v>87085835340</v>
      </c>
      <c r="L198" s="36" t="str">
        <f t="shared" si="63"/>
        <v>MX4000002R0001605</v>
      </c>
      <c r="M198" s="36" t="str">
        <f t="shared" ca="1" si="56"/>
        <v>002-2513E50Q13-OK</v>
      </c>
      <c r="N198" s="36" t="str">
        <f t="shared" si="57"/>
        <v>Прицеп 2,5*1,25 м  (до 750 кг.)</v>
      </c>
      <c r="O198" s="36" t="str">
        <f t="shared" si="64"/>
        <v>1 ось</v>
      </c>
      <c r="P198" s="36">
        <f t="shared" si="65"/>
        <v>2024</v>
      </c>
      <c r="Q198" s="36" t="str">
        <f t="shared" ca="1" si="54"/>
        <v>3650*1700*1070</v>
      </c>
      <c r="R198" s="36" t="str">
        <f t="shared" ca="1" si="55"/>
        <v>2500*1250*500</v>
      </c>
      <c r="S198" s="34" t="str">
        <f>VLOOKUP(O198,ОТТС!$A$2:$B$3,2,0)</f>
        <v>ТС KZ Е-KZ.0317.00251 от 28.02.2023</v>
      </c>
      <c r="T198" s="39">
        <v>360000</v>
      </c>
      <c r="U198" s="36" t="str">
        <f t="shared" si="51"/>
        <v>Астана</v>
      </c>
    </row>
    <row r="199" spans="1:21" ht="13.2">
      <c r="A199" s="34">
        <v>1367</v>
      </c>
      <c r="B199" s="35">
        <f>VLOOKUP(A199,'Реестр договоров'!$A$2:$D$298,2,0)</f>
        <v>45598</v>
      </c>
      <c r="C199" s="36" t="str">
        <f t="shared" si="58"/>
        <v>Макаревский</v>
      </c>
      <c r="D199" s="36" t="str">
        <f t="shared" si="59"/>
        <v>Евгений</v>
      </c>
      <c r="E199" s="36" t="str">
        <f t="shared" si="60"/>
        <v>Сергеевич</v>
      </c>
      <c r="F199" s="36" t="str">
        <f t="shared" si="61"/>
        <v>020500986</v>
      </c>
      <c r="G199" s="37">
        <f>VLOOKUP(F199,Покупатели!$F$2:$N$762,2,0)</f>
        <v>39126</v>
      </c>
      <c r="H199" s="36" t="str">
        <f>VLOOKUP(F199,Покупатели!$F$2:$N$762,3,0)</f>
        <v>МЮ РК</v>
      </c>
      <c r="I199" s="36">
        <f>VLOOKUP(C199,Покупатели!$C$2:$M$805,7,0)</f>
        <v>620210300516</v>
      </c>
      <c r="J199" s="36" t="str">
        <f ca="1">IFERROR(__xludf.DUMMYFUNCTION("JOIN("" "", VLOOKUP(C199,Покупатели,8,0),VLOOKUP(C199,Покупатели,9,0),VLOOKUP(C199,Покупатели,10,0),VLOOKUP(C199,Покупатели,11,0))"),"г.Алматы Медеуский р-н ул.Гоголя д.75, кв.113")</f>
        <v>г.Алматы Медеуский р-н ул.Гоголя д.75, кв.113</v>
      </c>
      <c r="K199" s="36">
        <f t="shared" si="62"/>
        <v>87075582255</v>
      </c>
      <c r="L199" s="36" t="str">
        <f t="shared" si="63"/>
        <v>MX4000002R0001607</v>
      </c>
      <c r="M199" s="36" t="str">
        <f t="shared" ca="1" si="56"/>
        <v>002-2513E50Q13-OK</v>
      </c>
      <c r="N199" s="36" t="str">
        <f t="shared" si="57"/>
        <v>Прицеп 2,5*1,25 м  (до 750 кг.)</v>
      </c>
      <c r="O199" s="36" t="str">
        <f t="shared" si="64"/>
        <v>1 ось</v>
      </c>
      <c r="P199" s="36">
        <f t="shared" si="65"/>
        <v>2024</v>
      </c>
      <c r="Q199" s="36" t="str">
        <f t="shared" ca="1" si="54"/>
        <v>3650*1700*1070</v>
      </c>
      <c r="R199" s="36" t="str">
        <f t="shared" ca="1" si="55"/>
        <v>2500*1250*500</v>
      </c>
      <c r="S199" s="34" t="str">
        <f>VLOOKUP(O199,ОТТС!$A$2:$B$3,2,0)</f>
        <v>ТС KZ Е-KZ.0317.00251 от 28.02.2023</v>
      </c>
      <c r="T199" s="39">
        <v>370000</v>
      </c>
      <c r="U199" s="36" t="str">
        <f t="shared" si="51"/>
        <v>Алматы</v>
      </c>
    </row>
    <row r="200" spans="1:21" ht="13.2">
      <c r="A200" s="34">
        <v>1368</v>
      </c>
      <c r="B200" s="35">
        <f>VLOOKUP(A200,'Реестр договоров'!$A$2:$D$298,2,0)</f>
        <v>45600</v>
      </c>
      <c r="C200" s="36" t="str">
        <f t="shared" si="58"/>
        <v>Москаленк</v>
      </c>
      <c r="D200" s="36" t="str">
        <f t="shared" si="59"/>
        <v>Александр</v>
      </c>
      <c r="E200" s="36" t="str">
        <f t="shared" si="60"/>
        <v>Владимирович</v>
      </c>
      <c r="F200" s="36" t="str">
        <f t="shared" si="61"/>
        <v>040348334</v>
      </c>
      <c r="G200" s="37">
        <f>VLOOKUP(F200,Покупатели!$F$2:$N$762,2,0)</f>
        <v>42338</v>
      </c>
      <c r="H200" s="36" t="str">
        <f>VLOOKUP(F200,Покупатели!$F$2:$N$762,3,0)</f>
        <v>МВД РК</v>
      </c>
      <c r="I200" s="36">
        <f>VLOOKUP(C200,Покупатели!$C$2:$M$805,7,0)</f>
        <v>901201350585</v>
      </c>
      <c r="J200" s="36" t="str">
        <f ca="1">IFERROR(__xludf.DUMMYFUNCTION("JOIN("" "", VLOOKUP(C200,Покупатели,8,0),VLOOKUP(C200,Покупатели,9,0),VLOOKUP(C200,Покупатели,10,0),VLOOKUP(C200,Покупатели,11,0))"),"Акмолинская область, с. Чайкино, ул. Геологов,  д. 8, кв 1")</f>
        <v>Акмолинская область, с. Чайкино, ул. Геологов,  д. 8, кв 1</v>
      </c>
      <c r="K200" s="36">
        <f t="shared" si="62"/>
        <v>87761590429</v>
      </c>
      <c r="L200" s="36" t="str">
        <f t="shared" si="63"/>
        <v>MX4000002R0001835</v>
      </c>
      <c r="M200" s="36" t="str">
        <f t="shared" ca="1" si="56"/>
        <v>002-2513E50Q13-OK</v>
      </c>
      <c r="N200" s="36" t="str">
        <f t="shared" si="57"/>
        <v>Прицеп 2,5*1,25 м  (до 750 кг.)</v>
      </c>
      <c r="O200" s="36" t="str">
        <f t="shared" si="64"/>
        <v>1 ось</v>
      </c>
      <c r="P200" s="36">
        <f t="shared" si="65"/>
        <v>2024</v>
      </c>
      <c r="Q200" s="36" t="str">
        <f t="shared" ca="1" si="54"/>
        <v>3650*1700*1070</v>
      </c>
      <c r="R200" s="36" t="str">
        <f t="shared" ca="1" si="55"/>
        <v>2500*1250*500</v>
      </c>
      <c r="S200" s="34" t="str">
        <f>VLOOKUP(O200,ОТТС!$A$2:$B$3,2,0)</f>
        <v>ТС KZ Е-KZ.0317.00251 от 28.02.2023</v>
      </c>
      <c r="T200" s="39">
        <v>370000</v>
      </c>
      <c r="U200" s="36" t="str">
        <f t="shared" si="51"/>
        <v>Кокшетау</v>
      </c>
    </row>
    <row r="201" spans="1:21" ht="13.2">
      <c r="A201" s="34">
        <v>1369</v>
      </c>
      <c r="B201" s="35">
        <f>VLOOKUP(A201,'Реестр договоров'!$A$2:$D$298,2,0)</f>
        <v>45600</v>
      </c>
      <c r="C201" s="36" t="str">
        <f t="shared" si="58"/>
        <v>Байбагисова</v>
      </c>
      <c r="D201" s="36" t="str">
        <f t="shared" si="59"/>
        <v>Акбота</v>
      </c>
      <c r="E201" s="36" t="str">
        <f t="shared" si="60"/>
        <v>Галымжановна</v>
      </c>
      <c r="F201" s="36" t="str">
        <f t="shared" si="61"/>
        <v>040957429</v>
      </c>
      <c r="G201" s="37">
        <f>VLOOKUP(F201,Покупатели!$F$2:$N$762,2,0)</f>
        <v>42713</v>
      </c>
      <c r="H201" s="36" t="str">
        <f>VLOOKUP(F201,Покупатели!$F$2:$N$762,3,0)</f>
        <v>МВД РК</v>
      </c>
      <c r="I201" s="36">
        <f>VLOOKUP(C201,Покупатели!$C$2:$M$805,7,0)</f>
        <v>920111401476</v>
      </c>
      <c r="J201" s="36" t="str">
        <f ca="1">IFERROR(__xludf.DUMMYFUNCTION("JOIN("" "", VLOOKUP(C201,Покупатели,8,0),VLOOKUP(C201,Покупатели,9,0),VLOOKUP(C201,Покупатели,10,0),VLOOKUP(C201,Покупатели,11,0))"),"Алматинская обл. Талгарский р-н, с.Бесагаш ул.Шакарима д.41")</f>
        <v>Алматинская обл. Талгарский р-н, с.Бесагаш ул.Шакарима д.41</v>
      </c>
      <c r="K201" s="36">
        <f t="shared" si="62"/>
        <v>87074444130</v>
      </c>
      <c r="L201" s="36" t="str">
        <f t="shared" si="63"/>
        <v>MX4000002R0001786</v>
      </c>
      <c r="M201" s="36" t="str">
        <f t="shared" ca="1" si="56"/>
        <v>002-2013E50Q13-OK</v>
      </c>
      <c r="N201" s="36" t="str">
        <f t="shared" si="57"/>
        <v>Прицеп 2,0*1,25 м  (до 750 кг.)</v>
      </c>
      <c r="O201" s="36" t="str">
        <f t="shared" si="64"/>
        <v>1 ось</v>
      </c>
      <c r="P201" s="36">
        <f t="shared" si="65"/>
        <v>2024</v>
      </c>
      <c r="Q201" s="36" t="str">
        <f t="shared" ca="1" si="54"/>
        <v>3150*1700*1070</v>
      </c>
      <c r="R201" s="36" t="str">
        <f t="shared" ca="1" si="55"/>
        <v>2000*1250*500</v>
      </c>
      <c r="S201" s="34" t="str">
        <f>VLOOKUP(O201,ОТТС!$A$2:$B$3,2,0)</f>
        <v>ТС KZ Е-KZ.0317.00251 от 28.02.2023</v>
      </c>
      <c r="T201" s="39">
        <v>380000</v>
      </c>
      <c r="U201" s="36" t="str">
        <f t="shared" si="51"/>
        <v>Алматы</v>
      </c>
    </row>
    <row r="202" spans="1:21" ht="13.2">
      <c r="A202" s="34">
        <v>1370</v>
      </c>
      <c r="B202" s="35">
        <f>VLOOKUP(A202,'Реестр договоров'!$A$2:$D$298,2,0)</f>
        <v>45600</v>
      </c>
      <c r="C202" s="36" t="str">
        <f t="shared" si="58"/>
        <v>Исабаев</v>
      </c>
      <c r="D202" s="36" t="str">
        <f t="shared" si="59"/>
        <v>Канат</v>
      </c>
      <c r="E202" s="36" t="str">
        <f t="shared" si="60"/>
        <v>Жумабекович</v>
      </c>
      <c r="F202" s="36" t="str">
        <f t="shared" si="61"/>
        <v>048840504</v>
      </c>
      <c r="G202" s="37">
        <f>VLOOKUP(F202,Покупатели!$F$2:$N$762,2,0)</f>
        <v>44097</v>
      </c>
      <c r="H202" s="36" t="str">
        <f>VLOOKUP(F202,Покупатели!$F$2:$N$762,3,0)</f>
        <v>МВД РК</v>
      </c>
      <c r="I202" s="36">
        <f>VLOOKUP(C202,Покупатели!$C$2:$M$805,7,0)</f>
        <v>830531350968</v>
      </c>
      <c r="J202" s="36" t="str">
        <f ca="1">IFERROR(__xludf.DUMMYFUNCTION("JOIN("" "", VLOOKUP(C202,Покупатели,8,0),VLOOKUP(C202,Покупатели,9,0),VLOOKUP(C202,Покупатели,10,0),VLOOKUP(C202,Покупатели,11,0))"),"Акмолинская область, г. Кокшетау, ул. Саина, д.39а,")</f>
        <v>Акмолинская область, г. Кокшетау, ул. Саина, д.39а,</v>
      </c>
      <c r="K202" s="36" t="str">
        <f t="shared" si="62"/>
        <v>кв 6</v>
      </c>
      <c r="L202" s="36" t="str">
        <f t="shared" si="63"/>
        <v>MX4000002R0001811</v>
      </c>
      <c r="M202" s="36" t="str">
        <f t="shared" ca="1" si="56"/>
        <v>002-2013E50Q13-OK</v>
      </c>
      <c r="N202" s="36" t="str">
        <f t="shared" si="57"/>
        <v>Прицеп 2,0*1,25 м  (до 750 кг.)</v>
      </c>
      <c r="O202" s="36" t="str">
        <f t="shared" si="64"/>
        <v>1 ось</v>
      </c>
      <c r="P202" s="36">
        <f t="shared" si="65"/>
        <v>2024</v>
      </c>
      <c r="Q202" s="36" t="str">
        <f t="shared" ca="1" si="54"/>
        <v>3150*1700*1070</v>
      </c>
      <c r="R202" s="36" t="str">
        <f t="shared" ca="1" si="55"/>
        <v>2000*1250*500</v>
      </c>
      <c r="S202" s="34" t="str">
        <f>VLOOKUP(O202,ОТТС!$A$2:$B$3,2,0)</f>
        <v>ТС KZ Е-KZ.0317.00251 от 28.02.2023</v>
      </c>
      <c r="T202" s="39">
        <v>380000</v>
      </c>
      <c r="U202" s="36" t="str">
        <f t="shared" si="51"/>
        <v>Кокшетау</v>
      </c>
    </row>
    <row r="203" spans="1:21" ht="13.2">
      <c r="A203" s="34">
        <v>1371</v>
      </c>
      <c r="B203" s="35">
        <f>VLOOKUP(A203,'Реестр договоров'!$A$2:$D$298,2,0)</f>
        <v>45601</v>
      </c>
      <c r="C203" s="36" t="str">
        <f t="shared" si="58"/>
        <v>Чакаев</v>
      </c>
      <c r="D203" s="36" t="str">
        <f t="shared" si="59"/>
        <v>Мурат</v>
      </c>
      <c r="E203" s="36" t="str">
        <f t="shared" si="60"/>
        <v>Саркенович</v>
      </c>
      <c r="F203" s="36" t="str">
        <f t="shared" si="61"/>
        <v>049310453</v>
      </c>
      <c r="G203" s="37">
        <f>VLOOKUP(F203,Покупатели!$F$2:$N$762,2,0)</f>
        <v>44474</v>
      </c>
      <c r="H203" s="36" t="str">
        <f>VLOOKUP(F203,Покупатели!$F$2:$N$762,3,0)</f>
        <v>МВД РК</v>
      </c>
      <c r="I203" s="36">
        <f>VLOOKUP(C203,Покупатели!$C$2:$M$805,7,0)</f>
        <v>850928301189</v>
      </c>
      <c r="J203" s="36" t="str">
        <f ca="1">IFERROR(__xludf.DUMMYFUNCTION("JOIN("" "", VLOOKUP(C203,Покупатели,8,0),VLOOKUP(C203,Покупатели,9,0),VLOOKUP(C203,Покупатели,10,0),VLOOKUP(C203,Покупатели,11,0))"),"Жетысуская область, Панфиловский район, с.Баскуншы, ул. Каратаева,  д.46")</f>
        <v>Жетысуская область, Панфиловский район, с.Баскуншы, ул. Каратаева,  д.46</v>
      </c>
      <c r="K203" s="36">
        <f t="shared" si="62"/>
        <v>87055786776</v>
      </c>
      <c r="L203" s="36" t="str">
        <f t="shared" si="63"/>
        <v>MX4000002R0001785</v>
      </c>
      <c r="M203" s="36" t="str">
        <f t="shared" ca="1" si="56"/>
        <v>002-2013E50Q13-OK</v>
      </c>
      <c r="N203" s="36" t="str">
        <f t="shared" si="57"/>
        <v>Прицеп 2,0*1,25 м  (до 750 кг.)</v>
      </c>
      <c r="O203" s="36" t="str">
        <f t="shared" si="64"/>
        <v>1 ось</v>
      </c>
      <c r="P203" s="36">
        <f t="shared" si="65"/>
        <v>2024</v>
      </c>
      <c r="Q203" s="36" t="str">
        <f t="shared" ca="1" si="54"/>
        <v>3150*1700*1070</v>
      </c>
      <c r="R203" s="36" t="str">
        <f t="shared" ca="1" si="55"/>
        <v>2000*1250*500</v>
      </c>
      <c r="S203" s="34" t="str">
        <f>VLOOKUP(O203,ОТТС!$A$2:$B$3,2,0)</f>
        <v>ТС KZ Е-KZ.0317.00251 от 28.02.2023</v>
      </c>
      <c r="T203" s="39">
        <v>380000</v>
      </c>
      <c r="U203" s="36" t="str">
        <f t="shared" si="51"/>
        <v>Алматы</v>
      </c>
    </row>
    <row r="204" spans="1:21" ht="13.2">
      <c r="A204" s="34">
        <v>1372</v>
      </c>
      <c r="B204" s="35">
        <f>VLOOKUP(A204,'Реестр договоров'!$A$2:$D$298,2,0)</f>
        <v>45604</v>
      </c>
      <c r="C204" s="36" t="str">
        <f t="shared" si="58"/>
        <v>Любушкин</v>
      </c>
      <c r="D204" s="36" t="str">
        <f t="shared" si="59"/>
        <v>Дмитрий</v>
      </c>
      <c r="E204" s="36" t="str">
        <f t="shared" si="60"/>
        <v>Владимирович</v>
      </c>
      <c r="F204" s="36" t="str">
        <f t="shared" si="61"/>
        <v>059234560</v>
      </c>
      <c r="G204" s="37">
        <f>VLOOKUP(F204,Покупатели!$F$2:$N$762,2,0)</f>
        <v>45589</v>
      </c>
      <c r="H204" s="36" t="str">
        <f>VLOOKUP(F204,Покупатели!$F$2:$N$762,3,0)</f>
        <v>МВД РК</v>
      </c>
      <c r="I204" s="36">
        <f>VLOOKUP(C204,Покупатели!$C$2:$M$805,7,0)</f>
        <v>790118350188</v>
      </c>
      <c r="J204" s="36" t="str">
        <f ca="1">IFERROR(__xludf.DUMMYFUNCTION("JOIN("" "", VLOOKUP(C204,Покупатели,8,0),VLOOKUP(C204,Покупатели,9,0),VLOOKUP(C204,Покупатели,10,0),VLOOKUP(C204,Покупатели,11,0))"),"Акмолинская область,  г. Кокшетау, ул. Байкена Ашимова,  д.201, кв 48")</f>
        <v>Акмолинская область,  г. Кокшетау, ул. Байкена Ашимова,  д.201, кв 48</v>
      </c>
      <c r="K204" s="36">
        <f t="shared" si="62"/>
        <v>87072322464</v>
      </c>
      <c r="L204" s="36" t="str">
        <f t="shared" si="63"/>
        <v>MX4000002R0001836</v>
      </c>
      <c r="M204" s="36" t="str">
        <f t="shared" ca="1" si="56"/>
        <v>002-2013E50Q13-OK</v>
      </c>
      <c r="N204" s="36" t="str">
        <f t="shared" si="57"/>
        <v>Прицеп 2,0*1,25 м  (до 750 кг.)</v>
      </c>
      <c r="O204" s="36" t="str">
        <f t="shared" si="64"/>
        <v>1 ось</v>
      </c>
      <c r="P204" s="36">
        <f t="shared" si="65"/>
        <v>2024</v>
      </c>
      <c r="Q204" s="36" t="str">
        <f t="shared" ca="1" si="54"/>
        <v>3150*1700*1070</v>
      </c>
      <c r="R204" s="36" t="str">
        <f t="shared" ca="1" si="55"/>
        <v>2000*1250*500</v>
      </c>
      <c r="S204" s="34" t="str">
        <f>VLOOKUP(O204,ОТТС!$A$2:$B$3,2,0)</f>
        <v>ТС KZ Е-KZ.0317.00251 от 28.02.2023</v>
      </c>
      <c r="T204" s="39">
        <v>380000</v>
      </c>
      <c r="U204" s="36" t="str">
        <f t="shared" si="51"/>
        <v>Кокшетау</v>
      </c>
    </row>
    <row r="205" spans="1:21" ht="13.2">
      <c r="A205" s="34">
        <v>1373</v>
      </c>
      <c r="B205" s="35">
        <f>VLOOKUP(A205,'Реестр договоров'!$A$2:$D$298,2,0)</f>
        <v>45604</v>
      </c>
      <c r="C205" s="36" t="str">
        <f t="shared" si="58"/>
        <v>Амренов 1</v>
      </c>
      <c r="D205" s="36" t="str">
        <f t="shared" si="59"/>
        <v>Мереке</v>
      </c>
      <c r="E205" s="36" t="str">
        <f t="shared" si="60"/>
        <v>Куанышович</v>
      </c>
      <c r="F205" s="36" t="str">
        <f t="shared" si="61"/>
        <v>046495396</v>
      </c>
      <c r="G205" s="37">
        <f>VLOOKUP(F205,Покупатели!$F$2:$N$762,2,0)</f>
        <v>43713</v>
      </c>
      <c r="H205" s="36" t="str">
        <f>VLOOKUP(F205,Покупатели!$F$2:$N$762,3,0)</f>
        <v>МВД РК</v>
      </c>
      <c r="I205" s="36">
        <f>VLOOKUP(C205,Покупатели!$C$2:$M$805,7,0)</f>
        <v>830501351358</v>
      </c>
      <c r="J205" s="36" t="str">
        <f ca="1">IFERROR(__xludf.DUMMYFUNCTION("JOIN("" "", VLOOKUP(C205,Покупатели,8,0),VLOOKUP(C205,Покупатели,9,0),VLOOKUP(C205,Покупатели,10,0),VLOOKUP(C205,Покупатели,11,0))"),"г.Астана р-н Алматы ул.Нажимиденова д.62/1, кв.51")</f>
        <v>г.Астана р-н Алматы ул.Нажимиденова д.62/1, кв.51</v>
      </c>
      <c r="K205" s="36">
        <f t="shared" si="62"/>
        <v>87051033106</v>
      </c>
      <c r="L205" s="36" t="str">
        <f t="shared" si="63"/>
        <v>MX4000002R0001813</v>
      </c>
      <c r="M205" s="36" t="str">
        <f t="shared" ca="1" si="56"/>
        <v>002-2013E30Q13-OK</v>
      </c>
      <c r="N205" s="36" t="str">
        <f t="shared" si="57"/>
        <v>Прицеп 2,0*1,25 м  (до 750 кг.)</v>
      </c>
      <c r="O205" s="36" t="str">
        <f t="shared" si="64"/>
        <v>1 ось</v>
      </c>
      <c r="P205" s="36">
        <f t="shared" si="65"/>
        <v>2024</v>
      </c>
      <c r="Q205" s="36" t="str">
        <f t="shared" ca="1" si="54"/>
        <v>3150*1700*900</v>
      </c>
      <c r="R205" s="36" t="str">
        <f t="shared" ca="1" si="55"/>
        <v>2000*1250*300</v>
      </c>
      <c r="S205" s="34" t="str">
        <f>VLOOKUP(O205,ОТТС!$A$2:$B$3,2,0)</f>
        <v>ТС KZ Е-KZ.0317.00251 от 28.02.2023</v>
      </c>
      <c r="T205" s="39">
        <v>450000</v>
      </c>
      <c r="U205" s="36" t="str">
        <f t="shared" si="51"/>
        <v>Астана</v>
      </c>
    </row>
    <row r="206" spans="1:21" ht="13.2">
      <c r="A206" s="34">
        <v>1374</v>
      </c>
      <c r="B206" s="35">
        <f>VLOOKUP(A206,'Реестр договоров'!$A$2:$D$298,2,0)</f>
        <v>45605</v>
      </c>
      <c r="C206" s="36" t="str">
        <f t="shared" si="58"/>
        <v>Галимбеков</v>
      </c>
      <c r="D206" s="36" t="str">
        <f t="shared" si="59"/>
        <v>Руслан</v>
      </c>
      <c r="E206" s="36" t="str">
        <f t="shared" si="60"/>
        <v>Батырбекович</v>
      </c>
      <c r="F206" s="36" t="str">
        <f t="shared" si="61"/>
        <v>048153161</v>
      </c>
      <c r="G206" s="37">
        <f>VLOOKUP(F206,Покупатели!$F$2:$N$762,2,0)</f>
        <v>44286</v>
      </c>
      <c r="H206" s="36" t="str">
        <f>VLOOKUP(F206,Покупатели!$F$2:$N$762,3,0)</f>
        <v>МВД РК</v>
      </c>
      <c r="I206" s="36">
        <f>VLOOKUP(C206,Покупатели!$C$2:$M$805,7,0)</f>
        <v>820828302237</v>
      </c>
      <c r="J206" s="36" t="str">
        <f ca="1">IFERROR(__xludf.DUMMYFUNCTION("JOIN("" "", VLOOKUP(C206,Покупатели,8,0),VLOOKUP(C206,Покупатели,9,0),VLOOKUP(C206,Покупатели,10,0),VLOOKUP(C206,Покупатели,11,0))"),"Аламтинская обл. г.Талдыкорган ул.Дарабоз ана д.7")</f>
        <v>Аламтинская обл. г.Талдыкорган ул.Дарабоз ана д.7</v>
      </c>
      <c r="K206" s="36">
        <f t="shared" si="62"/>
        <v>87078261680</v>
      </c>
      <c r="L206" s="36" t="str">
        <f t="shared" si="63"/>
        <v>MX4000002R0001625</v>
      </c>
      <c r="M206" s="36" t="str">
        <f t="shared" ca="1" si="56"/>
        <v>002-2513E30Q13-OK</v>
      </c>
      <c r="N206" s="36" t="str">
        <f t="shared" si="57"/>
        <v>Прицеп 2,5*1,25 м  (до 750 кг.)</v>
      </c>
      <c r="O206" s="36" t="str">
        <f t="shared" si="64"/>
        <v>1 ось</v>
      </c>
      <c r="P206" s="36">
        <f t="shared" si="65"/>
        <v>2024</v>
      </c>
      <c r="Q206" s="36" t="str">
        <f t="shared" ca="1" si="54"/>
        <v>3650*1700*900</v>
      </c>
      <c r="R206" s="36" t="str">
        <f t="shared" ca="1" si="55"/>
        <v>2500*1250*300</v>
      </c>
      <c r="S206" s="34" t="str">
        <f>VLOOKUP(O206,ОТТС!$A$2:$B$3,2,0)</f>
        <v>ТС KZ Е-KZ.0317.00251 от 28.02.2023</v>
      </c>
      <c r="T206" s="39">
        <v>380000</v>
      </c>
      <c r="U206" s="36" t="str">
        <f t="shared" si="51"/>
        <v>Алматы</v>
      </c>
    </row>
    <row r="207" spans="1:21" ht="13.2">
      <c r="A207" s="34">
        <v>1375</v>
      </c>
      <c r="B207" s="35">
        <f>VLOOKUP(A207,'Реестр договоров'!$A$2:$D$298,2,0)</f>
        <v>45605</v>
      </c>
      <c r="C207" s="36" t="str">
        <f t="shared" si="58"/>
        <v>Исабеков</v>
      </c>
      <c r="D207" s="36" t="str">
        <f t="shared" si="59"/>
        <v>Дархан</v>
      </c>
      <c r="E207" s="36" t="str">
        <f t="shared" si="60"/>
        <v>Муратбекұлы</v>
      </c>
      <c r="F207" s="36" t="str">
        <f t="shared" si="61"/>
        <v>048552913</v>
      </c>
      <c r="G207" s="37">
        <f>VLOOKUP(F207,Покупатели!$F$2:$N$762,2,0)</f>
        <v>44354</v>
      </c>
      <c r="H207" s="36" t="str">
        <f>VLOOKUP(F207,Покупатели!$F$2:$N$762,3,0)</f>
        <v>ҚР ІІМ</v>
      </c>
      <c r="I207" s="36">
        <f>VLOOKUP(C207,Покупатели!$C$2:$M$805,7,0)</f>
        <v>911230300192</v>
      </c>
      <c r="J207" s="36" t="str">
        <f ca="1">IFERROR(__xludf.DUMMYFUNCTION("JOIN("" "", VLOOKUP(C207,Покупатели,8,0),VLOOKUP(C207,Покупатели,9,0),VLOOKUP(C207,Покупатели,10,0),VLOOKUP(C207,Покупатели,11,0))"),"г.Алматы р-н Алатау,  мкр.Саялы д.59, кв.8")</f>
        <v>г.Алматы р-н Алатау,  мкр.Саялы д.59, кв.8</v>
      </c>
      <c r="K207" s="36">
        <f t="shared" si="62"/>
        <v>87089050091</v>
      </c>
      <c r="L207" s="36" t="str">
        <f t="shared" si="63"/>
        <v>MX4000002R0001782</v>
      </c>
      <c r="M207" s="36" t="str">
        <f t="shared" ca="1" si="56"/>
        <v>002-2013E50Q13-OK</v>
      </c>
      <c r="N207" s="36" t="str">
        <f t="shared" si="57"/>
        <v>Прицеп 2,0*1,25 м  (до 750 кг.)</v>
      </c>
      <c r="O207" s="36" t="str">
        <f t="shared" si="64"/>
        <v>1 ось</v>
      </c>
      <c r="P207" s="36">
        <f t="shared" si="65"/>
        <v>2024</v>
      </c>
      <c r="Q207" s="36" t="str">
        <f t="shared" ca="1" si="54"/>
        <v>3150*1700*1070</v>
      </c>
      <c r="R207" s="36" t="str">
        <f t="shared" ca="1" si="55"/>
        <v>2000*1250*500</v>
      </c>
      <c r="S207" s="34" t="str">
        <f>VLOOKUP(O207,ОТТС!$A$2:$B$3,2,0)</f>
        <v>ТС KZ Е-KZ.0317.00251 от 28.02.2023</v>
      </c>
      <c r="T207" s="39">
        <v>370000</v>
      </c>
      <c r="U207" s="36" t="str">
        <f t="shared" si="51"/>
        <v>Алматы</v>
      </c>
    </row>
    <row r="208" spans="1:21" ht="13.2">
      <c r="A208" s="34">
        <v>1376</v>
      </c>
      <c r="B208" s="35">
        <f>VLOOKUP(A208,'Реестр договоров'!$A$2:$D$298,2,0)</f>
        <v>45606</v>
      </c>
      <c r="C208" s="36" t="str">
        <f t="shared" si="58"/>
        <v>Бурлаков</v>
      </c>
      <c r="D208" s="36" t="str">
        <f t="shared" si="59"/>
        <v>Александр</v>
      </c>
      <c r="E208" s="36" t="str">
        <f t="shared" si="60"/>
        <v>Викторович</v>
      </c>
      <c r="F208" s="36" t="str">
        <f t="shared" si="61"/>
        <v>045185835</v>
      </c>
      <c r="G208" s="37">
        <f>VLOOKUP(F208,Покупатели!$F$2:$N$762,2,0)</f>
        <v>43756</v>
      </c>
      <c r="H208" s="36" t="str">
        <f>VLOOKUP(F208,Покупатели!$F$2:$N$762,3,0)</f>
        <v>МВД РК</v>
      </c>
      <c r="I208" s="36">
        <f>VLOOKUP(C208,Покупатели!$C$2:$M$805,7,0)</f>
        <v>840314300051</v>
      </c>
      <c r="J208" s="36" t="str">
        <f ca="1">IFERROR(__xludf.DUMMYFUNCTION("JOIN("" "", VLOOKUP(C208,Покупатели,8,0),VLOOKUP(C208,Покупатели,9,0),VLOOKUP(C208,Покупатели,10,0),VLOOKUP(C208,Покупатели,11,0))"),"Алматинская область, г. Алматы, ул. Нурсая, д.4, кв.57")</f>
        <v>Алматинская область, г. Алматы, ул. Нурсая, д.4, кв.57</v>
      </c>
      <c r="K208" s="36">
        <f t="shared" si="62"/>
        <v>87772819066</v>
      </c>
      <c r="L208" s="36" t="str">
        <f t="shared" si="63"/>
        <v>MX4000002R0001784</v>
      </c>
      <c r="M208" s="36" t="str">
        <f t="shared" ca="1" si="56"/>
        <v>002-2013E30Q13-OK</v>
      </c>
      <c r="N208" s="36" t="str">
        <f t="shared" si="57"/>
        <v>Прицеп 2,0*1,25 м  (до 750 кг.)</v>
      </c>
      <c r="O208" s="36" t="str">
        <f t="shared" si="64"/>
        <v>1 ось</v>
      </c>
      <c r="P208" s="36">
        <f t="shared" si="65"/>
        <v>2024</v>
      </c>
      <c r="Q208" s="36" t="str">
        <f t="shared" ca="1" si="54"/>
        <v>3150*1700*900</v>
      </c>
      <c r="R208" s="36" t="str">
        <f t="shared" ca="1" si="55"/>
        <v>2000*1250*300</v>
      </c>
      <c r="S208" s="34" t="str">
        <f>VLOOKUP(O208,ОТТС!$A$2:$B$3,2,0)</f>
        <v>ТС KZ Е-KZ.0317.00251 от 28.02.2023</v>
      </c>
      <c r="T208" s="39">
        <v>510000</v>
      </c>
      <c r="U208" s="36" t="str">
        <f t="shared" si="51"/>
        <v>Алматы</v>
      </c>
    </row>
    <row r="209" spans="1:21" ht="13.2">
      <c r="A209" s="34">
        <v>1377</v>
      </c>
      <c r="B209" s="35">
        <f>VLOOKUP(A209,'Реестр договоров'!$A$2:$D$298,2,0)</f>
        <v>45606</v>
      </c>
      <c r="C209" s="36" t="str">
        <f t="shared" si="58"/>
        <v>Зырянов 2</v>
      </c>
      <c r="D209" s="36" t="str">
        <f t="shared" si="59"/>
        <v>Игорь</v>
      </c>
      <c r="E209" s="36" t="str">
        <f t="shared" si="60"/>
        <v>Владимирович</v>
      </c>
      <c r="F209" s="36" t="str">
        <f t="shared" si="61"/>
        <v>043900133</v>
      </c>
      <c r="G209" s="37">
        <f>VLOOKUP(F209,Покупатели!$F$2:$N$762,2,0)</f>
        <v>43475</v>
      </c>
      <c r="H209" s="36" t="str">
        <f>VLOOKUP(F209,Покупатели!$F$2:$N$762,3,0)</f>
        <v>МВД РК</v>
      </c>
      <c r="I209" s="36">
        <f>VLOOKUP(C209,Покупатели!$C$2:$M$805,7,0)</f>
        <v>890121300399</v>
      </c>
      <c r="J209" s="36" t="str">
        <f ca="1">IFERROR(__xludf.DUMMYFUNCTION("JOIN("" "", VLOOKUP(C209,Покупатели,8,0),VLOOKUP(C209,Покупатели,9,0),VLOOKUP(C209,Покупатели,10,0),VLOOKUP(C209,Покупатели,11,0))"),"Жетысуская область, г. Текели, ул. Чайковского, д.78")</f>
        <v>Жетысуская область, г. Текели, ул. Чайковского, д.78</v>
      </c>
      <c r="K209" s="36">
        <f t="shared" si="62"/>
        <v>87059907871</v>
      </c>
      <c r="L209" s="36" t="str">
        <f t="shared" si="63"/>
        <v>MX4000002R0001788</v>
      </c>
      <c r="M209" s="36" t="str">
        <f t="shared" ca="1" si="56"/>
        <v>002-2013E30Q13-OK</v>
      </c>
      <c r="N209" s="36" t="str">
        <f t="shared" si="57"/>
        <v>Прицеп 2,0*1,25 м  (до 750 кг.)</v>
      </c>
      <c r="O209" s="36" t="str">
        <f t="shared" si="64"/>
        <v>1 ось</v>
      </c>
      <c r="P209" s="36">
        <f t="shared" si="65"/>
        <v>2024</v>
      </c>
      <c r="Q209" s="36" t="str">
        <f t="shared" ca="1" si="54"/>
        <v>3150*1700*900</v>
      </c>
      <c r="R209" s="36" t="str">
        <f t="shared" ca="1" si="55"/>
        <v>2000*1250*300</v>
      </c>
      <c r="S209" s="34" t="str">
        <f>VLOOKUP(O209,ОТТС!$A$2:$B$3,2,0)</f>
        <v>ТС KZ Е-KZ.0317.00251 от 28.02.2023</v>
      </c>
      <c r="T209" s="39">
        <v>730000</v>
      </c>
      <c r="U209" s="36" t="str">
        <f t="shared" si="51"/>
        <v>Алматы</v>
      </c>
    </row>
    <row r="210" spans="1:21" ht="13.2">
      <c r="A210" s="34">
        <v>1378</v>
      </c>
      <c r="B210" s="35">
        <f>VLOOKUP(A210,'Реестр договоров'!$A$2:$D$298,2,0)</f>
        <v>45607</v>
      </c>
      <c r="C210" s="36" t="str">
        <f t="shared" si="58"/>
        <v>Искаков</v>
      </c>
      <c r="D210" s="36" t="str">
        <f t="shared" si="59"/>
        <v>Жаксылык</v>
      </c>
      <c r="E210" s="36" t="str">
        <f t="shared" si="60"/>
        <v>Турсынович</v>
      </c>
      <c r="F210" s="36" t="str">
        <f t="shared" si="61"/>
        <v>047214020</v>
      </c>
      <c r="G210" s="37">
        <f>VLOOKUP(F210,Покупатели!$F$2:$N$762,2,0)</f>
        <v>43840</v>
      </c>
      <c r="H210" s="36" t="str">
        <f>VLOOKUP(F210,Покупатели!$F$2:$N$762,3,0)</f>
        <v>ҚР ІІМ</v>
      </c>
      <c r="I210" s="36">
        <f>VLOOKUP(C210,Покупатели!$C$2:$M$805,7,0)</f>
        <v>740204350148</v>
      </c>
      <c r="J210" s="36" t="str">
        <f ca="1">IFERROR(__xludf.DUMMYFUNCTION("JOIN("" "", VLOOKUP(C210,Покупатели,8,0),VLOOKUP(C210,Покупатели,9,0),VLOOKUP(C210,Покупатели,10,0),VLOOKUP(C210,Покупатели,11,0))"),"Акмолинская обл. Целиноградский р-н ул.Акниет д.7")</f>
        <v>Акмолинская обл. Целиноградский р-н ул.Акниет д.7</v>
      </c>
      <c r="K210" s="36">
        <f t="shared" si="62"/>
        <v>87755343918</v>
      </c>
      <c r="L210" s="36" t="str">
        <f t="shared" si="63"/>
        <v>MX4000004R0001809</v>
      </c>
      <c r="M210" s="36" t="str">
        <f t="shared" si="56"/>
        <v>004-3015E30Q13-OK</v>
      </c>
      <c r="N210" s="36" t="str">
        <f t="shared" si="57"/>
        <v>Прицеп 3,0*1,5 м  (до 750 кг.)</v>
      </c>
      <c r="O210" s="36" t="str">
        <f t="shared" si="64"/>
        <v>2 оси</v>
      </c>
      <c r="P210" s="36">
        <f t="shared" si="65"/>
        <v>2024</v>
      </c>
      <c r="Q210" s="36">
        <f t="shared" si="54"/>
        <v>0</v>
      </c>
      <c r="R210" s="36">
        <f t="shared" si="55"/>
        <v>0</v>
      </c>
      <c r="S210" s="34" t="str">
        <f>VLOOKUP(O210,ОТТС!$A$2:$B$3,2,0)</f>
        <v>ТС KZ Е-KZ.0317.00219.П1 от 17.07.2025</v>
      </c>
      <c r="T210" s="39">
        <v>380000</v>
      </c>
      <c r="U210" s="36" t="str">
        <f t="shared" ref="U210:U273" si="66">VLOOKUP(L210,ПРИЦЕПЫ,9,0)</f>
        <v>Астана</v>
      </c>
    </row>
    <row r="211" spans="1:21" ht="13.2">
      <c r="A211" s="34">
        <v>1379</v>
      </c>
      <c r="B211" s="35">
        <f>VLOOKUP(A211,'Реестр договоров'!$A$2:$D$298,2,0)</f>
        <v>45607</v>
      </c>
      <c r="C211" s="36" t="str">
        <f t="shared" si="58"/>
        <v>Идришов</v>
      </c>
      <c r="D211" s="36" t="str">
        <f t="shared" si="59"/>
        <v>Берик</v>
      </c>
      <c r="E211" s="36" t="str">
        <f t="shared" si="60"/>
        <v>Серикказинович</v>
      </c>
      <c r="F211" s="36" t="str">
        <f t="shared" si="61"/>
        <v>044034659</v>
      </c>
      <c r="G211" s="37">
        <f>VLOOKUP(F211,Покупатели!$F$2:$N$762,2,0)</f>
        <v>43504</v>
      </c>
      <c r="H211" s="36" t="str">
        <f>VLOOKUP(F211,Покупатели!$F$2:$N$762,3,0)</f>
        <v>МВД РК</v>
      </c>
      <c r="I211" s="36">
        <f>VLOOKUP(C211,Покупатели!$C$2:$M$805,7,0)</f>
        <v>850908301115</v>
      </c>
      <c r="J211" s="36" t="str">
        <f ca="1">IFERROR(__xludf.DUMMYFUNCTION("JOIN("" "", VLOOKUP(C211,Покупатели,8,0),VLOOKUP(C211,Покупатели,9,0),VLOOKUP(C211,Покупатели,10,0),VLOOKUP(C211,Покупатели,11,0))"),"Алматинская обл. Талгарский р-н,  с.Актас д.4, кв.20")</f>
        <v>Алматинская обл. Талгарский р-н,  с.Актас д.4, кв.20</v>
      </c>
      <c r="K211" s="36">
        <f t="shared" si="62"/>
        <v>87006779545</v>
      </c>
      <c r="L211" s="36" t="str">
        <f t="shared" si="63"/>
        <v>MX4000004R0001792</v>
      </c>
      <c r="M211" s="36" t="str">
        <f t="shared" si="56"/>
        <v>004-2515E30Q13-OK</v>
      </c>
      <c r="N211" s="36" t="str">
        <f t="shared" si="57"/>
        <v>Прицеп 2,5*1,5 м  (до 750 кг.)</v>
      </c>
      <c r="O211" s="36" t="str">
        <f t="shared" si="64"/>
        <v>2 оси</v>
      </c>
      <c r="P211" s="36">
        <f t="shared" si="65"/>
        <v>2024</v>
      </c>
      <c r="Q211" s="36" t="str">
        <f t="shared" ca="1" si="54"/>
        <v>3650*1950*900</v>
      </c>
      <c r="R211" s="36" t="str">
        <f t="shared" ca="1" si="55"/>
        <v>4000*1500*300</v>
      </c>
      <c r="S211" s="34" t="str">
        <f>VLOOKUP(O211,ОТТС!$A$2:$B$3,2,0)</f>
        <v>ТС KZ Е-KZ.0317.00219.П1 от 17.07.2025</v>
      </c>
      <c r="T211" s="39">
        <v>400000</v>
      </c>
      <c r="U211" s="36" t="str">
        <f t="shared" si="66"/>
        <v>Алматы</v>
      </c>
    </row>
    <row r="212" spans="1:21" ht="13.2">
      <c r="A212" s="34">
        <v>1380</v>
      </c>
      <c r="B212" s="35">
        <f>VLOOKUP(A212,'Реестр договоров'!$A$2:$D$298,2,0)</f>
        <v>45608</v>
      </c>
      <c r="C212" s="36" t="str">
        <f t="shared" si="58"/>
        <v>Жумагалиев</v>
      </c>
      <c r="D212" s="36" t="str">
        <f t="shared" si="59"/>
        <v>Бауыржан</v>
      </c>
      <c r="E212" s="36" t="str">
        <f t="shared" si="60"/>
        <v>Ануарбекович</v>
      </c>
      <c r="F212" s="36" t="str">
        <f t="shared" si="61"/>
        <v>051880317</v>
      </c>
      <c r="G212" s="37">
        <f>VLOOKUP(F212,Покупатели!$F$2:$N$762,2,0)</f>
        <v>44847</v>
      </c>
      <c r="H212" s="36" t="str">
        <f>VLOOKUP(F212,Покупатели!$F$2:$N$762,3,0)</f>
        <v>МВД РК</v>
      </c>
      <c r="I212" s="36">
        <f>VLOOKUP(C212,Покупатели!$C$2:$M$805,7,0)</f>
        <v>870928300312</v>
      </c>
      <c r="J212" s="36" t="str">
        <f ca="1">IFERROR(__xludf.DUMMYFUNCTION("JOIN("" "", VLOOKUP(C212,Покупатели,8,0),VLOOKUP(C212,Покупатели,9,0),VLOOKUP(C212,Покупатели,10,0),VLOOKUP(C212,Покупатели,11,0))"),"Область Жетысу Алакольский р-н, г.Ушарал ул.Иванова д.13")</f>
        <v>Область Жетысу Алакольский р-н, г.Ушарал ул.Иванова д.13</v>
      </c>
      <c r="K212" s="36">
        <f t="shared" si="62"/>
        <v>87017451017</v>
      </c>
      <c r="L212" s="36" t="str">
        <f t="shared" si="63"/>
        <v>MX4000002P0001060</v>
      </c>
      <c r="M212" s="36" t="str">
        <f t="shared" ca="1" si="56"/>
        <v>002-2013E30Q13-OK</v>
      </c>
      <c r="N212" s="36" t="str">
        <f t="shared" si="57"/>
        <v>Прицеп 2,0*1,25 м  (до 750 кг.)</v>
      </c>
      <c r="O212" s="36" t="str">
        <f t="shared" si="64"/>
        <v>1 ось</v>
      </c>
      <c r="P212" s="36">
        <f t="shared" si="65"/>
        <v>2024</v>
      </c>
      <c r="Q212" s="36" t="str">
        <f t="shared" ca="1" si="54"/>
        <v>3150*1700*900</v>
      </c>
      <c r="R212" s="36" t="str">
        <f t="shared" ca="1" si="55"/>
        <v>2000*1250*300</v>
      </c>
      <c r="S212" s="34" t="str">
        <f>VLOOKUP(O212,ОТТС!$A$2:$B$3,2,0)</f>
        <v>ТС KZ Е-KZ.0317.00251 от 28.02.2023</v>
      </c>
      <c r="T212" s="39">
        <v>700000</v>
      </c>
      <c r="U212" s="36" t="str">
        <f t="shared" si="66"/>
        <v>Алматы</v>
      </c>
    </row>
    <row r="213" spans="1:21" ht="13.2">
      <c r="A213" s="34">
        <v>1381</v>
      </c>
      <c r="B213" s="35">
        <f>VLOOKUP(A213,'Реестр договоров'!$A$2:$D$298,2,0)</f>
        <v>45609</v>
      </c>
      <c r="C213" s="36" t="str">
        <f t="shared" si="58"/>
        <v>Ахматов 1</v>
      </c>
      <c r="D213" s="36" t="str">
        <f t="shared" si="59"/>
        <v>Эсенбек</v>
      </c>
      <c r="E213" s="36" t="str">
        <f t="shared" si="60"/>
        <v>Талайбекович</v>
      </c>
      <c r="F213" s="36" t="str">
        <f t="shared" si="61"/>
        <v>050763949</v>
      </c>
      <c r="G213" s="37">
        <f>VLOOKUP(F213,Покупатели!$F$2:$N$762,2,0)</f>
        <v>44699</v>
      </c>
      <c r="H213" s="36" t="str">
        <f>VLOOKUP(F213,Покупатели!$F$2:$N$762,3,0)</f>
        <v>МВД РК</v>
      </c>
      <c r="I213" s="36">
        <f>VLOOKUP(C213,Покупатели!$C$2:$M$805,7,0)</f>
        <v>901227050062</v>
      </c>
      <c r="J213" s="36" t="str">
        <f ca="1">IFERROR(__xludf.DUMMYFUNCTION("JOIN("" "", VLOOKUP(C213,Покупатели,8,0),VLOOKUP(C213,Покупатели,9,0),VLOOKUP(C213,Покупатели,10,0),VLOOKUP(C213,Покупатели,11,0))"),"Жамбыльская область г.Кордай ул.Жылыбаева д.28б")</f>
        <v>Жамбыльская область г.Кордай ул.Жылыбаева д.28б</v>
      </c>
      <c r="K213" s="36">
        <f t="shared" si="62"/>
        <v>87006776680</v>
      </c>
      <c r="L213" s="36" t="str">
        <f t="shared" si="63"/>
        <v>MX4000002R0001789</v>
      </c>
      <c r="M213" s="36" t="str">
        <f t="shared" ca="1" si="56"/>
        <v>002-2013E50Q13-OK</v>
      </c>
      <c r="N213" s="36" t="str">
        <f t="shared" si="57"/>
        <v>Прицеп 2,0*1,25 м  (до 750 кг.)</v>
      </c>
      <c r="O213" s="36" t="str">
        <f t="shared" si="64"/>
        <v>1 ось</v>
      </c>
      <c r="P213" s="36">
        <f t="shared" si="65"/>
        <v>2024</v>
      </c>
      <c r="Q213" s="36" t="s">
        <v>923</v>
      </c>
      <c r="R213" s="36" t="s">
        <v>924</v>
      </c>
      <c r="S213" s="34" t="str">
        <f>VLOOKUP(O213,ОТТС!$A$2:$B$3,2,0)</f>
        <v>ТС KZ Е-KZ.0317.00251 от 28.02.2023</v>
      </c>
      <c r="T213" s="38">
        <v>270000</v>
      </c>
      <c r="U213" s="36" t="str">
        <f t="shared" si="66"/>
        <v>Алматы</v>
      </c>
    </row>
    <row r="214" spans="1:21" ht="13.2">
      <c r="A214" s="34">
        <v>1382</v>
      </c>
      <c r="B214" s="35">
        <f>VLOOKUP(A214,'Реестр договоров'!$A$2:$D$298,2,0)</f>
        <v>45609</v>
      </c>
      <c r="C214" s="36" t="str">
        <f t="shared" si="58"/>
        <v>Ауельбеков</v>
      </c>
      <c r="D214" s="36" t="str">
        <f t="shared" si="59"/>
        <v>Бауыржан</v>
      </c>
      <c r="E214" s="36" t="str">
        <f t="shared" si="60"/>
        <v>Ерланович</v>
      </c>
      <c r="F214" s="36" t="str">
        <f t="shared" si="61"/>
        <v>048678173</v>
      </c>
      <c r="G214" s="37">
        <f>VLOOKUP(F214,Покупатели!$F$2:$N$762,2,0)</f>
        <v>44372</v>
      </c>
      <c r="H214" s="36" t="str">
        <f>VLOOKUP(F214,Покупатели!$F$2:$N$762,3,0)</f>
        <v>МВД РК</v>
      </c>
      <c r="I214" s="36">
        <f>VLOOKUP(C214,Покупатели!$C$2:$M$805,7,0)</f>
        <v>900901301252</v>
      </c>
      <c r="J214" s="36" t="str">
        <f ca="1">IFERROR(__xludf.DUMMYFUNCTION("JOIN("" "", VLOOKUP(C214,Покупатели,8,0),VLOOKUP(C214,Покупатели,9,0),VLOOKUP(C214,Покупатели,10,0),VLOOKUP(C214,Покупатели,11,0))"),"область Жетысу г.Талдыкорган ул.Ескелды би д.180")</f>
        <v>область Жетысу г.Талдыкорган ул.Ескелды би д.180</v>
      </c>
      <c r="K214" s="36">
        <f t="shared" si="62"/>
        <v>87077678082</v>
      </c>
      <c r="L214" s="36" t="str">
        <f t="shared" si="63"/>
        <v>MX4000002R0001820</v>
      </c>
      <c r="M214" s="36" t="str">
        <f t="shared" ca="1" si="56"/>
        <v>002-2013E50Q13-OK</v>
      </c>
      <c r="N214" s="36" t="str">
        <f t="shared" si="57"/>
        <v>Прицеп 2,0*1,25 м  (до 750 кг.)</v>
      </c>
      <c r="O214" s="36" t="str">
        <f t="shared" si="64"/>
        <v>1 ось</v>
      </c>
      <c r="P214" s="36">
        <f t="shared" si="65"/>
        <v>2024</v>
      </c>
      <c r="Q214" s="34" t="s">
        <v>925</v>
      </c>
      <c r="R214" s="34" t="s">
        <v>926</v>
      </c>
      <c r="S214" s="34" t="str">
        <f>VLOOKUP(O214,ОТТС!$A$2:$B$3,2,0)</f>
        <v>ТС KZ Е-KZ.0317.00251 от 28.02.2023</v>
      </c>
      <c r="T214" s="39">
        <v>760000</v>
      </c>
      <c r="U214" s="36" t="str">
        <f t="shared" si="66"/>
        <v>Алматы</v>
      </c>
    </row>
    <row r="215" spans="1:21" ht="13.2">
      <c r="A215" s="34">
        <v>1383</v>
      </c>
      <c r="B215" s="35">
        <f>VLOOKUP(A215,'Реестр договоров'!$A$2:$D$298,2,0)</f>
        <v>45609</v>
      </c>
      <c r="C215" s="36" t="str">
        <f t="shared" si="58"/>
        <v>Балташев</v>
      </c>
      <c r="D215" s="36" t="str">
        <f t="shared" si="59"/>
        <v>Нариман</v>
      </c>
      <c r="E215" s="36"/>
      <c r="F215" s="36" t="str">
        <f t="shared" si="61"/>
        <v>046598180</v>
      </c>
      <c r="G215" s="37">
        <f>VLOOKUP(F215,Покупатели!$F$2:$N$762,2,0)</f>
        <v>43732</v>
      </c>
      <c r="H215" s="36" t="str">
        <f>VLOOKUP(F215,Покупатели!$F$2:$N$762,3,0)</f>
        <v>МВД РК</v>
      </c>
      <c r="I215" s="36">
        <f>VLOOKUP(C215,Покупатели!$C$2:$M$805,7,0)</f>
        <v>920730351749</v>
      </c>
      <c r="J215" s="36" t="str">
        <f ca="1">IFERROR(__xludf.DUMMYFUNCTION("JOIN("" "", VLOOKUP(C215,Покупатели,8,0),VLOOKUP(C215,Покупатели,9,0),VLOOKUP(C215,Покупатели,10,0),VLOOKUP(C215,Покупатели,11,0))"),"Акмолинская обл. Астраханский р-н, с.Жалтыр ул.Северная д.84")</f>
        <v>Акмолинская обл. Астраханский р-н, с.Жалтыр ул.Северная д.84</v>
      </c>
      <c r="K215" s="36">
        <f t="shared" si="62"/>
        <v>87755090092</v>
      </c>
      <c r="L215" s="36" t="str">
        <f t="shared" si="63"/>
        <v>MX4000002P0001444</v>
      </c>
      <c r="M215" s="36" t="str">
        <f t="shared" ca="1" si="56"/>
        <v>002-2513E30Q13-OK</v>
      </c>
      <c r="N215" s="36" t="str">
        <f t="shared" si="57"/>
        <v>Прицеп 2,5*1,25 м  (до 750 кг.)</v>
      </c>
      <c r="O215" s="36" t="str">
        <f t="shared" si="64"/>
        <v>1 ось</v>
      </c>
      <c r="P215" s="36">
        <f t="shared" si="65"/>
        <v>2024</v>
      </c>
      <c r="Q215" s="36" t="str">
        <f ca="1">VLOOKUP(M215,матрица,16,0)</f>
        <v>3650*1700*900</v>
      </c>
      <c r="R215" s="36" t="str">
        <f ca="1">VLOOKUP(M215,матрица,17,0)</f>
        <v>2500*1250*300</v>
      </c>
      <c r="S215" s="34" t="str">
        <f>VLOOKUP(O215,ОТТС!$A$2:$B$3,2,0)</f>
        <v>ТС KZ Е-KZ.0317.00251 от 28.02.2023</v>
      </c>
      <c r="T215" s="38">
        <v>600000</v>
      </c>
      <c r="U215" s="36" t="str">
        <f t="shared" si="66"/>
        <v>Астана</v>
      </c>
    </row>
    <row r="216" spans="1:21" ht="13.2">
      <c r="A216" s="34">
        <v>1384</v>
      </c>
      <c r="B216" s="35">
        <f>VLOOKUP(A216,'Реестр договоров'!$A$2:$D$298,2,0)</f>
        <v>45610</v>
      </c>
      <c r="C216" s="36" t="str">
        <f t="shared" si="58"/>
        <v>Ашимова</v>
      </c>
      <c r="D216" s="36" t="str">
        <f t="shared" si="59"/>
        <v>Гульнара</v>
      </c>
      <c r="E216" s="36" t="str">
        <f t="shared" ref="E216:E227" si="67">VLOOKUP(C216,Покупатели,3,0)</f>
        <v>Бауржановна</v>
      </c>
      <c r="F216" s="36" t="str">
        <f t="shared" si="61"/>
        <v>041280778</v>
      </c>
      <c r="G216" s="37">
        <f>VLOOKUP(F216,Покупатели!$F$2:$N$762,2,0)</f>
        <v>42530</v>
      </c>
      <c r="H216" s="36" t="str">
        <f>VLOOKUP(F216,Покупатели!$F$2:$N$762,3,0)</f>
        <v>МВД РК</v>
      </c>
      <c r="I216" s="36">
        <f>VLOOKUP(C216,Покупатели!$C$2:$M$805,7,0)</f>
        <v>780412401749</v>
      </c>
      <c r="J216" s="36" t="str">
        <f ca="1">IFERROR(__xludf.DUMMYFUNCTION("JOIN("" "", VLOOKUP(C216,Покупатели,8,0),VLOOKUP(C216,Покупатели,9,0),VLOOKUP(C216,Покупатели,10,0),VLOOKUP(C216,Покупатели,11,0))"),"Акмолинская область, с. Красный Яр, ул. Автобаза, д.14, кв. 6")</f>
        <v>Акмолинская область, с. Красный Яр, ул. Автобаза, д.14, кв. 6</v>
      </c>
      <c r="K216" s="36">
        <f t="shared" si="62"/>
        <v>87057052635</v>
      </c>
      <c r="L216" s="36" t="str">
        <f t="shared" si="63"/>
        <v>MX4000002R0001837</v>
      </c>
      <c r="M216" s="36" t="s">
        <v>289</v>
      </c>
      <c r="N216" s="36" t="s">
        <v>287</v>
      </c>
      <c r="O216" s="36" t="str">
        <f t="shared" si="64"/>
        <v>1 ось</v>
      </c>
      <c r="P216" s="36">
        <f t="shared" si="65"/>
        <v>2024</v>
      </c>
      <c r="Q216" s="36" t="s">
        <v>919</v>
      </c>
      <c r="R216" s="36" t="s">
        <v>920</v>
      </c>
      <c r="S216" s="34" t="str">
        <f>VLOOKUP(O216,ОТТС!$A$2:$B$3,2,0)</f>
        <v>ТС KZ Е-KZ.0317.00251 от 28.02.2023</v>
      </c>
      <c r="T216" s="38">
        <v>680000</v>
      </c>
      <c r="U216" s="36" t="str">
        <f t="shared" si="66"/>
        <v>Кокшетау</v>
      </c>
    </row>
    <row r="217" spans="1:21" ht="13.2">
      <c r="A217" s="34">
        <v>1385</v>
      </c>
      <c r="B217" s="35">
        <f>VLOOKUP(A217,'Реестр договоров'!$A$2:$D$298,2,0)</f>
        <v>45612</v>
      </c>
      <c r="C217" s="36" t="str">
        <f t="shared" si="58"/>
        <v>Березовский</v>
      </c>
      <c r="D217" s="36" t="str">
        <f t="shared" si="59"/>
        <v>Александр</v>
      </c>
      <c r="E217" s="36" t="str">
        <f t="shared" si="67"/>
        <v>Александрович</v>
      </c>
      <c r="F217" s="36" t="str">
        <f t="shared" si="61"/>
        <v>058001129</v>
      </c>
      <c r="G217" s="37">
        <f>VLOOKUP(F217,Покупатели!$F$2:$N$762,2,0)</f>
        <v>45579</v>
      </c>
      <c r="H217" s="36" t="str">
        <f>VLOOKUP(F217,Покупатели!$F$2:$N$762,3,0)</f>
        <v>МВД РК</v>
      </c>
      <c r="I217" s="36">
        <f>VLOOKUP(C217,Покупатели!$C$2:$M$805,7,0)</f>
        <v>791018302268</v>
      </c>
      <c r="J217" s="36" t="str">
        <f ca="1">IFERROR(__xludf.DUMMYFUNCTION("JOIN("" "", VLOOKUP(C217,Покупатели,8,0),VLOOKUP(C217,Покупатели,9,0),VLOOKUP(C217,Покупатели,10,0),VLOOKUP(C217,Покупатели,11,0))"),"г.Алматы Ауезовский р-н, мкр.Аксай-3 д.34 кв.29")</f>
        <v>г.Алматы Ауезовский р-н, мкр.Аксай-3 д.34 кв.29</v>
      </c>
      <c r="K217" s="36">
        <f t="shared" si="62"/>
        <v>87025569861</v>
      </c>
      <c r="L217" s="36" t="str">
        <f t="shared" si="63"/>
        <v>MX4000002R0001790</v>
      </c>
      <c r="M217" s="36" t="str">
        <f ca="1">VLOOKUP(L217,ПРИЦЕПЫ,11,0)</f>
        <v>002-2013E50Q13-OK</v>
      </c>
      <c r="N217" s="36" t="str">
        <f t="shared" ref="N217:N280" si="68">VLOOKUP(L217,ПРИЦЕПЫ,2,0)</f>
        <v>Прицеп 2,0*1,25 м  (до 750 кг.)</v>
      </c>
      <c r="O217" s="36" t="str">
        <f t="shared" si="64"/>
        <v>1 ось</v>
      </c>
      <c r="P217" s="36">
        <f t="shared" si="65"/>
        <v>2024</v>
      </c>
      <c r="Q217" s="36" t="s">
        <v>927</v>
      </c>
      <c r="R217" s="36" t="s">
        <v>928</v>
      </c>
      <c r="S217" s="34" t="str">
        <f>VLOOKUP(O217,ОТТС!$A$2:$B$3,2,0)</f>
        <v>ТС KZ Е-KZ.0317.00251 от 28.02.2023</v>
      </c>
      <c r="T217" s="38">
        <v>1050000</v>
      </c>
      <c r="U217" s="36" t="str">
        <f t="shared" si="66"/>
        <v>Алматы</v>
      </c>
    </row>
    <row r="218" spans="1:21" ht="13.2">
      <c r="A218" s="34">
        <v>1386</v>
      </c>
      <c r="B218" s="35">
        <f>VLOOKUP(A218,'Реестр договоров'!$A$2:$D$298,2,0)</f>
        <v>45612</v>
      </c>
      <c r="C218" s="36" t="str">
        <f t="shared" si="58"/>
        <v>Патыхов</v>
      </c>
      <c r="D218" s="36" t="str">
        <f t="shared" si="59"/>
        <v>Сакен</v>
      </c>
      <c r="E218" s="36" t="str">
        <f t="shared" si="67"/>
        <v>Кабатович</v>
      </c>
      <c r="F218" s="36" t="str">
        <f t="shared" si="61"/>
        <v>038225883</v>
      </c>
      <c r="G218" s="37">
        <f>VLOOKUP(F218,Покупатели!$F$2:$N$762,2,0)</f>
        <v>42207</v>
      </c>
      <c r="H218" s="36" t="str">
        <f>VLOOKUP(F218,Покупатели!$F$2:$N$762,3,0)</f>
        <v>МВД РК</v>
      </c>
      <c r="I218" s="36">
        <f>VLOOKUP(C218,Покупатели!$C$2:$M$805,7,0)</f>
        <v>781220301355</v>
      </c>
      <c r="J218" s="36" t="str">
        <f ca="1">IFERROR(__xludf.DUMMYFUNCTION("JOIN("" "", VLOOKUP(C218,Покупатели,8,0),VLOOKUP(C218,Покупатели,9,0),VLOOKUP(C218,Покупатели,10,0),VLOOKUP(C218,Покупатели,11,0))"),"Алматинская область, Жамбылский район, с. Бериктас, ул. Достык, д.20")</f>
        <v>Алматинская область, Жамбылский район, с. Бериктас, ул. Достык, д.20</v>
      </c>
      <c r="K218" s="36">
        <f t="shared" si="62"/>
        <v>87056652554</v>
      </c>
      <c r="L218" s="36" t="str">
        <f t="shared" si="63"/>
        <v>MX4000002P0001425</v>
      </c>
      <c r="M218" s="36" t="str">
        <f ca="1">VLOOKUP(L218,ПРИЦЕПЫ,11,0)</f>
        <v>002-2513E30Q13-OK</v>
      </c>
      <c r="N218" s="36" t="str">
        <f t="shared" si="68"/>
        <v>Прицеп 2,5*1,25 м  (до 750 кг.)</v>
      </c>
      <c r="O218" s="36" t="str">
        <f t="shared" si="64"/>
        <v>1 ось</v>
      </c>
      <c r="P218" s="36">
        <f t="shared" si="65"/>
        <v>2023</v>
      </c>
      <c r="Q218" s="36" t="str">
        <f ca="1">VLOOKUP(M218,матрица,16,0)</f>
        <v>3650*1700*900</v>
      </c>
      <c r="R218" s="36" t="str">
        <f ca="1">VLOOKUP(M218,матрица,17,0)</f>
        <v>2500*1250*300</v>
      </c>
      <c r="S218" s="34" t="str">
        <f>VLOOKUP(O218,ОТТС!$A$2:$B$3,2,0)</f>
        <v>ТС KZ Е-KZ.0317.00251 от 28.02.2023</v>
      </c>
      <c r="T218" s="38">
        <v>630000</v>
      </c>
      <c r="U218" s="36" t="str">
        <f t="shared" si="66"/>
        <v>Алматы</v>
      </c>
    </row>
    <row r="219" spans="1:21" ht="16.5" customHeight="1">
      <c r="A219" s="34">
        <v>1391</v>
      </c>
      <c r="B219" s="35">
        <f>VLOOKUP(A219,'Реестр договоров'!$A$2:$D$298,2,0)</f>
        <v>45616</v>
      </c>
      <c r="C219" s="36" t="str">
        <f t="shared" si="58"/>
        <v>Носов</v>
      </c>
      <c r="D219" s="36" t="str">
        <f t="shared" si="59"/>
        <v>Сергей</v>
      </c>
      <c r="E219" s="36" t="str">
        <f t="shared" si="67"/>
        <v>Николаевич</v>
      </c>
      <c r="F219" s="36" t="str">
        <f t="shared" si="61"/>
        <v>018475947</v>
      </c>
      <c r="G219" s="37">
        <f>VLOOKUP(F219,Покупатели!$F$2:$N$762,2,0)</f>
        <v>38938</v>
      </c>
      <c r="H219" s="36" t="str">
        <f>VLOOKUP(F219,Покупатели!$F$2:$N$762,3,0)</f>
        <v>МЮ РК</v>
      </c>
      <c r="I219" s="36">
        <f>VLOOKUP(C219,Покупатели!$C$2:$M$805,7,0)</f>
        <v>610506350331</v>
      </c>
      <c r="J219" s="36" t="str">
        <f ca="1">IFERROR(__xludf.DUMMYFUNCTION("JOIN("" "", VLOOKUP(C219,Покупатели,8,0),VLOOKUP(C219,Покупатели,9,0),VLOOKUP(C219,Покупатели,10,0),VLOOKUP(C219,Покупатели,11,0))"),"СКО,  Айыртауский район, с. Сырымбет, ул. Восточная, д.6")</f>
        <v>СКО,  Айыртауский район, с. Сырымбет, ул. Восточная, д.6</v>
      </c>
      <c r="K219" s="36">
        <f t="shared" si="62"/>
        <v>87776527448</v>
      </c>
      <c r="L219" s="36" t="str">
        <f t="shared" si="63"/>
        <v>MX4000002R0001843</v>
      </c>
      <c r="M219" s="36" t="s">
        <v>354</v>
      </c>
      <c r="N219" s="36" t="str">
        <f t="shared" si="68"/>
        <v>Прицеп 2,5*1,25 м  (до 750 кг.)</v>
      </c>
      <c r="O219" s="36" t="str">
        <f t="shared" si="64"/>
        <v>1 ось</v>
      </c>
      <c r="P219" s="36">
        <f t="shared" si="65"/>
        <v>2024</v>
      </c>
      <c r="Q219" s="36" t="str">
        <f ca="1">VLOOKUP(M219,матрица,16,0)</f>
        <v>3650*1950*1070</v>
      </c>
      <c r="R219" s="36" t="str">
        <f ca="1">VLOOKUP(M219,матрица,17,0)</f>
        <v>4000*1500*500</v>
      </c>
      <c r="S219" s="34" t="str">
        <f>VLOOKUP(O219,ОТТС!$A$2:$B$3,2,0)</f>
        <v>ТС KZ Е-KZ.0317.00251 от 28.02.2023</v>
      </c>
      <c r="T219" s="38">
        <v>680000</v>
      </c>
      <c r="U219" s="36" t="str">
        <f t="shared" si="66"/>
        <v>Кокшетау</v>
      </c>
    </row>
    <row r="220" spans="1:21" ht="13.2">
      <c r="A220" s="34">
        <v>1393</v>
      </c>
      <c r="B220" s="35">
        <f>VLOOKUP(A220,'Реестр договоров'!$A$2:$D$298,2,0)</f>
        <v>45617</v>
      </c>
      <c r="C220" s="36" t="str">
        <f t="shared" si="58"/>
        <v>Байкулаков</v>
      </c>
      <c r="D220" s="36" t="str">
        <f t="shared" si="59"/>
        <v>Дидар</v>
      </c>
      <c r="E220" s="36" t="str">
        <f t="shared" si="67"/>
        <v>Таубаевич</v>
      </c>
      <c r="F220" s="36" t="str">
        <f t="shared" si="61"/>
        <v>057997927</v>
      </c>
      <c r="G220" s="37">
        <f>VLOOKUP(F220,Покупатели!$F$2:$N$762,2,0)</f>
        <v>45589</v>
      </c>
      <c r="H220" s="36" t="str">
        <f>VLOOKUP(F220,Покупатели!$F$2:$N$762,3,0)</f>
        <v>МВД РК</v>
      </c>
      <c r="I220" s="36">
        <f>VLOOKUP(C220,Покупатели!$C$2:$M$805,7,0)</f>
        <v>801221302632</v>
      </c>
      <c r="J220" s="36" t="str">
        <f ca="1">IFERROR(__xludf.DUMMYFUNCTION("JOIN("" "", VLOOKUP(C220,Покупатели,8,0),VLOOKUP(C220,Покупатели,9,0),VLOOKUP(C220,Покупатели,10,0),VLOOKUP(C220,Покупатели,11,0))"),"Алматинская обл. Карасайский р-н, с.Кемертоган ул.6 квартал д.93")</f>
        <v>Алматинская обл. Карасайский р-н, с.Кемертоган ул.6 квартал д.93</v>
      </c>
      <c r="K220" s="36">
        <f t="shared" si="62"/>
        <v>87714697528</v>
      </c>
      <c r="L220" s="36" t="str">
        <f t="shared" si="63"/>
        <v>MX4000002R0001825</v>
      </c>
      <c r="M220" s="36" t="str">
        <f t="shared" ref="M220:M283" ca="1" si="69">VLOOKUP(L220,ПРИЦЕПЫ,11,0)</f>
        <v>002-2013E30Q13-OK</v>
      </c>
      <c r="N220" s="36" t="str">
        <f t="shared" si="68"/>
        <v>Прицеп 2,0*1,25 м  (до 750 кг.)</v>
      </c>
      <c r="O220" s="36" t="str">
        <f t="shared" si="64"/>
        <v>1 ось</v>
      </c>
      <c r="P220" s="36">
        <f t="shared" si="65"/>
        <v>2024</v>
      </c>
      <c r="Q220" s="34" t="s">
        <v>921</v>
      </c>
      <c r="R220" s="34" t="s">
        <v>929</v>
      </c>
      <c r="S220" s="34" t="str">
        <f>VLOOKUP(O220,ОТТС!$A$2:$B$3,2,0)</f>
        <v>ТС KZ Е-KZ.0317.00251 от 28.02.2023</v>
      </c>
      <c r="T220" s="39">
        <v>690000</v>
      </c>
      <c r="U220" s="36" t="str">
        <f t="shared" si="66"/>
        <v>Алматы</v>
      </c>
    </row>
    <row r="221" spans="1:21" ht="13.2">
      <c r="A221" s="34">
        <v>1395</v>
      </c>
      <c r="B221" s="35">
        <f>VLOOKUP(A221,'Реестр договоров'!$A$2:$D$298,2,0)</f>
        <v>45618</v>
      </c>
      <c r="C221" s="36" t="str">
        <f t="shared" si="58"/>
        <v>Куаныш</v>
      </c>
      <c r="D221" s="36" t="e">
        <f t="shared" si="59"/>
        <v>#N/A</v>
      </c>
      <c r="E221" s="36" t="e">
        <f t="shared" si="67"/>
        <v>#N/A</v>
      </c>
      <c r="F221" s="36" t="e">
        <f t="shared" si="61"/>
        <v>#N/A</v>
      </c>
      <c r="G221" s="37" t="e">
        <f>VLOOKUP(F221,Покупатели!$F$2:$N$762,2,0)</f>
        <v>#N/A</v>
      </c>
      <c r="H221" s="36" t="e">
        <f>VLOOKUP(F221,Покупатели!$F$2:$N$762,3,0)</f>
        <v>#N/A</v>
      </c>
      <c r="I221" s="36" t="e">
        <f>VLOOKUP(C221,Покупатели!$C$2:$M$805,7,0)</f>
        <v>#N/A</v>
      </c>
      <c r="J221" s="36" t="str">
        <f ca="1">IFERROR(__xludf.DUMMYFUNCTION("JOIN("" "", VLOOKUP(C221,Покупатели,8,0),VLOOKUP(C221,Покупатели,9,0),VLOOKUP(C221,Покупатели,10,0),VLOOKUP(C221,Покупатели,11,0))"),"#N/A")</f>
        <v>#N/A</v>
      </c>
      <c r="K221" s="36" t="e">
        <f t="shared" si="62"/>
        <v>#N/A</v>
      </c>
      <c r="L221" s="36" t="str">
        <f t="shared" si="63"/>
        <v>MX4000002R0001845</v>
      </c>
      <c r="M221" s="36" t="str">
        <f t="shared" si="69"/>
        <v>002-3515E30Q13-OK150</v>
      </c>
      <c r="N221" s="36" t="str">
        <f t="shared" si="68"/>
        <v>Прицеп 3,5*1,5 м  (до 750 кг.)</v>
      </c>
      <c r="O221" s="36" t="str">
        <f t="shared" si="64"/>
        <v>1 ось</v>
      </c>
      <c r="P221" s="36">
        <f t="shared" si="65"/>
        <v>2024</v>
      </c>
      <c r="Q221" s="34" t="s">
        <v>930</v>
      </c>
      <c r="R221" s="34" t="s">
        <v>931</v>
      </c>
      <c r="S221" s="34" t="str">
        <f>VLOOKUP(O221,ОТТС!$A$2:$B$3,2,0)</f>
        <v>ТС KZ Е-KZ.0317.00251 от 28.02.2023</v>
      </c>
      <c r="T221" s="39">
        <v>630000</v>
      </c>
      <c r="U221" s="36" t="str">
        <f t="shared" si="66"/>
        <v>Астана</v>
      </c>
    </row>
    <row r="222" spans="1:21" ht="13.2">
      <c r="A222" s="34">
        <v>1396</v>
      </c>
      <c r="B222" s="35">
        <f>VLOOKUP(A222,'Реестр договоров'!$A$2:$D$298,2,0)</f>
        <v>45625</v>
      </c>
      <c r="C222" s="36" t="str">
        <f t="shared" si="58"/>
        <v xml:space="preserve">Каменев </v>
      </c>
      <c r="D222" s="36" t="str">
        <f t="shared" si="59"/>
        <v>Роман</v>
      </c>
      <c r="E222" s="36" t="str">
        <f t="shared" si="67"/>
        <v>Анатольевич</v>
      </c>
      <c r="F222" s="36" t="str">
        <f t="shared" si="61"/>
        <v>040505809</v>
      </c>
      <c r="G222" s="37">
        <f>VLOOKUP(F222,Покупатели!$F$2:$N$762,2,0)</f>
        <v>42592</v>
      </c>
      <c r="H222" s="36" t="str">
        <f>VLOOKUP(F222,Покупатели!$F$2:$N$762,3,0)</f>
        <v>МВД РК</v>
      </c>
      <c r="I222" s="36">
        <f>VLOOKUP(C222,Покупатели!$C$2:$M$805,7,0)</f>
        <v>900228300602</v>
      </c>
      <c r="J222" s="36" t="str">
        <f ca="1">IFERROR(__xludf.DUMMYFUNCTION("JOIN("" "", VLOOKUP(C222,Покупатели,8,0),VLOOKUP(C222,Покупатели,9,0),VLOOKUP(C222,Покупатели,10,0),VLOOKUP(C222,Покупатели,11,0))"),"Алматинская область, г. Алматы, ул. Байконурская, д. 122, кв. 4")</f>
        <v>Алматинская область, г. Алматы, ул. Байконурская, д. 122, кв. 4</v>
      </c>
      <c r="K222" s="36">
        <f t="shared" si="62"/>
        <v>87714088667</v>
      </c>
      <c r="L222" s="36" t="str">
        <f t="shared" si="63"/>
        <v>MX4000004R0001863</v>
      </c>
      <c r="M222" s="36" t="str">
        <f t="shared" si="69"/>
        <v>004-3515E30Q15-OK150</v>
      </c>
      <c r="N222" s="36" t="str">
        <f t="shared" si="68"/>
        <v>Прицеп 3,5*1,5 м  (до 750 кг.)</v>
      </c>
      <c r="O222" s="36" t="str">
        <f t="shared" si="64"/>
        <v>2 оси</v>
      </c>
      <c r="P222" s="36">
        <f t="shared" si="65"/>
        <v>2024</v>
      </c>
      <c r="Q222" s="34" t="s">
        <v>932</v>
      </c>
      <c r="R222" s="36">
        <f>VLOOKUP(M222,матрица,17,0)</f>
        <v>0</v>
      </c>
      <c r="S222" s="34" t="str">
        <f>VLOOKUP(O222,ОТТС!$A$2:$B$3,2,0)</f>
        <v>ТС KZ Е-KZ.0317.00219.П1 от 17.07.2025</v>
      </c>
      <c r="T222" s="39">
        <v>700000</v>
      </c>
      <c r="U222" s="36" t="str">
        <f t="shared" si="66"/>
        <v>Алматы</v>
      </c>
    </row>
    <row r="223" spans="1:21" ht="13.2">
      <c r="A223" s="34">
        <v>1397</v>
      </c>
      <c r="B223" s="35">
        <f>VLOOKUP(A223,'Реестр договоров'!$A$2:$D$298,2,0)</f>
        <v>45625</v>
      </c>
      <c r="C223" s="36" t="str">
        <f t="shared" si="58"/>
        <v>Джамалиев1</v>
      </c>
      <c r="D223" s="36" t="str">
        <f t="shared" si="59"/>
        <v>Сарсен</v>
      </c>
      <c r="E223" s="36" t="str">
        <f t="shared" si="67"/>
        <v>Серикович</v>
      </c>
      <c r="F223" s="36" t="str">
        <f t="shared" si="61"/>
        <v>047867128</v>
      </c>
      <c r="G223" s="37">
        <f>VLOOKUP(F223,Покупатели!$F$2:$N$762,2,0)</f>
        <v>43973</v>
      </c>
      <c r="H223" s="36" t="str">
        <f>VLOOKUP(F223,Покупатели!$F$2:$N$762,3,0)</f>
        <v>МВД РК</v>
      </c>
      <c r="I223" s="36">
        <f>VLOOKUP(C223,Покупатели!$C$2:$M$805,7,0)</f>
        <v>880309350830</v>
      </c>
      <c r="J223" s="36" t="str">
        <f ca="1">IFERROR(__xludf.DUMMYFUNCTION("JOIN("" "", VLOOKUP(C223,Покупатели,8,0),VLOOKUP(C223,Покупатели,9,0),VLOOKUP(C223,Покупатели,10,0),VLOOKUP(C223,Покупатели,11,0))"),"Акмолинская обл. р-н Биржан сал, с.Макинка ул.Чкалова д.65а")</f>
        <v>Акмолинская обл. р-н Биржан сал, с.Макинка ул.Чкалова д.65а</v>
      </c>
      <c r="K223" s="36">
        <f t="shared" si="62"/>
        <v>87056716411</v>
      </c>
      <c r="L223" s="36" t="str">
        <f t="shared" si="63"/>
        <v>MX4000002R0001867</v>
      </c>
      <c r="M223" s="36" t="str">
        <f t="shared" ca="1" si="69"/>
        <v>002-2513E50Q13-OK</v>
      </c>
      <c r="N223" s="36" t="str">
        <f t="shared" si="68"/>
        <v>Прицеп 2,5*1,25 м  (до 750 кг.)</v>
      </c>
      <c r="O223" s="36" t="str">
        <f t="shared" si="64"/>
        <v>1 ось</v>
      </c>
      <c r="P223" s="36">
        <f t="shared" si="65"/>
        <v>2024</v>
      </c>
      <c r="Q223" s="36" t="str">
        <f ca="1">VLOOKUP(M223,матрица,16,0)</f>
        <v>3650*1700*1070</v>
      </c>
      <c r="R223" s="36" t="str">
        <f ca="1">VLOOKUP(M223,матрица,17,0)</f>
        <v>2500*1250*500</v>
      </c>
      <c r="S223" s="34" t="str">
        <f>VLOOKUP(O223,ОТТС!$A$2:$B$3,2,0)</f>
        <v>ТС KZ Е-KZ.0317.00251 от 28.02.2023</v>
      </c>
      <c r="T223" s="39">
        <v>620000</v>
      </c>
      <c r="U223" s="36" t="str">
        <f t="shared" si="66"/>
        <v>Астана</v>
      </c>
    </row>
    <row r="224" spans="1:21" ht="13.2">
      <c r="A224" s="34">
        <v>1398</v>
      </c>
      <c r="B224" s="35">
        <f>VLOOKUP(A224,'Реестр договоров'!$A$2:$D$298,2,0)</f>
        <v>45625</v>
      </c>
      <c r="C224" s="36" t="str">
        <f t="shared" si="58"/>
        <v>Ахметалиев</v>
      </c>
      <c r="D224" s="36" t="str">
        <f t="shared" si="59"/>
        <v>Дастан</v>
      </c>
      <c r="E224" s="36" t="str">
        <f t="shared" si="67"/>
        <v>Тілеулесұлы</v>
      </c>
      <c r="F224" s="36" t="str">
        <f t="shared" si="61"/>
        <v>040196209</v>
      </c>
      <c r="G224" s="37">
        <f>VLOOKUP(F224,Покупатели!$F$2:$N$762,2,0)</f>
        <v>42524</v>
      </c>
      <c r="H224" s="36" t="str">
        <f>VLOOKUP(F224,Покупатели!$F$2:$N$762,3,0)</f>
        <v>ҚР ІІМ</v>
      </c>
      <c r="I224" s="36">
        <f>VLOOKUP(C224,Покупатели!$C$2:$M$805,7,0)</f>
        <v>910614301721</v>
      </c>
      <c r="J224" s="36" t="str">
        <f ca="1">IFERROR(__xludf.DUMMYFUNCTION("JOIN("" "", VLOOKUP(C224,Покупатели,8,0),VLOOKUP(C224,Покупатели,9,0),VLOOKUP(C224,Покупатели,10,0),VLOOKUP(C224,Покупатели,11,0))"),"Алматинская область, г. Алматы, Турксибский район, ул. Папанина, д. 52а, кв.4а")</f>
        <v>Алматинская область, г. Алматы, Турксибский район, ул. Папанина, д. 52а, кв.4а</v>
      </c>
      <c r="K224" s="36">
        <f t="shared" si="62"/>
        <v>87476246565</v>
      </c>
      <c r="L224" s="36" t="str">
        <f t="shared" si="63"/>
        <v>MX4000002R0001844</v>
      </c>
      <c r="M224" s="36" t="str">
        <f t="shared" ca="1" si="69"/>
        <v>002-3515E30Q13-OK</v>
      </c>
      <c r="N224" s="36" t="str">
        <f t="shared" si="68"/>
        <v>Прицеп 3,5*1,5 м  (до 750 кг.)</v>
      </c>
      <c r="O224" s="36" t="str">
        <f t="shared" si="64"/>
        <v>1 ось</v>
      </c>
      <c r="P224" s="36">
        <f t="shared" si="65"/>
        <v>2024</v>
      </c>
      <c r="Q224" s="34" t="s">
        <v>921</v>
      </c>
      <c r="R224" s="34" t="s">
        <v>929</v>
      </c>
      <c r="S224" s="34" t="str">
        <f>VLOOKUP(O224,ОТТС!$A$2:$B$3,2,0)</f>
        <v>ТС KZ Е-KZ.0317.00251 от 28.02.2023</v>
      </c>
      <c r="T224" s="39">
        <v>745000</v>
      </c>
      <c r="U224" s="36" t="str">
        <f t="shared" si="66"/>
        <v>Алматы</v>
      </c>
    </row>
    <row r="225" spans="1:21" ht="13.2">
      <c r="A225" s="34">
        <v>1399</v>
      </c>
      <c r="B225" s="35">
        <f>VLOOKUP(A225,'Реестр договоров'!$A$2:$D$298,2,0)</f>
        <v>45626</v>
      </c>
      <c r="C225" s="36" t="str">
        <f t="shared" si="58"/>
        <v>Нурсултан1</v>
      </c>
      <c r="D225" s="36" t="str">
        <f t="shared" si="59"/>
        <v>Ерболат</v>
      </c>
      <c r="E225" s="36">
        <f t="shared" si="67"/>
        <v>0</v>
      </c>
      <c r="F225" s="36" t="str">
        <f t="shared" si="61"/>
        <v>053386458</v>
      </c>
      <c r="G225" s="37">
        <f>VLOOKUP(F225,Покупатели!$F$2:$N$762,2,0)</f>
        <v>44763</v>
      </c>
      <c r="H225" s="36" t="str">
        <f>VLOOKUP(F225,Покупатели!$F$2:$N$762,3,0)</f>
        <v>МВД РК</v>
      </c>
      <c r="I225" s="36">
        <f>VLOOKUP(C225,Покупатели!$C$2:$M$805,7,0)</f>
        <v>810720350081</v>
      </c>
      <c r="J225" s="36" t="str">
        <f ca="1">IFERROR(__xludf.DUMMYFUNCTION("JOIN("" "", VLOOKUP(C225,Покупатели,8,0),VLOOKUP(C225,Покупатели,9,0),VLOOKUP(C225,Покупатели,10,0),VLOOKUP(C225,Покупатели,11,0))"),"г.Астана р-н Алматы ул.А.Храпатого д.21, кв.41")</f>
        <v>г.Астана р-н Алматы ул.А.Храпатого д.21, кв.41</v>
      </c>
      <c r="K225" s="36">
        <f t="shared" si="62"/>
        <v>87017743649</v>
      </c>
      <c r="L225" s="36" t="str">
        <f t="shared" si="63"/>
        <v>MX4000002R0001876</v>
      </c>
      <c r="M225" s="36" t="str">
        <f t="shared" ca="1" si="69"/>
        <v>002-4015E30Q13-OK</v>
      </c>
      <c r="N225" s="36" t="str">
        <f t="shared" si="68"/>
        <v>Прицеп 4,0*1,5 м  (до 750 кг.)</v>
      </c>
      <c r="O225" s="36" t="str">
        <f t="shared" si="64"/>
        <v>1 ось</v>
      </c>
      <c r="P225" s="36">
        <f t="shared" si="65"/>
        <v>2024</v>
      </c>
      <c r="Q225" s="34" t="s">
        <v>932</v>
      </c>
      <c r="R225" s="34" t="s">
        <v>926</v>
      </c>
      <c r="S225" s="34" t="str">
        <f>VLOOKUP(O225,ОТТС!$A$2:$B$3,2,0)</f>
        <v>ТС KZ Е-KZ.0317.00251 от 28.02.2023</v>
      </c>
      <c r="T225" s="39">
        <v>800000</v>
      </c>
      <c r="U225" s="36" t="str">
        <f t="shared" si="66"/>
        <v>Астана</v>
      </c>
    </row>
    <row r="226" spans="1:21" ht="13.2">
      <c r="A226" s="34">
        <v>1400</v>
      </c>
      <c r="B226" s="35">
        <f>VLOOKUP(A226,'Реестр договоров'!$A$2:$D$298,2,0)</f>
        <v>45626</v>
      </c>
      <c r="C226" s="36" t="str">
        <f t="shared" si="58"/>
        <v>Тілеуберді</v>
      </c>
      <c r="D226" s="36" t="str">
        <f t="shared" si="59"/>
        <v>Ербол</v>
      </c>
      <c r="E226" s="36">
        <f t="shared" si="67"/>
        <v>0</v>
      </c>
      <c r="F226" s="36" t="str">
        <f t="shared" si="61"/>
        <v>050195895</v>
      </c>
      <c r="G226" s="37">
        <f>VLOOKUP(F226,Покупатели!$F$2:$N$762,2,0)</f>
        <v>44620</v>
      </c>
      <c r="H226" s="36" t="str">
        <f>VLOOKUP(F226,Покупатели!$F$2:$N$762,3,0)</f>
        <v>ҚР ІІМ</v>
      </c>
      <c r="I226" s="36">
        <f>VLOOKUP(C226,Покупатели!$C$2:$M$805,7,0)</f>
        <v>830705302597</v>
      </c>
      <c r="J226" s="36" t="str">
        <f ca="1">IFERROR(__xludf.DUMMYFUNCTION("JOIN("" "", VLOOKUP(C226,Покупатели,8,0),VLOOKUP(C226,Покупатели,9,0),VLOOKUP(C226,Покупатели,10,0),VLOOKUP(C226,Покупатели,11,0))"),"г.Алматы Бостандвкский р-н ул.Бухар Жырау д.60а, кв.9")</f>
        <v>г.Алматы Бостандвкский р-н ул.Бухар Жырау д.60а, кв.9</v>
      </c>
      <c r="K226" s="36">
        <f t="shared" si="62"/>
        <v>87759727774</v>
      </c>
      <c r="L226" s="36" t="str">
        <f t="shared" si="63"/>
        <v>MX4000002R0001616</v>
      </c>
      <c r="M226" s="36" t="str">
        <f t="shared" ca="1" si="69"/>
        <v>002-2513E50Q13-OK</v>
      </c>
      <c r="N226" s="36" t="str">
        <f t="shared" si="68"/>
        <v>Прицеп 2,5*1,25 м  (до 750 кг.)</v>
      </c>
      <c r="O226" s="36" t="str">
        <f t="shared" si="64"/>
        <v>1 ось</v>
      </c>
      <c r="P226" s="36">
        <f t="shared" si="65"/>
        <v>2024</v>
      </c>
      <c r="Q226" s="34" t="s">
        <v>927</v>
      </c>
      <c r="R226" s="34" t="s">
        <v>933</v>
      </c>
      <c r="S226" s="34" t="str">
        <f>VLOOKUP(O226,ОТТС!$A$2:$B$3,2,0)</f>
        <v>ТС KZ Е-KZ.0317.00251 от 28.02.2023</v>
      </c>
      <c r="T226" s="39">
        <v>1040000</v>
      </c>
      <c r="U226" s="36" t="str">
        <f t="shared" si="66"/>
        <v>Алматы</v>
      </c>
    </row>
    <row r="227" spans="1:21" ht="13.2">
      <c r="A227" s="34">
        <v>1401</v>
      </c>
      <c r="B227" s="35">
        <f>VLOOKUP(A227,'Реестр договоров'!$A$2:$D$298,2,0)</f>
        <v>45663</v>
      </c>
      <c r="C227" s="36" t="str">
        <f t="shared" si="58"/>
        <v>Хамза-Оглы</v>
      </c>
      <c r="D227" s="36" t="str">
        <f t="shared" si="59"/>
        <v>Рустам</v>
      </c>
      <c r="E227" s="36" t="str">
        <f t="shared" si="67"/>
        <v>Анварович</v>
      </c>
      <c r="F227" s="36" t="str">
        <f t="shared" si="61"/>
        <v>050644813</v>
      </c>
      <c r="G227" s="37">
        <f>VLOOKUP(F227,Покупатели!$F$2:$N$762,2,0)</f>
        <v>44684</v>
      </c>
      <c r="H227" s="36" t="str">
        <f>VLOOKUP(F227,Покупатели!$F$2:$N$762,3,0)</f>
        <v>МВД РК</v>
      </c>
      <c r="I227" s="36">
        <f>VLOOKUP(C227,Покупатели!$C$2:$M$805,7,0)</f>
        <v>910526301781</v>
      </c>
      <c r="J227" s="36" t="str">
        <f ca="1">IFERROR(__xludf.DUMMYFUNCTION("JOIN("" "", VLOOKUP(C227,Покупатели,8,0),VLOOKUP(C227,Покупатели,9,0),VLOOKUP(C227,Покупатели,10,0),VLOOKUP(C227,Покупатели,11,0))"),"Алматинская обл. Карасайский р-н, п.Улан ул.Агибаева 31/1")</f>
        <v>Алматинская обл. Карасайский р-н, п.Улан ул.Агибаева 31/1</v>
      </c>
      <c r="K227" s="36">
        <f t="shared" si="62"/>
        <v>87473524727</v>
      </c>
      <c r="L227" s="36" t="str">
        <f t="shared" si="63"/>
        <v>MX4000002R0001827</v>
      </c>
      <c r="M227" s="36" t="str">
        <f t="shared" ca="1" si="69"/>
        <v>002-2013E50Q13-OK</v>
      </c>
      <c r="N227" s="36" t="str">
        <f t="shared" si="68"/>
        <v>Прицеп 2,0*1,25 м  (до 750 кг.)</v>
      </c>
      <c r="O227" s="36" t="str">
        <f t="shared" si="64"/>
        <v>1 ось</v>
      </c>
      <c r="P227" s="36">
        <f t="shared" si="65"/>
        <v>2024</v>
      </c>
      <c r="Q227" s="34" t="s">
        <v>934</v>
      </c>
      <c r="R227" s="34" t="s">
        <v>935</v>
      </c>
      <c r="S227" s="34" t="str">
        <f>VLOOKUP(O227,ОТТС!$A$2:$B$3,2,0)</f>
        <v>ТС KZ Е-KZ.0317.00251 от 28.02.2023</v>
      </c>
      <c r="T227" s="39">
        <v>730000</v>
      </c>
      <c r="U227" s="36" t="str">
        <f t="shared" si="66"/>
        <v>Алматы</v>
      </c>
    </row>
    <row r="228" spans="1:21" ht="13.2">
      <c r="A228" s="34">
        <v>1402</v>
      </c>
      <c r="B228" s="35">
        <f>VLOOKUP(A228,'Реестр договоров'!$A$2:$D$298,2,0)</f>
        <v>45632</v>
      </c>
      <c r="C228" s="36" t="str">
        <f t="shared" si="58"/>
        <v>Борантаев</v>
      </c>
      <c r="D228" s="36" t="str">
        <f t="shared" si="59"/>
        <v>Серик</v>
      </c>
      <c r="E228" s="36"/>
      <c r="F228" s="36" t="str">
        <f t="shared" si="61"/>
        <v>051197327</v>
      </c>
      <c r="G228" s="37">
        <f>VLOOKUP(F228,Покупатели!$F$2:$N$762,2,0)</f>
        <v>44755</v>
      </c>
      <c r="H228" s="36" t="str">
        <f>VLOOKUP(F228,Покупатели!$F$2:$N$762,3,0)</f>
        <v>МВД РК</v>
      </c>
      <c r="I228" s="36">
        <f>VLOOKUP(C228,Покупатели!$C$2:$M$805,7,0)</f>
        <v>770705300775</v>
      </c>
      <c r="J228" s="36" t="str">
        <f ca="1">IFERROR(__xludf.DUMMYFUNCTION("JOIN("" "", VLOOKUP(C228,Покупатели,8,0),VLOOKUP(C228,Покупатели,9,0),VLOOKUP(C228,Покупатели,10,0),VLOOKUP(C228,Покупатели,11,0))"),"Алматинская область, г. Жаркент, с. Ават, ул. Бейбітшілік, д.6")</f>
        <v>Алматинская область, г. Жаркент, с. Ават, ул. Бейбітшілік, д.6</v>
      </c>
      <c r="K228" s="36">
        <f t="shared" si="62"/>
        <v>87771130338</v>
      </c>
      <c r="L228" s="36" t="str">
        <f t="shared" si="63"/>
        <v>MX4000002R0001856</v>
      </c>
      <c r="M228" s="36" t="str">
        <f t="shared" ca="1" si="69"/>
        <v>002-2013E50Q13-OK</v>
      </c>
      <c r="N228" s="36" t="str">
        <f t="shared" si="68"/>
        <v>Прицеп 2,0*1,25 м  (до 750 кг.)</v>
      </c>
      <c r="O228" s="36" t="str">
        <f t="shared" si="64"/>
        <v>1 ось</v>
      </c>
      <c r="P228" s="36">
        <f t="shared" si="65"/>
        <v>2024</v>
      </c>
      <c r="Q228" s="36" t="str">
        <f ca="1">VLOOKUP(M228,матрица,16,0)</f>
        <v>3150*1700*1070</v>
      </c>
      <c r="R228" s="36" t="str">
        <f ca="1">VLOOKUP(M228,матрица,17,0)</f>
        <v>2000*1250*500</v>
      </c>
      <c r="S228" s="34" t="str">
        <f>VLOOKUP(O228,ОТТС!$A$2:$B$3,2,0)</f>
        <v>ТС KZ Е-KZ.0317.00251 от 28.02.2023</v>
      </c>
      <c r="T228" s="39">
        <v>380000</v>
      </c>
      <c r="U228" s="36" t="str">
        <f t="shared" si="66"/>
        <v>Алматы</v>
      </c>
    </row>
    <row r="229" spans="1:21" ht="13.2">
      <c r="A229" s="34">
        <v>1403</v>
      </c>
      <c r="B229" s="35">
        <f>VLOOKUP(A229,'Реестр договоров'!$A$2:$D$298,2,0)</f>
        <v>45635</v>
      </c>
      <c r="C229" s="36" t="str">
        <f t="shared" si="58"/>
        <v>Калустов</v>
      </c>
      <c r="D229" s="36" t="str">
        <f t="shared" si="59"/>
        <v>Валерий</v>
      </c>
      <c r="E229" s="36" t="str">
        <f>VLOOKUP(C229,Покупатели,3,0)</f>
        <v>Георгиевич</v>
      </c>
      <c r="F229" s="36" t="str">
        <f t="shared" si="61"/>
        <v>022516728</v>
      </c>
      <c r="G229" s="37">
        <f>VLOOKUP(F229,Покупатели!$F$2:$N$762,2,0)</f>
        <v>40030</v>
      </c>
      <c r="H229" s="36" t="str">
        <f>VLOOKUP(F229,Покупатели!$F$2:$N$762,3,0)</f>
        <v>МЮ РК</v>
      </c>
      <c r="I229" s="36">
        <f>VLOOKUP(C229,Покупатели!$C$2:$M$805,7,0)</f>
        <v>620107350285</v>
      </c>
      <c r="J229" s="36" t="str">
        <f ca="1">IFERROR(__xludf.DUMMYFUNCTION("JOIN("" "", VLOOKUP(C229,Покупатели,8,0),VLOOKUP(C229,Покупатели,9,0),VLOOKUP(C229,Покупатели,10,0),VLOOKUP(C229,Покупатели,11,0))"),"Акмолинская область, Сарыаркинский р-н, г. Астана, ул. Сарыарка 14,  кв.8")</f>
        <v>Акмолинская область, Сарыаркинский р-н, г. Астана, ул. Сарыарка 14,  кв.8</v>
      </c>
      <c r="K229" s="36">
        <f t="shared" si="62"/>
        <v>87011327233</v>
      </c>
      <c r="L229" s="36" t="str">
        <f t="shared" si="63"/>
        <v>MX4000002R0001830</v>
      </c>
      <c r="M229" s="36" t="str">
        <f t="shared" ca="1" si="69"/>
        <v>002-2013E50Q13-OK</v>
      </c>
      <c r="N229" s="36" t="str">
        <f t="shared" si="68"/>
        <v>Прицеп 2,0*1,25 м  (до 750 кг.)</v>
      </c>
      <c r="O229" s="36" t="str">
        <f t="shared" si="64"/>
        <v>1 ось</v>
      </c>
      <c r="P229" s="36">
        <f t="shared" si="65"/>
        <v>2024</v>
      </c>
      <c r="Q229" s="34" t="s">
        <v>936</v>
      </c>
      <c r="R229" s="34" t="s">
        <v>937</v>
      </c>
      <c r="S229" s="34" t="str">
        <f>VLOOKUP(O229,ОТТС!$A$2:$B$3,2,0)</f>
        <v>ТС KZ Е-KZ.0317.00251 от 28.02.2023</v>
      </c>
      <c r="T229" s="39">
        <v>380000</v>
      </c>
      <c r="U229" s="36" t="str">
        <f t="shared" si="66"/>
        <v>Астана</v>
      </c>
    </row>
    <row r="230" spans="1:21" ht="13.2">
      <c r="A230" s="34">
        <v>1404</v>
      </c>
      <c r="B230" s="35">
        <f>VLOOKUP(A230,'Реестр договоров'!$A$2:$D$298,2,0)</f>
        <v>45638</v>
      </c>
      <c r="C230" s="36" t="str">
        <f t="shared" si="58"/>
        <v>Инчиждай</v>
      </c>
      <c r="D230" s="36" t="str">
        <f t="shared" si="59"/>
        <v>Сейтхан</v>
      </c>
      <c r="E230" s="36"/>
      <c r="F230" s="36" t="str">
        <f t="shared" si="61"/>
        <v>040969192</v>
      </c>
      <c r="G230" s="37">
        <f>VLOOKUP(F230,Покупатели!$F$2:$N$762,2,0)</f>
        <v>42460</v>
      </c>
      <c r="H230" s="36" t="str">
        <f>VLOOKUP(F230,Покупатели!$F$2:$N$762,3,0)</f>
        <v>МВД РК</v>
      </c>
      <c r="I230" s="36">
        <f>VLOOKUP(C230,Покупатели!$C$2:$M$805,7,0)</f>
        <v>800520350457</v>
      </c>
      <c r="J230" s="36" t="str">
        <f ca="1">IFERROR(__xludf.DUMMYFUNCTION("JOIN("" "", VLOOKUP(C230,Покупатели,8,0),VLOOKUP(C230,Покупатели,9,0),VLOOKUP(C230,Покупатели,10,0),VLOOKUP(C230,Покупатели,11,0))"),"Акмолинская обл Аршалинский район, с.Саробы ул.Достык д.15/1")</f>
        <v>Акмолинская обл Аршалинский район, с.Саробы ул.Достык д.15/1</v>
      </c>
      <c r="K230" s="36">
        <f t="shared" si="62"/>
        <v>87758558026</v>
      </c>
      <c r="L230" s="36" t="str">
        <f t="shared" si="63"/>
        <v>MX4000002R0001812</v>
      </c>
      <c r="M230" s="36" t="str">
        <f t="shared" ca="1" si="69"/>
        <v>002-2013E50Q13-OK</v>
      </c>
      <c r="N230" s="36" t="str">
        <f t="shared" si="68"/>
        <v>Прицеп 2,0*1,25 м  (до 750 кг.)</v>
      </c>
      <c r="O230" s="36" t="str">
        <f t="shared" si="64"/>
        <v>1 ось</v>
      </c>
      <c r="P230" s="36">
        <f t="shared" si="65"/>
        <v>2024</v>
      </c>
      <c r="Q230" s="36" t="str">
        <f t="shared" ref="Q230:Q261" ca="1" si="70">VLOOKUP(M230,матрица,16,0)</f>
        <v>3150*1700*1070</v>
      </c>
      <c r="R230" s="36" t="str">
        <f t="shared" ref="R230:R261" ca="1" si="71">VLOOKUP(M230,матрица,17,0)</f>
        <v>2000*1250*500</v>
      </c>
      <c r="S230" s="34" t="str">
        <f>VLOOKUP(O230,ОТТС!$A$2:$B$3,2,0)</f>
        <v>ТС KZ Е-KZ.0317.00251 от 28.02.2023</v>
      </c>
      <c r="T230" s="39">
        <v>380000</v>
      </c>
      <c r="U230" s="36" t="str">
        <f t="shared" si="66"/>
        <v>Астана</v>
      </c>
    </row>
    <row r="231" spans="1:21" ht="13.2">
      <c r="A231" s="34">
        <v>1405</v>
      </c>
      <c r="B231" s="35">
        <f>VLOOKUP(A231,'Реестр договоров'!$A$2:$D$298,2,0)</f>
        <v>45638</v>
      </c>
      <c r="C231" s="36" t="str">
        <f t="shared" si="58"/>
        <v>Арыстанбекова</v>
      </c>
      <c r="D231" s="36" t="str">
        <f t="shared" si="59"/>
        <v>Даулет</v>
      </c>
      <c r="E231" s="36" t="str">
        <f t="shared" ref="E231:E294" si="72">VLOOKUP(C231,Покупатели,3,0)</f>
        <v>Арыстанбекович</v>
      </c>
      <c r="F231" s="36" t="str">
        <f t="shared" si="61"/>
        <v>050608457</v>
      </c>
      <c r="G231" s="37">
        <f>VLOOKUP(F231,Покупатели!$F$2:$N$762,2,0)</f>
        <v>44746</v>
      </c>
      <c r="H231" s="36" t="str">
        <f>VLOOKUP(F231,Покупатели!$F$2:$N$762,3,0)</f>
        <v>МВД РК</v>
      </c>
      <c r="I231" s="36">
        <f>VLOOKUP(C231,Покупатели!$C$2:$M$805,7,0)</f>
        <v>951210301047</v>
      </c>
      <c r="J231" s="36" t="str">
        <f ca="1">IFERROR(__xludf.DUMMYFUNCTION("JOIN("" "", VLOOKUP(C231,Покупатели,8,0),VLOOKUP(C231,Покупатели,9,0),VLOOKUP(C231,Покупатели,10,0),VLOOKUP(C231,Покупатели,11,0))"),"Қызылорда обл. Қармақшы ауданы, Дүр Оңғар ауылы Қали Бексаба көш. ү.34")</f>
        <v>Қызылорда обл. Қармақшы ауданы, Дүр Оңғар ауылы Қали Бексаба көш. ү.34</v>
      </c>
      <c r="K231" s="36">
        <f t="shared" si="62"/>
        <v>87016423195</v>
      </c>
      <c r="L231" s="36" t="str">
        <f t="shared" si="63"/>
        <v>MX4000002R0001612</v>
      </c>
      <c r="M231" s="36" t="str">
        <f t="shared" ca="1" si="69"/>
        <v>002-2513E30Q13</v>
      </c>
      <c r="N231" s="36" t="str">
        <f t="shared" si="68"/>
        <v>Прицеп 2,5*1,25 м  (до 750 кг.)</v>
      </c>
      <c r="O231" s="36" t="str">
        <f t="shared" si="64"/>
        <v>1 ось</v>
      </c>
      <c r="P231" s="36">
        <f t="shared" si="65"/>
        <v>2024</v>
      </c>
      <c r="Q231" s="36" t="str">
        <f t="shared" ca="1" si="70"/>
        <v>3650*1700*900</v>
      </c>
      <c r="R231" s="36" t="str">
        <f t="shared" ca="1" si="71"/>
        <v>2500*1250*300</v>
      </c>
      <c r="S231" s="34" t="str">
        <f>VLOOKUP(O231,ОТТС!$A$2:$B$3,2,0)</f>
        <v>ТС KZ Е-KZ.0317.00251 от 28.02.2023</v>
      </c>
      <c r="T231" s="39">
        <v>370000</v>
      </c>
      <c r="U231" s="36" t="str">
        <f t="shared" si="66"/>
        <v>Алматы</v>
      </c>
    </row>
    <row r="232" spans="1:21" ht="13.2">
      <c r="A232" s="34">
        <v>1407</v>
      </c>
      <c r="B232" s="35">
        <f>VLOOKUP(A232,'Реестр договоров'!$A$2:$D$298,2,0)</f>
        <v>45644</v>
      </c>
      <c r="C232" s="36" t="str">
        <f t="shared" si="58"/>
        <v>Ковалев</v>
      </c>
      <c r="D232" s="36" t="str">
        <f t="shared" si="59"/>
        <v>Андрей</v>
      </c>
      <c r="E232" s="36" t="str">
        <f t="shared" si="72"/>
        <v>Витальевич</v>
      </c>
      <c r="F232" s="36" t="str">
        <f t="shared" si="61"/>
        <v>051467573</v>
      </c>
      <c r="G232" s="37">
        <f>VLOOKUP(F232,Покупатели!$F$2:$N$762,2,0)</f>
        <v>44792</v>
      </c>
      <c r="H232" s="36" t="str">
        <f>VLOOKUP(F232,Покупатели!$F$2:$N$762,3,0)</f>
        <v>МВД РК</v>
      </c>
      <c r="I232" s="36">
        <f>VLOOKUP(C232,Покупатели!$C$2:$M$805,7,0)</f>
        <v>940409300346</v>
      </c>
      <c r="J232" s="36" t="str">
        <f ca="1">IFERROR(__xludf.DUMMYFUNCTION("JOIN("" "", VLOOKUP(C232,Покупатели,8,0),VLOOKUP(C232,Покупатели,9,0),VLOOKUP(C232,Покупатели,10,0),VLOOKUP(C232,Покупатели,11,0))"),"Алматинская область, Илийский район, пос. Боралдай,  ул. Гагарина,  д.9")</f>
        <v>Алматинская область, Илийский район, пос. Боралдай,  ул. Гагарина,  д.9</v>
      </c>
      <c r="K232" s="36">
        <f t="shared" si="62"/>
        <v>87077686989</v>
      </c>
      <c r="L232" s="36" t="str">
        <f t="shared" si="63"/>
        <v>MX4000002R0001822</v>
      </c>
      <c r="M232" s="36" t="str">
        <f t="shared" ca="1" si="69"/>
        <v>002-2013E50Q13-OK</v>
      </c>
      <c r="N232" s="36" t="str">
        <f t="shared" si="68"/>
        <v>Прицеп 2,0*1,25 м  (до 750 кг.)</v>
      </c>
      <c r="O232" s="36" t="str">
        <f t="shared" si="64"/>
        <v>1 ось</v>
      </c>
      <c r="P232" s="36">
        <f t="shared" si="65"/>
        <v>2024</v>
      </c>
      <c r="Q232" s="36" t="str">
        <f t="shared" ca="1" si="70"/>
        <v>3150*1700*1070</v>
      </c>
      <c r="R232" s="36" t="str">
        <f t="shared" ca="1" si="71"/>
        <v>2000*1250*500</v>
      </c>
      <c r="S232" s="34" t="str">
        <f>VLOOKUP(O232,ОТТС!$A$2:$B$3,2,0)</f>
        <v>ТС KZ Е-KZ.0317.00251 от 28.02.2023</v>
      </c>
      <c r="T232" s="39">
        <v>380000</v>
      </c>
      <c r="U232" s="36" t="str">
        <f t="shared" si="66"/>
        <v>Алматы</v>
      </c>
    </row>
    <row r="233" spans="1:21" ht="13.2">
      <c r="A233" s="34">
        <v>1409</v>
      </c>
      <c r="B233" s="35">
        <f>VLOOKUP(A233,'Реестр договоров'!$A$2:$D$298,2,0)</f>
        <v>45653</v>
      </c>
      <c r="C233" s="36" t="str">
        <f t="shared" si="58"/>
        <v>Ислямова</v>
      </c>
      <c r="D233" s="36" t="str">
        <f t="shared" si="59"/>
        <v>Асем</v>
      </c>
      <c r="E233" s="36" t="str">
        <f t="shared" si="72"/>
        <v>Бейбитовна</v>
      </c>
      <c r="F233" s="36" t="str">
        <f t="shared" si="61"/>
        <v>047038944</v>
      </c>
      <c r="G233" s="37">
        <f>VLOOKUP(F233,Покупатели!$F$2:$N$762,2,0)</f>
        <v>45653</v>
      </c>
      <c r="H233" s="36" t="str">
        <f>VLOOKUP(F233,Покупатели!$F$2:$N$762,3,0)</f>
        <v>МВД РК</v>
      </c>
      <c r="I233" s="36">
        <f>VLOOKUP(C233,Покупатели!$C$2:$M$805,7,0)</f>
        <v>841203450569</v>
      </c>
      <c r="J233" s="36" t="str">
        <f ca="1">IFERROR(__xludf.DUMMYFUNCTION("JOIN("" "", VLOOKUP(C233,Покупатели,8,0),VLOOKUP(C233,Покупатели,9,0),VLOOKUP(C233,Покупатели,10,0),VLOOKUP(C233,Покупатели,11,0))"),"г.Астана р-н Алматы Манаса 20/1 280")</f>
        <v>г.Астана р-н Алматы Манаса 20/1 280</v>
      </c>
      <c r="K233" s="36">
        <f t="shared" si="62"/>
        <v>87712671784</v>
      </c>
      <c r="L233" s="36" t="str">
        <f t="shared" si="63"/>
        <v>MX4000002R0001838</v>
      </c>
      <c r="M233" s="36" t="str">
        <f t="shared" ca="1" si="69"/>
        <v>002-2013E50Q13-OK</v>
      </c>
      <c r="N233" s="36" t="str">
        <f t="shared" si="68"/>
        <v>Прицеп 2,0*1,25 м  (до 750 кг.)</v>
      </c>
      <c r="O233" s="36" t="str">
        <f t="shared" si="64"/>
        <v>1 ось</v>
      </c>
      <c r="P233" s="36">
        <f t="shared" si="65"/>
        <v>2024</v>
      </c>
      <c r="Q233" s="36" t="str">
        <f t="shared" ca="1" si="70"/>
        <v>3150*1700*1070</v>
      </c>
      <c r="R233" s="36" t="str">
        <f t="shared" ca="1" si="71"/>
        <v>2000*1250*500</v>
      </c>
      <c r="S233" s="34" t="str">
        <f>VLOOKUP(O233,ОТТС!$A$2:$B$3,2,0)</f>
        <v>ТС KZ Е-KZ.0317.00251 от 28.02.2023</v>
      </c>
      <c r="T233" s="39">
        <v>340000</v>
      </c>
      <c r="U233" s="36" t="str">
        <f t="shared" si="66"/>
        <v>Астана</v>
      </c>
    </row>
    <row r="234" spans="1:21" ht="13.2">
      <c r="A234" s="34">
        <v>1410</v>
      </c>
      <c r="B234" s="35">
        <f>VLOOKUP(A234,'Реестр договоров'!$A$2:$D$298,2,0)</f>
        <v>45663</v>
      </c>
      <c r="C234" s="36" t="str">
        <f t="shared" si="58"/>
        <v>Айтуев</v>
      </c>
      <c r="D234" s="36" t="str">
        <f t="shared" si="59"/>
        <v>Полат</v>
      </c>
      <c r="E234" s="36" t="str">
        <f t="shared" si="72"/>
        <v>Абенович</v>
      </c>
      <c r="F234" s="36">
        <f t="shared" si="61"/>
        <v>41838317</v>
      </c>
      <c r="G234" s="37">
        <f>VLOOKUP(F234,Покупатели!$F$2:$N$762,2,0)</f>
        <v>42933</v>
      </c>
      <c r="H234" s="36" t="str">
        <f>VLOOKUP(F234,Покупатели!$F$2:$N$762,3,0)</f>
        <v>МВД РК</v>
      </c>
      <c r="I234" s="36">
        <f>VLOOKUP(C234,Покупатели!$C$2:$M$805,7,0)</f>
        <v>760122303164</v>
      </c>
      <c r="J234" s="36" t="str">
        <f ca="1">IFERROR(__xludf.DUMMYFUNCTION("JOIN("" "", VLOOKUP(C234,Покупатели,8,0),VLOOKUP(C234,Покупатели,9,0),VLOOKUP(C234,Покупатели,10,0),VLOOKUP(C234,Покупатели,11,0))"),"Алматинская область, Карасайский р-н, село Жибек Жолы, ул. Ак Жазык, д. 62")</f>
        <v>Алматинская область, Карасайский р-н, село Жибек Жолы, ул. Ак Жазык, д. 62</v>
      </c>
      <c r="K234" s="36">
        <f t="shared" si="62"/>
        <v>87762647379</v>
      </c>
      <c r="L234" s="36" t="str">
        <f t="shared" si="63"/>
        <v>MX4000002R0001620</v>
      </c>
      <c r="M234" s="36" t="str">
        <f t="shared" ca="1" si="69"/>
        <v>002-2513E30Q13-OK</v>
      </c>
      <c r="N234" s="36" t="str">
        <f t="shared" si="68"/>
        <v>Прицеп 2,5*1,25 м  (до 750 кг.)</v>
      </c>
      <c r="O234" s="36" t="str">
        <f t="shared" si="64"/>
        <v>1 ось</v>
      </c>
      <c r="P234" s="36">
        <f t="shared" si="65"/>
        <v>2024</v>
      </c>
      <c r="Q234" s="36" t="str">
        <f t="shared" ca="1" si="70"/>
        <v>3650*1700*900</v>
      </c>
      <c r="R234" s="36" t="str">
        <f t="shared" ca="1" si="71"/>
        <v>2500*1250*300</v>
      </c>
      <c r="S234" s="34" t="str">
        <f>VLOOKUP(O234,ОТТС!$A$2:$B$3,2,0)</f>
        <v>ТС KZ Е-KZ.0317.00251 от 28.02.2023</v>
      </c>
      <c r="T234" s="39">
        <v>430000</v>
      </c>
      <c r="U234" s="36" t="str">
        <f t="shared" si="66"/>
        <v>Алматы</v>
      </c>
    </row>
    <row r="235" spans="1:21" ht="13.2">
      <c r="A235" s="34">
        <v>1411</v>
      </c>
      <c r="B235" s="35">
        <f>VLOOKUP(A235,'Реестр договоров'!$A$2:$D$298,2,0)</f>
        <v>45666</v>
      </c>
      <c r="C235" s="36" t="str">
        <f t="shared" si="58"/>
        <v>Алгазин</v>
      </c>
      <c r="D235" s="36" t="str">
        <f t="shared" si="59"/>
        <v>Асылхан</v>
      </c>
      <c r="E235" s="36" t="str">
        <f t="shared" si="72"/>
        <v>Серикович</v>
      </c>
      <c r="F235" s="36" t="str">
        <f t="shared" si="61"/>
        <v>043026374</v>
      </c>
      <c r="G235" s="37">
        <f>VLOOKUP(F235,Покупатели!$F$2:$N$762,2,0)</f>
        <v>42933</v>
      </c>
      <c r="H235" s="36" t="str">
        <f>VLOOKUP(F235,Покупатели!$F$2:$N$762,3,0)</f>
        <v>МВД РК</v>
      </c>
      <c r="I235" s="36">
        <f>VLOOKUP(C235,Покупатели!$C$2:$M$805,7,0)</f>
        <v>951217350393</v>
      </c>
      <c r="J235" s="36" t="str">
        <f ca="1">IFERROR(__xludf.DUMMYFUNCTION("JOIN("" "", VLOOKUP(C235,Покупатели,8,0),VLOOKUP(C235,Покупатели,9,0),VLOOKUP(C235,Покупатели,10,0),VLOOKUP(C235,Покупатели,11,0))"),"г.Астана р-н Байконыр,  ул.Янушкевича д.8, кв.316")</f>
        <v>г.Астана р-н Байконыр,  ул.Янушкевича д.8, кв.316</v>
      </c>
      <c r="K235" s="36">
        <f t="shared" si="62"/>
        <v>87005599001</v>
      </c>
      <c r="L235" s="36" t="str">
        <f t="shared" si="63"/>
        <v>MX4000002R0001831</v>
      </c>
      <c r="M235" s="36" t="str">
        <f t="shared" ca="1" si="69"/>
        <v>002-2013E30Q13-OK</v>
      </c>
      <c r="N235" s="36" t="str">
        <f t="shared" si="68"/>
        <v>Прицеп 2,0*1,25 м  (до 750 кг.)</v>
      </c>
      <c r="O235" s="36" t="str">
        <f t="shared" si="64"/>
        <v>1 ось</v>
      </c>
      <c r="P235" s="36">
        <f t="shared" si="65"/>
        <v>2024</v>
      </c>
      <c r="Q235" s="36" t="str">
        <f t="shared" ca="1" si="70"/>
        <v>3150*1700*900</v>
      </c>
      <c r="R235" s="36" t="str">
        <f t="shared" ca="1" si="71"/>
        <v>2000*1250*300</v>
      </c>
      <c r="S235" s="34" t="str">
        <f>VLOOKUP(O235,ОТТС!$A$2:$B$3,2,0)</f>
        <v>ТС KZ Е-KZ.0317.00251 от 28.02.2023</v>
      </c>
      <c r="T235" s="39">
        <v>420000</v>
      </c>
      <c r="U235" s="36" t="str">
        <f t="shared" si="66"/>
        <v>Астана</v>
      </c>
    </row>
    <row r="236" spans="1:21" ht="13.2">
      <c r="A236" s="34">
        <v>1412</v>
      </c>
      <c r="B236" s="35">
        <f>VLOOKUP(A236,'Реестр договоров'!$A$2:$D$298,2,0)</f>
        <v>45666</v>
      </c>
      <c r="C236" s="36" t="str">
        <f t="shared" si="58"/>
        <v>Кәтіш</v>
      </c>
      <c r="D236" s="36" t="str">
        <f t="shared" si="59"/>
        <v>Бақытжан</v>
      </c>
      <c r="E236" s="36" t="str">
        <f t="shared" si="72"/>
        <v>Полатұлы</v>
      </c>
      <c r="F236" s="36" t="str">
        <f t="shared" si="61"/>
        <v>043126638</v>
      </c>
      <c r="G236" s="37">
        <f>VLOOKUP(F236,Покупатели!$F$2:$N$762,2,0)</f>
        <v>42950</v>
      </c>
      <c r="H236" s="36" t="str">
        <f>VLOOKUP(F236,Покупатели!$F$2:$N$762,3,0)</f>
        <v>ҚР ІІМ</v>
      </c>
      <c r="I236" s="36">
        <f>VLOOKUP(C236,Покупатели!$C$2:$M$805,7,0)</f>
        <v>810522300939</v>
      </c>
      <c r="J236" s="36" t="str">
        <f ca="1">IFERROR(__xludf.DUMMYFUNCTION("JOIN("" "", VLOOKUP(C236,Покупатели,8,0),VLOOKUP(C236,Покупатели,9,0),VLOOKUP(C236,Покупатели,10,0),VLOOKUP(C236,Покупатели,11,0))"),"г.Астана Р-н Байконыр ул. Богенбай батыра д.54, кв.251")</f>
        <v>г.Астана Р-н Байконыр ул. Богенбай батыра д.54, кв.251</v>
      </c>
      <c r="K236" s="36">
        <f t="shared" si="62"/>
        <v>87783246881</v>
      </c>
      <c r="L236" s="36" t="str">
        <f t="shared" si="63"/>
        <v>MX4000004R0001819</v>
      </c>
      <c r="M236" s="36" t="str">
        <f t="shared" si="69"/>
        <v>004-2515E30Q13-OK</v>
      </c>
      <c r="N236" s="36" t="str">
        <f t="shared" si="68"/>
        <v>Прицеп 2,5*1,5 м  (до 750 кг.)</v>
      </c>
      <c r="O236" s="36" t="str">
        <f t="shared" si="64"/>
        <v>2 оси</v>
      </c>
      <c r="P236" s="36">
        <f t="shared" si="65"/>
        <v>2024</v>
      </c>
      <c r="Q236" s="36" t="str">
        <f t="shared" ca="1" si="70"/>
        <v>3650*1950*900</v>
      </c>
      <c r="R236" s="36" t="str">
        <f t="shared" ca="1" si="71"/>
        <v>4000*1500*300</v>
      </c>
      <c r="S236" s="34" t="str">
        <f>VLOOKUP(O236,ОТТС!$A$2:$B$3,2,0)</f>
        <v>ТС KZ Е-KZ.0317.00219.П1 от 17.07.2025</v>
      </c>
      <c r="T236" s="39">
        <v>550000</v>
      </c>
      <c r="U236" s="36" t="str">
        <f t="shared" si="66"/>
        <v>Астана</v>
      </c>
    </row>
    <row r="237" spans="1:21" ht="13.2">
      <c r="A237" s="34">
        <v>1413</v>
      </c>
      <c r="B237" s="35">
        <f>VLOOKUP(A237,'Реестр договоров'!$A$2:$D$298,2,0)</f>
        <v>45668</v>
      </c>
      <c r="C237" s="36" t="str">
        <f t="shared" si="58"/>
        <v>Байсалбеков</v>
      </c>
      <c r="D237" s="36" t="str">
        <f t="shared" si="59"/>
        <v>Арсен</v>
      </c>
      <c r="E237" s="36" t="str">
        <f t="shared" si="72"/>
        <v>Абдуллинович</v>
      </c>
      <c r="F237" s="36" t="str">
        <f t="shared" si="61"/>
        <v>039867467</v>
      </c>
      <c r="G237" s="37">
        <f>VLOOKUP(F237,Покупатели!$F$2:$N$762,2,0)</f>
        <v>42440</v>
      </c>
      <c r="H237" s="36" t="str">
        <f>VLOOKUP(F237,Покупатели!$F$2:$N$762,3,0)</f>
        <v>МВД РК</v>
      </c>
      <c r="I237" s="36">
        <f>VLOOKUP(C237,Покупатели!$C$2:$M$805,7,0)</f>
        <v>910323300254</v>
      </c>
      <c r="J237" s="36" t="str">
        <f ca="1">IFERROR(__xludf.DUMMYFUNCTION("JOIN("" "", VLOOKUP(C237,Покупатели,8,0),VLOOKUP(C237,Покупатели,9,0),VLOOKUP(C237,Покупатели,10,0),VLOOKUP(C237,Покупатели,11,0))"),"Алматинская обл. Енбекшиказахский р-н, с.Шелек ул.Иманязова д.19")</f>
        <v>Алматинская обл. Енбекшиказахский р-н, с.Шелек ул.Иманязова д.19</v>
      </c>
      <c r="K237" s="36">
        <f t="shared" si="62"/>
        <v>87074105575</v>
      </c>
      <c r="L237" s="36" t="str">
        <f t="shared" si="63"/>
        <v>MX4000002R0001829</v>
      </c>
      <c r="M237" s="36" t="str">
        <f t="shared" ca="1" si="69"/>
        <v>002-2013E30Q13-OK</v>
      </c>
      <c r="N237" s="36" t="str">
        <f t="shared" si="68"/>
        <v>Прицеп 2,0*1,25 м  (до 750 кг.)</v>
      </c>
      <c r="O237" s="36" t="str">
        <f t="shared" si="64"/>
        <v>1 ось</v>
      </c>
      <c r="P237" s="36">
        <f t="shared" si="65"/>
        <v>2024</v>
      </c>
      <c r="Q237" s="36" t="str">
        <f t="shared" ca="1" si="70"/>
        <v>3150*1700*900</v>
      </c>
      <c r="R237" s="36" t="str">
        <f t="shared" ca="1" si="71"/>
        <v>2000*1250*300</v>
      </c>
      <c r="S237" s="34" t="str">
        <f>VLOOKUP(O237,ОТТС!$A$2:$B$3,2,0)</f>
        <v>ТС KZ Е-KZ.0317.00251 от 28.02.2023</v>
      </c>
      <c r="T237" s="39">
        <v>320000</v>
      </c>
      <c r="U237" s="36" t="str">
        <f t="shared" si="66"/>
        <v>Алматы</v>
      </c>
    </row>
    <row r="238" spans="1:21" ht="13.2">
      <c r="A238" s="34">
        <v>1414</v>
      </c>
      <c r="B238" s="35">
        <f>VLOOKUP(A238,'Реестр договоров'!$A$2:$D$298,2,0)</f>
        <v>45670</v>
      </c>
      <c r="C238" s="36" t="str">
        <f t="shared" si="58"/>
        <v>Доскаев</v>
      </c>
      <c r="D238" s="36" t="str">
        <f t="shared" si="59"/>
        <v>Самат</v>
      </c>
      <c r="E238" s="36" t="str">
        <f t="shared" si="72"/>
        <v>Садыкович</v>
      </c>
      <c r="F238" s="36" t="str">
        <f t="shared" si="61"/>
        <v>048866360</v>
      </c>
      <c r="G238" s="37">
        <f>VLOOKUP(F238,Покупатели!$F$2:$N$762,2,0)</f>
        <v>44098</v>
      </c>
      <c r="H238" s="36" t="str">
        <f>VLOOKUP(F238,Покупатели!$F$2:$N$762,3,0)</f>
        <v>МВД РК</v>
      </c>
      <c r="I238" s="36">
        <f>VLOOKUP(C238,Покупатели!$C$2:$M$805,7,0)</f>
        <v>770325350052</v>
      </c>
      <c r="J238" s="36" t="str">
        <f ca="1">IFERROR(__xludf.DUMMYFUNCTION("JOIN("" "", VLOOKUP(C238,Покупатели,8,0),VLOOKUP(C238,Покупатели,9,0),VLOOKUP(C238,Покупатели,10,0),VLOOKUP(C238,Покупатели,11,0))"),"г.Астана р-н Нура ул.Шынгыса Айтматова д.34, кв.159")</f>
        <v>г.Астана р-н Нура ул.Шынгыса Айтматова д.34, кв.159</v>
      </c>
      <c r="K238" s="36">
        <f t="shared" si="62"/>
        <v>87019995534</v>
      </c>
      <c r="L238" s="36" t="str">
        <f t="shared" si="63"/>
        <v>MX4000002R0001768</v>
      </c>
      <c r="M238" s="36" t="str">
        <f t="shared" ca="1" si="69"/>
        <v>002-2013E30Q13-OK</v>
      </c>
      <c r="N238" s="36" t="str">
        <f t="shared" si="68"/>
        <v>Прицеп 2,0*1,25 м  (до 750 кг.)</v>
      </c>
      <c r="O238" s="36" t="str">
        <f t="shared" si="64"/>
        <v>1 ось</v>
      </c>
      <c r="P238" s="36">
        <f t="shared" si="65"/>
        <v>2024</v>
      </c>
      <c r="Q238" s="36" t="str">
        <f t="shared" ca="1" si="70"/>
        <v>3150*1700*900</v>
      </c>
      <c r="R238" s="36" t="str">
        <f t="shared" ca="1" si="71"/>
        <v>2000*1250*300</v>
      </c>
      <c r="S238" s="34" t="str">
        <f>VLOOKUP(O238,ОТТС!$A$2:$B$3,2,0)</f>
        <v>ТС KZ Е-KZ.0317.00251 от 28.02.2023</v>
      </c>
      <c r="T238" s="39">
        <v>340000</v>
      </c>
      <c r="U238" s="36" t="str">
        <f t="shared" si="66"/>
        <v>Астана</v>
      </c>
    </row>
    <row r="239" spans="1:21" ht="13.2">
      <c r="A239" s="34">
        <v>1415</v>
      </c>
      <c r="B239" s="35">
        <f>VLOOKUP(A239,'Реестр договоров'!$A$2:$D$298,2,0)</f>
        <v>45670</v>
      </c>
      <c r="C239" s="36" t="str">
        <f t="shared" si="58"/>
        <v>Пархатов</v>
      </c>
      <c r="D239" s="36" t="str">
        <f t="shared" si="59"/>
        <v>Рустам</v>
      </c>
      <c r="E239" s="36" t="str">
        <f t="shared" si="72"/>
        <v>Аршидинович</v>
      </c>
      <c r="F239" s="36" t="str">
        <f t="shared" si="61"/>
        <v>048472925</v>
      </c>
      <c r="G239" s="37">
        <f>VLOOKUP(F239,Покупатели!$F$2:$N$762,2,0)</f>
        <v>44341</v>
      </c>
      <c r="H239" s="36" t="str">
        <f>VLOOKUP(F239,Покупатели!$F$2:$N$762,3,0)</f>
        <v>МВД РК</v>
      </c>
      <c r="I239" s="36">
        <f>VLOOKUP(C239,Покупатели!$C$2:$M$805,7,0)</f>
        <v>741029301766</v>
      </c>
      <c r="J239" s="36" t="str">
        <f ca="1">IFERROR(__xludf.DUMMYFUNCTION("JOIN("" "", VLOOKUP(C239,Покупатели,8,0),VLOOKUP(C239,Покупатели,9,0),VLOOKUP(C239,Покупатели,10,0),VLOOKUP(C239,Покупатели,11,0))"),"Алматинская область, г. Алматы, Турксибский район, мкр-н Кайрат, ул. Гулдарига, д.134")</f>
        <v>Алматинская область, г. Алматы, Турксибский район, мкр-н Кайрат, ул. Гулдарига, д.134</v>
      </c>
      <c r="K239" s="36">
        <f t="shared" si="62"/>
        <v>87476001002</v>
      </c>
      <c r="L239" s="36" t="str">
        <f t="shared" si="63"/>
        <v>MX4000002R0001630</v>
      </c>
      <c r="M239" s="36" t="str">
        <f t="shared" ca="1" si="69"/>
        <v>002-2513E50Q13-OK</v>
      </c>
      <c r="N239" s="36" t="str">
        <f t="shared" si="68"/>
        <v>Прицеп 2,5*1,25 м  (до 750 кг.)</v>
      </c>
      <c r="O239" s="36" t="str">
        <f t="shared" si="64"/>
        <v>1 ось</v>
      </c>
      <c r="P239" s="36">
        <f t="shared" si="65"/>
        <v>2024</v>
      </c>
      <c r="Q239" s="36" t="str">
        <f t="shared" ca="1" si="70"/>
        <v>3650*1700*1070</v>
      </c>
      <c r="R239" s="36" t="str">
        <f t="shared" ca="1" si="71"/>
        <v>2500*1250*500</v>
      </c>
      <c r="S239" s="34" t="str">
        <f>VLOOKUP(O239,ОТТС!$A$2:$B$3,2,0)</f>
        <v>ТС KZ Е-KZ.0317.00251 от 28.02.2023</v>
      </c>
      <c r="T239" s="39">
        <v>450000</v>
      </c>
      <c r="U239" s="36" t="str">
        <f t="shared" si="66"/>
        <v>Алматы</v>
      </c>
    </row>
    <row r="240" spans="1:21" ht="13.2">
      <c r="A240" s="34">
        <v>1416</v>
      </c>
      <c r="B240" s="35">
        <f>VLOOKUP(A240,'Реестр договоров'!$A$2:$D$298,2,0)</f>
        <v>45673</v>
      </c>
      <c r="C240" s="36" t="str">
        <f t="shared" si="58"/>
        <v>Бангерт</v>
      </c>
      <c r="D240" s="36" t="str">
        <f t="shared" si="59"/>
        <v>Сергей</v>
      </c>
      <c r="E240" s="36" t="str">
        <f t="shared" si="72"/>
        <v>Владимирович</v>
      </c>
      <c r="F240" s="36" t="str">
        <f t="shared" si="61"/>
        <v>020134511</v>
      </c>
      <c r="G240" s="37">
        <f>VLOOKUP(F240,Покупатели!$F$2:$N$762,2,0)</f>
        <v>43047</v>
      </c>
      <c r="H240" s="36" t="str">
        <f>VLOOKUP(F240,Покупатели!$F$2:$N$762,3,0)</f>
        <v>МЮ РК</v>
      </c>
      <c r="I240" s="36">
        <f>VLOOKUP(C240,Покупатели!$C$2:$M$805,7,0)</f>
        <v>820907350355</v>
      </c>
      <c r="J240" s="36" t="str">
        <f ca="1">IFERROR(__xludf.DUMMYFUNCTION("JOIN("" "", VLOOKUP(C240,Покупатели,8,0),VLOOKUP(C240,Покупатели,9,0),VLOOKUP(C240,Покупатели,10,0),VLOOKUP(C240,Покупатели,11,0))"),"Акмолинская обл. г.Кокшетау ул.Сагдиева д.50, кв.49")</f>
        <v>Акмолинская обл. г.Кокшетау ул.Сагдиева д.50, кв.49</v>
      </c>
      <c r="K240" s="36">
        <f t="shared" si="62"/>
        <v>87015204519</v>
      </c>
      <c r="L240" s="36" t="str">
        <f t="shared" si="63"/>
        <v>MX4000002R0001933</v>
      </c>
      <c r="M240" s="36" t="str">
        <f t="shared" ca="1" si="69"/>
        <v>002-2013E50Q13-OK30</v>
      </c>
      <c r="N240" s="36" t="str">
        <f t="shared" si="68"/>
        <v>Прицеп 2,0*1,25 м  (до 750 кг.)</v>
      </c>
      <c r="O240" s="36" t="str">
        <f t="shared" si="64"/>
        <v>1 ось</v>
      </c>
      <c r="P240" s="36">
        <f t="shared" si="65"/>
        <v>2024</v>
      </c>
      <c r="Q240" s="36" t="str">
        <f t="shared" ca="1" si="70"/>
        <v>3150*1700*1070</v>
      </c>
      <c r="R240" s="36" t="str">
        <f t="shared" ca="1" si="71"/>
        <v>2000*1250*500</v>
      </c>
      <c r="S240" s="34" t="str">
        <f>VLOOKUP(O240,ОТТС!$A$2:$B$3,2,0)</f>
        <v>ТС KZ Е-KZ.0317.00251 от 28.02.2023</v>
      </c>
      <c r="T240" s="39">
        <v>350000</v>
      </c>
      <c r="U240" s="36" t="str">
        <f t="shared" si="66"/>
        <v>Кокшетау</v>
      </c>
    </row>
    <row r="241" spans="1:21" ht="13.2">
      <c r="A241" s="34">
        <v>1417</v>
      </c>
      <c r="B241" s="35">
        <f>VLOOKUP(A241,'Реестр договоров'!$A$2:$D$298,2,0)</f>
        <v>45675</v>
      </c>
      <c r="C241" s="36" t="str">
        <f t="shared" si="58"/>
        <v>Михальцов</v>
      </c>
      <c r="D241" s="36" t="str">
        <f t="shared" si="59"/>
        <v>Александр</v>
      </c>
      <c r="E241" s="36" t="str">
        <f t="shared" si="72"/>
        <v>Александрович</v>
      </c>
      <c r="F241" s="36" t="str">
        <f t="shared" si="61"/>
        <v>022507578</v>
      </c>
      <c r="G241" s="37">
        <f>VLOOKUP(F241,Покупатели!$F$2:$N$762,2,0)</f>
        <v>39737</v>
      </c>
      <c r="H241" s="36" t="str">
        <f>VLOOKUP(F241,Покупатели!$F$2:$N$762,3,0)</f>
        <v>МЮ РК</v>
      </c>
      <c r="I241" s="36">
        <f>VLOOKUP(C241,Покупатели!$C$2:$M$805,7,0)</f>
        <v>830621350540</v>
      </c>
      <c r="J241" s="36" t="str">
        <f ca="1">IFERROR(__xludf.DUMMYFUNCTION("JOIN("" "", VLOOKUP(C241,Покупатели,8,0),VLOOKUP(C241,Покупатели,9,0),VLOOKUP(C241,Покупатели,10,0),VLOOKUP(C241,Покупатели,11,0))"),"Акмолинская обл. р-н. Целиноградский, с.о.Софиевский, с.Софиевка Ул.Наурызбай батыра д.12, кв.3")</f>
        <v>Акмолинская обл. р-н. Целиноградский, с.о.Софиевский, с.Софиевка Ул.Наурызбай батыра д.12, кв.3</v>
      </c>
      <c r="K241" s="36">
        <f t="shared" si="62"/>
        <v>87712671941</v>
      </c>
      <c r="L241" s="36" t="str">
        <f t="shared" si="63"/>
        <v>MX4000002R0001877</v>
      </c>
      <c r="M241" s="36" t="str">
        <f t="shared" ca="1" si="69"/>
        <v>002-2013E50Q13-OK</v>
      </c>
      <c r="N241" s="36" t="str">
        <f t="shared" si="68"/>
        <v>Прицеп 2,0*1,25 м  (до 750 кг.)</v>
      </c>
      <c r="O241" s="36" t="str">
        <f t="shared" si="64"/>
        <v>1 ось</v>
      </c>
      <c r="P241" s="36">
        <f t="shared" si="65"/>
        <v>2024</v>
      </c>
      <c r="Q241" s="36" t="str">
        <f t="shared" ca="1" si="70"/>
        <v>3150*1700*1070</v>
      </c>
      <c r="R241" s="36" t="str">
        <f t="shared" ca="1" si="71"/>
        <v>2000*1250*500</v>
      </c>
      <c r="S241" s="34" t="str">
        <f>VLOOKUP(O241,ОТТС!$A$2:$B$3,2,0)</f>
        <v>ТС KZ Е-KZ.0317.00251 от 28.02.2023</v>
      </c>
      <c r="T241" s="39">
        <v>330000</v>
      </c>
      <c r="U241" s="36" t="str">
        <f t="shared" si="66"/>
        <v>Астана</v>
      </c>
    </row>
    <row r="242" spans="1:21" ht="13.2">
      <c r="A242" s="34">
        <v>1418</v>
      </c>
      <c r="B242" s="35">
        <f>VLOOKUP(A242,'Реестр договоров'!$A$2:$D$298,2,0)</f>
        <v>45676</v>
      </c>
      <c r="C242" s="36" t="str">
        <f t="shared" si="58"/>
        <v>Сайдалин</v>
      </c>
      <c r="D242" s="36" t="str">
        <f t="shared" si="59"/>
        <v>Айдос</v>
      </c>
      <c r="E242" s="36" t="str">
        <f t="shared" si="72"/>
        <v>Сапарович</v>
      </c>
      <c r="F242" s="36" t="str">
        <f t="shared" si="61"/>
        <v>055599802</v>
      </c>
      <c r="G242" s="37">
        <f>VLOOKUP(F242,Покупатели!$F$2:$N$762,2,0)</f>
        <v>45085</v>
      </c>
      <c r="H242" s="36" t="str">
        <f>VLOOKUP(F242,Покупатели!$F$2:$N$762,3,0)</f>
        <v>МВД РК</v>
      </c>
      <c r="I242" s="36">
        <f>VLOOKUP(C242,Покупатели!$C$2:$M$805,7,0)</f>
        <v>771016301394</v>
      </c>
      <c r="J242" s="36" t="str">
        <f ca="1">IFERROR(__xludf.DUMMYFUNCTION("JOIN("" "", VLOOKUP(C242,Покупатели,8,0),VLOOKUP(C242,Покупатели,9,0),VLOOKUP(C242,Покупатели,10,0),VLOOKUP(C242,Покупатели,11,0))"),"г.Астана р-н Есиль пр-т Улы дала д.69, кв.532")</f>
        <v>г.Астана р-н Есиль пр-т Улы дала д.69, кв.532</v>
      </c>
      <c r="K242" s="36">
        <f t="shared" si="62"/>
        <v>87770513630</v>
      </c>
      <c r="L242" s="36" t="str">
        <f t="shared" si="63"/>
        <v>MX4000002R0001906</v>
      </c>
      <c r="M242" s="36" t="str">
        <f t="shared" ca="1" si="69"/>
        <v>002-2013E50Q13-OK</v>
      </c>
      <c r="N242" s="36" t="str">
        <f t="shared" si="68"/>
        <v>Прицеп 2,0*1,25 м  (до 750 кг.)</v>
      </c>
      <c r="O242" s="36" t="str">
        <f t="shared" si="64"/>
        <v>1 ось</v>
      </c>
      <c r="P242" s="36">
        <f t="shared" si="65"/>
        <v>2024</v>
      </c>
      <c r="Q242" s="36" t="str">
        <f t="shared" ca="1" si="70"/>
        <v>3150*1700*1070</v>
      </c>
      <c r="R242" s="36" t="str">
        <f t="shared" ca="1" si="71"/>
        <v>2000*1250*500</v>
      </c>
      <c r="S242" s="34" t="str">
        <f>VLOOKUP(O242,ОТТС!$A$2:$B$3,2,0)</f>
        <v>ТС KZ Е-KZ.0317.00251 от 28.02.2023</v>
      </c>
      <c r="T242" s="39">
        <v>320000</v>
      </c>
      <c r="U242" s="36" t="str">
        <f t="shared" si="66"/>
        <v>Астана</v>
      </c>
    </row>
    <row r="243" spans="1:21" ht="13.2">
      <c r="A243" s="34">
        <v>1419</v>
      </c>
      <c r="B243" s="35">
        <f>VLOOKUP(A243,'Реестр договоров'!$A$2:$D$298,2,0)</f>
        <v>45684</v>
      </c>
      <c r="C243" s="36" t="str">
        <f t="shared" si="58"/>
        <v>Аскаров</v>
      </c>
      <c r="D243" s="36" t="str">
        <f t="shared" si="59"/>
        <v>Болатбек</v>
      </c>
      <c r="E243" s="36" t="str">
        <f t="shared" si="72"/>
        <v>Жакиянович</v>
      </c>
      <c r="F243" s="36" t="str">
        <f t="shared" si="61"/>
        <v>051318296</v>
      </c>
      <c r="G243" s="37">
        <f>VLOOKUP(F243,Покупатели!$F$2:$N$762,2,0)</f>
        <v>44463</v>
      </c>
      <c r="H243" s="36" t="str">
        <f>VLOOKUP(F243,Покупатели!$F$2:$N$762,3,0)</f>
        <v>МВД РК</v>
      </c>
      <c r="I243" s="36">
        <f>VLOOKUP(C243,Покупатели!$C$2:$M$805,7,0)</f>
        <v>790114301427</v>
      </c>
      <c r="J243" s="36" t="str">
        <f ca="1">IFERROR(__xludf.DUMMYFUNCTION("JOIN("" "", VLOOKUP(C243,Покупатели,8,0),VLOOKUP(C243,Покупатели,9,0),VLOOKUP(C243,Покупатели,10,0),VLOOKUP(C243,Покупатели,11,0))"),"г.Астана р-н Алматы ул.Кошкарбаева д.28, кв.93")</f>
        <v>г.Астана р-н Алматы ул.Кошкарбаева д.28, кв.93</v>
      </c>
      <c r="K243" s="36">
        <f t="shared" si="62"/>
        <v>87024122112</v>
      </c>
      <c r="L243" s="36" t="str">
        <f t="shared" si="63"/>
        <v>MX4000002S0001950</v>
      </c>
      <c r="M243" s="36" t="str">
        <f t="shared" ca="1" si="69"/>
        <v>002-2013E50Q13-OK</v>
      </c>
      <c r="N243" s="36" t="str">
        <f t="shared" si="68"/>
        <v>Прицеп 2,0*1,25 м  (до 750 кг.)</v>
      </c>
      <c r="O243" s="36" t="str">
        <f t="shared" si="64"/>
        <v>1 ось</v>
      </c>
      <c r="P243" s="36">
        <f t="shared" si="65"/>
        <v>2025</v>
      </c>
      <c r="Q243" s="36" t="str">
        <f t="shared" ca="1" si="70"/>
        <v>3150*1700*1070</v>
      </c>
      <c r="R243" s="36" t="str">
        <f t="shared" ca="1" si="71"/>
        <v>2000*1250*500</v>
      </c>
      <c r="S243" s="34" t="str">
        <f>VLOOKUP(O243,ОТТС!$A$2:$B$3,2,0)</f>
        <v>ТС KZ Е-KZ.0317.00251 от 28.02.2023</v>
      </c>
      <c r="T243" s="39">
        <v>330000</v>
      </c>
      <c r="U243" s="36" t="str">
        <f t="shared" si="66"/>
        <v>Астана</v>
      </c>
    </row>
    <row r="244" spans="1:21" ht="13.2">
      <c r="A244" s="34">
        <v>1420</v>
      </c>
      <c r="B244" s="35">
        <f>VLOOKUP(A244,'Реестр договоров'!$A$2:$D$298,2,0)</f>
        <v>45684</v>
      </c>
      <c r="C244" s="36" t="str">
        <f t="shared" si="58"/>
        <v>Болганбеков</v>
      </c>
      <c r="D244" s="36" t="str">
        <f t="shared" si="59"/>
        <v>Ержан</v>
      </c>
      <c r="E244" s="36" t="str">
        <f t="shared" si="72"/>
        <v>Турсынбекович</v>
      </c>
      <c r="F244" s="36" t="str">
        <f t="shared" si="61"/>
        <v>049243835</v>
      </c>
      <c r="G244" s="37">
        <f>VLOOKUP(F244,Покупатели!$F$2:$N$762,2,0)</f>
        <v>44462</v>
      </c>
      <c r="H244" s="36" t="str">
        <f>VLOOKUP(F244,Покупатели!$F$2:$N$762,3,0)</f>
        <v>МВД РК</v>
      </c>
      <c r="I244" s="36">
        <f>VLOOKUP(C244,Покупатели!$C$2:$M$805,7,0)</f>
        <v>710423301422</v>
      </c>
      <c r="J244" s="36" t="str">
        <f ca="1">IFERROR(__xludf.DUMMYFUNCTION("JOIN("" "", VLOOKUP(C244,Покупатели,8,0),VLOOKUP(C244,Покупатели,9,0),VLOOKUP(C244,Покупатели,10,0),VLOOKUP(C244,Покупатели,11,0))"),"Алматинская область, г. Алматы, ул. Кассина, д.46/4")</f>
        <v>Алматинская область, г. Алматы, ул. Кассина, д.46/4</v>
      </c>
      <c r="K244" s="36">
        <f t="shared" si="62"/>
        <v>87471594860</v>
      </c>
      <c r="L244" s="36" t="str">
        <f t="shared" si="63"/>
        <v>MX4000002R0001645</v>
      </c>
      <c r="M244" s="36" t="str">
        <f t="shared" ca="1" si="69"/>
        <v>002-2513E50Q13</v>
      </c>
      <c r="N244" s="36" t="str">
        <f t="shared" si="68"/>
        <v>Прицеп 2,5*1,25 м  (до 750 кг.)</v>
      </c>
      <c r="O244" s="36" t="str">
        <f t="shared" si="64"/>
        <v>1 ось</v>
      </c>
      <c r="P244" s="36">
        <f t="shared" si="65"/>
        <v>2024</v>
      </c>
      <c r="Q244" s="36" t="str">
        <f t="shared" ca="1" si="70"/>
        <v>3650*1700*1070</v>
      </c>
      <c r="R244" s="36" t="str">
        <f t="shared" ca="1" si="71"/>
        <v>2500*1250*500</v>
      </c>
      <c r="S244" s="34" t="str">
        <f>VLOOKUP(O244,ОТТС!$A$2:$B$3,2,0)</f>
        <v>ТС KZ Е-KZ.0317.00251 от 28.02.2023</v>
      </c>
      <c r="T244" s="39">
        <v>380000</v>
      </c>
      <c r="U244" s="36" t="str">
        <f t="shared" si="66"/>
        <v>Алматы</v>
      </c>
    </row>
    <row r="245" spans="1:21" ht="13.2">
      <c r="A245" s="34">
        <v>1421</v>
      </c>
      <c r="B245" s="35">
        <f>VLOOKUP(A245,'Реестр договоров'!$A$2:$D$298,2,0)</f>
        <v>45685</v>
      </c>
      <c r="C245" s="36" t="str">
        <f t="shared" si="58"/>
        <v>Вишняк</v>
      </c>
      <c r="D245" s="36" t="str">
        <f t="shared" si="59"/>
        <v>Александр</v>
      </c>
      <c r="E245" s="36" t="str">
        <f t="shared" si="72"/>
        <v>Николаевич</v>
      </c>
      <c r="F245" s="36" t="str">
        <f t="shared" si="61"/>
        <v>018647525</v>
      </c>
      <c r="G245" s="37">
        <f>VLOOKUP(F245,Покупатели!$F$2:$N$762,2,0)</f>
        <v>38909</v>
      </c>
      <c r="H245" s="36" t="str">
        <f>VLOOKUP(F245,Покупатели!$F$2:$N$762,3,0)</f>
        <v>МЮ РК</v>
      </c>
      <c r="I245" s="36">
        <f>VLOOKUP(C245,Покупатели!$C$2:$M$805,7,0)</f>
        <v>810520350895</v>
      </c>
      <c r="J245" s="36" t="str">
        <f ca="1">IFERROR(__xludf.DUMMYFUNCTION("JOIN("" "", VLOOKUP(C245,Покупатели,8,0),VLOOKUP(C245,Покупатели,9,0),VLOOKUP(C245,Покупатели,10,0),VLOOKUP(C245,Покупатели,11,0))"),"Акмолинская обл., г.Кокшетау ул.Сатпаева д.145")</f>
        <v>Акмолинская обл., г.Кокшетау ул.Сатпаева д.145</v>
      </c>
      <c r="K245" s="36">
        <f t="shared" si="62"/>
        <v>87051722406</v>
      </c>
      <c r="L245" s="36" t="str">
        <f t="shared" si="63"/>
        <v>MX4000002R0001936</v>
      </c>
      <c r="M245" s="36" t="str">
        <f t="shared" ca="1" si="69"/>
        <v>002-2513E30Q13-OK</v>
      </c>
      <c r="N245" s="36" t="str">
        <f t="shared" si="68"/>
        <v>Прицеп 2,5*1,25 м  (до 750 кг.)</v>
      </c>
      <c r="O245" s="36" t="str">
        <f t="shared" si="64"/>
        <v>1 ось</v>
      </c>
      <c r="P245" s="36">
        <f t="shared" si="65"/>
        <v>2024</v>
      </c>
      <c r="Q245" s="36" t="str">
        <f t="shared" ca="1" si="70"/>
        <v>3650*1700*900</v>
      </c>
      <c r="R245" s="36" t="str">
        <f t="shared" ca="1" si="71"/>
        <v>2500*1250*300</v>
      </c>
      <c r="S245" s="34" t="str">
        <f>VLOOKUP(O245,ОТТС!$A$2:$B$3,2,0)</f>
        <v>ТС KZ Е-KZ.0317.00251 от 28.02.2023</v>
      </c>
      <c r="T245" s="39">
        <v>370000</v>
      </c>
      <c r="U245" s="36" t="str">
        <f t="shared" si="66"/>
        <v>Кокшетау</v>
      </c>
    </row>
    <row r="246" spans="1:21" ht="13.2">
      <c r="A246" s="34">
        <v>1422</v>
      </c>
      <c r="B246" s="35">
        <f>VLOOKUP(A246,'Реестр договоров'!$A$2:$D$298,2,0)</f>
        <v>45685</v>
      </c>
      <c r="C246" s="36" t="str">
        <f t="shared" si="58"/>
        <v>Тихонюк</v>
      </c>
      <c r="D246" s="36" t="str">
        <f t="shared" si="59"/>
        <v>Борис</v>
      </c>
      <c r="E246" s="36" t="str">
        <f t="shared" si="72"/>
        <v>Борисович</v>
      </c>
      <c r="F246" s="36" t="str">
        <f t="shared" si="61"/>
        <v>058722560</v>
      </c>
      <c r="G246" s="37">
        <f>VLOOKUP(F246,Покупатели!$F$2:$N$762,2,0)</f>
        <v>45512</v>
      </c>
      <c r="H246" s="36" t="str">
        <f>VLOOKUP(F246,Покупатели!$F$2:$N$762,3,0)</f>
        <v>МВД РК</v>
      </c>
      <c r="I246" s="36">
        <f>VLOOKUP(C246,Покупатели!$C$2:$M$805,7,0)</f>
        <v>690801350161</v>
      </c>
      <c r="J246" s="36" t="str">
        <f ca="1">IFERROR(__xludf.DUMMYFUNCTION("JOIN("" "", VLOOKUP(C246,Покупатели,8,0),VLOOKUP(C246,Покупатели,9,0),VLOOKUP(C246,Покупатели,10,0),VLOOKUP(C246,Покупатели,11,0))"),"Акмолинская обл. Целиноградский р-н, с.Софиевка ул. Наурызбай  д.32")</f>
        <v>Акмолинская обл. Целиноградский р-н, с.Софиевка ул. Наурызбай  д.32</v>
      </c>
      <c r="K246" s="36">
        <f t="shared" si="62"/>
        <v>87029028861</v>
      </c>
      <c r="L246" s="36" t="str">
        <f t="shared" si="63"/>
        <v>MX4000002S0001952</v>
      </c>
      <c r="M246" s="36" t="str">
        <f t="shared" ca="1" si="69"/>
        <v>002-2013E50Q13-OK90</v>
      </c>
      <c r="N246" s="36" t="str">
        <f t="shared" si="68"/>
        <v>Прицеп 2,0*1,25 м  (до 750 кг.)</v>
      </c>
      <c r="O246" s="36" t="str">
        <f t="shared" si="64"/>
        <v>1 ось</v>
      </c>
      <c r="P246" s="36">
        <f t="shared" si="65"/>
        <v>2025</v>
      </c>
      <c r="Q246" s="36" t="str">
        <f t="shared" ca="1" si="70"/>
        <v>3150*1700*1070</v>
      </c>
      <c r="R246" s="36" t="str">
        <f t="shared" ca="1" si="71"/>
        <v>2000*1250*500</v>
      </c>
      <c r="S246" s="34" t="str">
        <f>VLOOKUP(O246,ОТТС!$A$2:$B$3,2,0)</f>
        <v>ТС KZ Е-KZ.0317.00251 от 28.02.2023</v>
      </c>
      <c r="T246" s="39">
        <v>420000</v>
      </c>
      <c r="U246" s="36" t="str">
        <f t="shared" si="66"/>
        <v>Астана</v>
      </c>
    </row>
    <row r="247" spans="1:21" ht="13.2">
      <c r="A247" s="34">
        <v>1423</v>
      </c>
      <c r="B247" s="35">
        <f>VLOOKUP(A247,'Реестр договоров'!$A$2:$D$298,2,0)</f>
        <v>45686</v>
      </c>
      <c r="C247" s="36" t="str">
        <f t="shared" si="58"/>
        <v>Смагулов</v>
      </c>
      <c r="D247" s="36" t="str">
        <f t="shared" si="59"/>
        <v>Тлеген</v>
      </c>
      <c r="E247" s="36" t="str">
        <f t="shared" si="72"/>
        <v>Берикович</v>
      </c>
      <c r="F247" s="36" t="str">
        <f t="shared" si="61"/>
        <v>059000762</v>
      </c>
      <c r="G247" s="37">
        <f>VLOOKUP(F247,Покупатели!$F$2:$N$762,2,0)</f>
        <v>45554</v>
      </c>
      <c r="H247" s="36" t="str">
        <f>VLOOKUP(F247,Покупатели!$F$2:$N$762,3,0)</f>
        <v>МВД РК</v>
      </c>
      <c r="I247" s="36">
        <f>VLOOKUP(C247,Покупатели!$C$2:$M$805,7,0)</f>
        <v>751229300618</v>
      </c>
      <c r="J247" s="36" t="str">
        <f ca="1">IFERROR(__xludf.DUMMYFUNCTION("JOIN("" "", VLOOKUP(C247,Покупатели,8,0),VLOOKUP(C247,Покупатели,9,0),VLOOKUP(C247,Покупатели,10,0),VLOOKUP(C247,Покупатели,11,0))"),"г.Астана р-н Есиль Улы дала д.68/12")</f>
        <v>г.Астана р-н Есиль Улы дала д.68/12</v>
      </c>
      <c r="K247" s="36">
        <f t="shared" si="62"/>
        <v>87019995099</v>
      </c>
      <c r="L247" s="36" t="str">
        <f t="shared" si="63"/>
        <v>MX4000002S0001953</v>
      </c>
      <c r="M247" s="36" t="str">
        <f t="shared" ca="1" si="69"/>
        <v>002-2013E30Q13-OK</v>
      </c>
      <c r="N247" s="36" t="str">
        <f t="shared" si="68"/>
        <v>Прицеп 2,0*1,25 м  (до 750 кг.)</v>
      </c>
      <c r="O247" s="36" t="str">
        <f t="shared" si="64"/>
        <v>1 ось</v>
      </c>
      <c r="P247" s="36">
        <f t="shared" si="65"/>
        <v>2025</v>
      </c>
      <c r="Q247" s="36" t="str">
        <f t="shared" ca="1" si="70"/>
        <v>3150*1700*900</v>
      </c>
      <c r="R247" s="36" t="str">
        <f t="shared" ca="1" si="71"/>
        <v>2000*1250*300</v>
      </c>
      <c r="S247" s="34" t="str">
        <f>VLOOKUP(O247,ОТТС!$A$2:$B$3,2,0)</f>
        <v>ТС KZ Е-KZ.0317.00251 от 28.02.2023</v>
      </c>
      <c r="T247" s="39">
        <v>350000</v>
      </c>
      <c r="U247" s="36" t="str">
        <f t="shared" si="66"/>
        <v>Астана</v>
      </c>
    </row>
    <row r="248" spans="1:21" ht="13.2">
      <c r="A248" s="34">
        <v>1424</v>
      </c>
      <c r="B248" s="35">
        <f>VLOOKUP(A248,'Реестр договоров'!$A$2:$D$298,2,0)</f>
        <v>45686</v>
      </c>
      <c r="C248" s="36" t="str">
        <f t="shared" si="58"/>
        <v>Галиев</v>
      </c>
      <c r="D248" s="36" t="str">
        <f t="shared" si="59"/>
        <v>Сеит-Баттал</v>
      </c>
      <c r="E248" s="36" t="str">
        <f t="shared" si="72"/>
        <v>Бауыржанович</v>
      </c>
      <c r="F248" s="36" t="str">
        <f t="shared" si="61"/>
        <v>046431648</v>
      </c>
      <c r="G248" s="37">
        <f>VLOOKUP(F248,Покупатели!$F$2:$N$762,2,0)</f>
        <v>43700</v>
      </c>
      <c r="H248" s="36" t="str">
        <f>VLOOKUP(F248,Покупатели!$F$2:$N$762,3,0)</f>
        <v>МВД РК</v>
      </c>
      <c r="I248" s="36">
        <f>VLOOKUP(C248,Покупатели!$C$2:$M$805,7,0)</f>
        <v>740826301313</v>
      </c>
      <c r="J248" s="36" t="str">
        <f ca="1">IFERROR(__xludf.DUMMYFUNCTION("JOIN("" "", VLOOKUP(C248,Покупатели,8,0),VLOOKUP(C248,Покупатели,9,0),VLOOKUP(C248,Покупатели,10,0),VLOOKUP(C248,Покупатели,11,0))"),"СКО Акжарский р-н, с.Талшик ул.Муканова д.20, кв.1")</f>
        <v>СКО Акжарский р-н, с.Талшик ул.Муканова д.20, кв.1</v>
      </c>
      <c r="K248" s="36">
        <f t="shared" si="62"/>
        <v>87083151446</v>
      </c>
      <c r="L248" s="36" t="str">
        <f t="shared" si="63"/>
        <v>MX4000002R0001878</v>
      </c>
      <c r="M248" s="36" t="str">
        <f t="shared" ca="1" si="69"/>
        <v>002-2513E50Q13-OK</v>
      </c>
      <c r="N248" s="36" t="str">
        <f t="shared" si="68"/>
        <v>Прицеп 2,5*1,25 м  (до 750 кг.)</v>
      </c>
      <c r="O248" s="36" t="str">
        <f t="shared" si="64"/>
        <v>1 ось</v>
      </c>
      <c r="P248" s="36">
        <f t="shared" si="65"/>
        <v>2024</v>
      </c>
      <c r="Q248" s="36" t="str">
        <f t="shared" ca="1" si="70"/>
        <v>3650*1700*1070</v>
      </c>
      <c r="R248" s="36" t="str">
        <f t="shared" ca="1" si="71"/>
        <v>2500*1250*500</v>
      </c>
      <c r="S248" s="34" t="str">
        <f>VLOOKUP(O248,ОТТС!$A$2:$B$3,2,0)</f>
        <v>ТС KZ Е-KZ.0317.00251 от 28.02.2023</v>
      </c>
      <c r="T248" s="39">
        <v>420000</v>
      </c>
      <c r="U248" s="36" t="str">
        <f t="shared" si="66"/>
        <v>Астана</v>
      </c>
    </row>
    <row r="249" spans="1:21" ht="13.2">
      <c r="A249" s="34">
        <v>1425</v>
      </c>
      <c r="B249" s="35">
        <f>VLOOKUP(A249,'Реестр договоров'!$A$2:$D$298,2,0)</f>
        <v>45687</v>
      </c>
      <c r="C249" s="36" t="str">
        <f t="shared" si="58"/>
        <v>Ченгелбаев</v>
      </c>
      <c r="D249" s="36" t="str">
        <f t="shared" si="59"/>
        <v>Калкаман</v>
      </c>
      <c r="E249" s="36" t="str">
        <f t="shared" si="72"/>
        <v>Тулепбергенович</v>
      </c>
      <c r="F249" s="36" t="str">
        <f t="shared" si="61"/>
        <v>052451199</v>
      </c>
      <c r="G249" s="37">
        <f>VLOOKUP(F249,Покупатели!$F$2:$N$762,2,0)</f>
        <v>44938</v>
      </c>
      <c r="H249" s="36" t="str">
        <f>VLOOKUP(F249,Покупатели!$F$2:$N$762,3,0)</f>
        <v>МВД РК</v>
      </c>
      <c r="I249" s="36">
        <f>VLOOKUP(C249,Покупатели!$C$2:$M$805,7,0)</f>
        <v>760218300469</v>
      </c>
      <c r="J249" s="36" t="str">
        <f ca="1">IFERROR(__xludf.DUMMYFUNCTION("JOIN("" "", VLOOKUP(C249,Покупатели,8,0),VLOOKUP(C249,Покупатели,9,0),VLOOKUP(C249,Покупатели,10,0),VLOOKUP(C249,Покупатели,11,0))"),"Алматинская область, г. Конаев, мкр-н 4, д.24, кв 23")</f>
        <v>Алматинская область, г. Конаев, мкр-н 4, д.24, кв 23</v>
      </c>
      <c r="K249" s="36">
        <f t="shared" si="62"/>
        <v>87788659595</v>
      </c>
      <c r="L249" s="36" t="str">
        <f t="shared" si="63"/>
        <v>MX4000002R0001600</v>
      </c>
      <c r="M249" s="36" t="str">
        <f t="shared" ca="1" si="69"/>
        <v>002-2513E30Q13-OK</v>
      </c>
      <c r="N249" s="36" t="str">
        <f t="shared" si="68"/>
        <v>Прицеп 2,5*1,25 м  (до 750 кг.)</v>
      </c>
      <c r="O249" s="36" t="str">
        <f t="shared" si="64"/>
        <v>1 ось</v>
      </c>
      <c r="P249" s="36">
        <f t="shared" si="65"/>
        <v>2024</v>
      </c>
      <c r="Q249" s="36" t="str">
        <f t="shared" ca="1" si="70"/>
        <v>3650*1700*900</v>
      </c>
      <c r="R249" s="36" t="str">
        <f t="shared" ca="1" si="71"/>
        <v>2500*1250*300</v>
      </c>
      <c r="S249" s="34" t="str">
        <f>VLOOKUP(O249,ОТТС!$A$2:$B$3,2,0)</f>
        <v>ТС KZ Е-KZ.0317.00251 от 28.02.2023</v>
      </c>
      <c r="T249" s="39">
        <v>370000</v>
      </c>
      <c r="U249" s="36" t="str">
        <f t="shared" si="66"/>
        <v>Алматы</v>
      </c>
    </row>
    <row r="250" spans="1:21" ht="13.2">
      <c r="A250" s="34">
        <v>1426</v>
      </c>
      <c r="B250" s="35">
        <f>VLOOKUP(A250,'Реестр договоров'!$A$2:$D$298,2,0)</f>
        <v>45691</v>
      </c>
      <c r="C250" s="36" t="str">
        <f t="shared" si="58"/>
        <v>Калмуратов</v>
      </c>
      <c r="D250" s="36" t="str">
        <f t="shared" si="59"/>
        <v>Мухан</v>
      </c>
      <c r="E250" s="36" t="str">
        <f t="shared" si="72"/>
        <v>Кеулимжаевич</v>
      </c>
      <c r="F250" s="36" t="str">
        <f t="shared" si="61"/>
        <v>041375557</v>
      </c>
      <c r="G250" s="37">
        <f>VLOOKUP(F250,Покупатели!$F$2:$N$762,2,0)</f>
        <v>42823</v>
      </c>
      <c r="H250" s="36" t="str">
        <f>VLOOKUP(F250,Покупатели!$F$2:$N$762,3,0)</f>
        <v>МВД РК</v>
      </c>
      <c r="I250" s="36">
        <f>VLOOKUP(C250,Покупатели!$C$2:$M$805,7,0)</f>
        <v>840925399101</v>
      </c>
      <c r="J250" s="36" t="str">
        <f ca="1">IFERROR(__xludf.DUMMYFUNCTION("JOIN("" "", VLOOKUP(C250,Покупатели,8,0),VLOOKUP(C250,Покупатели,9,0),VLOOKUP(C250,Покупатели,10,0),VLOOKUP(C250,Покупатели,11,0))"),"Алматинская обл. Карасайский р-н, с.Жибек жолы ул.Кок кайнар д.120")</f>
        <v>Алматинская обл. Карасайский р-н, с.Жибек жолы ул.Кок кайнар д.120</v>
      </c>
      <c r="K250" s="36">
        <f t="shared" si="62"/>
        <v>87023410986</v>
      </c>
      <c r="L250" s="36" t="str">
        <f t="shared" si="63"/>
        <v>MX4000002R0001644</v>
      </c>
      <c r="M250" s="36" t="str">
        <f t="shared" ca="1" si="69"/>
        <v>002-2513E50Q13-OK</v>
      </c>
      <c r="N250" s="36" t="str">
        <f t="shared" si="68"/>
        <v>Прицеп 2,5*1,25 м  (до 750 кг.)</v>
      </c>
      <c r="O250" s="36" t="str">
        <f t="shared" si="64"/>
        <v>1 ось</v>
      </c>
      <c r="P250" s="36">
        <f t="shared" si="65"/>
        <v>2024</v>
      </c>
      <c r="Q250" s="36" t="str">
        <f t="shared" ca="1" si="70"/>
        <v>3650*1700*1070</v>
      </c>
      <c r="R250" s="36" t="str">
        <f t="shared" ca="1" si="71"/>
        <v>2500*1250*500</v>
      </c>
      <c r="S250" s="34" t="str">
        <f>VLOOKUP(O250,ОТТС!$A$2:$B$3,2,0)</f>
        <v>ТС KZ Е-KZ.0317.00251 от 28.02.2023</v>
      </c>
      <c r="T250" s="39">
        <v>450000</v>
      </c>
      <c r="U250" s="36" t="str">
        <f t="shared" si="66"/>
        <v>Алматы</v>
      </c>
    </row>
    <row r="251" spans="1:21" ht="13.2">
      <c r="A251" s="34">
        <v>1427</v>
      </c>
      <c r="B251" s="35">
        <f>VLOOKUP(A251,'Реестр договоров'!$A$2:$D$298,2,0)</f>
        <v>45693</v>
      </c>
      <c r="C251" s="36" t="str">
        <f t="shared" si="58"/>
        <v>Нұрболат</v>
      </c>
      <c r="D251" s="36" t="str">
        <f t="shared" si="59"/>
        <v>Ермұрат</v>
      </c>
      <c r="E251" s="36">
        <f t="shared" si="72"/>
        <v>0</v>
      </c>
      <c r="F251" s="36" t="str">
        <f t="shared" si="61"/>
        <v>046984935</v>
      </c>
      <c r="G251" s="37">
        <f>VLOOKUP(F251,Покупатели!$F$2:$N$762,2,0)</f>
        <v>44084</v>
      </c>
      <c r="H251" s="36" t="str">
        <f>VLOOKUP(F251,Покупатели!$F$2:$N$762,3,0)</f>
        <v>ҚР ІІМ</v>
      </c>
      <c r="I251" s="36">
        <f>VLOOKUP(C251,Покупатели!$C$2:$M$805,7,0)</f>
        <v>830210001122</v>
      </c>
      <c r="J251" s="36" t="str">
        <f ca="1">IFERROR(__xludf.DUMMYFUNCTION("JOIN("" "", VLOOKUP(C251,Покупатели,8,0),VLOOKUP(C251,Покупатели,9,0),VLOOKUP(C251,Покупатели,10,0),VLOOKUP(C251,Покупатели,11,0))"),"Алматинская обл. г.Талдыкорган, Ескельдинский р-н ул.Алдаберген Бактыбай д.9")</f>
        <v>Алматинская обл. г.Талдыкорган, Ескельдинский р-н ул.Алдаберген Бактыбай д.9</v>
      </c>
      <c r="K251" s="36">
        <f t="shared" si="62"/>
        <v>87086065299</v>
      </c>
      <c r="L251" s="36" t="str">
        <f t="shared" si="63"/>
        <v>MX4000002R0001852</v>
      </c>
      <c r="M251" s="36" t="str">
        <f t="shared" ca="1" si="69"/>
        <v>002-2013E50Q13-OK</v>
      </c>
      <c r="N251" s="36" t="str">
        <f t="shared" si="68"/>
        <v>Прицеп 2,0*1,25 м  (до 750 кг.)</v>
      </c>
      <c r="O251" s="36" t="str">
        <f t="shared" si="64"/>
        <v>1 ось</v>
      </c>
      <c r="P251" s="36">
        <f t="shared" si="65"/>
        <v>2024</v>
      </c>
      <c r="Q251" s="36" t="str">
        <f t="shared" ca="1" si="70"/>
        <v>3150*1700*1070</v>
      </c>
      <c r="R251" s="36" t="str">
        <f t="shared" ca="1" si="71"/>
        <v>2000*1250*500</v>
      </c>
      <c r="S251" s="34" t="str">
        <f>VLOOKUP(O251,ОТТС!$A$2:$B$3,2,0)</f>
        <v>ТС KZ Е-KZ.0317.00251 от 28.02.2023</v>
      </c>
      <c r="T251" s="39">
        <v>340000</v>
      </c>
      <c r="U251" s="36" t="str">
        <f t="shared" si="66"/>
        <v>Алматы</v>
      </c>
    </row>
    <row r="252" spans="1:21" ht="13.2">
      <c r="A252" s="34">
        <v>1428</v>
      </c>
      <c r="B252" s="35">
        <f>VLOOKUP(A252,'Реестр договоров'!$A$2:$D$298,2,0)</f>
        <v>45693</v>
      </c>
      <c r="C252" s="36" t="str">
        <f t="shared" si="58"/>
        <v>Павленко</v>
      </c>
      <c r="D252" s="36" t="str">
        <f t="shared" si="59"/>
        <v>Виталий</v>
      </c>
      <c r="E252" s="36" t="str">
        <f t="shared" si="72"/>
        <v>Викторович</v>
      </c>
      <c r="F252" s="36" t="str">
        <f t="shared" si="61"/>
        <v>058960808</v>
      </c>
      <c r="G252" s="37">
        <f>VLOOKUP(F252,Покупатели!$F$2:$N$762,2,0)</f>
        <v>45544</v>
      </c>
      <c r="H252" s="36" t="str">
        <f>VLOOKUP(F252,Покупатели!$F$2:$N$762,3,0)</f>
        <v>МВД РК</v>
      </c>
      <c r="I252" s="36">
        <f>VLOOKUP(C252,Покупатели!$C$2:$M$805,7,0)</f>
        <v>770907301434</v>
      </c>
      <c r="J252" s="36" t="str">
        <f ca="1">IFERROR(__xludf.DUMMYFUNCTION("JOIN("" "", VLOOKUP(C252,Покупатели,8,0),VLOOKUP(C252,Покупатели,9,0),VLOOKUP(C252,Покупатели,10,0),VLOOKUP(C252,Покупатели,11,0))"),"Акмолинская обл р-н Аршалынский, пос.Жибек жолы ул.Мойылды д.8/1")</f>
        <v>Акмолинская обл р-н Аршалынский, пос.Жибек жолы ул.Мойылды д.8/1</v>
      </c>
      <c r="K252" s="36">
        <f t="shared" si="62"/>
        <v>87021820666</v>
      </c>
      <c r="L252" s="36" t="str">
        <f t="shared" si="63"/>
        <v>MX4000002S0001959</v>
      </c>
      <c r="M252" s="36" t="str">
        <f t="shared" ca="1" si="69"/>
        <v>002-2013E50Q13-OK</v>
      </c>
      <c r="N252" s="36" t="str">
        <f t="shared" si="68"/>
        <v>Прицеп 2,0*1,25 м  (до 750 кг.)</v>
      </c>
      <c r="O252" s="36" t="str">
        <f t="shared" si="64"/>
        <v>1 ось</v>
      </c>
      <c r="P252" s="36">
        <f t="shared" si="65"/>
        <v>2025</v>
      </c>
      <c r="Q252" s="36" t="str">
        <f t="shared" ca="1" si="70"/>
        <v>3150*1700*1070</v>
      </c>
      <c r="R252" s="36" t="str">
        <f t="shared" ca="1" si="71"/>
        <v>2000*1250*500</v>
      </c>
      <c r="S252" s="34" t="str">
        <f>VLOOKUP(O252,ОТТС!$A$2:$B$3,2,0)</f>
        <v>ТС KZ Е-KZ.0317.00251 от 28.02.2023</v>
      </c>
      <c r="T252" s="39">
        <v>370000</v>
      </c>
      <c r="U252" s="36" t="str">
        <f t="shared" si="66"/>
        <v>Астана</v>
      </c>
    </row>
    <row r="253" spans="1:21" ht="13.2">
      <c r="A253" s="34">
        <v>1429</v>
      </c>
      <c r="B253" s="35">
        <f>VLOOKUP(A253,'Реестр договоров'!$A$2:$D$298,2,0)</f>
        <v>45694</v>
      </c>
      <c r="C253" s="36" t="str">
        <f t="shared" si="58"/>
        <v>Михеев</v>
      </c>
      <c r="D253" s="36" t="str">
        <f t="shared" si="59"/>
        <v>Сергей</v>
      </c>
      <c r="E253" s="36" t="str">
        <f t="shared" si="72"/>
        <v>Ильясович</v>
      </c>
      <c r="F253" s="36" t="str">
        <f t="shared" si="61"/>
        <v>049997527</v>
      </c>
      <c r="G253" s="37">
        <f>VLOOKUP(F253,Покупатели!$F$2:$N$762,2,0)</f>
        <v>44593</v>
      </c>
      <c r="H253" s="36" t="str">
        <f>VLOOKUP(F253,Покупатели!$F$2:$N$762,3,0)</f>
        <v>МВД РК</v>
      </c>
      <c r="I253" s="36">
        <f>VLOOKUP(C253,Покупатели!$C$2:$M$805,7,0)</f>
        <v>820622302534</v>
      </c>
      <c r="J253" s="36" t="str">
        <f ca="1">IFERROR(__xludf.DUMMYFUNCTION("JOIN("" "", VLOOKUP(C253,Покупатели,8,0),VLOOKUP(C253,Покупатели,9,0),VLOOKUP(C253,Покупатели,10,0),VLOOKUP(C253,Покупатели,11,0))"),"обл.Жетысу Ескелдинский р-н, с.Карабулак ул.Жетису шугыласы д.55")</f>
        <v>обл.Жетысу Ескелдинский р-н, с.Карабулак ул.Жетису шугыласы д.55</v>
      </c>
      <c r="K253" s="36">
        <f t="shared" si="62"/>
        <v>87058603521</v>
      </c>
      <c r="L253" s="36" t="str">
        <f t="shared" si="63"/>
        <v>MX4000002R0001823</v>
      </c>
      <c r="M253" s="36" t="str">
        <f t="shared" ca="1" si="69"/>
        <v>002-2013E30Q13-OK</v>
      </c>
      <c r="N253" s="36" t="str">
        <f t="shared" si="68"/>
        <v>Прицеп 2,0*1,25 м  (до 750 кг.)</v>
      </c>
      <c r="O253" s="36" t="str">
        <f t="shared" si="64"/>
        <v>1 ось</v>
      </c>
      <c r="P253" s="36">
        <f t="shared" si="65"/>
        <v>2024</v>
      </c>
      <c r="Q253" s="36" t="str">
        <f t="shared" ca="1" si="70"/>
        <v>3150*1700*900</v>
      </c>
      <c r="R253" s="36" t="str">
        <f t="shared" ca="1" si="71"/>
        <v>2000*1250*300</v>
      </c>
      <c r="S253" s="34" t="str">
        <f>VLOOKUP(O253,ОТТС!$A$2:$B$3,2,0)</f>
        <v>ТС KZ Е-KZ.0317.00251 от 28.02.2023</v>
      </c>
      <c r="T253" s="39">
        <v>320000</v>
      </c>
      <c r="U253" s="36" t="str">
        <f t="shared" si="66"/>
        <v>Алматы</v>
      </c>
    </row>
    <row r="254" spans="1:21" ht="13.2">
      <c r="A254" s="34">
        <v>1430</v>
      </c>
      <c r="B254" s="35">
        <f>VLOOKUP(A254,'Реестр договоров'!$A$2:$D$298,2,0)</f>
        <v>45696</v>
      </c>
      <c r="C254" s="36" t="str">
        <f t="shared" si="58"/>
        <v>Казакбаев</v>
      </c>
      <c r="D254" s="36" t="str">
        <f t="shared" si="59"/>
        <v>Адхам</v>
      </c>
      <c r="E254" s="36" t="str">
        <f t="shared" si="72"/>
        <v>Юсупович</v>
      </c>
      <c r="F254" s="36" t="str">
        <f t="shared" si="61"/>
        <v>049185567</v>
      </c>
      <c r="G254" s="37">
        <f>VLOOKUP(F254,Покупатели!$F$2:$N$762,2,0)</f>
        <v>44454</v>
      </c>
      <c r="H254" s="36" t="str">
        <f>VLOOKUP(F254,Покупатели!$F$2:$N$762,3,0)</f>
        <v>МВД РК</v>
      </c>
      <c r="I254" s="36">
        <f>VLOOKUP(C254,Покупатели!$C$2:$M$805,7,0)</f>
        <v>590303302590</v>
      </c>
      <c r="J254" s="36" t="str">
        <f ca="1">IFERROR(__xludf.DUMMYFUNCTION("JOIN("" "", VLOOKUP(C254,Покупатели,8,0),VLOOKUP(C254,Покупатели,9,0),VLOOKUP(C254,Покупатели,10,0),VLOOKUP(C254,Покупатели,11,0))"),"г.Алматы Медеуский р-н,  мкр.Коктюбе, ул.Т.Бигельдинова д.88")</f>
        <v>г.Алматы Медеуский р-н,  мкр.Коктюбе, ул.Т.Бигельдинова д.88</v>
      </c>
      <c r="K254" s="36">
        <f t="shared" si="62"/>
        <v>87770140995</v>
      </c>
      <c r="L254" s="36" t="str">
        <f t="shared" si="63"/>
        <v>MX4000002R0001853</v>
      </c>
      <c r="M254" s="36" t="str">
        <f t="shared" ca="1" si="69"/>
        <v>002-2013E30Q13-OK</v>
      </c>
      <c r="N254" s="36" t="str">
        <f t="shared" si="68"/>
        <v>Прицеп 2,0*1,25 м  (до 750 кг.)</v>
      </c>
      <c r="O254" s="36" t="str">
        <f t="shared" si="64"/>
        <v>1 ось</v>
      </c>
      <c r="P254" s="36">
        <f t="shared" si="65"/>
        <v>2024</v>
      </c>
      <c r="Q254" s="36" t="str">
        <f t="shared" ca="1" si="70"/>
        <v>3150*1700*900</v>
      </c>
      <c r="R254" s="36" t="str">
        <f t="shared" ca="1" si="71"/>
        <v>2000*1250*300</v>
      </c>
      <c r="S254" s="34" t="str">
        <f>VLOOKUP(O254,ОТТС!$A$2:$B$3,2,0)</f>
        <v>ТС KZ Е-KZ.0317.00251 от 28.02.2023</v>
      </c>
      <c r="T254" s="39">
        <v>320000</v>
      </c>
      <c r="U254" s="36" t="str">
        <f t="shared" si="66"/>
        <v>Алматы</v>
      </c>
    </row>
    <row r="255" spans="1:21" ht="13.2">
      <c r="A255" s="34">
        <v>1431</v>
      </c>
      <c r="B255" s="35">
        <f>VLOOKUP(A255,'Реестр договоров'!$A$2:$D$298,2,0)</f>
        <v>45697</v>
      </c>
      <c r="C255" s="36" t="str">
        <f t="shared" si="58"/>
        <v>Тохтибакиев</v>
      </c>
      <c r="D255" s="36" t="str">
        <f t="shared" si="59"/>
        <v>Муратжан</v>
      </c>
      <c r="E255" s="36" t="str">
        <f t="shared" si="72"/>
        <v>Тельманович</v>
      </c>
      <c r="F255" s="36" t="str">
        <f t="shared" si="61"/>
        <v>054739063</v>
      </c>
      <c r="G255" s="37">
        <f>VLOOKUP(F255,Покупатели!$F$2:$N$762,2,0)</f>
        <v>45219</v>
      </c>
      <c r="H255" s="36" t="str">
        <f>VLOOKUP(F255,Покупатели!$F$2:$N$762,3,0)</f>
        <v>МВД РК</v>
      </c>
      <c r="I255" s="36">
        <f>VLOOKUP(C255,Покупатели!$C$2:$M$805,7,0)</f>
        <v>871217302504</v>
      </c>
      <c r="J255" s="36" t="str">
        <f ca="1">IFERROR(__xludf.DUMMYFUNCTION("JOIN("" "", VLOOKUP(C255,Покупатели,8,0),VLOOKUP(C255,Покупатели,9,0),VLOOKUP(C255,Покупатели,10,0),VLOOKUP(C255,Покупатели,11,0))"),"Алматинская область, Карасайский р-н, с.Уштерек Учетный квартал 625 д.№1350/1")</f>
        <v>Алматинская область, Карасайский р-н, с.Уштерек Учетный квартал 625 д.№1350/1</v>
      </c>
      <c r="K255" s="36">
        <f t="shared" si="62"/>
        <v>87714922888</v>
      </c>
      <c r="L255" s="36" t="str">
        <f t="shared" si="63"/>
        <v>MX4000002R0001797</v>
      </c>
      <c r="M255" s="36" t="str">
        <f t="shared" ca="1" si="69"/>
        <v>002-3015E30Q13-OK</v>
      </c>
      <c r="N255" s="36" t="str">
        <f t="shared" si="68"/>
        <v>Прицеп 3,0*1,5 м  (до 750 кг.)</v>
      </c>
      <c r="O255" s="36" t="str">
        <f t="shared" si="64"/>
        <v>1 ось</v>
      </c>
      <c r="P255" s="36">
        <f t="shared" si="65"/>
        <v>2024</v>
      </c>
      <c r="Q255" s="36" t="str">
        <f t="shared" ca="1" si="70"/>
        <v>3800*1950*900</v>
      </c>
      <c r="R255" s="36" t="str">
        <f t="shared" ca="1" si="71"/>
        <v>3000*1500*300</v>
      </c>
      <c r="S255" s="34" t="str">
        <f>VLOOKUP(O255,ОТТС!$A$2:$B$3,2,0)</f>
        <v>ТС KZ Е-KZ.0317.00251 от 28.02.2023</v>
      </c>
      <c r="T255" s="39">
        <v>520000</v>
      </c>
      <c r="U255" s="36" t="str">
        <f t="shared" si="66"/>
        <v>Алматы</v>
      </c>
    </row>
    <row r="256" spans="1:21" ht="13.2">
      <c r="A256" s="34">
        <v>1432</v>
      </c>
      <c r="B256" s="35">
        <f>VLOOKUP(A256,'Реестр договоров'!$A$2:$D$298,2,0)</f>
        <v>45698</v>
      </c>
      <c r="C256" s="36" t="str">
        <f t="shared" si="58"/>
        <v>Усембаев</v>
      </c>
      <c r="D256" s="36" t="str">
        <f t="shared" si="59"/>
        <v>Балапан</v>
      </c>
      <c r="E256" s="36" t="str">
        <f t="shared" si="72"/>
        <v>Абылхасанович</v>
      </c>
      <c r="F256" s="36" t="str">
        <f t="shared" si="61"/>
        <v>056573954</v>
      </c>
      <c r="G256" s="37">
        <f>VLOOKUP(F256,Покупатели!$F$2:$N$762,2,0)</f>
        <v>45218</v>
      </c>
      <c r="H256" s="36" t="str">
        <f>VLOOKUP(F256,Покупатели!$F$2:$N$762,3,0)</f>
        <v>МВД РК</v>
      </c>
      <c r="I256" s="36">
        <f>VLOOKUP(C256,Покупатели!$C$2:$M$805,7,0)</f>
        <v>990616351484</v>
      </c>
      <c r="J256" s="36" t="str">
        <f ca="1">IFERROR(__xludf.DUMMYFUNCTION("JOIN("" "", VLOOKUP(C256,Покупатели,8,0),VLOOKUP(C256,Покупатели,9,0),VLOOKUP(C256,Покупатели,10,0),VLOOKUP(C256,Покупатели,11,0))"),"г.Астана р-н Нура ул.Анет баба д.6, кв.104")</f>
        <v>г.Астана р-н Нура ул.Анет баба д.6, кв.104</v>
      </c>
      <c r="K256" s="36">
        <f t="shared" si="62"/>
        <v>87052270920</v>
      </c>
      <c r="L256" s="36" t="str">
        <f t="shared" si="63"/>
        <v>MX4000002S0001958</v>
      </c>
      <c r="M256" s="36" t="str">
        <f t="shared" ca="1" si="69"/>
        <v>002-2013E50Q13-OK60</v>
      </c>
      <c r="N256" s="36" t="str">
        <f t="shared" si="68"/>
        <v>Прицеп 2,0*1,25 м  (до 750 кг.)</v>
      </c>
      <c r="O256" s="36" t="str">
        <f t="shared" si="64"/>
        <v>1 ось</v>
      </c>
      <c r="P256" s="36">
        <f t="shared" si="65"/>
        <v>2025</v>
      </c>
      <c r="Q256" s="36" t="str">
        <f t="shared" ca="1" si="70"/>
        <v>3150*1700*1070</v>
      </c>
      <c r="R256" s="36" t="str">
        <f t="shared" ca="1" si="71"/>
        <v>2000*1250*500</v>
      </c>
      <c r="S256" s="34" t="str">
        <f>VLOOKUP(O256,ОТТС!$A$2:$B$3,2,0)</f>
        <v>ТС KZ Е-KZ.0317.00251 от 28.02.2023</v>
      </c>
      <c r="T256" s="39">
        <v>430000</v>
      </c>
      <c r="U256" s="36" t="str">
        <f t="shared" si="66"/>
        <v>Астана</v>
      </c>
    </row>
    <row r="257" spans="1:21" ht="13.2">
      <c r="A257" s="34">
        <v>1433</v>
      </c>
      <c r="B257" s="35">
        <f>VLOOKUP(A257,'Реестр договоров'!$A$2:$D$298,2,0)</f>
        <v>45700</v>
      </c>
      <c r="C257" s="36" t="str">
        <f t="shared" si="58"/>
        <v>Арыстанбеков</v>
      </c>
      <c r="D257" s="36" t="str">
        <f t="shared" si="59"/>
        <v>Сабит</v>
      </c>
      <c r="E257" s="36" t="str">
        <f t="shared" si="72"/>
        <v>Жанахметович</v>
      </c>
      <c r="F257" s="36" t="str">
        <f t="shared" si="61"/>
        <v>040610511</v>
      </c>
      <c r="G257" s="37">
        <f>VLOOKUP(F257,Покупатели!$F$2:$N$762,2,0)</f>
        <v>42615</v>
      </c>
      <c r="H257" s="36" t="str">
        <f>VLOOKUP(F257,Покупатели!$F$2:$N$762,3,0)</f>
        <v>МВД РК</v>
      </c>
      <c r="I257" s="36">
        <f>VLOOKUP(C257,Покупатели!$C$2:$M$805,7,0)</f>
        <v>870130300740</v>
      </c>
      <c r="J257" s="36" t="str">
        <f ca="1">IFERROR(__xludf.DUMMYFUNCTION("JOIN("" "", VLOOKUP(C257,Покупатели,8,0),VLOOKUP(C257,Покупатели,9,0),VLOOKUP(C257,Покупатели,10,0),VLOOKUP(C257,Покупатели,11,0))"),"Алматинская обл. Балхашский р-н, с.Желтуранга ул.Болтирик д.19, кв.2")</f>
        <v>Алматинская обл. Балхашский р-н, с.Желтуранга ул.Болтирик д.19, кв.2</v>
      </c>
      <c r="K257" s="36">
        <f t="shared" si="62"/>
        <v>87716488686</v>
      </c>
      <c r="L257" s="36" t="str">
        <f t="shared" si="63"/>
        <v>MX4000002R0001795</v>
      </c>
      <c r="M257" s="36" t="str">
        <f t="shared" ca="1" si="69"/>
        <v>002-2515E30Q15-OK</v>
      </c>
      <c r="N257" s="36" t="str">
        <f t="shared" si="68"/>
        <v>Прицеп 2,5*1,5 м  (до 750 кг.)</v>
      </c>
      <c r="O257" s="36" t="str">
        <f t="shared" si="64"/>
        <v>1 ось</v>
      </c>
      <c r="P257" s="36">
        <f t="shared" si="65"/>
        <v>2024</v>
      </c>
      <c r="Q257" s="36" t="str">
        <f t="shared" ca="1" si="70"/>
        <v>3650*1950*900</v>
      </c>
      <c r="R257" s="36" t="str">
        <f t="shared" ca="1" si="71"/>
        <v>2500*1500*300</v>
      </c>
      <c r="S257" s="34" t="str">
        <f>VLOOKUP(O257,ОТТС!$A$2:$B$3,2,0)</f>
        <v>ТС KZ Е-KZ.0317.00251 от 28.02.2023</v>
      </c>
      <c r="T257" s="39">
        <v>500000</v>
      </c>
      <c r="U257" s="36" t="str">
        <f t="shared" si="66"/>
        <v>Алматы</v>
      </c>
    </row>
    <row r="258" spans="1:21" ht="13.2">
      <c r="A258" s="34">
        <v>1434</v>
      </c>
      <c r="B258" s="35">
        <f>VLOOKUP(A258,'Реестр договоров'!$A$2:$D$298,2,0)</f>
        <v>45700</v>
      </c>
      <c r="C258" s="36" t="str">
        <f t="shared" ref="C258:C321" si="73">VLOOKUP(A258,Реестр_Договоров,3,0)</f>
        <v xml:space="preserve">Дереченник </v>
      </c>
      <c r="D258" s="36" t="str">
        <f t="shared" ref="D258:D321" si="74">VLOOKUP(C258,Покупатели,2,0)</f>
        <v>Николай</v>
      </c>
      <c r="E258" s="36" t="str">
        <f t="shared" si="72"/>
        <v>Леонидович</v>
      </c>
      <c r="F258" s="36" t="str">
        <f t="shared" ref="F258:F321" si="75">VLOOKUP(C258,Покупатели,4,0)</f>
        <v>055517854</v>
      </c>
      <c r="G258" s="37">
        <f>VLOOKUP(F258,Покупатели!$F$2:$N$762,2,0)</f>
        <v>45083</v>
      </c>
      <c r="H258" s="36" t="str">
        <f>VLOOKUP(F258,Покупатели!$F$2:$N$762,3,0)</f>
        <v>МВД РК</v>
      </c>
      <c r="I258" s="36">
        <f>VLOOKUP(C258,Покупатели!$C$2:$M$805,7,0)</f>
        <v>871029350176</v>
      </c>
      <c r="J258" s="36" t="str">
        <f ca="1">IFERROR(__xludf.DUMMYFUNCTION("JOIN("" "", VLOOKUP(C258,Покупатели,8,0),VLOOKUP(C258,Покупатели,9,0),VLOOKUP(C258,Покупатели,10,0),VLOOKUP(C258,Покупатели,11,0))"),"Акмолинская область, г.Кокшетау, ул. Пушкина,  д. 72, кв 16")</f>
        <v>Акмолинская область, г.Кокшетау, ул. Пушкина,  д. 72, кв 16</v>
      </c>
      <c r="K258" s="36">
        <f t="shared" ref="K258:K321" si="76">VLOOKUP(C258,Покупатели,12,0)</f>
        <v>87074327842</v>
      </c>
      <c r="L258" s="36" t="str">
        <f t="shared" ref="L258:L321" si="77">VLOOKUP(A258,Реестр_Договоров,4,0)</f>
        <v>MX4000002R0001973</v>
      </c>
      <c r="M258" s="36" t="str">
        <f t="shared" ca="1" si="69"/>
        <v>002-2513E50Q13-OK</v>
      </c>
      <c r="N258" s="36" t="str">
        <f t="shared" si="68"/>
        <v>Прицеп 2,5*1,25 м  (до 750 кг.)</v>
      </c>
      <c r="O258" s="36" t="str">
        <f t="shared" ref="O258:O321" si="78">VLOOKUP(L258,ПРИЦЕПЫ,10,0)</f>
        <v>1 ось</v>
      </c>
      <c r="P258" s="36">
        <f t="shared" ref="P258:P321" si="79">YEAR(VLOOKUP(L258,ПРИЦЕПЫ,7,0))</f>
        <v>2025</v>
      </c>
      <c r="Q258" s="36" t="str">
        <f t="shared" ca="1" si="70"/>
        <v>3650*1700*1070</v>
      </c>
      <c r="R258" s="36" t="str">
        <f t="shared" ca="1" si="71"/>
        <v>2500*1250*500</v>
      </c>
      <c r="S258" s="34" t="str">
        <f>VLOOKUP(O258,ОТТС!$A$2:$B$3,2,0)</f>
        <v>ТС KZ Е-KZ.0317.00251 от 28.02.2023</v>
      </c>
      <c r="T258" s="39" t="s">
        <v>938</v>
      </c>
      <c r="U258" s="36" t="str">
        <f t="shared" si="66"/>
        <v>Кокшетау</v>
      </c>
    </row>
    <row r="259" spans="1:21" ht="13.2">
      <c r="A259" s="34">
        <v>1435</v>
      </c>
      <c r="B259" s="35">
        <f>VLOOKUP(A259,'Реестр договоров'!$A$2:$D$298,2,0)</f>
        <v>45700</v>
      </c>
      <c r="C259" s="36" t="str">
        <f t="shared" si="73"/>
        <v>Олатаев</v>
      </c>
      <c r="D259" s="36" t="str">
        <f t="shared" si="74"/>
        <v>Адилжан</v>
      </c>
      <c r="E259" s="36" t="str">
        <f t="shared" si="72"/>
        <v>Каримжанович</v>
      </c>
      <c r="F259" s="36" t="str">
        <f t="shared" si="75"/>
        <v>037840219</v>
      </c>
      <c r="G259" s="37">
        <f>VLOOKUP(F259,Покупатели!$F$2:$N$762,2,0)</f>
        <v>42114</v>
      </c>
      <c r="H259" s="36" t="str">
        <f>VLOOKUP(F259,Покупатели!$F$2:$N$762,3,0)</f>
        <v>МВД РК</v>
      </c>
      <c r="I259" s="36">
        <f>VLOOKUP(C259,Покупатели!$C$2:$M$805,7,0)</f>
        <v>990407300909</v>
      </c>
      <c r="J259" s="36" t="str">
        <f ca="1">IFERROR(__xludf.DUMMYFUNCTION("JOIN("" "", VLOOKUP(C259,Покупатели,8,0),VLOOKUP(C259,Покупатели,9,0),VLOOKUP(C259,Покупатели,10,0),VLOOKUP(C259,Покупатели,11,0))"),"Жетысуская область г.Жаркент ул.Кунаева д.116")</f>
        <v>Жетысуская область г.Жаркент ул.Кунаева д.116</v>
      </c>
      <c r="K259" s="36">
        <f t="shared" si="76"/>
        <v>87007766079</v>
      </c>
      <c r="L259" s="36" t="str">
        <f t="shared" si="77"/>
        <v>MX4000002R0001828</v>
      </c>
      <c r="M259" s="36" t="str">
        <f t="shared" ca="1" si="69"/>
        <v>002-2013E50Q13-OK</v>
      </c>
      <c r="N259" s="36" t="str">
        <f t="shared" si="68"/>
        <v>Прицеп 2,0*1,25 м  (до 750 кг.)</v>
      </c>
      <c r="O259" s="36" t="str">
        <f t="shared" si="78"/>
        <v>1 ось</v>
      </c>
      <c r="P259" s="36">
        <f t="shared" si="79"/>
        <v>2024</v>
      </c>
      <c r="Q259" s="36" t="str">
        <f t="shared" ca="1" si="70"/>
        <v>3150*1700*1070</v>
      </c>
      <c r="R259" s="36" t="str">
        <f t="shared" ca="1" si="71"/>
        <v>2000*1250*500</v>
      </c>
      <c r="S259" s="34" t="str">
        <f>VLOOKUP(O259,ОТТС!$A$2:$B$3,2,0)</f>
        <v>ТС KZ Е-KZ.0317.00251 от 28.02.2023</v>
      </c>
      <c r="T259" s="39">
        <v>330000</v>
      </c>
      <c r="U259" s="36" t="str">
        <f t="shared" si="66"/>
        <v>Алматы</v>
      </c>
    </row>
    <row r="260" spans="1:21" ht="13.2">
      <c r="A260" s="34">
        <v>1436</v>
      </c>
      <c r="B260" s="35">
        <f>VLOOKUP(A260,'Реестр договоров'!$A$2:$D$298,2,0)</f>
        <v>45701</v>
      </c>
      <c r="C260" s="36" t="str">
        <f t="shared" si="73"/>
        <v>Даадай</v>
      </c>
      <c r="D260" s="36" t="str">
        <f t="shared" si="74"/>
        <v>Серик</v>
      </c>
      <c r="E260" s="36">
        <f t="shared" si="72"/>
        <v>0</v>
      </c>
      <c r="F260" s="36" t="str">
        <f t="shared" si="75"/>
        <v>046886696</v>
      </c>
      <c r="G260" s="37">
        <f>VLOOKUP(F260,Покупатели!$F$2:$N$762,2,0)</f>
        <v>43781</v>
      </c>
      <c r="H260" s="36" t="str">
        <f>VLOOKUP(F260,Покупатели!$F$2:$N$762,3,0)</f>
        <v>МВД РК</v>
      </c>
      <c r="I260" s="36">
        <f>VLOOKUP(C260,Покупатели!$C$2:$M$805,7,0)</f>
        <v>830528351385</v>
      </c>
      <c r="J260" s="36" t="str">
        <f ca="1">IFERROR(__xludf.DUMMYFUNCTION("JOIN("" "", VLOOKUP(C260,Покупатели,8,0),VLOOKUP(C260,Покупатели,9,0),VLOOKUP(C260,Покупатели,10,0),VLOOKUP(C260,Покупатели,11,0))"),"Акмолинская обл. Целиноградский р-н, с.Коянды ул.Кабанбай батыра д.9")</f>
        <v>Акмолинская обл. Целиноградский р-н, с.Коянды ул.Кабанбай батыра д.9</v>
      </c>
      <c r="K260" s="36">
        <f t="shared" si="76"/>
        <v>87757329667</v>
      </c>
      <c r="L260" s="36" t="str">
        <f t="shared" si="77"/>
        <v>MX4000002S0001970</v>
      </c>
      <c r="M260" s="36" t="str">
        <f t="shared" ca="1" si="69"/>
        <v>002-2013E50Q13-OK</v>
      </c>
      <c r="N260" s="36" t="str">
        <f t="shared" si="68"/>
        <v>Прицеп 2,0*1,25 м  (до 750 кг.)</v>
      </c>
      <c r="O260" s="36" t="str">
        <f t="shared" si="78"/>
        <v>1 ось</v>
      </c>
      <c r="P260" s="36">
        <f t="shared" si="79"/>
        <v>2025</v>
      </c>
      <c r="Q260" s="36" t="str">
        <f t="shared" ca="1" si="70"/>
        <v>3150*1700*1070</v>
      </c>
      <c r="R260" s="36" t="str">
        <f t="shared" ca="1" si="71"/>
        <v>2000*1250*500</v>
      </c>
      <c r="S260" s="34" t="str">
        <f>VLOOKUP(O260,ОТТС!$A$2:$B$3,2,0)</f>
        <v>ТС KZ Е-KZ.0317.00251 от 28.02.2023</v>
      </c>
      <c r="T260" s="39">
        <v>370000</v>
      </c>
      <c r="U260" s="36" t="str">
        <f t="shared" si="66"/>
        <v>Астана</v>
      </c>
    </row>
    <row r="261" spans="1:21" ht="13.2">
      <c r="A261" s="34">
        <v>1437</v>
      </c>
      <c r="B261" s="35">
        <f>VLOOKUP(A261,'Реестр договоров'!$A$2:$D$298,2,0)</f>
        <v>45702</v>
      </c>
      <c r="C261" s="36" t="str">
        <f t="shared" si="73"/>
        <v>Важинский</v>
      </c>
      <c r="D261" s="36" t="str">
        <f t="shared" si="74"/>
        <v>Юрий</v>
      </c>
      <c r="E261" s="36" t="str">
        <f t="shared" si="72"/>
        <v>Николаевич</v>
      </c>
      <c r="F261" s="36" t="str">
        <f t="shared" si="75"/>
        <v>053393614</v>
      </c>
      <c r="G261" s="37">
        <f>VLOOKUP(F261,Покупатели!$F$2:$N$762,2,0)</f>
        <v>44764</v>
      </c>
      <c r="H261" s="36" t="str">
        <f>VLOOKUP(F261,Покупатели!$F$2:$N$762,3,0)</f>
        <v>МВД РК</v>
      </c>
      <c r="I261" s="36">
        <f>VLOOKUP(C261,Покупатели!$C$2:$M$805,7,0)</f>
        <v>601001300468</v>
      </c>
      <c r="J261" s="36" t="str">
        <f ca="1">IFERROR(__xludf.DUMMYFUNCTION("JOIN("" "", VLOOKUP(C261,Покупатели,8,0),VLOOKUP(C261,Покупатели,9,0),VLOOKUP(C261,Покупатели,10,0),VLOOKUP(C261,Покупатели,11,0))"),"г.Алматы Алмалинский р-н ул.Жарокова д.93, кв.13")</f>
        <v>г.Алматы Алмалинский р-н ул.Жарокова д.93, кв.13</v>
      </c>
      <c r="K261" s="36">
        <f t="shared" si="76"/>
        <v>87771816675</v>
      </c>
      <c r="L261" s="36" t="str">
        <f t="shared" si="77"/>
        <v>MX4000002R0001649</v>
      </c>
      <c r="M261" s="36" t="str">
        <f t="shared" ca="1" si="69"/>
        <v>002-2513E50Q13-OK</v>
      </c>
      <c r="N261" s="36" t="str">
        <f t="shared" si="68"/>
        <v>Прицеп 2,5*1,25 м  (до 750 кг.)</v>
      </c>
      <c r="O261" s="36" t="str">
        <f t="shared" si="78"/>
        <v>1 ось</v>
      </c>
      <c r="P261" s="36">
        <f t="shared" si="79"/>
        <v>2024</v>
      </c>
      <c r="Q261" s="36" t="str">
        <f t="shared" ca="1" si="70"/>
        <v>3650*1700*1070</v>
      </c>
      <c r="R261" s="36" t="str">
        <f t="shared" ca="1" si="71"/>
        <v>2500*1250*500</v>
      </c>
      <c r="S261" s="34" t="str">
        <f>VLOOKUP(O261,ОТТС!$A$2:$B$3,2,0)</f>
        <v>ТС KZ Е-KZ.0317.00251 от 28.02.2023</v>
      </c>
      <c r="T261" s="39">
        <v>450000</v>
      </c>
      <c r="U261" s="36" t="str">
        <f t="shared" si="66"/>
        <v>Алматы</v>
      </c>
    </row>
    <row r="262" spans="1:21" ht="13.2">
      <c r="A262" s="34">
        <v>1438</v>
      </c>
      <c r="B262" s="35">
        <f>VLOOKUP(A262,'Реестр договоров'!$A$2:$D$298,2,0)</f>
        <v>45702</v>
      </c>
      <c r="C262" s="36" t="str">
        <f t="shared" si="73"/>
        <v>Меирманов</v>
      </c>
      <c r="D262" s="36" t="str">
        <f t="shared" si="74"/>
        <v>Торехан</v>
      </c>
      <c r="E262" s="36" t="str">
        <f t="shared" si="72"/>
        <v>Амангельдыевич</v>
      </c>
      <c r="F262" s="36" t="str">
        <f t="shared" si="75"/>
        <v>052574153</v>
      </c>
      <c r="G262" s="37">
        <f>VLOOKUP(F262,Покупатели!$F$2:$N$762,2,0)</f>
        <v>44956</v>
      </c>
      <c r="H262" s="36" t="str">
        <f>VLOOKUP(F262,Покупатели!$F$2:$N$762,3,0)</f>
        <v>МВД РК</v>
      </c>
      <c r="I262" s="36">
        <f>VLOOKUP(C262,Покупатели!$C$2:$M$805,7,0)</f>
        <v>880913300293</v>
      </c>
      <c r="J262" s="36" t="str">
        <f ca="1">IFERROR(__xludf.DUMMYFUNCTION("JOIN("" "", VLOOKUP(C262,Покупатели,8,0),VLOOKUP(C262,Покупатели,9,0),VLOOKUP(C262,Покупатели,10,0),VLOOKUP(C262,Покупатели,11,0))"),"г.Алматы Турксибский р-н ул.Волгоградская д.23")</f>
        <v>г.Алматы Турксибский р-н ул.Волгоградская д.23</v>
      </c>
      <c r="K262" s="36">
        <f t="shared" si="76"/>
        <v>87770227755</v>
      </c>
      <c r="L262" s="36" t="str">
        <f t="shared" si="77"/>
        <v>MX4000002R0001466</v>
      </c>
      <c r="M262" s="36" t="str">
        <f t="shared" ca="1" si="69"/>
        <v>002-2013E30Q13-OK</v>
      </c>
      <c r="N262" s="36" t="str">
        <f t="shared" si="68"/>
        <v>Прицеп 2,0*1,25 м  (до 750 кг.)</v>
      </c>
      <c r="O262" s="36" t="str">
        <f t="shared" si="78"/>
        <v>1 ось</v>
      </c>
      <c r="P262" s="36">
        <f t="shared" si="79"/>
        <v>2024</v>
      </c>
      <c r="Q262" s="36" t="str">
        <f t="shared" ref="Q262:Q293" ca="1" si="80">VLOOKUP(M262,матрица,16,0)</f>
        <v>3150*1700*900</v>
      </c>
      <c r="R262" s="36" t="str">
        <f t="shared" ref="R262:R293" ca="1" si="81">VLOOKUP(M262,матрица,17,0)</f>
        <v>2000*1250*300</v>
      </c>
      <c r="S262" s="34" t="str">
        <f>VLOOKUP(O262,ОТТС!$A$2:$B$3,2,0)</f>
        <v>ТС KZ Е-KZ.0317.00251 от 28.02.2023</v>
      </c>
      <c r="T262" s="39"/>
      <c r="U262" s="36" t="str">
        <f t="shared" si="66"/>
        <v>Алматы</v>
      </c>
    </row>
    <row r="263" spans="1:21" ht="13.2">
      <c r="A263" s="34">
        <v>1439</v>
      </c>
      <c r="B263" s="35">
        <f>VLOOKUP(A263,'Реестр договоров'!$A$2:$D$298,2,0)</f>
        <v>45702</v>
      </c>
      <c r="C263" s="36" t="str">
        <f t="shared" si="73"/>
        <v>Гарас</v>
      </c>
      <c r="D263" s="36" t="str">
        <f t="shared" si="74"/>
        <v>Дмитрий</v>
      </c>
      <c r="E263" s="36" t="str">
        <f t="shared" si="72"/>
        <v>Владимирович</v>
      </c>
      <c r="F263" s="36" t="str">
        <f t="shared" si="75"/>
        <v>041515440</v>
      </c>
      <c r="G263" s="37">
        <f>VLOOKUP(F263,Покупатели!$F$2:$N$762,2,0)</f>
        <v>42576</v>
      </c>
      <c r="H263" s="36" t="str">
        <f>VLOOKUP(F263,Покупатели!$F$2:$N$762,3,0)</f>
        <v>МВД РК</v>
      </c>
      <c r="I263" s="36">
        <f>VLOOKUP(C263,Покупатели!$C$2:$M$805,7,0)</f>
        <v>800813301808</v>
      </c>
      <c r="J263" s="36" t="str">
        <f ca="1">IFERROR(__xludf.DUMMYFUNCTION("JOIN("" "", VLOOKUP(C263,Покупатели,8,0),VLOOKUP(C263,Покупатели,9,0),VLOOKUP(C263,Покупатели,10,0),VLOOKUP(C263,Покупатели,11,0))"),"Акмолинская область, г. Кокшетау, Красноярские дачи, ул. Малиновая, д.567")</f>
        <v>Акмолинская область, г. Кокшетау, Красноярские дачи, ул. Малиновая, д.567</v>
      </c>
      <c r="K263" s="36">
        <f t="shared" si="76"/>
        <v>87477304745</v>
      </c>
      <c r="L263" s="36" t="str">
        <f t="shared" si="77"/>
        <v>MX4000002S0001998</v>
      </c>
      <c r="M263" s="36" t="str">
        <f t="shared" ca="1" si="69"/>
        <v>002-2013E50Q13-OK</v>
      </c>
      <c r="N263" s="36" t="str">
        <f t="shared" si="68"/>
        <v>Прицеп 2,0*1,25 м  (до 750 кг.)</v>
      </c>
      <c r="O263" s="36" t="str">
        <f t="shared" si="78"/>
        <v>1 ось</v>
      </c>
      <c r="P263" s="36">
        <f t="shared" si="79"/>
        <v>2025</v>
      </c>
      <c r="Q263" s="36" t="str">
        <f t="shared" ca="1" si="80"/>
        <v>3150*1700*1070</v>
      </c>
      <c r="R263" s="36" t="str">
        <f t="shared" ca="1" si="81"/>
        <v>2000*1250*500</v>
      </c>
      <c r="S263" s="34" t="str">
        <f>VLOOKUP(O263,ОТТС!$A$2:$B$3,2,0)</f>
        <v>ТС KZ Е-KZ.0317.00251 от 28.02.2023</v>
      </c>
      <c r="T263" s="39">
        <v>360000</v>
      </c>
      <c r="U263" s="36" t="str">
        <f t="shared" si="66"/>
        <v>Кокшетау</v>
      </c>
    </row>
    <row r="264" spans="1:21" ht="13.2">
      <c r="A264" s="34">
        <v>1440</v>
      </c>
      <c r="B264" s="35">
        <f>VLOOKUP(A264,'Реестр договоров'!$A$2:$D$298,2,0)</f>
        <v>45703</v>
      </c>
      <c r="C264" s="36" t="str">
        <f t="shared" si="73"/>
        <v>Жұқан</v>
      </c>
      <c r="D264" s="36" t="str">
        <f t="shared" si="74"/>
        <v>Тілеу</v>
      </c>
      <c r="E264" s="36">
        <f t="shared" si="72"/>
        <v>0</v>
      </c>
      <c r="F264" s="36" t="str">
        <f t="shared" si="75"/>
        <v>058029190</v>
      </c>
      <c r="G264" s="37">
        <f>VLOOKUP(F264,Покупатели!$F$2:$N$762,2,0)</f>
        <v>45433</v>
      </c>
      <c r="H264" s="36" t="str">
        <f>VLOOKUP(F264,Покупатели!$F$2:$N$762,3,0)</f>
        <v>ҚР ІІМ</v>
      </c>
      <c r="I264" s="36">
        <f>VLOOKUP(C264,Покупатели!$C$2:$M$805,7,0)</f>
        <v>790622350417</v>
      </c>
      <c r="J264" s="36" t="str">
        <f ca="1">IFERROR(__xludf.DUMMYFUNCTION("JOIN("" "", VLOOKUP(C264,Покупатели,8,0),VLOOKUP(C264,Покупатели,9,0),VLOOKUP(C264,Покупатели,10,0),VLOOKUP(C264,Покупатели,11,0))"),"Ақмола облысы Шортанды аудан, Бектау аулы А.Молдағұлова көш үй 3")</f>
        <v>Ақмола облысы Шортанды аудан, Бектау аулы А.Молдағұлова көш үй 3</v>
      </c>
      <c r="K264" s="36">
        <f t="shared" si="76"/>
        <v>87761254712</v>
      </c>
      <c r="L264" s="36" t="str">
        <f t="shared" si="77"/>
        <v>MX4000002S0001971</v>
      </c>
      <c r="M264" s="36" t="str">
        <f t="shared" ca="1" si="69"/>
        <v>002-2013E50Q13-OK</v>
      </c>
      <c r="N264" s="36" t="str">
        <f t="shared" si="68"/>
        <v>Прицеп 2,0*1,25 м  (до 750 кг.)</v>
      </c>
      <c r="O264" s="36" t="str">
        <f t="shared" si="78"/>
        <v>1 ось</v>
      </c>
      <c r="P264" s="36">
        <f t="shared" si="79"/>
        <v>2025</v>
      </c>
      <c r="Q264" s="36" t="str">
        <f t="shared" ca="1" si="80"/>
        <v>3150*1700*1070</v>
      </c>
      <c r="R264" s="36" t="str">
        <f t="shared" ca="1" si="81"/>
        <v>2000*1250*500</v>
      </c>
      <c r="S264" s="34" t="str">
        <f>VLOOKUP(O264,ОТТС!$A$2:$B$3,2,0)</f>
        <v>ТС KZ Е-KZ.0317.00251 от 28.02.2023</v>
      </c>
      <c r="T264" s="39">
        <v>400000</v>
      </c>
      <c r="U264" s="36" t="str">
        <f t="shared" si="66"/>
        <v>Астана</v>
      </c>
    </row>
    <row r="265" spans="1:21" ht="13.2">
      <c r="A265" s="34">
        <v>1441</v>
      </c>
      <c r="B265" s="35">
        <f>VLOOKUP(A265,'Реестр договоров'!$A$2:$D$298,2,0)</f>
        <v>45703</v>
      </c>
      <c r="C265" s="36" t="str">
        <f t="shared" si="73"/>
        <v>Толеуов</v>
      </c>
      <c r="D265" s="36" t="str">
        <f t="shared" si="74"/>
        <v>Адилхан</v>
      </c>
      <c r="E265" s="36" t="str">
        <f t="shared" si="72"/>
        <v>Каратаевич</v>
      </c>
      <c r="F265" s="36" t="str">
        <f t="shared" si="75"/>
        <v>050906344</v>
      </c>
      <c r="G265" s="37">
        <f>VLOOKUP(F265,Покупатели!$F$2:$N$762,2,0)</f>
        <v>44403</v>
      </c>
      <c r="H265" s="36" t="str">
        <f>VLOOKUP(F265,Покупатели!$F$2:$N$762,3,0)</f>
        <v>МВД РК</v>
      </c>
      <c r="I265" s="36">
        <f>VLOOKUP(C265,Покупатели!$C$2:$M$805,7,0)</f>
        <v>770105350096</v>
      </c>
      <c r="J265" s="36" t="str">
        <f ca="1">IFERROR(__xludf.DUMMYFUNCTION("JOIN("" "", VLOOKUP(C265,Покупатели,8,0),VLOOKUP(C265,Покупатели,9,0),VLOOKUP(C265,Покупатели,10,0),VLOOKUP(C265,Покупатели,11,0))"),"г.Астана р-н Сары Арка ул.Орда д.6")</f>
        <v>г.Астана р-н Сары Арка ул.Орда д.6</v>
      </c>
      <c r="K265" s="36">
        <f t="shared" si="76"/>
        <v>87073750755</v>
      </c>
      <c r="L265" s="36" t="str">
        <f t="shared" si="77"/>
        <v>MX4000002S0001974</v>
      </c>
      <c r="M265" s="36" t="str">
        <f t="shared" ca="1" si="69"/>
        <v>002-2013E50Q13-OK60</v>
      </c>
      <c r="N265" s="36" t="str">
        <f t="shared" si="68"/>
        <v>Прицеп 2,0*1,25 м  (до 750 кг.)</v>
      </c>
      <c r="O265" s="36" t="str">
        <f t="shared" si="78"/>
        <v>1 ось</v>
      </c>
      <c r="P265" s="36">
        <f t="shared" si="79"/>
        <v>2025</v>
      </c>
      <c r="Q265" s="36" t="str">
        <f t="shared" ca="1" si="80"/>
        <v>3150*1700*1070</v>
      </c>
      <c r="R265" s="36" t="str">
        <f t="shared" ca="1" si="81"/>
        <v>2000*1250*500</v>
      </c>
      <c r="S265" s="34" t="str">
        <f>VLOOKUP(O265,ОТТС!$A$2:$B$3,2,0)</f>
        <v>ТС KZ Е-KZ.0317.00251 от 28.02.2023</v>
      </c>
      <c r="T265" s="39">
        <v>430000</v>
      </c>
      <c r="U265" s="36" t="str">
        <f t="shared" si="66"/>
        <v>Астана</v>
      </c>
    </row>
    <row r="266" spans="1:21" ht="13.2">
      <c r="A266" s="34">
        <v>1442</v>
      </c>
      <c r="B266" s="35">
        <f>VLOOKUP(A266,'Реестр договоров'!$A$2:$D$298,2,0)</f>
        <v>45705</v>
      </c>
      <c r="C266" s="36" t="str">
        <f t="shared" si="73"/>
        <v>Косоногов</v>
      </c>
      <c r="D266" s="36" t="str">
        <f t="shared" si="74"/>
        <v>Виктор</v>
      </c>
      <c r="E266" s="36" t="str">
        <f t="shared" si="72"/>
        <v>Алексеевич</v>
      </c>
      <c r="F266" s="36" t="str">
        <f t="shared" si="75"/>
        <v>057487058</v>
      </c>
      <c r="G266" s="37">
        <f>VLOOKUP(F266,Покупатели!$F$2:$N$762,2,0)</f>
        <v>45358</v>
      </c>
      <c r="H266" s="36" t="str">
        <f>VLOOKUP(F266,Покупатели!$F$2:$N$762,3,0)</f>
        <v>МВД РК</v>
      </c>
      <c r="I266" s="36">
        <f>VLOOKUP(C266,Покупатели!$C$2:$M$805,7,0)</f>
        <v>890106351509</v>
      </c>
      <c r="J266" s="36" t="str">
        <f ca="1">IFERROR(__xludf.DUMMYFUNCTION("JOIN("" "", VLOOKUP(C266,Покупатели,8,0),VLOOKUP(C266,Покупатели,9,0),VLOOKUP(C266,Покупатели,10,0),VLOOKUP(C266,Покупатели,11,0))"),"Акмолинская обл. Аршалынский р-н, с.Булаксы ул.Тынегушилер д.19/4")</f>
        <v>Акмолинская обл. Аршалынский р-н, с.Булаксы ул.Тынегушилер д.19/4</v>
      </c>
      <c r="K266" s="36">
        <f t="shared" si="76"/>
        <v>87783775907</v>
      </c>
      <c r="L266" s="36" t="str">
        <f t="shared" si="77"/>
        <v>MX4000002R0001904</v>
      </c>
      <c r="M266" s="36" t="str">
        <f t="shared" ca="1" si="69"/>
        <v>002-2513E50Q13-OK</v>
      </c>
      <c r="N266" s="36" t="str">
        <f t="shared" si="68"/>
        <v>Прицеп 2,5*1,25 м  (до 750 кг.)</v>
      </c>
      <c r="O266" s="36" t="str">
        <f t="shared" si="78"/>
        <v>1 ось</v>
      </c>
      <c r="P266" s="36">
        <f t="shared" si="79"/>
        <v>2025</v>
      </c>
      <c r="Q266" s="36" t="str">
        <f t="shared" ca="1" si="80"/>
        <v>3650*1700*1070</v>
      </c>
      <c r="R266" s="36" t="str">
        <f t="shared" ca="1" si="81"/>
        <v>2500*1250*500</v>
      </c>
      <c r="S266" s="34" t="str">
        <f>VLOOKUP(O266,ОТТС!$A$2:$B$3,2,0)</f>
        <v>ТС KZ Е-KZ.0317.00251 от 28.02.2023</v>
      </c>
      <c r="T266" s="39">
        <v>440000</v>
      </c>
      <c r="U266" s="36" t="str">
        <f t="shared" si="66"/>
        <v>Астана</v>
      </c>
    </row>
    <row r="267" spans="1:21" ht="13.2">
      <c r="A267" s="34">
        <v>1443</v>
      </c>
      <c r="B267" s="35">
        <f>VLOOKUP(A267,'Реестр договоров'!$A$2:$D$298,2,0)</f>
        <v>45705</v>
      </c>
      <c r="C267" s="36" t="str">
        <f t="shared" si="73"/>
        <v>Бич</v>
      </c>
      <c r="D267" s="36" t="str">
        <f t="shared" si="74"/>
        <v>Андрей</v>
      </c>
      <c r="E267" s="36" t="str">
        <f t="shared" si="72"/>
        <v>Викторович</v>
      </c>
      <c r="F267" s="36" t="str">
        <f t="shared" si="75"/>
        <v>042827584</v>
      </c>
      <c r="G267" s="37">
        <f>VLOOKUP(F267,Покупатели!$F$2:$N$762,2,0)</f>
        <v>42893</v>
      </c>
      <c r="H267" s="36" t="str">
        <f>VLOOKUP(F267,Покупатели!$F$2:$N$762,3,0)</f>
        <v>МВД РК</v>
      </c>
      <c r="I267" s="36">
        <f>VLOOKUP(C267,Покупатели!$C$2:$M$805,7,0)</f>
        <v>720612350539</v>
      </c>
      <c r="J267" s="36" t="str">
        <f ca="1">IFERROR(__xludf.DUMMYFUNCTION("JOIN("" "", VLOOKUP(C267,Покупатели,8,0),VLOOKUP(C267,Покупатели,9,0),VLOOKUP(C267,Покупатели,10,0),VLOOKUP(C267,Покупатели,11,0))"),"Акмолинская область, г. Кокшетау, ул. Джамбула, д.71, кв 2")</f>
        <v>Акмолинская область, г. Кокшетау, ул. Джамбула, д.71, кв 2</v>
      </c>
      <c r="K267" s="36">
        <f t="shared" si="76"/>
        <v>87056534730</v>
      </c>
      <c r="L267" s="36" t="str">
        <f t="shared" si="77"/>
        <v>MX4000002S0002000</v>
      </c>
      <c r="M267" s="36" t="str">
        <f t="shared" ca="1" si="69"/>
        <v>002-2013E50Q13-OK</v>
      </c>
      <c r="N267" s="36" t="str">
        <f t="shared" si="68"/>
        <v>Прицеп 2,0*1,25 м  (до 750 кг.)</v>
      </c>
      <c r="O267" s="36" t="str">
        <f t="shared" si="78"/>
        <v>1 ось</v>
      </c>
      <c r="P267" s="36">
        <f t="shared" si="79"/>
        <v>2025</v>
      </c>
      <c r="Q267" s="36" t="str">
        <f t="shared" ca="1" si="80"/>
        <v>3150*1700*1070</v>
      </c>
      <c r="R267" s="36" t="str">
        <f t="shared" ca="1" si="81"/>
        <v>2000*1250*500</v>
      </c>
      <c r="S267" s="34" t="str">
        <f>VLOOKUP(O267,ОТТС!$A$2:$B$3,2,0)</f>
        <v>ТС KZ Е-KZ.0317.00251 от 28.02.2023</v>
      </c>
      <c r="T267" s="39">
        <v>360000</v>
      </c>
      <c r="U267" s="36" t="str">
        <f t="shared" si="66"/>
        <v>Кокшетау</v>
      </c>
    </row>
    <row r="268" spans="1:21" ht="13.2">
      <c r="A268" s="34">
        <v>1444</v>
      </c>
      <c r="B268" s="35">
        <f>VLOOKUP(A268,'Реестр договоров'!$A$2:$D$298,2,0)</f>
        <v>45705</v>
      </c>
      <c r="C268" s="36" t="str">
        <f t="shared" si="73"/>
        <v>Лащенов</v>
      </c>
      <c r="D268" s="36" t="str">
        <f t="shared" si="74"/>
        <v>Александр</v>
      </c>
      <c r="E268" s="36" t="str">
        <f t="shared" si="72"/>
        <v>Викторович</v>
      </c>
      <c r="F268" s="36" t="str">
        <f t="shared" si="75"/>
        <v>052226452</v>
      </c>
      <c r="G268" s="37">
        <f>VLOOKUP(F268,Покупатели!$F$2:$N$762,2,0)</f>
        <v>44613</v>
      </c>
      <c r="H268" s="36" t="str">
        <f>VLOOKUP(F268,Покупатели!$F$2:$N$762,3,0)</f>
        <v>МВД РК</v>
      </c>
      <c r="I268" s="36">
        <f>VLOOKUP(C268,Покупатели!$C$2:$M$805,7,0)</f>
        <v>860612350399</v>
      </c>
      <c r="J268" s="36" t="str">
        <f ca="1">IFERROR(__xludf.DUMMYFUNCTION("JOIN("" "", VLOOKUP(C268,Покупатели,8,0),VLOOKUP(C268,Покупатели,9,0),VLOOKUP(C268,Покупатели,10,0),VLOOKUP(C268,Покупатели,11,0))"),"Акмолинская область, г. Кокшетау, ул. Гастелло,  д.13, кв 42")</f>
        <v>Акмолинская область, г. Кокшетау, ул. Гастелло,  д.13, кв 42</v>
      </c>
      <c r="K268" s="36">
        <f t="shared" si="76"/>
        <v>87052380940</v>
      </c>
      <c r="L268" s="36" t="str">
        <f t="shared" si="77"/>
        <v>MX4000002S0002001</v>
      </c>
      <c r="M268" s="36" t="str">
        <f t="shared" ca="1" si="69"/>
        <v>002-2513E50Q13-OK</v>
      </c>
      <c r="N268" s="36" t="str">
        <f t="shared" si="68"/>
        <v>Прицеп 2,5*1,25 м  (до 750 кг.)</v>
      </c>
      <c r="O268" s="36" t="str">
        <f t="shared" si="78"/>
        <v>1 ось</v>
      </c>
      <c r="P268" s="36">
        <f t="shared" si="79"/>
        <v>2025</v>
      </c>
      <c r="Q268" s="36" t="str">
        <f t="shared" ca="1" si="80"/>
        <v>3650*1700*1070</v>
      </c>
      <c r="R268" s="36" t="str">
        <f t="shared" ca="1" si="81"/>
        <v>2500*1250*500</v>
      </c>
      <c r="S268" s="34" t="str">
        <f>VLOOKUP(O268,ОТТС!$A$2:$B$3,2,0)</f>
        <v>ТС KZ Е-KZ.0317.00251 от 28.02.2023</v>
      </c>
      <c r="T268" s="39">
        <v>430000</v>
      </c>
      <c r="U268" s="36" t="str">
        <f t="shared" si="66"/>
        <v>Кокшетау</v>
      </c>
    </row>
    <row r="269" spans="1:21" ht="13.2">
      <c r="A269" s="34">
        <v>1445</v>
      </c>
      <c r="B269" s="35">
        <f>VLOOKUP(A269,'Реестр договоров'!$A$2:$D$298,2,0)</f>
        <v>45705</v>
      </c>
      <c r="C269" s="36" t="str">
        <f t="shared" si="73"/>
        <v>Жарыкбаев</v>
      </c>
      <c r="D269" s="36" t="str">
        <f t="shared" si="74"/>
        <v>Аруслан</v>
      </c>
      <c r="E269" s="36" t="str">
        <f t="shared" si="72"/>
        <v>Утепбергенович</v>
      </c>
      <c r="F269" s="36" t="str">
        <f t="shared" si="75"/>
        <v>050030010</v>
      </c>
      <c r="G269" s="37">
        <f>VLOOKUP(F269,Покупатели!$F$2:$N$762,2,0)</f>
        <v>44270</v>
      </c>
      <c r="H269" s="36" t="str">
        <f>VLOOKUP(F269,Покупатели!$F$2:$N$762,3,0)</f>
        <v>МВД РК</v>
      </c>
      <c r="I269" s="36">
        <f>VLOOKUP(C269,Покупатели!$C$2:$M$805,7,0)</f>
        <v>851016302647</v>
      </c>
      <c r="J269" s="36" t="str">
        <f ca="1">IFERROR(__xludf.DUMMYFUNCTION("JOIN("" "", VLOOKUP(C269,Покупатели,8,0),VLOOKUP(C269,Покупатели,9,0),VLOOKUP(C269,Покупатели,10,0),VLOOKUP(C269,Покупатели,11,0))"),"г.Астана р-н Есиль, пос.Пригородный ул.Зеленая д.126")</f>
        <v>г.Астана р-н Есиль, пос.Пригородный ул.Зеленая д.126</v>
      </c>
      <c r="K269" s="36">
        <f t="shared" si="76"/>
        <v>87085354993</v>
      </c>
      <c r="L269" s="36" t="str">
        <f t="shared" si="77"/>
        <v>MX4000002S0001999</v>
      </c>
      <c r="M269" s="36" t="str">
        <f t="shared" ca="1" si="69"/>
        <v>002-2013E50Q13-OK</v>
      </c>
      <c r="N269" s="36" t="str">
        <f t="shared" si="68"/>
        <v>Прицеп 2,0*1,25 м  (до 750 кг.)</v>
      </c>
      <c r="O269" s="36" t="str">
        <f t="shared" si="78"/>
        <v>1 ось</v>
      </c>
      <c r="P269" s="36">
        <f t="shared" si="79"/>
        <v>2025</v>
      </c>
      <c r="Q269" s="36" t="str">
        <f t="shared" ca="1" si="80"/>
        <v>3150*1700*1070</v>
      </c>
      <c r="R269" s="36" t="str">
        <f t="shared" ca="1" si="81"/>
        <v>2000*1250*500</v>
      </c>
      <c r="S269" s="34" t="str">
        <f>VLOOKUP(O269,ОТТС!$A$2:$B$3,2,0)</f>
        <v>ТС KZ Е-KZ.0317.00251 от 28.02.2023</v>
      </c>
      <c r="T269" s="39">
        <v>370000</v>
      </c>
      <c r="U269" s="36" t="str">
        <f t="shared" si="66"/>
        <v>Астана</v>
      </c>
    </row>
    <row r="270" spans="1:21" ht="13.2">
      <c r="A270" s="34">
        <v>1446</v>
      </c>
      <c r="B270" s="35">
        <f>VLOOKUP(A270,'Реестр договоров'!$A$2:$D$298,2,0)</f>
        <v>45706</v>
      </c>
      <c r="C270" s="36" t="str">
        <f t="shared" si="73"/>
        <v>Литовко</v>
      </c>
      <c r="D270" s="36" t="str">
        <f t="shared" si="74"/>
        <v>Алексей</v>
      </c>
      <c r="E270" s="36" t="str">
        <f t="shared" si="72"/>
        <v>Иванович</v>
      </c>
      <c r="F270" s="36" t="str">
        <f t="shared" si="75"/>
        <v>044887382</v>
      </c>
      <c r="G270" s="37">
        <f>VLOOKUP(F270,Покупатели!$F$2:$N$762,2,0)</f>
        <v>43360</v>
      </c>
      <c r="H270" s="36" t="str">
        <f>VLOOKUP(F270,Покупатели!$F$2:$N$762,3,0)</f>
        <v>МВД РК</v>
      </c>
      <c r="I270" s="36">
        <f>VLOOKUP(C270,Покупатели!$C$2:$M$805,7,0)</f>
        <v>830507350302</v>
      </c>
      <c r="J270" s="36" t="str">
        <f ca="1">IFERROR(__xludf.DUMMYFUNCTION("JOIN("" "", VLOOKUP(C270,Покупатели,8,0),VLOOKUP(C270,Покупатели,9,0),VLOOKUP(C270,Покупатели,10,0),VLOOKUP(C270,Покупатели,11,0))"),"Акмолинская обл. г.Акколь ул.Береговая д.175")</f>
        <v>Акмолинская обл. г.Акколь ул.Береговая д.175</v>
      </c>
      <c r="K270" s="36">
        <f t="shared" si="76"/>
        <v>87057099916</v>
      </c>
      <c r="L270" s="36" t="str">
        <f t="shared" si="77"/>
        <v>MX4000002S0001975</v>
      </c>
      <c r="M270" s="36" t="str">
        <f t="shared" ca="1" si="69"/>
        <v>002-2513E50Q13-OK</v>
      </c>
      <c r="N270" s="36" t="str">
        <f t="shared" si="68"/>
        <v>Прицеп 2,5*1,25 м  (до 750 кг.)</v>
      </c>
      <c r="O270" s="36" t="str">
        <f t="shared" si="78"/>
        <v>1 ось</v>
      </c>
      <c r="P270" s="36">
        <f t="shared" si="79"/>
        <v>2025</v>
      </c>
      <c r="Q270" s="36" t="str">
        <f t="shared" ca="1" si="80"/>
        <v>3650*1700*1070</v>
      </c>
      <c r="R270" s="36" t="str">
        <f t="shared" ca="1" si="81"/>
        <v>2500*1250*500</v>
      </c>
      <c r="S270" s="34" t="str">
        <f>VLOOKUP(O270,ОТТС!$A$2:$B$3,2,0)</f>
        <v>ТС KZ Е-KZ.0317.00251 от 28.02.2023</v>
      </c>
      <c r="T270" s="39">
        <v>380000</v>
      </c>
      <c r="U270" s="36" t="str">
        <f t="shared" si="66"/>
        <v>Астана</v>
      </c>
    </row>
    <row r="271" spans="1:21" ht="13.2">
      <c r="A271" s="34">
        <v>1447</v>
      </c>
      <c r="B271" s="35">
        <f>VLOOKUP(A271,'Реестр договоров'!$A$2:$D$298,2,0)</f>
        <v>45706</v>
      </c>
      <c r="C271" s="36" t="str">
        <f t="shared" si="73"/>
        <v>Бергер</v>
      </c>
      <c r="D271" s="36" t="str">
        <f t="shared" si="74"/>
        <v>Эдуард</v>
      </c>
      <c r="E271" s="36" t="str">
        <f t="shared" si="72"/>
        <v>Александрович</v>
      </c>
      <c r="F271" s="36" t="str">
        <f t="shared" si="75"/>
        <v>054173620</v>
      </c>
      <c r="G271" s="37">
        <f>VLOOKUP(F271,Покупатели!$F$2:$N$762,2,0)</f>
        <v>44883</v>
      </c>
      <c r="H271" s="36" t="str">
        <f>VLOOKUP(F271,Покупатели!$F$2:$N$762,3,0)</f>
        <v>МВД РК</v>
      </c>
      <c r="I271" s="36">
        <f>VLOOKUP(C271,Покупатели!$C$2:$M$805,7,0)</f>
        <v>980827351618</v>
      </c>
      <c r="J271" s="36" t="str">
        <f ca="1">IFERROR(__xludf.DUMMYFUNCTION("JOIN("" "", VLOOKUP(C271,Покупатели,8,0),VLOOKUP(C271,Покупатели,9,0),VLOOKUP(C271,Покупатели,10,0),VLOOKUP(C271,Покупатели,11,0))"),"г.Астана р-н Алматы ул.Тауельсиздик д.16, кв.120")</f>
        <v>г.Астана р-н Алматы ул.Тауельсиздик д.16, кв.120</v>
      </c>
      <c r="K271" s="36">
        <f t="shared" si="76"/>
        <v>87472012075</v>
      </c>
      <c r="L271" s="36" t="str">
        <f t="shared" si="77"/>
        <v>MX4000002S0002002</v>
      </c>
      <c r="M271" s="36" t="str">
        <f t="shared" ca="1" si="69"/>
        <v>002-2013E50Q13-OK</v>
      </c>
      <c r="N271" s="36" t="str">
        <f t="shared" si="68"/>
        <v>Прицеп 2,0*1,25 м  (до 750 кг.)</v>
      </c>
      <c r="O271" s="36" t="str">
        <f t="shared" si="78"/>
        <v>1 ось</v>
      </c>
      <c r="P271" s="36">
        <f t="shared" si="79"/>
        <v>2025</v>
      </c>
      <c r="Q271" s="36" t="str">
        <f t="shared" ca="1" si="80"/>
        <v>3150*1700*1070</v>
      </c>
      <c r="R271" s="36" t="str">
        <f t="shared" ca="1" si="81"/>
        <v>2000*1250*500</v>
      </c>
      <c r="S271" s="34" t="str">
        <f>VLOOKUP(O271,ОТТС!$A$2:$B$3,2,0)</f>
        <v>ТС KZ Е-KZ.0317.00251 от 28.02.2023</v>
      </c>
      <c r="T271" s="39">
        <v>380000</v>
      </c>
      <c r="U271" s="36" t="str">
        <f t="shared" si="66"/>
        <v>Астана</v>
      </c>
    </row>
    <row r="272" spans="1:21" ht="13.2">
      <c r="A272" s="34">
        <v>1448</v>
      </c>
      <c r="B272" s="35">
        <f>VLOOKUP(A272,'Реестр договоров'!$A$2:$D$298,2,0)</f>
        <v>45706</v>
      </c>
      <c r="C272" s="36" t="str">
        <f t="shared" si="73"/>
        <v>Тилейхан</v>
      </c>
      <c r="D272" s="36" t="str">
        <f t="shared" si="74"/>
        <v>Асылбек</v>
      </c>
      <c r="E272" s="36">
        <f t="shared" si="72"/>
        <v>0</v>
      </c>
      <c r="F272" s="36" t="str">
        <f t="shared" si="75"/>
        <v>055519032</v>
      </c>
      <c r="G272" s="37">
        <f>VLOOKUP(F272,Покупатели!$F$2:$N$762,2,0)</f>
        <v>45083</v>
      </c>
      <c r="H272" s="36" t="str">
        <f>VLOOKUP(F272,Покупатели!$F$2:$N$762,3,0)</f>
        <v>МВД РК</v>
      </c>
      <c r="I272" s="36">
        <f>VLOOKUP(C272,Покупатели!$C$2:$M$805,7,0)</f>
        <v>890911351625</v>
      </c>
      <c r="J272" s="36" t="str">
        <f ca="1">IFERROR(__xludf.DUMMYFUNCTION("JOIN("" "", VLOOKUP(C272,Покупатели,8,0),VLOOKUP(C272,Покупатели,9,0),VLOOKUP(C272,Покупатели,10,0),VLOOKUP(C272,Покупатели,11,0))"),"Акмолинская обл. Шортандинский р-н, Шортанды Советская д.60, кв.3")</f>
        <v>Акмолинская обл. Шортандинский р-н, Шортанды Советская д.60, кв.3</v>
      </c>
      <c r="K272" s="36">
        <f t="shared" si="76"/>
        <v>87078018186</v>
      </c>
      <c r="L272" s="36" t="str">
        <f t="shared" si="77"/>
        <v>MX4000002S0002005</v>
      </c>
      <c r="M272" s="36" t="str">
        <f t="shared" ca="1" si="69"/>
        <v>002-2013E50Q13-OK30</v>
      </c>
      <c r="N272" s="36" t="str">
        <f t="shared" si="68"/>
        <v>Прицеп 2,0*1,25 м  (до 750 кг.)</v>
      </c>
      <c r="O272" s="36" t="str">
        <f t="shared" si="78"/>
        <v>1 ось</v>
      </c>
      <c r="P272" s="36">
        <f t="shared" si="79"/>
        <v>2025</v>
      </c>
      <c r="Q272" s="36" t="str">
        <f t="shared" ca="1" si="80"/>
        <v>3150*1700*1070</v>
      </c>
      <c r="R272" s="36" t="str">
        <f t="shared" ca="1" si="81"/>
        <v>2000*1250*500</v>
      </c>
      <c r="S272" s="34" t="str">
        <f>VLOOKUP(O272,ОТТС!$A$2:$B$3,2,0)</f>
        <v>ТС KZ Е-KZ.0317.00251 от 28.02.2023</v>
      </c>
      <c r="T272" s="39">
        <v>400000</v>
      </c>
      <c r="U272" s="36" t="str">
        <f t="shared" si="66"/>
        <v>Астана</v>
      </c>
    </row>
    <row r="273" spans="1:21" ht="13.2">
      <c r="A273" s="34">
        <v>1449</v>
      </c>
      <c r="B273" s="35">
        <f>VLOOKUP(A273,'Реестр договоров'!$A$2:$D$298,2,0)</f>
        <v>45706</v>
      </c>
      <c r="C273" s="36" t="str">
        <f t="shared" si="73"/>
        <v>Абдуахитова</v>
      </c>
      <c r="D273" s="36" t="str">
        <f t="shared" si="74"/>
        <v>Калампыр</v>
      </c>
      <c r="E273" s="36" t="str">
        <f t="shared" si="72"/>
        <v>Кабдушевна</v>
      </c>
      <c r="F273" s="36" t="str">
        <f t="shared" si="75"/>
        <v>043959064</v>
      </c>
      <c r="G273" s="37">
        <f>VLOOKUP(F273,Покупатели!$F$2:$N$762,2,0)</f>
        <v>43143</v>
      </c>
      <c r="H273" s="36" t="str">
        <f>VLOOKUP(F273,Покупатели!$F$2:$N$762,3,0)</f>
        <v>МВД РК</v>
      </c>
      <c r="I273" s="36">
        <f>VLOOKUP(C273,Покупатели!$C$2:$M$805,7,0)</f>
        <v>620413450374</v>
      </c>
      <c r="J273" s="36" t="str">
        <f ca="1">IFERROR(__xludf.DUMMYFUNCTION("JOIN("" "", VLOOKUP(C273,Покупатели,8,0),VLOOKUP(C273,Покупатели,9,0),VLOOKUP(C273,Покупатели,10,0),VLOOKUP(C273,Покупатели,11,0))"),"СКО,  Тайыншинский район, с. Келлеровка, ул. Советская,  д. 32/2")</f>
        <v>СКО,  Тайыншинский район, с. Келлеровка, ул. Советская,  д. 32/2</v>
      </c>
      <c r="K273" s="36">
        <f t="shared" si="76"/>
        <v>87473508022</v>
      </c>
      <c r="L273" s="36" t="str">
        <f t="shared" si="77"/>
        <v>MX4000002S0002004</v>
      </c>
      <c r="M273" s="36" t="str">
        <f t="shared" ca="1" si="69"/>
        <v>002-2013E50Q13-OK</v>
      </c>
      <c r="N273" s="36" t="str">
        <f t="shared" si="68"/>
        <v>Прицеп 2,0*1,25 м  (до 750 кг.)</v>
      </c>
      <c r="O273" s="36" t="str">
        <f t="shared" si="78"/>
        <v>1 ось</v>
      </c>
      <c r="P273" s="36">
        <f t="shared" si="79"/>
        <v>2025</v>
      </c>
      <c r="Q273" s="36" t="str">
        <f t="shared" ca="1" si="80"/>
        <v>3150*1700*1070</v>
      </c>
      <c r="R273" s="36" t="str">
        <f t="shared" ca="1" si="81"/>
        <v>2000*1250*500</v>
      </c>
      <c r="S273" s="34" t="str">
        <f>VLOOKUP(O273,ОТТС!$A$2:$B$3,2,0)</f>
        <v>ТС KZ Е-KZ.0317.00251 от 28.02.2023</v>
      </c>
      <c r="T273" s="39">
        <v>360000</v>
      </c>
      <c r="U273" s="36" t="str">
        <f t="shared" si="66"/>
        <v>Кокшетау</v>
      </c>
    </row>
    <row r="274" spans="1:21" ht="13.2">
      <c r="A274" s="34">
        <v>1450</v>
      </c>
      <c r="B274" s="35">
        <f>VLOOKUP(A274,'Реестр договоров'!$A$2:$D$298,2,0)</f>
        <v>45707</v>
      </c>
      <c r="C274" s="36" t="str">
        <f t="shared" si="73"/>
        <v>Миллер1</v>
      </c>
      <c r="D274" s="36" t="str">
        <f t="shared" si="74"/>
        <v>Герман</v>
      </c>
      <c r="E274" s="36" t="str">
        <f t="shared" si="72"/>
        <v>Анатольевич</v>
      </c>
      <c r="F274" s="36" t="str">
        <f t="shared" si="75"/>
        <v>048626034</v>
      </c>
      <c r="G274" s="37">
        <f>VLOOKUP(F274,Покупатели!$F$2:$N$762,2,0)</f>
        <v>44070</v>
      </c>
      <c r="H274" s="36" t="str">
        <f>VLOOKUP(F274,Покупатели!$F$2:$N$762,3,0)</f>
        <v>МВД РК</v>
      </c>
      <c r="I274" s="36">
        <f>VLOOKUP(C274,Покупатели!$C$2:$M$805,7,0)</f>
        <v>900107351531</v>
      </c>
      <c r="J274" s="36" t="str">
        <f ca="1">IFERROR(__xludf.DUMMYFUNCTION("JOIN("" "", VLOOKUP(C274,Покупатели,8,0),VLOOKUP(C274,Покупатели,9,0),VLOOKUP(C274,Покупатели,10,0),VLOOKUP(C274,Покупатели,11,0))"),"Акмолинская обл. Шортандинский р-н, с.Шортанды ул.Автомобилистов д.2, кв.2")</f>
        <v>Акмолинская обл. Шортандинский р-н, с.Шортанды ул.Автомобилистов д.2, кв.2</v>
      </c>
      <c r="K274" s="36">
        <f t="shared" si="76"/>
        <v>87473886918</v>
      </c>
      <c r="L274" s="36" t="str">
        <f t="shared" si="77"/>
        <v>MX4000002S0002006</v>
      </c>
      <c r="M274" s="36" t="str">
        <f t="shared" ca="1" si="69"/>
        <v>002-2013E50Q13-OK30</v>
      </c>
      <c r="N274" s="36" t="str">
        <f t="shared" si="68"/>
        <v>Прицеп 2,0*1,25 м  (до 750 кг.)</v>
      </c>
      <c r="O274" s="36" t="str">
        <f t="shared" si="78"/>
        <v>1 ось</v>
      </c>
      <c r="P274" s="36">
        <f t="shared" si="79"/>
        <v>2025</v>
      </c>
      <c r="Q274" s="36" t="str">
        <f t="shared" ca="1" si="80"/>
        <v>3150*1700*1070</v>
      </c>
      <c r="R274" s="36" t="str">
        <f t="shared" ca="1" si="81"/>
        <v>2000*1250*500</v>
      </c>
      <c r="S274" s="34" t="str">
        <f>VLOOKUP(O274,ОТТС!$A$2:$B$3,2,0)</f>
        <v>ТС KZ Е-KZ.0317.00251 от 28.02.2023</v>
      </c>
      <c r="T274" s="39">
        <v>320000</v>
      </c>
      <c r="U274" s="36" t="str">
        <f t="shared" ref="U274:U337" si="82">VLOOKUP(L274,ПРИЦЕПЫ,9,0)</f>
        <v>Астана</v>
      </c>
    </row>
    <row r="275" spans="1:21" ht="13.2">
      <c r="A275" s="34">
        <v>1451</v>
      </c>
      <c r="B275" s="35">
        <f>VLOOKUP(A275,'Реестр договоров'!$A$2:$D$298,2,0)</f>
        <v>45707</v>
      </c>
      <c r="C275" s="36" t="str">
        <f t="shared" si="73"/>
        <v>Наушабеков</v>
      </c>
      <c r="D275" s="36" t="str">
        <f t="shared" si="74"/>
        <v>Думан</v>
      </c>
      <c r="E275" s="36" t="str">
        <f t="shared" si="72"/>
        <v>Кайратович</v>
      </c>
      <c r="F275" s="36" t="str">
        <f t="shared" si="75"/>
        <v>047909293</v>
      </c>
      <c r="G275" s="37">
        <f>VLOOKUP(F275,Покупатели!$F$2:$N$762,2,0)</f>
        <v>44246</v>
      </c>
      <c r="H275" s="36" t="str">
        <f>VLOOKUP(F275,Покупатели!$F$2:$N$762,3,0)</f>
        <v>МВД РК</v>
      </c>
      <c r="I275" s="36">
        <f>VLOOKUP(C275,Покупатели!$C$2:$M$805,7,0)</f>
        <v>850726301963</v>
      </c>
      <c r="J275" s="36" t="str">
        <f ca="1">IFERROR(__xludf.DUMMYFUNCTION("JOIN("" "", VLOOKUP(C275,Покупатели,8,0),VLOOKUP(C275,Покупатели,9,0),VLOOKUP(C275,Покупатели,10,0),VLOOKUP(C275,Покупатели,11,0))"),"Алматинская область, г. Конаев, дача 4, ул. Садовая, д.72")</f>
        <v>Алматинская область, г. Конаев, дача 4, ул. Садовая, д.72</v>
      </c>
      <c r="K275" s="36">
        <f t="shared" si="76"/>
        <v>87057752002</v>
      </c>
      <c r="L275" s="36" t="str">
        <f t="shared" si="77"/>
        <v>MX4000002R0001859</v>
      </c>
      <c r="M275" s="36" t="str">
        <f t="shared" ca="1" si="69"/>
        <v>002-2013E30Q13-OK</v>
      </c>
      <c r="N275" s="36" t="str">
        <f t="shared" si="68"/>
        <v>Прицеп 2,0*1,25 м  (до 750 кг.)</v>
      </c>
      <c r="O275" s="36" t="str">
        <f t="shared" si="78"/>
        <v>1 ось</v>
      </c>
      <c r="P275" s="36">
        <f t="shared" si="79"/>
        <v>2024</v>
      </c>
      <c r="Q275" s="36" t="str">
        <f t="shared" ca="1" si="80"/>
        <v>3150*1700*900</v>
      </c>
      <c r="R275" s="36" t="str">
        <f t="shared" ca="1" si="81"/>
        <v>2000*1250*300</v>
      </c>
      <c r="S275" s="34" t="str">
        <f>VLOOKUP(O275,ОТТС!$A$2:$B$3,2,0)</f>
        <v>ТС KZ Е-KZ.0317.00251 от 28.02.2023</v>
      </c>
      <c r="T275" s="39">
        <v>360000</v>
      </c>
      <c r="U275" s="36" t="str">
        <f t="shared" si="82"/>
        <v>Алматы</v>
      </c>
    </row>
    <row r="276" spans="1:21" ht="13.2">
      <c r="A276" s="34">
        <v>1452</v>
      </c>
      <c r="B276" s="35">
        <f>VLOOKUP(A276,'Реестр договоров'!$A$2:$D$298,2,0)</f>
        <v>45707</v>
      </c>
      <c r="C276" s="36" t="str">
        <f t="shared" si="73"/>
        <v>Сагитов</v>
      </c>
      <c r="D276" s="36" t="str">
        <f t="shared" si="74"/>
        <v>Тахир</v>
      </c>
      <c r="E276" s="36" t="str">
        <f t="shared" si="72"/>
        <v>Азимович</v>
      </c>
      <c r="F276" s="36" t="str">
        <f t="shared" si="75"/>
        <v>059193478</v>
      </c>
      <c r="G276" s="37">
        <f>VLOOKUP(F276,Покупатели!$F$2:$N$762,2,0)</f>
        <v>45580</v>
      </c>
      <c r="H276" s="36" t="str">
        <f>VLOOKUP(F276,Покупатели!$F$2:$N$762,3,0)</f>
        <v>МВД РК</v>
      </c>
      <c r="I276" s="36">
        <f>VLOOKUP(C276,Покупатели!$C$2:$M$805,7,0)</f>
        <v>891202351079</v>
      </c>
      <c r="J276" s="36" t="str">
        <f ca="1">IFERROR(__xludf.DUMMYFUNCTION("JOIN("" "", VLOOKUP(C276,Покупатели,8,0),VLOOKUP(C276,Покупатели,9,0),VLOOKUP(C276,Покупатели,10,0),VLOOKUP(C276,Покупатели,11,0))"),"г.Астана р-н Сары Арка ул.Куршим д.9а")</f>
        <v>г.Астана р-н Сары Арка ул.Куршим д.9а</v>
      </c>
      <c r="K276" s="36">
        <f t="shared" si="76"/>
        <v>87753509198</v>
      </c>
      <c r="L276" s="36" t="str">
        <f t="shared" si="77"/>
        <v>MX4000002S0001980</v>
      </c>
      <c r="M276" s="36" t="str">
        <f t="shared" ca="1" si="69"/>
        <v>002-2513E50Q13-OK</v>
      </c>
      <c r="N276" s="36" t="str">
        <f t="shared" si="68"/>
        <v>Прицеп 2,5*1,25 м  (до 750 кг.)</v>
      </c>
      <c r="O276" s="36" t="str">
        <f t="shared" si="78"/>
        <v>1 ось</v>
      </c>
      <c r="P276" s="36">
        <f t="shared" si="79"/>
        <v>2025</v>
      </c>
      <c r="Q276" s="36" t="str">
        <f t="shared" ca="1" si="80"/>
        <v>3650*1700*1070</v>
      </c>
      <c r="R276" s="36" t="str">
        <f t="shared" ca="1" si="81"/>
        <v>2500*1250*500</v>
      </c>
      <c r="S276" s="34" t="str">
        <f>VLOOKUP(O276,ОТТС!$A$2:$B$3,2,0)</f>
        <v>ТС KZ Е-KZ.0317.00251 от 28.02.2023</v>
      </c>
      <c r="T276" s="39">
        <v>430000</v>
      </c>
      <c r="U276" s="36" t="str">
        <f t="shared" si="82"/>
        <v>Астана</v>
      </c>
    </row>
    <row r="277" spans="1:21" ht="13.2">
      <c r="A277" s="34">
        <v>1453</v>
      </c>
      <c r="B277" s="35">
        <f>VLOOKUP(A277,'Реестр договоров'!$A$2:$D$298,2,0)</f>
        <v>45708</v>
      </c>
      <c r="C277" s="36" t="str">
        <f t="shared" si="73"/>
        <v>Абдрахимов</v>
      </c>
      <c r="D277" s="36" t="str">
        <f t="shared" si="74"/>
        <v>Алмас</v>
      </c>
      <c r="E277" s="36" t="str">
        <f t="shared" si="72"/>
        <v>Айдарханович</v>
      </c>
      <c r="F277" s="36" t="str">
        <f t="shared" si="75"/>
        <v>041439463</v>
      </c>
      <c r="G277" s="37">
        <f>VLOOKUP(F277,Покупатели!$F$2:$N$762,2,0)</f>
        <v>42838</v>
      </c>
      <c r="H277" s="36" t="str">
        <f>VLOOKUP(F277,Покупатели!$F$2:$N$762,3,0)</f>
        <v>МВД РК</v>
      </c>
      <c r="I277" s="36">
        <f>VLOOKUP(C277,Покупатели!$C$2:$M$805,7,0)</f>
        <v>831022300233</v>
      </c>
      <c r="J277" s="36" t="str">
        <f ca="1">IFERROR(__xludf.DUMMYFUNCTION("JOIN("" "", VLOOKUP(C277,Покупатели,8,0),VLOOKUP(C277,Покупатели,9,0),VLOOKUP(C277,Покупатели,10,0),VLOOKUP(C277,Покупатели,11,0))"),"Жетысуская область, Панфиловский район, город Жаркент ул. Билал Назима  д.246")</f>
        <v>Жетысуская область, Панфиловский район, город Жаркент ул. Билал Назима  д.246</v>
      </c>
      <c r="K277" s="36">
        <f t="shared" si="76"/>
        <v>87024873754</v>
      </c>
      <c r="L277" s="36" t="str">
        <f t="shared" si="77"/>
        <v>MX4000002R0001854</v>
      </c>
      <c r="M277" s="36" t="str">
        <f t="shared" ca="1" si="69"/>
        <v>002-2013E50Q13-OK</v>
      </c>
      <c r="N277" s="36" t="str">
        <f t="shared" si="68"/>
        <v>Прицеп 2,0*1,25 м  (до 750 кг.)</v>
      </c>
      <c r="O277" s="36" t="str">
        <f t="shared" si="78"/>
        <v>1 ось</v>
      </c>
      <c r="P277" s="36">
        <f t="shared" si="79"/>
        <v>2024</v>
      </c>
      <c r="Q277" s="36" t="str">
        <f t="shared" ca="1" si="80"/>
        <v>3150*1700*1070</v>
      </c>
      <c r="R277" s="36" t="str">
        <f t="shared" ca="1" si="81"/>
        <v>2000*1250*500</v>
      </c>
      <c r="S277" s="34" t="str">
        <f>VLOOKUP(O277,ОТТС!$A$2:$B$3,2,0)</f>
        <v>ТС KZ Е-KZ.0317.00251 от 28.02.2023</v>
      </c>
      <c r="T277" s="39">
        <v>340000</v>
      </c>
      <c r="U277" s="36" t="str">
        <f t="shared" si="82"/>
        <v>Алматы</v>
      </c>
    </row>
    <row r="278" spans="1:21" ht="13.2">
      <c r="A278" s="34">
        <v>1454</v>
      </c>
      <c r="B278" s="35">
        <f>VLOOKUP(A278,'Реестр договоров'!$A$2:$D$299,2,0)</f>
        <v>45748</v>
      </c>
      <c r="C278" s="36" t="str">
        <f t="shared" si="73"/>
        <v>Лесников</v>
      </c>
      <c r="D278" s="36" t="str">
        <f t="shared" si="74"/>
        <v>Валерий</v>
      </c>
      <c r="E278" s="36" t="str">
        <f t="shared" si="72"/>
        <v>Валерьевич</v>
      </c>
      <c r="F278" s="36" t="str">
        <f t="shared" si="75"/>
        <v>054995732</v>
      </c>
      <c r="G278" s="37">
        <f>VLOOKUP(F278,Покупатели!$F$2:$N$762,2,0)</f>
        <v>45014</v>
      </c>
      <c r="H278" s="36" t="str">
        <f>VLOOKUP(F278,Покупатели!$F$2:$N$762,3,0)</f>
        <v>МВД РК</v>
      </c>
      <c r="I278" s="36" t="str">
        <f>VLOOKUP(C278,Покупатели!$C$2:$M$805,7,0)</f>
        <v>880530303355</v>
      </c>
      <c r="J278" s="36" t="str">
        <f ca="1">IFERROR(__xludf.DUMMYFUNCTION("JOIN("" "", VLOOKUP(C278,Покупатели,8,0),VLOOKUP(C278,Покупатели,9,0),VLOOKUP(C278,Покупатели,10,0),VLOOKUP(C278,Покупатели,11,0))"),"Акмолинская область, Шортандинский р-н, пос. Шортанды, ул.Пролетарская д.52")</f>
        <v>Акмолинская область, Шортандинский р-н, пос. Шортанды, ул.Пролетарская д.52</v>
      </c>
      <c r="K278" s="36">
        <f t="shared" si="76"/>
        <v>87017197510</v>
      </c>
      <c r="L278" s="36" t="str">
        <f t="shared" si="77"/>
        <v>MX4000002S0002008</v>
      </c>
      <c r="M278" s="36" t="str">
        <f t="shared" ca="1" si="69"/>
        <v>002-2013E50Q13-OK</v>
      </c>
      <c r="N278" s="36" t="str">
        <f t="shared" si="68"/>
        <v>Прицеп 2,0*1,25 м  (до 750 кг.)</v>
      </c>
      <c r="O278" s="36" t="str">
        <f t="shared" si="78"/>
        <v>1 ось</v>
      </c>
      <c r="P278" s="36">
        <f t="shared" si="79"/>
        <v>2025</v>
      </c>
      <c r="Q278" s="36" t="str">
        <f t="shared" ca="1" si="80"/>
        <v>3150*1700*1070</v>
      </c>
      <c r="R278" s="36" t="str">
        <f t="shared" ca="1" si="81"/>
        <v>2000*1250*500</v>
      </c>
      <c r="S278" s="34" t="str">
        <f>VLOOKUP(O278,ОТТС!$A$2:$B$3,2,0)</f>
        <v>ТС KZ Е-KZ.0317.00251 от 28.02.2023</v>
      </c>
      <c r="T278" s="39">
        <v>370000</v>
      </c>
      <c r="U278" s="36" t="str">
        <f t="shared" si="82"/>
        <v>Астана</v>
      </c>
    </row>
    <row r="279" spans="1:21" ht="13.2">
      <c r="A279" s="34">
        <v>1455</v>
      </c>
      <c r="B279" s="35">
        <f>VLOOKUP(A279,'Реестр договоров'!$A$2:$D$300,2,0)</f>
        <v>45709</v>
      </c>
      <c r="C279" s="36" t="str">
        <f t="shared" si="73"/>
        <v>Есмагамбетов 1</v>
      </c>
      <c r="D279" s="36" t="str">
        <f t="shared" si="74"/>
        <v>Абдилхасен</v>
      </c>
      <c r="E279" s="36" t="str">
        <f t="shared" si="72"/>
        <v>Багдатович</v>
      </c>
      <c r="F279" s="36" t="str">
        <f t="shared" si="75"/>
        <v>039131828</v>
      </c>
      <c r="G279" s="37">
        <f>VLOOKUP(F279,Покупатели!$F$2:$N$762,2,0)</f>
        <v>42248</v>
      </c>
      <c r="H279" s="36" t="str">
        <f>VLOOKUP(F279,Покупатели!$F$2:$N$762,3,0)</f>
        <v>МВД РК</v>
      </c>
      <c r="I279" s="36">
        <f>VLOOKUP(C279,Покупатели!$C$2:$M$805,7,0)</f>
        <v>590207300938</v>
      </c>
      <c r="J279" s="36" t="str">
        <f ca="1">IFERROR(__xludf.DUMMYFUNCTION("JOIN("" "", VLOOKUP(C279,Покупатели,8,0),VLOOKUP(C279,Покупатели,9,0),VLOOKUP(C279,Покупатели,10,0),VLOOKUP(C279,Покупатели,11,0))"),"Акмолинская область, Зерендинский район, с. Конысбай, ул. Солтустик,  д.12, кв.1")</f>
        <v>Акмолинская область, Зерендинский район, с. Конысбай, ул. Солтустик,  д.12, кв.1</v>
      </c>
      <c r="K279" s="36">
        <f t="shared" si="76"/>
        <v>87478816465</v>
      </c>
      <c r="L279" s="36" t="str">
        <f t="shared" si="77"/>
        <v>MX4000002S0001972</v>
      </c>
      <c r="M279" s="36" t="str">
        <f t="shared" ca="1" si="69"/>
        <v>002-2013E30Q13-OK</v>
      </c>
      <c r="N279" s="36" t="str">
        <f t="shared" si="68"/>
        <v>Прицеп 2,0*1,25 м  (до 750 кг.)</v>
      </c>
      <c r="O279" s="36" t="str">
        <f t="shared" si="78"/>
        <v>1 ось</v>
      </c>
      <c r="P279" s="36">
        <f t="shared" si="79"/>
        <v>2025</v>
      </c>
      <c r="Q279" s="36" t="str">
        <f t="shared" ca="1" si="80"/>
        <v>3150*1700*900</v>
      </c>
      <c r="R279" s="36" t="str">
        <f t="shared" ca="1" si="81"/>
        <v>2000*1250*300</v>
      </c>
      <c r="S279" s="34" t="str">
        <f>VLOOKUP(O279,ОТТС!$A$2:$B$3,2,0)</f>
        <v>ТС KZ Е-KZ.0317.00251 от 28.02.2023</v>
      </c>
      <c r="T279" s="39">
        <v>300000</v>
      </c>
      <c r="U279" s="36" t="str">
        <f t="shared" si="82"/>
        <v>Кокшетау</v>
      </c>
    </row>
    <row r="280" spans="1:21" ht="13.2">
      <c r="A280" s="34">
        <v>1456</v>
      </c>
      <c r="B280" s="35">
        <f>VLOOKUP(A280,'Реестр договоров'!$A$2:$D$301,2,0)</f>
        <v>45710</v>
      </c>
      <c r="C280" s="36" t="str">
        <f t="shared" si="73"/>
        <v>Кезенбаев</v>
      </c>
      <c r="D280" s="36" t="str">
        <f t="shared" si="74"/>
        <v>Максат</v>
      </c>
      <c r="E280" s="36" t="str">
        <f t="shared" si="72"/>
        <v>Адилжанович</v>
      </c>
      <c r="F280" s="36" t="str">
        <f t="shared" si="75"/>
        <v>044028832</v>
      </c>
      <c r="G280" s="37">
        <f>VLOOKUP(F280,Покупатели!$F$2:$N$762,2,0)</f>
        <v>43159</v>
      </c>
      <c r="H280" s="36" t="str">
        <f>VLOOKUP(F280,Покупатели!$F$2:$N$762,3,0)</f>
        <v>МВД РК</v>
      </c>
      <c r="I280" s="36">
        <f>VLOOKUP(C280,Покупатели!$C$2:$M$805,7,0)</f>
        <v>730904301400</v>
      </c>
      <c r="J280" s="36" t="str">
        <f ca="1">IFERROR(__xludf.DUMMYFUNCTION("JOIN("" "", VLOOKUP(C280,Покупатели,8,0),VLOOKUP(C280,Покупатели,9,0),VLOOKUP(C280,Покупатели,10,0),VLOOKUP(C280,Покупатели,11,0))"),"г. Астана, р-н Сарыарка,  ул. Дукенулы, д.30, кв.24")</f>
        <v>г. Астана, р-н Сарыарка,  ул. Дукенулы, д.30, кв.24</v>
      </c>
      <c r="K280" s="36">
        <f t="shared" si="76"/>
        <v>87475384230</v>
      </c>
      <c r="L280" s="36" t="str">
        <f t="shared" si="77"/>
        <v>MX4000002S0002009</v>
      </c>
      <c r="M280" s="36" t="str">
        <f t="shared" ca="1" si="69"/>
        <v>002-2013E50Q13-OK</v>
      </c>
      <c r="N280" s="36" t="str">
        <f t="shared" si="68"/>
        <v>Прицеп 2,0*1,25 м  (до 750 кг.)</v>
      </c>
      <c r="O280" s="36" t="str">
        <f t="shared" si="78"/>
        <v>1 ось</v>
      </c>
      <c r="P280" s="36">
        <f t="shared" si="79"/>
        <v>2025</v>
      </c>
      <c r="Q280" s="36" t="str">
        <f t="shared" ca="1" si="80"/>
        <v>3150*1700*1070</v>
      </c>
      <c r="R280" s="36" t="str">
        <f t="shared" ca="1" si="81"/>
        <v>2000*1250*500</v>
      </c>
      <c r="S280" s="34" t="str">
        <f>VLOOKUP(O280,ОТТС!$A$2:$B$3,2,0)</f>
        <v>ТС KZ Е-KZ.0317.00251 от 28.02.2023</v>
      </c>
      <c r="T280" s="39">
        <v>310000</v>
      </c>
      <c r="U280" s="36" t="str">
        <f t="shared" si="82"/>
        <v>Астана</v>
      </c>
    </row>
    <row r="281" spans="1:21" ht="13.2">
      <c r="A281" s="34">
        <v>1457</v>
      </c>
      <c r="B281" s="35">
        <f>VLOOKUP(A281,'Реестр договоров'!$A$2:$D$302,2,0)</f>
        <v>45709</v>
      </c>
      <c r="C281" s="36" t="str">
        <f t="shared" si="73"/>
        <v>Фурсов</v>
      </c>
      <c r="D281" s="36" t="str">
        <f t="shared" si="74"/>
        <v>Иван</v>
      </c>
      <c r="E281" s="36" t="str">
        <f t="shared" si="72"/>
        <v>Григорьевич</v>
      </c>
      <c r="F281" s="36" t="str">
        <f t="shared" si="75"/>
        <v>045084158</v>
      </c>
      <c r="G281" s="37">
        <f>VLOOKUP(F281,Покупатели!$F$2:$N$762,2,0)</f>
        <v>43411</v>
      </c>
      <c r="H281" s="36" t="str">
        <f>VLOOKUP(F281,Покупатели!$F$2:$N$762,3,0)</f>
        <v>МВД РК</v>
      </c>
      <c r="I281" s="36">
        <f>VLOOKUP(C281,Покупатели!$C$2:$M$805,7,0)</f>
        <v>870730350560</v>
      </c>
      <c r="J281" s="36" t="str">
        <f ca="1">IFERROR(__xludf.DUMMYFUNCTION("JOIN("" "", VLOOKUP(C281,Покупатели,8,0),VLOOKUP(C281,Покупатели,9,0),VLOOKUP(C281,Покупатели,10,0),VLOOKUP(C281,Покупатели,11,0))"),"г. Астана р-н Байконыр, ул. Отырар 18, кв.148")</f>
        <v>г. Астана р-н Байконыр, ул. Отырар 18, кв.148</v>
      </c>
      <c r="K281" s="36">
        <f t="shared" si="76"/>
        <v>87078068699</v>
      </c>
      <c r="L281" s="36" t="str">
        <f t="shared" si="77"/>
        <v>MX4000002R0001724</v>
      </c>
      <c r="M281" s="36" t="str">
        <f t="shared" ca="1" si="69"/>
        <v>002-2515E30Q13-OK</v>
      </c>
      <c r="N281" s="36" t="str">
        <f t="shared" ref="N281:N344" si="83">VLOOKUP(L281,ПРИЦЕПЫ,2,0)</f>
        <v>Прицеп 2,5*1,5 м  (до 750 кг.)</v>
      </c>
      <c r="O281" s="36" t="str">
        <f t="shared" si="78"/>
        <v>1 ось</v>
      </c>
      <c r="P281" s="36">
        <f t="shared" si="79"/>
        <v>2024</v>
      </c>
      <c r="Q281" s="36" t="str">
        <f t="shared" ca="1" si="80"/>
        <v>3650*1950*900</v>
      </c>
      <c r="R281" s="36" t="str">
        <f t="shared" ca="1" si="81"/>
        <v>2500*1500*300</v>
      </c>
      <c r="S281" s="34" t="str">
        <f>VLOOKUP(O281,ОТТС!$A$2:$B$3,2,0)</f>
        <v>ТС KZ Е-KZ.0317.00251 от 28.02.2023</v>
      </c>
      <c r="T281" s="39">
        <v>510000</v>
      </c>
      <c r="U281" s="36" t="str">
        <f t="shared" si="82"/>
        <v>Астана</v>
      </c>
    </row>
    <row r="282" spans="1:21" ht="13.2">
      <c r="A282" s="34">
        <v>1458</v>
      </c>
      <c r="B282" s="35">
        <f>VLOOKUP(A282,'Реестр договоров'!$A$2:$D$303,2,0)</f>
        <v>45710</v>
      </c>
      <c r="C282" s="36" t="str">
        <f t="shared" si="73"/>
        <v>Павликов</v>
      </c>
      <c r="D282" s="36" t="str">
        <f t="shared" si="74"/>
        <v>Сергей</v>
      </c>
      <c r="E282" s="36" t="str">
        <f t="shared" si="72"/>
        <v>Алексеевич</v>
      </c>
      <c r="F282" s="36" t="str">
        <f t="shared" si="75"/>
        <v>048552258</v>
      </c>
      <c r="G282" s="37">
        <f>VLOOKUP(F282,Покупатели!$F$2:$N$762,2,0)</f>
        <v>44062</v>
      </c>
      <c r="H282" s="36" t="str">
        <f>VLOOKUP(F282,Покупатели!$F$2:$N$762,3,0)</f>
        <v>МВД РК</v>
      </c>
      <c r="I282" s="36">
        <f>VLOOKUP(C282,Покупатели!$C$2:$M$805,7,0)</f>
        <v>890407350766</v>
      </c>
      <c r="J282" s="36" t="str">
        <f ca="1">IFERROR(__xludf.DUMMYFUNCTION("JOIN("" "", VLOOKUP(C282,Покупатели,8,0),VLOOKUP(C282,Покупатели,9,0),VLOOKUP(C282,Покупатели,10,0),VLOOKUP(C282,Покупатели,11,0))"),"Акмолинская область, Буландинский район, г. Макинск, ул. Автомобильная, 3а")</f>
        <v>Акмолинская область, Буландинский район, г. Макинск, ул. Автомобильная, 3а</v>
      </c>
      <c r="K282" s="36">
        <f t="shared" si="76"/>
        <v>87057435505</v>
      </c>
      <c r="L282" s="36" t="str">
        <f t="shared" si="77"/>
        <v>MX4000002S0002007</v>
      </c>
      <c r="M282" s="36" t="str">
        <f t="shared" ca="1" si="69"/>
        <v>002-2013E50Q13-OK30</v>
      </c>
      <c r="N282" s="36" t="str">
        <f t="shared" si="83"/>
        <v>Прицеп 2,0*1,25 м  (до 750 кг.)</v>
      </c>
      <c r="O282" s="36" t="str">
        <f t="shared" si="78"/>
        <v>1 ось</v>
      </c>
      <c r="P282" s="36">
        <f t="shared" si="79"/>
        <v>2025</v>
      </c>
      <c r="Q282" s="36" t="str">
        <f t="shared" ca="1" si="80"/>
        <v>3150*1700*1070</v>
      </c>
      <c r="R282" s="36" t="str">
        <f t="shared" ca="1" si="81"/>
        <v>2000*1250*500</v>
      </c>
      <c r="S282" s="34" t="str">
        <f>VLOOKUP(O282,ОТТС!$A$2:$B$3,2,0)</f>
        <v>ТС KZ Е-KZ.0317.00251 от 28.02.2023</v>
      </c>
      <c r="T282" s="39">
        <v>350000</v>
      </c>
      <c r="U282" s="36" t="str">
        <f t="shared" si="82"/>
        <v>Кокшетау</v>
      </c>
    </row>
    <row r="283" spans="1:21" ht="13.2">
      <c r="A283" s="34">
        <v>1459</v>
      </c>
      <c r="B283" s="35">
        <f>VLOOKUP(A283,'Реестр договоров'!$A$2:$D$304,2,0)</f>
        <v>45712</v>
      </c>
      <c r="C283" s="36" t="str">
        <f t="shared" si="73"/>
        <v>Ер-Алиев</v>
      </c>
      <c r="D283" s="36" t="str">
        <f t="shared" si="74"/>
        <v>Мухамед-Али</v>
      </c>
      <c r="E283" s="36">
        <f t="shared" si="72"/>
        <v>0</v>
      </c>
      <c r="F283" s="36" t="str">
        <f t="shared" si="75"/>
        <v>052181597</v>
      </c>
      <c r="G283" s="37">
        <f>VLOOKUP(F283,Покупатели!$F$2:$N$762,2,0)</f>
        <v>44901</v>
      </c>
      <c r="H283" s="36" t="str">
        <f>VLOOKUP(F283,Покупатели!$F$2:$N$762,3,0)</f>
        <v>ҚР ІІМ</v>
      </c>
      <c r="I283" s="36">
        <f>VLOOKUP(C283,Покупатели!$C$2:$M$805,7,0)</f>
        <v>920807351559</v>
      </c>
      <c r="J283" s="36" t="str">
        <f ca="1">IFERROR(__xludf.DUMMYFUNCTION("JOIN("" "", VLOOKUP(C283,Покупатели,8,0),VLOOKUP(C283,Покупатели,9,0),VLOOKUP(C283,Покупатели,10,0),VLOOKUP(C283,Покупатели,11,0))"),"Алматинская область,  Жамбылский район, село Сарыбай би, ул. Казахстан, д.76")</f>
        <v>Алматинская область,  Жамбылский район, село Сарыбай би, ул. Казахстан, д.76</v>
      </c>
      <c r="K283" s="36">
        <f t="shared" si="76"/>
        <v>87058709392</v>
      </c>
      <c r="L283" s="36" t="str">
        <f t="shared" si="77"/>
        <v>MX4000002R0001798</v>
      </c>
      <c r="M283" s="36" t="str">
        <f t="shared" ca="1" si="69"/>
        <v>002-3015E50Q13-OK</v>
      </c>
      <c r="N283" s="36" t="str">
        <f t="shared" si="83"/>
        <v>Прицеп 3,0*1,5 м  (до 750 кг.)</v>
      </c>
      <c r="O283" s="36" t="str">
        <f t="shared" si="78"/>
        <v>1 ось</v>
      </c>
      <c r="P283" s="36">
        <f t="shared" si="79"/>
        <v>2024</v>
      </c>
      <c r="Q283" s="36" t="str">
        <f t="shared" ca="1" si="80"/>
        <v>3800*1950*1200</v>
      </c>
      <c r="R283" s="36" t="str">
        <f t="shared" ca="1" si="81"/>
        <v>3000*1500*500</v>
      </c>
      <c r="S283" s="34" t="str">
        <f>VLOOKUP(O283,ОТТС!$A$2:$B$3,2,0)</f>
        <v>ТС KZ Е-KZ.0317.00251 от 28.02.2023</v>
      </c>
      <c r="T283" s="39">
        <v>610000</v>
      </c>
      <c r="U283" s="36" t="str">
        <f t="shared" si="82"/>
        <v>Алматы</v>
      </c>
    </row>
    <row r="284" spans="1:21" ht="13.2">
      <c r="A284" s="34">
        <v>1460</v>
      </c>
      <c r="B284" s="35">
        <f>VLOOKUP(A284,'Реестр договоров'!$A$2:$D$305,2,0)</f>
        <v>45712</v>
      </c>
      <c r="C284" s="36" t="str">
        <f t="shared" si="73"/>
        <v>Лобаев</v>
      </c>
      <c r="D284" s="36" t="str">
        <f t="shared" si="74"/>
        <v>Исмаил</v>
      </c>
      <c r="E284" s="36" t="str">
        <f t="shared" si="72"/>
        <v>Хабиевич</v>
      </c>
      <c r="F284" s="36" t="str">
        <f t="shared" si="75"/>
        <v>043895409</v>
      </c>
      <c r="G284" s="37">
        <f>VLOOKUP(F284,Покупатели!$F$2:$N$762,2,0)</f>
        <v>43475</v>
      </c>
      <c r="H284" s="36" t="str">
        <f>VLOOKUP(F284,Покупатели!$F$2:$N$762,3,0)</f>
        <v>МВД РК</v>
      </c>
      <c r="I284" s="36">
        <f>VLOOKUP(C284,Покупатели!$C$2:$M$805,7,0)</f>
        <v>890702300327</v>
      </c>
      <c r="J284" s="36" t="str">
        <f ca="1">IFERROR(__xludf.DUMMYFUNCTION("JOIN("" "", VLOOKUP(C284,Покупатели,8,0),VLOOKUP(C284,Покупатели,9,0),VLOOKUP(C284,Покупатели,10,0),VLOOKUP(C284,Покупатели,11,0))"),"Алматинская область, г. Алматы, Алатауский р-н, ул.Кыранкара, д. 44")</f>
        <v>Алматинская область, г. Алматы, Алатауский р-н, ул.Кыранкара, д. 44</v>
      </c>
      <c r="K284" s="36">
        <f t="shared" si="76"/>
        <v>87010768887</v>
      </c>
      <c r="L284" s="36" t="str">
        <f t="shared" si="77"/>
        <v>MX4000002R0001857</v>
      </c>
      <c r="M284" s="36" t="str">
        <f t="shared" ref="M284:M347" ca="1" si="84">VLOOKUP(L284,ПРИЦЕПЫ,11,0)</f>
        <v>002-2013E50Q13-OK</v>
      </c>
      <c r="N284" s="36" t="str">
        <f t="shared" si="83"/>
        <v>Прицеп 2,0*1,25 м  (до 750 кг.)</v>
      </c>
      <c r="O284" s="36" t="str">
        <f t="shared" si="78"/>
        <v>1 ось</v>
      </c>
      <c r="P284" s="36">
        <f t="shared" si="79"/>
        <v>2024</v>
      </c>
      <c r="Q284" s="36" t="str">
        <f t="shared" ca="1" si="80"/>
        <v>3150*1700*1070</v>
      </c>
      <c r="R284" s="36" t="str">
        <f t="shared" ca="1" si="81"/>
        <v>2000*1250*500</v>
      </c>
      <c r="S284" s="34" t="str">
        <f>VLOOKUP(O284,ОТТС!$A$2:$B$3,2,0)</f>
        <v>ТС KZ Е-KZ.0317.00251 от 28.02.2023</v>
      </c>
      <c r="T284" s="39">
        <v>380000</v>
      </c>
      <c r="U284" s="36" t="str">
        <f t="shared" si="82"/>
        <v>Алматы</v>
      </c>
    </row>
    <row r="285" spans="1:21" ht="13.2">
      <c r="A285" s="34">
        <v>1461</v>
      </c>
      <c r="B285" s="35">
        <f>VLOOKUP(A285,'Реестр договоров'!$A$2:$D$508,2,0)</f>
        <v>45713</v>
      </c>
      <c r="C285" s="36" t="str">
        <f t="shared" si="73"/>
        <v>Момынбаев</v>
      </c>
      <c r="D285" s="36" t="str">
        <f t="shared" si="74"/>
        <v>Дархан</v>
      </c>
      <c r="E285" s="36" t="str">
        <f t="shared" si="72"/>
        <v>Жумаканович</v>
      </c>
      <c r="F285" s="36" t="str">
        <f t="shared" si="75"/>
        <v>053009984</v>
      </c>
      <c r="G285" s="37">
        <f>VLOOKUP(F285,Покупатели!$F$2:$N$762,2,0)</f>
        <v>44719</v>
      </c>
      <c r="H285" s="36" t="str">
        <f>VLOOKUP(F285,Покупатели!$F$2:$N$762,3,0)</f>
        <v>МВД РК</v>
      </c>
      <c r="I285" s="36">
        <f>VLOOKUP(C285,Покупатели!$C$2:$M$805,7,0)</f>
        <v>830812350033</v>
      </c>
      <c r="J285" s="36" t="str">
        <f ca="1">IFERROR(__xludf.DUMMYFUNCTION("JOIN("" "", VLOOKUP(C285,Покупатели,8,0),VLOOKUP(C285,Покупатели,9,0),VLOOKUP(C285,Покупатели,10,0),VLOOKUP(C285,Покупатели,11,0))"),"г.Астана р-н СарыАрка ул.Тлендиева д.50/1, кв.144")</f>
        <v>г.Астана р-н СарыАрка ул.Тлендиева д.50/1, кв.144</v>
      </c>
      <c r="K285" s="36">
        <f t="shared" si="76"/>
        <v>87015394644</v>
      </c>
      <c r="L285" s="36" t="str">
        <f t="shared" si="77"/>
        <v>MX4000002S0002010</v>
      </c>
      <c r="M285" s="36" t="str">
        <f t="shared" ca="1" si="84"/>
        <v>002-2513E50Q13-OK30</v>
      </c>
      <c r="N285" s="36" t="str">
        <f t="shared" si="83"/>
        <v>Прицеп 2,5*1,25 м  (до 750 кг.)</v>
      </c>
      <c r="O285" s="36" t="str">
        <f t="shared" si="78"/>
        <v>1 ось</v>
      </c>
      <c r="P285" s="36">
        <f t="shared" si="79"/>
        <v>2025</v>
      </c>
      <c r="Q285" s="36" t="str">
        <f t="shared" ca="1" si="80"/>
        <v>3650*1700*1070</v>
      </c>
      <c r="R285" s="36" t="str">
        <f t="shared" ca="1" si="81"/>
        <v>2500*1250*500</v>
      </c>
      <c r="S285" s="34" t="str">
        <f>VLOOKUP(O285,ОТТС!$A$2:$B$3,2,0)</f>
        <v>ТС KZ Е-KZ.0317.00251 от 28.02.2023</v>
      </c>
      <c r="T285" s="39">
        <v>400000</v>
      </c>
      <c r="U285" s="36" t="str">
        <f t="shared" si="82"/>
        <v>Астана</v>
      </c>
    </row>
    <row r="286" spans="1:21" ht="13.2">
      <c r="A286" s="34">
        <v>1462</v>
      </c>
      <c r="B286" s="35">
        <f>VLOOKUP(A286,'Реестр договоров'!$A$2:$D$508,2,0)</f>
        <v>45713</v>
      </c>
      <c r="C286" s="36" t="str">
        <f t="shared" si="73"/>
        <v>Раисов</v>
      </c>
      <c r="D286" s="36" t="str">
        <f t="shared" si="74"/>
        <v>Асхат</v>
      </c>
      <c r="E286" s="36" t="str">
        <f t="shared" si="72"/>
        <v>Рауилович</v>
      </c>
      <c r="F286" s="36" t="str">
        <f t="shared" si="75"/>
        <v>045361280</v>
      </c>
      <c r="G286" s="37">
        <f>VLOOKUP(F286,Покупатели!$F$2:$N$762,2,0)</f>
        <v>43482</v>
      </c>
      <c r="H286" s="36" t="str">
        <f>VLOOKUP(F286,Покупатели!$F$2:$N$762,3,0)</f>
        <v>МВД РК</v>
      </c>
      <c r="I286" s="36">
        <f>VLOOKUP(C286,Покупатели!$C$2:$M$805,7,0)</f>
        <v>951206351292</v>
      </c>
      <c r="J286" s="36" t="str">
        <f ca="1">IFERROR(__xludf.DUMMYFUNCTION("JOIN("" "", VLOOKUP(C286,Покупатели,8,0),VLOOKUP(C286,Покупатели,9,0),VLOOKUP(C286,Покупатели,10,0),VLOOKUP(C286,Покупатели,11,0))"),"Акмолинская область, с. Красный яр,  ул. Абылай хана,  д.45/48")</f>
        <v>Акмолинская область, с. Красный яр,  ул. Абылай хана,  д.45/48</v>
      </c>
      <c r="K286" s="36">
        <f t="shared" si="76"/>
        <v>87009010406</v>
      </c>
      <c r="L286" s="36" t="str">
        <f t="shared" si="77"/>
        <v>MX4000002S0002014</v>
      </c>
      <c r="M286" s="36" t="str">
        <f t="shared" ca="1" si="84"/>
        <v>002-2013E50Q13-OK</v>
      </c>
      <c r="N286" s="36" t="str">
        <f t="shared" si="83"/>
        <v>Прицеп 2,0*1,25 м  (до 750 кг.)</v>
      </c>
      <c r="O286" s="36" t="str">
        <f t="shared" si="78"/>
        <v>1 ось</v>
      </c>
      <c r="P286" s="36">
        <f t="shared" si="79"/>
        <v>2025</v>
      </c>
      <c r="Q286" s="36" t="str">
        <f t="shared" ca="1" si="80"/>
        <v>3150*1700*1070</v>
      </c>
      <c r="R286" s="36" t="str">
        <f t="shared" ca="1" si="81"/>
        <v>2000*1250*500</v>
      </c>
      <c r="S286" s="34" t="str">
        <f>VLOOKUP(O286,ОТТС!$A$2:$B$3,2,0)</f>
        <v>ТС KZ Е-KZ.0317.00251 от 28.02.2023</v>
      </c>
      <c r="T286" s="39">
        <v>360000</v>
      </c>
      <c r="U286" s="36" t="str">
        <f t="shared" si="82"/>
        <v>Кокшетау</v>
      </c>
    </row>
    <row r="287" spans="1:21" ht="13.2">
      <c r="A287" s="34">
        <v>1463</v>
      </c>
      <c r="B287" s="35">
        <f>VLOOKUP(A287,'Реестр договоров'!$A$2:$D$508,2,0)</f>
        <v>45714</v>
      </c>
      <c r="C287" s="36" t="str">
        <f t="shared" si="73"/>
        <v>Михалев</v>
      </c>
      <c r="D287" s="36" t="str">
        <f t="shared" si="74"/>
        <v>Игорь</v>
      </c>
      <c r="E287" s="36" t="str">
        <f t="shared" si="72"/>
        <v>Леонидович</v>
      </c>
      <c r="F287" s="36" t="str">
        <f t="shared" si="75"/>
        <v>052104306</v>
      </c>
      <c r="G287" s="37">
        <f>VLOOKUP(F287,Покупатели!$F$2:$N$762,2,0)</f>
        <v>44594</v>
      </c>
      <c r="H287" s="36" t="str">
        <f>VLOOKUP(F287,Покупатели!$F$2:$N$762,3,0)</f>
        <v>МВД РК</v>
      </c>
      <c r="I287" s="36">
        <f>VLOOKUP(C287,Покупатели!$C$2:$M$805,7,0)</f>
        <v>720328350199</v>
      </c>
      <c r="J287" s="36" t="str">
        <f ca="1">IFERROR(__xludf.DUMMYFUNCTION("JOIN("" "", VLOOKUP(C287,Покупатели,8,0),VLOOKUP(C287,Покупатели,9,0),VLOOKUP(C287,Покупатели,10,0),VLOOKUP(C287,Покупатели,11,0))"),"г.Астана р-н СарыАрка ул.В.Бартольда д.46")</f>
        <v>г.Астана р-н СарыАрка ул.В.Бартольда д.46</v>
      </c>
      <c r="K287" s="36">
        <f t="shared" si="76"/>
        <v>87016098609</v>
      </c>
      <c r="L287" s="36" t="str">
        <f t="shared" si="77"/>
        <v>MX4000002R0001934</v>
      </c>
      <c r="M287" s="36" t="str">
        <f t="shared" ca="1" si="84"/>
        <v>002-2013E30Q13-OK</v>
      </c>
      <c r="N287" s="36" t="str">
        <f t="shared" si="83"/>
        <v>Прицеп 2,0*1,25 м  (до 750 кг.)</v>
      </c>
      <c r="O287" s="36" t="str">
        <f t="shared" si="78"/>
        <v>1 ось</v>
      </c>
      <c r="P287" s="36">
        <f t="shared" si="79"/>
        <v>2024</v>
      </c>
      <c r="Q287" s="36" t="str">
        <f t="shared" ca="1" si="80"/>
        <v>3150*1700*900</v>
      </c>
      <c r="R287" s="36" t="str">
        <f t="shared" ca="1" si="81"/>
        <v>2000*1250*300</v>
      </c>
      <c r="S287" s="34" t="str">
        <f>VLOOKUP(O287,ОТТС!$A$2:$B$3,2,0)</f>
        <v>ТС KZ Е-KZ.0317.00251 от 28.02.2023</v>
      </c>
      <c r="T287" s="39">
        <v>350000</v>
      </c>
      <c r="U287" s="36" t="str">
        <f t="shared" si="82"/>
        <v>Астана</v>
      </c>
    </row>
    <row r="288" spans="1:21" ht="13.2">
      <c r="A288" s="34">
        <v>1464</v>
      </c>
      <c r="B288" s="35">
        <f>VLOOKUP(A288,'Реестр договоров'!$A$2:$D$508,2,0)</f>
        <v>45714</v>
      </c>
      <c r="C288" s="36" t="str">
        <f t="shared" si="73"/>
        <v xml:space="preserve">Плехов </v>
      </c>
      <c r="D288" s="36" t="str">
        <f t="shared" si="74"/>
        <v>Алексей</v>
      </c>
      <c r="E288" s="36" t="str">
        <f t="shared" si="72"/>
        <v>Александрович</v>
      </c>
      <c r="F288" s="36" t="str">
        <f t="shared" si="75"/>
        <v>054409527</v>
      </c>
      <c r="G288" s="37">
        <f>VLOOKUP(F288,Покупатели!$F$2:$N$762,2,0)</f>
        <v>45190</v>
      </c>
      <c r="H288" s="36" t="str">
        <f>VLOOKUP(F288,Покупатели!$F$2:$N$762,3,0)</f>
        <v>МВД РК</v>
      </c>
      <c r="I288" s="36">
        <f>VLOOKUP(C288,Покупатели!$C$2:$M$805,7,0)</f>
        <v>880823303249</v>
      </c>
      <c r="J288" s="36" t="str">
        <f ca="1">IFERROR(__xludf.DUMMYFUNCTION("JOIN("" "", VLOOKUP(C288,Покупатели,8,0),VLOOKUP(C288,Покупатели,9,0),VLOOKUP(C288,Покупатели,10,0),VLOOKUP(C288,Покупатели,11,0))"),"Алматинская область, г. Алматы, ул. Урицкого, д.23")</f>
        <v>Алматинская область, г. Алматы, ул. Урицкого, д.23</v>
      </c>
      <c r="K288" s="36">
        <f t="shared" si="76"/>
        <v>87076535393</v>
      </c>
      <c r="L288" s="36" t="str">
        <f t="shared" si="77"/>
        <v>MX4000002R0001855</v>
      </c>
      <c r="M288" s="36" t="str">
        <f t="shared" ca="1" si="84"/>
        <v>002-2013E30Q13-OK</v>
      </c>
      <c r="N288" s="36" t="str">
        <f t="shared" si="83"/>
        <v>Прицеп 2,0*1,25 м  (до 750 кг.)</v>
      </c>
      <c r="O288" s="36" t="str">
        <f t="shared" si="78"/>
        <v>1 ось</v>
      </c>
      <c r="P288" s="36">
        <f t="shared" si="79"/>
        <v>2024</v>
      </c>
      <c r="Q288" s="36" t="str">
        <f t="shared" ca="1" si="80"/>
        <v>3150*1700*900</v>
      </c>
      <c r="R288" s="36" t="str">
        <f t="shared" ca="1" si="81"/>
        <v>2000*1250*300</v>
      </c>
      <c r="S288" s="34" t="str">
        <f>VLOOKUP(O288,ОТТС!$A$2:$B$3,2,0)</f>
        <v>ТС KZ Е-KZ.0317.00251 от 28.02.2023</v>
      </c>
      <c r="T288" s="39">
        <v>360000</v>
      </c>
      <c r="U288" s="36" t="str">
        <f t="shared" si="82"/>
        <v>Алматы</v>
      </c>
    </row>
    <row r="289" spans="1:21" ht="13.2">
      <c r="A289" s="34">
        <v>1465</v>
      </c>
      <c r="B289" s="35">
        <f>VLOOKUP(A289,'Реестр договоров'!$A$2:$D$508,2,0)</f>
        <v>45714</v>
      </c>
      <c r="C289" s="36" t="str">
        <f t="shared" si="73"/>
        <v>Кудайбергенов</v>
      </c>
      <c r="D289" s="36" t="str">
        <f t="shared" si="74"/>
        <v>Серик</v>
      </c>
      <c r="E289" s="36" t="str">
        <f t="shared" si="72"/>
        <v>Токсанбаевич</v>
      </c>
      <c r="F289" s="36" t="str">
        <f t="shared" si="75"/>
        <v>055835208</v>
      </c>
      <c r="G289" s="37">
        <f>VLOOKUP(F289,Покупатели!$F$2:$N$762,2,0)</f>
        <v>45138</v>
      </c>
      <c r="H289" s="36" t="str">
        <f>VLOOKUP(F289,Покупатели!$F$2:$N$762,3,0)</f>
        <v>МВД РК</v>
      </c>
      <c r="I289" s="36">
        <f>VLOOKUP(C289,Покупатели!$C$2:$M$805,7,0)</f>
        <v>810221350730</v>
      </c>
      <c r="J289" s="36" t="str">
        <f ca="1">IFERROR(__xludf.DUMMYFUNCTION("JOIN("" "", VLOOKUP(C289,Покупатели,8,0),VLOOKUP(C289,Покупатели,9,0),VLOOKUP(C289,Покупатели,10,0),VLOOKUP(C289,Покупатели,11,0))"),"Акмолинская область, г. Кокшетау, ул. Амре Кашаубаева, д. 34")</f>
        <v>Акмолинская область, г. Кокшетау, ул. Амре Кашаубаева, д. 34</v>
      </c>
      <c r="K289" s="36">
        <f t="shared" si="76"/>
        <v>87787920163</v>
      </c>
      <c r="L289" s="36" t="str">
        <f t="shared" si="77"/>
        <v>MX4000002S0002017</v>
      </c>
      <c r="M289" s="36" t="str">
        <f t="shared" ca="1" si="84"/>
        <v>002-2013E50Q13-OK</v>
      </c>
      <c r="N289" s="36" t="str">
        <f t="shared" si="83"/>
        <v>Прицеп 2,0*1,25 м  (до 750 кг.)</v>
      </c>
      <c r="O289" s="36" t="str">
        <f t="shared" si="78"/>
        <v>1 ось</v>
      </c>
      <c r="P289" s="36">
        <f t="shared" si="79"/>
        <v>2025</v>
      </c>
      <c r="Q289" s="36" t="str">
        <f t="shared" ca="1" si="80"/>
        <v>3150*1700*1070</v>
      </c>
      <c r="R289" s="36" t="str">
        <f t="shared" ca="1" si="81"/>
        <v>2000*1250*500</v>
      </c>
      <c r="S289" s="34" t="str">
        <f>VLOOKUP(O289,ОТТС!$A$2:$B$3,2,0)</f>
        <v>ТС KZ Е-KZ.0317.00251 от 28.02.2023</v>
      </c>
      <c r="T289" s="39">
        <v>330000</v>
      </c>
      <c r="U289" s="36" t="str">
        <f t="shared" si="82"/>
        <v>Кокшетау</v>
      </c>
    </row>
    <row r="290" spans="1:21" ht="13.2">
      <c r="A290" s="34">
        <v>1466</v>
      </c>
      <c r="B290" s="35">
        <f>VLOOKUP(A290,'Реестр договоров'!$A$2:$D$508,2,0)</f>
        <v>45715</v>
      </c>
      <c r="C290" s="36" t="str">
        <f t="shared" si="73"/>
        <v>Никулин</v>
      </c>
      <c r="D290" s="36" t="str">
        <f t="shared" si="74"/>
        <v>Максим</v>
      </c>
      <c r="E290" s="36" t="str">
        <f t="shared" si="72"/>
        <v>Владиленович</v>
      </c>
      <c r="F290" s="36" t="str">
        <f t="shared" si="75"/>
        <v>053616214</v>
      </c>
      <c r="G290" s="37">
        <f>VLOOKUP(F290,Покупатели!$F$2:$N$762,2,0)</f>
        <v>44792</v>
      </c>
      <c r="H290" s="36" t="str">
        <f>VLOOKUP(F290,Покупатели!$F$2:$N$762,3,0)</f>
        <v>МВД РК</v>
      </c>
      <c r="I290" s="36">
        <f>VLOOKUP(C290,Покупатели!$C$2:$M$805,7,0)</f>
        <v>770823350337</v>
      </c>
      <c r="J290" s="36" t="str">
        <f ca="1">IFERROR(__xludf.DUMMYFUNCTION("JOIN("" "", VLOOKUP(C290,Покупатели,8,0),VLOOKUP(C290,Покупатели,9,0),VLOOKUP(C290,Покупатели,10,0),VLOOKUP(C290,Покупатели,11,0))"),"Акмолинская область, г. Кокшетау, ул. Алии Молдагуловой, д.58, кв 2")</f>
        <v>Акмолинская область, г. Кокшетау, ул. Алии Молдагуловой, д.58, кв 2</v>
      </c>
      <c r="K290" s="36">
        <f t="shared" si="76"/>
        <v>87775336103</v>
      </c>
      <c r="L290" s="36" t="str">
        <f t="shared" si="77"/>
        <v>MX4000002S0002015</v>
      </c>
      <c r="M290" s="36" t="str">
        <f t="shared" ca="1" si="84"/>
        <v>002-2513E50Q13-OK</v>
      </c>
      <c r="N290" s="36" t="str">
        <f t="shared" si="83"/>
        <v>Прицеп 2,5*1,25 м  (до 750 кг.)</v>
      </c>
      <c r="O290" s="36" t="str">
        <f t="shared" si="78"/>
        <v>1 ось</v>
      </c>
      <c r="P290" s="36">
        <f t="shared" si="79"/>
        <v>2025</v>
      </c>
      <c r="Q290" s="36" t="str">
        <f t="shared" ca="1" si="80"/>
        <v>3650*1700*1070</v>
      </c>
      <c r="R290" s="36" t="str">
        <f t="shared" ca="1" si="81"/>
        <v>2500*1250*500</v>
      </c>
      <c r="S290" s="34" t="str">
        <f>VLOOKUP(O290,ОТТС!$A$2:$B$3,2,0)</f>
        <v>ТС KZ Е-KZ.0317.00251 от 28.02.2023</v>
      </c>
      <c r="T290" s="39">
        <v>380000</v>
      </c>
      <c r="U290" s="36" t="str">
        <f t="shared" si="82"/>
        <v>Кокшетау</v>
      </c>
    </row>
    <row r="291" spans="1:21" ht="13.2">
      <c r="A291" s="34">
        <v>1468</v>
      </c>
      <c r="B291" s="35">
        <f>VLOOKUP(A291,'Реестр договоров'!$A$2:$D$508,2,0)</f>
        <v>45715</v>
      </c>
      <c r="C291" s="36" t="str">
        <f t="shared" si="73"/>
        <v>Джаппаров</v>
      </c>
      <c r="D291" s="36" t="str">
        <f t="shared" si="74"/>
        <v>Шахадил</v>
      </c>
      <c r="E291" s="36" t="str">
        <f t="shared" si="72"/>
        <v>Чагатаевич</v>
      </c>
      <c r="F291" s="36" t="str">
        <f t="shared" si="75"/>
        <v>017296868</v>
      </c>
      <c r="G291" s="37">
        <f>VLOOKUP(F291,Покупатели!$F$2:$N$762,2,0)</f>
        <v>38378</v>
      </c>
      <c r="H291" s="36" t="str">
        <f>VLOOKUP(F291,Покупатели!$F$2:$N$762,3,0)</f>
        <v>МЮ РК</v>
      </c>
      <c r="I291" s="36">
        <f>VLOOKUP(C291,Покупатели!$C$2:$M$805,7,0)</f>
        <v>590810302070</v>
      </c>
      <c r="J291" s="36" t="str">
        <f ca="1">IFERROR(__xludf.DUMMYFUNCTION("JOIN("" "", VLOOKUP(C291,Покупатели,8,0),VLOOKUP(C291,Покупатели,9,0),VLOOKUP(C291,Покупатели,10,0),VLOOKUP(C291,Покупатели,11,0))"),"г.Алматы р-н Алатау ул.Талдыарал д.20")</f>
        <v>г.Алматы р-н Алатау ул.Талдыарал д.20</v>
      </c>
      <c r="K291" s="36">
        <f t="shared" si="76"/>
        <v>87013370569</v>
      </c>
      <c r="L291" s="36" t="str">
        <f t="shared" si="77"/>
        <v>MX4000004R0001791</v>
      </c>
      <c r="M291" s="36" t="str">
        <f t="shared" ca="1" si="84"/>
        <v>002-2515E50Q13-OK90</v>
      </c>
      <c r="N291" s="36" t="str">
        <f t="shared" si="83"/>
        <v>Прицеп 2,5*1,5 м  (до 750 кг.)</v>
      </c>
      <c r="O291" s="36" t="str">
        <f t="shared" si="78"/>
        <v>2 оси</v>
      </c>
      <c r="P291" s="36">
        <f t="shared" si="79"/>
        <v>2024</v>
      </c>
      <c r="Q291" s="36" t="str">
        <f t="shared" ca="1" si="80"/>
        <v>3650*1950*1070</v>
      </c>
      <c r="R291" s="36" t="str">
        <f t="shared" ca="1" si="81"/>
        <v>2500*1500*500</v>
      </c>
      <c r="S291" s="34" t="str">
        <f>VLOOKUP(O291,ОТТС!$A$2:$B$3,2,0)</f>
        <v>ТС KZ Е-KZ.0317.00219.П1 от 17.07.2025</v>
      </c>
      <c r="T291" s="39">
        <v>700000</v>
      </c>
      <c r="U291" s="36" t="str">
        <f t="shared" si="82"/>
        <v>Алматы</v>
      </c>
    </row>
    <row r="292" spans="1:21" ht="13.2">
      <c r="A292" s="34">
        <v>1469</v>
      </c>
      <c r="B292" s="35">
        <f>VLOOKUP(A292,'Реестр договоров'!$A$2:$D$508,2,0)</f>
        <v>45716</v>
      </c>
      <c r="C292" s="36" t="str">
        <f t="shared" si="73"/>
        <v>Анисимов</v>
      </c>
      <c r="D292" s="36" t="str">
        <f t="shared" si="74"/>
        <v>Никита</v>
      </c>
      <c r="E292" s="36" t="str">
        <f t="shared" si="72"/>
        <v>Сергеевич</v>
      </c>
      <c r="F292" s="36" t="str">
        <f t="shared" si="75"/>
        <v>046097820</v>
      </c>
      <c r="G292" s="37">
        <f>VLOOKUP(F292,Покупатели!$F$2:$N$762,2,0)</f>
        <v>43640</v>
      </c>
      <c r="H292" s="36" t="str">
        <f>VLOOKUP(F292,Покупатели!$F$2:$N$762,3,0)</f>
        <v>МВД РК</v>
      </c>
      <c r="I292" s="36">
        <f>VLOOKUP(C292,Покупатели!$C$2:$M$805,7,0)</f>
        <v>900326351729</v>
      </c>
      <c r="J292" s="36" t="str">
        <f ca="1">IFERROR(__xludf.DUMMYFUNCTION("JOIN("" "", VLOOKUP(C292,Покупатели,8,0),VLOOKUP(C292,Покупатели,9,0),VLOOKUP(C292,Покупатели,10,0),VLOOKUP(C292,Покупатели,11,0))"),"Акмолинская область, Зерендинский район, с. Приречное, ул. Енбекшилер, д.24")</f>
        <v>Акмолинская область, Зерендинский район, с. Приречное, ул. Енбекшилер, д.24</v>
      </c>
      <c r="K292" s="36">
        <f t="shared" si="76"/>
        <v>87057411267</v>
      </c>
      <c r="L292" s="36" t="str">
        <f t="shared" si="77"/>
        <v>MX4000002S0002021</v>
      </c>
      <c r="M292" s="36" t="str">
        <f t="shared" ca="1" si="84"/>
        <v>002-2513E50Q13-OK</v>
      </c>
      <c r="N292" s="36" t="str">
        <f t="shared" si="83"/>
        <v>Прицеп 2,5*1,25 м  (до 750 кг.)</v>
      </c>
      <c r="O292" s="36" t="str">
        <f t="shared" si="78"/>
        <v>1 ось</v>
      </c>
      <c r="P292" s="36">
        <f t="shared" si="79"/>
        <v>2025</v>
      </c>
      <c r="Q292" s="36" t="str">
        <f t="shared" ca="1" si="80"/>
        <v>3650*1700*1070</v>
      </c>
      <c r="R292" s="36" t="str">
        <f t="shared" ca="1" si="81"/>
        <v>2500*1250*500</v>
      </c>
      <c r="S292" s="34" t="str">
        <f>VLOOKUP(O292,ОТТС!$A$2:$B$3,2,0)</f>
        <v>ТС KZ Е-KZ.0317.00251 от 28.02.2023</v>
      </c>
      <c r="T292" s="39">
        <v>380000</v>
      </c>
      <c r="U292" s="36" t="str">
        <f t="shared" si="82"/>
        <v>Кокшетау</v>
      </c>
    </row>
    <row r="293" spans="1:21" ht="13.2">
      <c r="A293" s="34">
        <v>1470</v>
      </c>
      <c r="B293" s="35">
        <f>VLOOKUP(A293,'Реестр договоров'!$A$2:$D$508,2,0)</f>
        <v>45719</v>
      </c>
      <c r="C293" s="36" t="str">
        <f t="shared" si="73"/>
        <v>Гусельников</v>
      </c>
      <c r="D293" s="36" t="str">
        <f t="shared" si="74"/>
        <v>Валерий</v>
      </c>
      <c r="E293" s="36" t="str">
        <f t="shared" si="72"/>
        <v>Сергеевич</v>
      </c>
      <c r="F293" s="36" t="str">
        <f t="shared" si="75"/>
        <v>051419884</v>
      </c>
      <c r="G293" s="37">
        <f>VLOOKUP(F293,Покупатели!$F$2:$N$762,2,0)</f>
        <v>44482</v>
      </c>
      <c r="H293" s="36" t="str">
        <f>VLOOKUP(F293,Покупатели!$F$2:$N$762,3,0)</f>
        <v>МВД РК</v>
      </c>
      <c r="I293" s="36">
        <f>VLOOKUP(C293,Покупатели!$C$2:$M$805,7,0)</f>
        <v>860514350821</v>
      </c>
      <c r="J293" s="36" t="str">
        <f ca="1">IFERROR(__xludf.DUMMYFUNCTION("JOIN("" "", VLOOKUP(C293,Покупатели,8,0),VLOOKUP(C293,Покупатели,9,0),VLOOKUP(C293,Покупатели,10,0),VLOOKUP(C293,Покупатели,11,0))"),"Акмолинская область, Зерендинский район, с. Акколь, ул. Акана Серы,  д.12, кв 1")</f>
        <v>Акмолинская область, Зерендинский район, с. Акколь, ул. Акана Серы,  д.12, кв 1</v>
      </c>
      <c r="K293" s="36">
        <f t="shared" si="76"/>
        <v>87774707773</v>
      </c>
      <c r="L293" s="36" t="str">
        <f t="shared" si="77"/>
        <v>MX4000002S0002025</v>
      </c>
      <c r="M293" s="36" t="str">
        <f t="shared" ca="1" si="84"/>
        <v>002-2513E30Q13-OK30</v>
      </c>
      <c r="N293" s="36" t="str">
        <f t="shared" si="83"/>
        <v>Прицеп 2,5*1,25 м  (до 750 кг.)</v>
      </c>
      <c r="O293" s="36" t="str">
        <f t="shared" si="78"/>
        <v>1 ось</v>
      </c>
      <c r="P293" s="36">
        <f t="shared" si="79"/>
        <v>2025</v>
      </c>
      <c r="Q293" s="36" t="str">
        <f t="shared" ca="1" si="80"/>
        <v>3650*1700*900</v>
      </c>
      <c r="R293" s="36" t="str">
        <f t="shared" ca="1" si="81"/>
        <v>2500*1250*300</v>
      </c>
      <c r="S293" s="34" t="str">
        <f>VLOOKUP(O293,ОТТС!$A$2:$B$3,2,0)</f>
        <v>ТС KZ Е-KZ.0317.00251 от 28.02.2023</v>
      </c>
      <c r="T293" s="39">
        <v>400000</v>
      </c>
      <c r="U293" s="36" t="str">
        <f t="shared" si="82"/>
        <v>Кокшетау</v>
      </c>
    </row>
    <row r="294" spans="1:21" ht="13.2">
      <c r="A294" s="34">
        <v>1471</v>
      </c>
      <c r="B294" s="35">
        <f>VLOOKUP(A294,'Реестр договоров'!$A$2:$D$508,2,0)</f>
        <v>45719</v>
      </c>
      <c r="C294" s="36" t="str">
        <f t="shared" si="73"/>
        <v>Сакыпов</v>
      </c>
      <c r="D294" s="36" t="str">
        <f t="shared" si="74"/>
        <v>Ахан</v>
      </c>
      <c r="E294" s="36" t="str">
        <f t="shared" si="72"/>
        <v>Ахметбаевич</v>
      </c>
      <c r="F294" s="36" t="str">
        <f t="shared" si="75"/>
        <v>043096865</v>
      </c>
      <c r="G294" s="37">
        <f>VLOOKUP(F294,Покупатели!$F$2:$N$762,2,0)</f>
        <v>43258</v>
      </c>
      <c r="H294" s="36" t="str">
        <f>VLOOKUP(F294,Покупатели!$F$2:$N$762,3,0)</f>
        <v>МВД РК</v>
      </c>
      <c r="I294" s="36">
        <f>VLOOKUP(C294,Покупатели!$C$2:$M$805,7,0)</f>
        <v>700101302021</v>
      </c>
      <c r="J294" s="36" t="str">
        <f ca="1">IFERROR(__xludf.DUMMYFUNCTION("JOIN("" "", VLOOKUP(C294,Покупатели,8,0),VLOOKUP(C294,Покупатели,9,0),VLOOKUP(C294,Покупатели,10,0),VLOOKUP(C294,Покупатели,11,0))"),"Алматинская область, р-н Енбекшиказахский, сельский округ Болекский, с. Бөлек, потреб. кооператив СО Массив Иссык, ул. Клубничная, д.33")</f>
        <v>Алматинская область, р-н Енбекшиказахский, сельский округ Болекский, с. Бөлек, потреб. кооператив СО Массив Иссык, ул. Клубничная, д.33</v>
      </c>
      <c r="K294" s="36">
        <f t="shared" si="76"/>
        <v>87771633875</v>
      </c>
      <c r="L294" s="36" t="str">
        <f t="shared" si="77"/>
        <v>MX4000002R0001858</v>
      </c>
      <c r="M294" s="36" t="str">
        <f t="shared" ca="1" si="84"/>
        <v>002-2013E50Q13-OK</v>
      </c>
      <c r="N294" s="36" t="str">
        <f t="shared" si="83"/>
        <v>Прицеп 2,0*1,25 м  (до 750 кг.)</v>
      </c>
      <c r="O294" s="36" t="str">
        <f t="shared" si="78"/>
        <v>1 ось</v>
      </c>
      <c r="P294" s="36">
        <f t="shared" si="79"/>
        <v>2024</v>
      </c>
      <c r="Q294" s="36" t="str">
        <f t="shared" ref="Q294:Q299" ca="1" si="85">VLOOKUP(M294,матрица,16,0)</f>
        <v>3150*1700*1070</v>
      </c>
      <c r="R294" s="36" t="str">
        <f t="shared" ref="R294:R299" ca="1" si="86">VLOOKUP(M294,матрица,17,0)</f>
        <v>2000*1250*500</v>
      </c>
      <c r="S294" s="34" t="str">
        <f>VLOOKUP(O294,ОТТС!$A$2:$B$3,2,0)</f>
        <v>ТС KZ Е-KZ.0317.00251 от 28.02.2023</v>
      </c>
      <c r="T294" s="39">
        <v>340000</v>
      </c>
      <c r="U294" s="36" t="str">
        <f t="shared" si="82"/>
        <v>Алматы</v>
      </c>
    </row>
    <row r="295" spans="1:21" ht="13.2">
      <c r="A295" s="34">
        <v>1472</v>
      </c>
      <c r="B295" s="35">
        <f>VLOOKUP(A295,'Реестр договоров'!$A$2:$D$508,2,0)</f>
        <v>45719</v>
      </c>
      <c r="C295" s="36" t="str">
        <f t="shared" si="73"/>
        <v>Утешов</v>
      </c>
      <c r="D295" s="36" t="str">
        <f t="shared" si="74"/>
        <v>Куаныш</v>
      </c>
      <c r="E295" s="36" t="str">
        <f t="shared" ref="E295:E358" si="87">VLOOKUP(C295,Покупатели,3,0)</f>
        <v>Ибатуллаевич</v>
      </c>
      <c r="F295" s="36" t="str">
        <f t="shared" si="75"/>
        <v>039753810</v>
      </c>
      <c r="G295" s="37">
        <f>VLOOKUP(F295,Покупатели!$F$2:$N$762,2,0)</f>
        <v>42283</v>
      </c>
      <c r="H295" s="36" t="str">
        <f>VLOOKUP(F295,Покупатели!$F$2:$N$762,3,0)</f>
        <v>МВД РК</v>
      </c>
      <c r="I295" s="36">
        <f>VLOOKUP(C295,Покупатели!$C$2:$M$805,7,0)</f>
        <v>620910301629</v>
      </c>
      <c r="J295" s="36" t="str">
        <f ca="1">IFERROR(__xludf.DUMMYFUNCTION("JOIN("" "", VLOOKUP(C295,Покупатели,8,0),VLOOKUP(C295,Покупатели,9,0),VLOOKUP(C295,Покупатели,10,0),VLOOKUP(C295,Покупатели,11,0))"),"г.Астана р-н Есиль ул. Е-495 д.8, кв.118")</f>
        <v>г.Астана р-н Есиль ул. Е-495 д.8, кв.118</v>
      </c>
      <c r="K295" s="36">
        <f t="shared" si="76"/>
        <v>87789955207</v>
      </c>
      <c r="L295" s="36" t="str">
        <f t="shared" si="77"/>
        <v>MX4000002S0002012</v>
      </c>
      <c r="M295" s="36" t="str">
        <f t="shared" ca="1" si="84"/>
        <v>002-2013E50Q13-OK</v>
      </c>
      <c r="N295" s="36" t="str">
        <f t="shared" si="83"/>
        <v>Прицеп 2,0*1,25 м  (до 750 кг.)</v>
      </c>
      <c r="O295" s="36" t="str">
        <f t="shared" si="78"/>
        <v>1 ось</v>
      </c>
      <c r="P295" s="36">
        <f t="shared" si="79"/>
        <v>2025</v>
      </c>
      <c r="Q295" s="36" t="str">
        <f t="shared" ca="1" si="85"/>
        <v>3150*1700*1070</v>
      </c>
      <c r="R295" s="36" t="str">
        <f t="shared" ca="1" si="86"/>
        <v>2000*1250*500</v>
      </c>
      <c r="S295" s="34" t="str">
        <f>VLOOKUP(O295,ОТТС!$A$2:$B$3,2,0)</f>
        <v>ТС KZ Е-KZ.0317.00251 от 28.02.2023</v>
      </c>
      <c r="T295" s="39">
        <v>370000</v>
      </c>
      <c r="U295" s="36" t="str">
        <f t="shared" si="82"/>
        <v>Астана</v>
      </c>
    </row>
    <row r="296" spans="1:21" ht="13.2">
      <c r="A296" s="34">
        <v>1473</v>
      </c>
      <c r="B296" s="35">
        <f>VLOOKUP(A296,'Реестр договоров'!$A$2:$D$508,2,0)</f>
        <v>45719</v>
      </c>
      <c r="C296" s="36" t="str">
        <f t="shared" si="73"/>
        <v>Яковцев</v>
      </c>
      <c r="D296" s="36" t="str">
        <f t="shared" si="74"/>
        <v>Петр</v>
      </c>
      <c r="E296" s="36" t="str">
        <f t="shared" si="87"/>
        <v>Юрьевич</v>
      </c>
      <c r="F296" s="36" t="str">
        <f t="shared" si="75"/>
        <v>047154749</v>
      </c>
      <c r="G296" s="37">
        <f>VLOOKUP(F296,Покупатели!$F$2:$N$762,2,0)</f>
        <v>44110</v>
      </c>
      <c r="H296" s="36" t="str">
        <f>VLOOKUP(F296,Покупатели!$F$2:$N$762,3,0)</f>
        <v>МВД РК</v>
      </c>
      <c r="I296" s="36">
        <f>VLOOKUP(C296,Покупатели!$C$2:$M$805,7,0)</f>
        <v>880908300028</v>
      </c>
      <c r="J296" s="36" t="str">
        <f ca="1">IFERROR(__xludf.DUMMYFUNCTION("JOIN("" "", VLOOKUP(C296,Покупатели,8,0),VLOOKUP(C296,Покупатели,9,0),VLOOKUP(C296,Покупатели,10,0),VLOOKUP(C296,Покупатели,11,0))"),"г. Алматы, ​Жетысуский район,  ул.Пржевальского, д.25")</f>
        <v>г. Алматы, ​Жетысуский район,  ул.Пржевальского, д.25</v>
      </c>
      <c r="K296" s="36">
        <f t="shared" si="76"/>
        <v>87078116475</v>
      </c>
      <c r="L296" s="36" t="str">
        <f t="shared" si="77"/>
        <v>MX4000002R0001598</v>
      </c>
      <c r="M296" s="36" t="str">
        <f t="shared" ca="1" si="84"/>
        <v>002-2513E50Q13-OK</v>
      </c>
      <c r="N296" s="36" t="str">
        <f t="shared" si="83"/>
        <v>Прицеп 2,5*1,25 м  (до 750 кг.)</v>
      </c>
      <c r="O296" s="36" t="str">
        <f t="shared" si="78"/>
        <v>1 ось</v>
      </c>
      <c r="P296" s="36">
        <f t="shared" si="79"/>
        <v>2024</v>
      </c>
      <c r="Q296" s="36" t="str">
        <f t="shared" ca="1" si="85"/>
        <v>3650*1700*1070</v>
      </c>
      <c r="R296" s="36" t="str">
        <f t="shared" ca="1" si="86"/>
        <v>2500*1250*500</v>
      </c>
      <c r="S296" s="34" t="str">
        <f>VLOOKUP(O296,ОТТС!$A$2:$B$3,2,0)</f>
        <v>ТС KZ Е-KZ.0317.00251 от 28.02.2023</v>
      </c>
      <c r="T296" s="39">
        <v>390000</v>
      </c>
      <c r="U296" s="36" t="str">
        <f t="shared" si="82"/>
        <v>Алматы</v>
      </c>
    </row>
    <row r="297" spans="1:21" ht="13.2">
      <c r="A297" s="34">
        <v>1474</v>
      </c>
      <c r="B297" s="35">
        <f>VLOOKUP(A297,'Реестр договоров'!$A$2:$D$508,2,0)</f>
        <v>45720</v>
      </c>
      <c r="C297" s="36" t="str">
        <f t="shared" si="73"/>
        <v>Магзумов 1</v>
      </c>
      <c r="D297" s="36" t="str">
        <f t="shared" si="74"/>
        <v>Ерлан</v>
      </c>
      <c r="E297" s="36" t="str">
        <f t="shared" si="87"/>
        <v>Нураллинович</v>
      </c>
      <c r="F297" s="36" t="str">
        <f t="shared" si="75"/>
        <v>042143802</v>
      </c>
      <c r="G297" s="37">
        <f>VLOOKUP(F297,Покупатели!$F$2:$N$762,2,0)</f>
        <v>42733</v>
      </c>
      <c r="H297" s="36" t="str">
        <f>VLOOKUP(F297,Покупатели!$F$2:$N$762,3,0)</f>
        <v>МВД РК</v>
      </c>
      <c r="I297" s="36">
        <f>VLOOKUP(C297,Покупатели!$C$2:$M$805,7,0)</f>
        <v>760725301631</v>
      </c>
      <c r="J297" s="36" t="str">
        <f ca="1">IFERROR(__xludf.DUMMYFUNCTION("JOIN("" "", VLOOKUP(C297,Покупатели,8,0),VLOOKUP(C297,Покупатели,9,0),VLOOKUP(C297,Покупатели,10,0),VLOOKUP(C297,Покупатели,11,0))"),"Акмолинская область, с. Красный Яр, ул. Бейбитшилик, д.52")</f>
        <v>Акмолинская область, с. Красный Яр, ул. Бейбитшилик, д.52</v>
      </c>
      <c r="K297" s="36">
        <f t="shared" si="76"/>
        <v>87476885893</v>
      </c>
      <c r="L297" s="36" t="str">
        <f t="shared" si="77"/>
        <v>MX4000002S0002022</v>
      </c>
      <c r="M297" s="36" t="str">
        <f t="shared" ca="1" si="84"/>
        <v>002-2513E50Q13-OK</v>
      </c>
      <c r="N297" s="36" t="str">
        <f t="shared" si="83"/>
        <v>Прицеп 2,5*1,25 м  (до 750 кг.)</v>
      </c>
      <c r="O297" s="36" t="str">
        <f t="shared" si="78"/>
        <v>1 ось</v>
      </c>
      <c r="P297" s="36">
        <f t="shared" si="79"/>
        <v>2025</v>
      </c>
      <c r="Q297" s="36" t="str">
        <f t="shared" ca="1" si="85"/>
        <v>3650*1700*1070</v>
      </c>
      <c r="R297" s="36" t="str">
        <f t="shared" ca="1" si="86"/>
        <v>2500*1250*500</v>
      </c>
      <c r="S297" s="34" t="str">
        <f>VLOOKUP(O297,ОТТС!$A$2:$B$3,2,0)</f>
        <v>ТС KZ Е-KZ.0317.00251 от 28.02.2023</v>
      </c>
      <c r="T297" s="39">
        <v>380000</v>
      </c>
      <c r="U297" s="36" t="str">
        <f t="shared" si="82"/>
        <v>Кокшетау</v>
      </c>
    </row>
    <row r="298" spans="1:21" ht="13.2">
      <c r="A298" s="34">
        <v>1475</v>
      </c>
      <c r="B298" s="35">
        <f>VLOOKUP(A298,'Реестр договоров'!$A$2:$D$508,2,0)</f>
        <v>45722</v>
      </c>
      <c r="C298" s="36" t="str">
        <f t="shared" si="73"/>
        <v>Левштанов</v>
      </c>
      <c r="D298" s="36" t="str">
        <f t="shared" si="74"/>
        <v>Константин</v>
      </c>
      <c r="E298" s="36" t="str">
        <f t="shared" si="87"/>
        <v>Александрович</v>
      </c>
      <c r="F298" s="36" t="str">
        <f t="shared" si="75"/>
        <v>040051473</v>
      </c>
      <c r="G298" s="37">
        <f>VLOOKUP(F298,Покупатели!$F$2:$N$762,2,0)</f>
        <v>42487</v>
      </c>
      <c r="H298" s="36" t="str">
        <f>VLOOKUP(F298,Покупатели!$F$2:$N$762,3,0)</f>
        <v>МВД РК</v>
      </c>
      <c r="I298" s="36">
        <f>VLOOKUP(C298,Покупатели!$C$2:$M$805,7,0)</f>
        <v>710505301804</v>
      </c>
      <c r="J298" s="36" t="str">
        <f ca="1">IFERROR(__xludf.DUMMYFUNCTION("JOIN("" "", VLOOKUP(C298,Покупатели,8,0),VLOOKUP(C298,Покупатели,9,0),VLOOKUP(C298,Покупатели,10,0),VLOOKUP(C298,Покупатели,11,0))"),"Алматинская область,  Алматинская область, Илийский район, Караойский сельский округ, село Косозен, ул. Таугуль, д.27/1")</f>
        <v>Алматинская область,  Алматинская область, Илийский район, Караойский сельский округ, село Косозен, ул. Таугуль, д.27/1</v>
      </c>
      <c r="K298" s="36">
        <f t="shared" si="76"/>
        <v>87076392393</v>
      </c>
      <c r="L298" s="36" t="str">
        <f t="shared" si="77"/>
        <v>MX4000002R0001648</v>
      </c>
      <c r="M298" s="36" t="str">
        <f t="shared" ca="1" si="84"/>
        <v>002-2513E50Q15</v>
      </c>
      <c r="N298" s="36" t="str">
        <f t="shared" si="83"/>
        <v>Прицеп 2,5*1,25 м  (до 750 кг.)</v>
      </c>
      <c r="O298" s="36" t="str">
        <f t="shared" si="78"/>
        <v>1 ось</v>
      </c>
      <c r="P298" s="36">
        <f t="shared" si="79"/>
        <v>2024</v>
      </c>
      <c r="Q298" s="36" t="str">
        <f t="shared" ca="1" si="85"/>
        <v>3650*1700*1070</v>
      </c>
      <c r="R298" s="36" t="str">
        <f t="shared" ca="1" si="86"/>
        <v>2500*1250*500</v>
      </c>
      <c r="S298" s="34" t="str">
        <f>VLOOKUP(O298,ОТТС!$A$2:$B$3,2,0)</f>
        <v>ТС KZ Е-KZ.0317.00251 от 28.02.2023</v>
      </c>
      <c r="T298" s="39">
        <v>410000</v>
      </c>
      <c r="U298" s="36" t="str">
        <f t="shared" si="82"/>
        <v>Алматы</v>
      </c>
    </row>
    <row r="299" spans="1:21" ht="13.2">
      <c r="A299" s="34">
        <v>1476</v>
      </c>
      <c r="B299" s="35">
        <f>VLOOKUP(A299,'Реестр договоров'!$A$2:$D$508,2,0)</f>
        <v>45724</v>
      </c>
      <c r="C299" s="36" t="str">
        <f t="shared" si="73"/>
        <v>Амирбеков</v>
      </c>
      <c r="D299" s="36" t="str">
        <f t="shared" si="74"/>
        <v>Темирбек</v>
      </c>
      <c r="E299" s="36" t="str">
        <f t="shared" si="87"/>
        <v>Акынович</v>
      </c>
      <c r="F299" s="36" t="str">
        <f t="shared" si="75"/>
        <v>037961577</v>
      </c>
      <c r="G299" s="37">
        <f>VLOOKUP(F299,Покупатели!$F$2:$N$762,2,0)</f>
        <v>42145</v>
      </c>
      <c r="H299" s="36" t="str">
        <f>VLOOKUP(F299,Покупатели!$F$2:$N$762,3,0)</f>
        <v>МВД РК</v>
      </c>
      <c r="I299" s="36">
        <f>VLOOKUP(C299,Покупатели!$C$2:$M$805,7,0)</f>
        <v>700525302126</v>
      </c>
      <c r="J299" s="36" t="str">
        <f ca="1">IFERROR(__xludf.DUMMYFUNCTION("JOIN("" "", VLOOKUP(C299,Покупатели,8,0),VLOOKUP(C299,Покупатели,9,0),VLOOKUP(C299,Покупатели,10,0),VLOOKUP(C299,Покупатели,11,0))"),"Алматинская обл. г.Талгар ул.Есенберлина д.62")</f>
        <v>Алматинская обл. г.Талгар ул.Есенберлина д.62</v>
      </c>
      <c r="K299" s="36">
        <f t="shared" si="76"/>
        <v>87771184642</v>
      </c>
      <c r="L299" s="36" t="str">
        <f t="shared" si="77"/>
        <v>MX4000002R0001869</v>
      </c>
      <c r="M299" s="36" t="str">
        <f t="shared" ca="1" si="84"/>
        <v>002-2013E30Q13-OK</v>
      </c>
      <c r="N299" s="36" t="str">
        <f t="shared" si="83"/>
        <v>Прицеп 2,0*1,25 м  (до 750 кг.)</v>
      </c>
      <c r="O299" s="36" t="str">
        <f t="shared" si="78"/>
        <v>1 ось</v>
      </c>
      <c r="P299" s="36">
        <f t="shared" si="79"/>
        <v>2024</v>
      </c>
      <c r="Q299" s="36" t="str">
        <f t="shared" ca="1" si="85"/>
        <v>3150*1700*900</v>
      </c>
      <c r="R299" s="36" t="str">
        <f t="shared" ca="1" si="86"/>
        <v>2000*1250*300</v>
      </c>
      <c r="S299" s="34" t="str">
        <f>VLOOKUP(O299,ОТТС!$A$2:$B$3,2,0)</f>
        <v>ТС KZ Е-KZ.0317.00251 от 28.02.2023</v>
      </c>
      <c r="T299" s="39">
        <v>320000</v>
      </c>
      <c r="U299" s="36" t="str">
        <f t="shared" si="82"/>
        <v>Алматы</v>
      </c>
    </row>
    <row r="300" spans="1:21" ht="13.2">
      <c r="A300" s="34">
        <v>1477</v>
      </c>
      <c r="B300" s="35">
        <f>VLOOKUP(A300,'Реестр договоров'!$A$2:$D$508,2,0)</f>
        <v>45722</v>
      </c>
      <c r="C300" s="36" t="str">
        <f t="shared" si="73"/>
        <v>Игнатченко</v>
      </c>
      <c r="D300" s="36" t="str">
        <f t="shared" si="74"/>
        <v>Антон</v>
      </c>
      <c r="E300" s="36" t="str">
        <f t="shared" si="87"/>
        <v>Константинович</v>
      </c>
      <c r="F300" s="36" t="str">
        <f t="shared" si="75"/>
        <v>039982025</v>
      </c>
      <c r="G300" s="37">
        <f>VLOOKUP(F300,Покупатели!$F$2:$N$762,2,0)</f>
        <v>42472</v>
      </c>
      <c r="H300" s="36" t="str">
        <f>VLOOKUP(F300,Покупатели!$F$2:$N$762,3,0)</f>
        <v>МВД РК</v>
      </c>
      <c r="I300" s="36">
        <f>VLOOKUP(C300,Покупатели!$C$2:$M$805,7,0)</f>
        <v>910530300864</v>
      </c>
      <c r="J300" s="36" t="str">
        <f ca="1">IFERROR(__xludf.DUMMYFUNCTION("JOIN("" "", VLOOKUP(C300,Покупатели,8,0),VLOOKUP(C300,Покупатели,9,0),VLOOKUP(C300,Покупатели,10,0),VLOOKUP(C300,Покупатели,11,0))"),"Алматинская обл.  Карасайский р-н, с.Жибек Жолы ул.Коксаз д.23")</f>
        <v>Алматинская обл.  Карасайский р-н, с.Жибек Жолы ул.Коксаз д.23</v>
      </c>
      <c r="K300" s="36">
        <f t="shared" si="76"/>
        <v>87477000761</v>
      </c>
      <c r="L300" s="36" t="str">
        <f t="shared" si="77"/>
        <v>MX4000002R0001707</v>
      </c>
      <c r="M300" s="36" t="str">
        <f t="shared" ca="1" si="84"/>
        <v>002-2513E30Q13-OK</v>
      </c>
      <c r="N300" s="36" t="str">
        <f t="shared" si="83"/>
        <v>Прицеп 2,5*1,25 м  (до 750 кг.)</v>
      </c>
      <c r="O300" s="36" t="str">
        <f t="shared" si="78"/>
        <v>1 ось</v>
      </c>
      <c r="P300" s="36">
        <f t="shared" si="79"/>
        <v>2024</v>
      </c>
      <c r="Q300" s="36" t="s">
        <v>919</v>
      </c>
      <c r="R300" s="36" t="s">
        <v>920</v>
      </c>
      <c r="S300" s="34" t="str">
        <f>VLOOKUP(O300,ОТТС!$A$2:$B$3,2,0)</f>
        <v>ТС KZ Е-KZ.0317.00251 от 28.02.2023</v>
      </c>
      <c r="T300" s="39">
        <v>430000</v>
      </c>
      <c r="U300" s="36" t="str">
        <f t="shared" si="82"/>
        <v>Алматы</v>
      </c>
    </row>
    <row r="301" spans="1:21" ht="13.2">
      <c r="A301" s="34">
        <v>1478</v>
      </c>
      <c r="B301" s="35">
        <f>VLOOKUP(A301,'Реестр договоров'!$A$2:$D$508,2,0)</f>
        <v>45723</v>
      </c>
      <c r="C301" s="36" t="str">
        <f t="shared" si="73"/>
        <v>Магзумов</v>
      </c>
      <c r="D301" s="36" t="str">
        <f t="shared" si="74"/>
        <v>Ерлан</v>
      </c>
      <c r="E301" s="36" t="str">
        <f t="shared" si="87"/>
        <v>Куанышбаевич</v>
      </c>
      <c r="F301" s="36" t="str">
        <f t="shared" si="75"/>
        <v>040315036</v>
      </c>
      <c r="G301" s="37">
        <f>VLOOKUP(F301,Покупатели!$F$2:$N$762,2,0)</f>
        <v>42331</v>
      </c>
      <c r="H301" s="36" t="str">
        <f>VLOOKUP(F301,Покупатели!$F$2:$N$762,3,0)</f>
        <v>МВД РК</v>
      </c>
      <c r="I301" s="36">
        <f>VLOOKUP(C301,Покупатели!$C$2:$M$805,7,0)</f>
        <v>710201350245</v>
      </c>
      <c r="J301" s="36" t="str">
        <f ca="1">IFERROR(__xludf.DUMMYFUNCTION("JOIN("" "", VLOOKUP(C301,Покупатели,8,0),VLOOKUP(C301,Покупатели,9,0),VLOOKUP(C301,Покупатели,10,0),VLOOKUP(C301,Покупатели,11,0))"),"Акмолинская область, с. Красный Яр, ул. Сейфуллина, д.50")</f>
        <v>Акмолинская область, с. Красный Яр, ул. Сейфуллина, д.50</v>
      </c>
      <c r="K301" s="36">
        <f t="shared" si="76"/>
        <v>87017376456</v>
      </c>
      <c r="L301" s="36" t="str">
        <f t="shared" si="77"/>
        <v>MX4000002S0002040</v>
      </c>
      <c r="M301" s="36" t="str">
        <f t="shared" ca="1" si="84"/>
        <v>002-2513E30Q13-OK</v>
      </c>
      <c r="N301" s="36" t="str">
        <f t="shared" si="83"/>
        <v>Прицеп 2,5*1,25 м  (до 750 кг.)</v>
      </c>
      <c r="O301" s="36" t="str">
        <f t="shared" si="78"/>
        <v>1 ось</v>
      </c>
      <c r="P301" s="36">
        <f t="shared" si="79"/>
        <v>2025</v>
      </c>
      <c r="Q301" s="36" t="str">
        <f t="shared" ref="Q301:Q346" ca="1" si="88">VLOOKUP(M301,матрица,16,0)</f>
        <v>3650*1700*900</v>
      </c>
      <c r="R301" s="36" t="str">
        <f t="shared" ref="R301:R332" ca="1" si="89">VLOOKUP(M301,матрица,17,0)</f>
        <v>2500*1250*300</v>
      </c>
      <c r="S301" s="34" t="str">
        <f>VLOOKUP(O301,ОТТС!$A$2:$B$3,2,0)</f>
        <v>ТС KZ Е-KZ.0317.00251 от 28.02.2023</v>
      </c>
      <c r="T301" s="39">
        <v>360000</v>
      </c>
      <c r="U301" s="36" t="str">
        <f t="shared" si="82"/>
        <v>Кокшетау</v>
      </c>
    </row>
    <row r="302" spans="1:21" ht="13.2">
      <c r="A302" s="34">
        <v>1479</v>
      </c>
      <c r="B302" s="35">
        <f>VLOOKUP(A302,'Реестр договоров'!$A$2:$D$508,2,0)</f>
        <v>45727</v>
      </c>
      <c r="C302" s="36" t="str">
        <f t="shared" si="73"/>
        <v>Чернова2</v>
      </c>
      <c r="D302" s="36" t="str">
        <f t="shared" si="74"/>
        <v>Анастасия</v>
      </c>
      <c r="E302" s="36" t="str">
        <f t="shared" si="87"/>
        <v>Сергеевна</v>
      </c>
      <c r="F302" s="36" t="str">
        <f t="shared" si="75"/>
        <v>051583797</v>
      </c>
      <c r="G302" s="37">
        <f>VLOOKUP(F302,Покупатели!$F$2:$N$762,2,0)</f>
        <v>44799</v>
      </c>
      <c r="H302" s="36" t="str">
        <f>VLOOKUP(F302,Покупатели!$F$2:$N$762,3,0)</f>
        <v>МВД РК</v>
      </c>
      <c r="I302" s="36">
        <f>VLOOKUP(C302,Покупатели!$C$2:$M$805,7,0)</f>
        <v>881209401253</v>
      </c>
      <c r="J302" s="36" t="str">
        <f ca="1">IFERROR(__xludf.DUMMYFUNCTION("JOIN("" "", VLOOKUP(C302,Покупатели,8,0),VLOOKUP(C302,Покупатели,9,0),VLOOKUP(C302,Покупатели,10,0),VLOOKUP(C302,Покупатели,11,0))"),"Алматинская область, г. Алматы, ул. Байконурская, д.70, кв 2")</f>
        <v>Алматинская область, г. Алматы, ул. Байконурская, д.70, кв 2</v>
      </c>
      <c r="K302" s="36">
        <f t="shared" si="76"/>
        <v>87012245224</v>
      </c>
      <c r="L302" s="36" t="str">
        <f t="shared" si="77"/>
        <v>MX4000004R0001794</v>
      </c>
      <c r="M302" s="36" t="str">
        <f t="shared" ca="1" si="84"/>
        <v>002-3015E50Q13-OK120</v>
      </c>
      <c r="N302" s="36" t="str">
        <f t="shared" si="83"/>
        <v>Прицеп 3,0*1,5 м  (до 750 кг.)</v>
      </c>
      <c r="O302" s="36" t="str">
        <f t="shared" si="78"/>
        <v>2 оси</v>
      </c>
      <c r="P302" s="36">
        <f t="shared" si="79"/>
        <v>2024</v>
      </c>
      <c r="Q302" s="36" t="str">
        <f t="shared" ca="1" si="88"/>
        <v>3800*1950*1200</v>
      </c>
      <c r="R302" s="36" t="str">
        <f t="shared" ca="1" si="89"/>
        <v>3000*1500*500</v>
      </c>
      <c r="S302" s="34" t="str">
        <f>VLOOKUP(O302,ОТТС!$A$2:$B$3,2,0)</f>
        <v>ТС KZ Е-KZ.0317.00219.П1 от 17.07.2025</v>
      </c>
      <c r="T302" s="39">
        <v>700000</v>
      </c>
      <c r="U302" s="36" t="str">
        <f t="shared" si="82"/>
        <v>Алматы</v>
      </c>
    </row>
    <row r="303" spans="1:21" ht="13.2">
      <c r="A303" s="34">
        <v>1480</v>
      </c>
      <c r="B303" s="35">
        <f>VLOOKUP(A303,'Реестр договоров'!$A$2:$D$508,2,0)</f>
        <v>45727</v>
      </c>
      <c r="C303" s="36" t="str">
        <f t="shared" si="73"/>
        <v>Нагогин</v>
      </c>
      <c r="D303" s="36" t="str">
        <f t="shared" si="74"/>
        <v>Евгений</v>
      </c>
      <c r="E303" s="36" t="str">
        <f t="shared" si="87"/>
        <v>Леонидович</v>
      </c>
      <c r="F303" s="36" t="str">
        <f t="shared" si="75"/>
        <v>047016858</v>
      </c>
      <c r="G303" s="37">
        <f>VLOOKUP(F303,Покупатели!$F$2:$N$762,2,0)</f>
        <v>43809</v>
      </c>
      <c r="H303" s="36" t="str">
        <f>VLOOKUP(F303,Покупатели!$F$2:$N$762,3,0)</f>
        <v>МВД РК</v>
      </c>
      <c r="I303" s="36">
        <f>VLOOKUP(C303,Покупатели!$C$2:$M$805,7,0)</f>
        <v>641126300754</v>
      </c>
      <c r="J303" s="36" t="str">
        <f ca="1">IFERROR(__xludf.DUMMYFUNCTION("JOIN("" "", VLOOKUP(C303,Покупатели,8,0),VLOOKUP(C303,Покупатели,9,0),VLOOKUP(C303,Покупатели,10,0),VLOOKUP(C303,Покупатели,11,0))"),"Акмолинская область, Сандыктауский район, ул. Абылай Хана, д.170")</f>
        <v>Акмолинская область, Сандыктауский район, ул. Абылай Хана, д.170</v>
      </c>
      <c r="K303" s="36">
        <f t="shared" si="76"/>
        <v>87009751304</v>
      </c>
      <c r="L303" s="36" t="str">
        <f t="shared" si="77"/>
        <v>MX4000002S0002026</v>
      </c>
      <c r="M303" s="36" t="str">
        <f t="shared" ca="1" si="84"/>
        <v>002-2513E30Q13-OK60</v>
      </c>
      <c r="N303" s="36" t="str">
        <f t="shared" si="83"/>
        <v>Прицеп 2,5*1,25 м  (до 750 кг.)</v>
      </c>
      <c r="O303" s="36" t="str">
        <f t="shared" si="78"/>
        <v>1 ось</v>
      </c>
      <c r="P303" s="36">
        <f t="shared" si="79"/>
        <v>2025</v>
      </c>
      <c r="Q303" s="36" t="str">
        <f t="shared" ca="1" si="88"/>
        <v>3650*1700*900</v>
      </c>
      <c r="R303" s="36" t="str">
        <f t="shared" ca="1" si="89"/>
        <v>2500*1250*300</v>
      </c>
      <c r="S303" s="34" t="str">
        <f>VLOOKUP(O303,ОТТС!$A$2:$B$3,2,0)</f>
        <v>ТС KZ Е-KZ.0317.00251 от 28.02.2023</v>
      </c>
      <c r="T303" s="39">
        <v>420000</v>
      </c>
      <c r="U303" s="36" t="str">
        <f t="shared" si="82"/>
        <v>Кокшетау</v>
      </c>
    </row>
    <row r="304" spans="1:21" ht="13.2">
      <c r="A304" s="34">
        <v>1481</v>
      </c>
      <c r="B304" s="35">
        <f>VLOOKUP(A304,'Реестр договоров'!$A$2:$D$508,2,0)</f>
        <v>45727</v>
      </c>
      <c r="C304" s="36" t="str">
        <f t="shared" si="73"/>
        <v>Лисневский</v>
      </c>
      <c r="D304" s="36" t="str">
        <f t="shared" si="74"/>
        <v>Иван</v>
      </c>
      <c r="E304" s="36" t="str">
        <f t="shared" si="87"/>
        <v>Анатольевич</v>
      </c>
      <c r="F304" s="36" t="str">
        <f t="shared" si="75"/>
        <v>017601426</v>
      </c>
      <c r="G304" s="37">
        <f>VLOOKUP(F304,Покупатели!$F$2:$N$762,2,0)</f>
        <v>38533</v>
      </c>
      <c r="H304" s="36" t="str">
        <f>VLOOKUP(F304,Покупатели!$F$2:$N$762,3,0)</f>
        <v>МЮ РК</v>
      </c>
      <c r="I304" s="36">
        <f>VLOOKUP(C304,Покупатели!$C$2:$M$805,7,0)</f>
        <v>600626350372</v>
      </c>
      <c r="J304" s="36" t="str">
        <f ca="1">IFERROR(__xludf.DUMMYFUNCTION("JOIN("" "", VLOOKUP(C304,Покупатели,8,0),VLOOKUP(C304,Покупатели,9,0),VLOOKUP(C304,Покупатели,10,0),VLOOKUP(C304,Покупатели,11,0))"),"СКО, г. Тайынша, ул. Достык, д.30")</f>
        <v>СКО, г. Тайынша, ул. Достык, д.30</v>
      </c>
      <c r="K304" s="36">
        <f t="shared" si="76"/>
        <v>87711061370</v>
      </c>
      <c r="L304" s="36" t="str">
        <f t="shared" si="77"/>
        <v>MX4000002S0002018</v>
      </c>
      <c r="M304" s="36" t="str">
        <f t="shared" ca="1" si="84"/>
        <v>002-2013E50Q13-OK30</v>
      </c>
      <c r="N304" s="36" t="str">
        <f t="shared" si="83"/>
        <v>Прицеп 2,0*1,25 м  (до 750 кг.)</v>
      </c>
      <c r="O304" s="36" t="str">
        <f t="shared" si="78"/>
        <v>1 ось</v>
      </c>
      <c r="P304" s="36">
        <f t="shared" si="79"/>
        <v>2025</v>
      </c>
      <c r="Q304" s="36" t="str">
        <f t="shared" ca="1" si="88"/>
        <v>3150*1700*1070</v>
      </c>
      <c r="R304" s="36" t="str">
        <f t="shared" ca="1" si="89"/>
        <v>2000*1250*500</v>
      </c>
      <c r="S304" s="34" t="str">
        <f>VLOOKUP(O304,ОТТС!$A$2:$B$3,2,0)</f>
        <v>ТС KZ Е-KZ.0317.00251 от 28.02.2023</v>
      </c>
      <c r="T304" s="39">
        <v>350000</v>
      </c>
      <c r="U304" s="36" t="str">
        <f t="shared" si="82"/>
        <v>Кокшетау</v>
      </c>
    </row>
    <row r="305" spans="1:21" ht="13.2">
      <c r="A305" s="34">
        <v>1482</v>
      </c>
      <c r="B305" s="35">
        <f>VLOOKUP(A305,'Реестр договоров'!$A$2:$D$508,2,0)</f>
        <v>45727</v>
      </c>
      <c r="C305" s="36" t="str">
        <f t="shared" si="73"/>
        <v>Сальменов</v>
      </c>
      <c r="D305" s="36" t="str">
        <f t="shared" si="74"/>
        <v>Уразбай</v>
      </c>
      <c r="E305" s="36" t="str">
        <f t="shared" si="87"/>
        <v>Кубашевич</v>
      </c>
      <c r="F305" s="36" t="str">
        <f t="shared" si="75"/>
        <v>022151694</v>
      </c>
      <c r="G305" s="37">
        <f>VLOOKUP(F305,Покупатели!$F$2:$N$762,2,0)</f>
        <v>39542</v>
      </c>
      <c r="H305" s="36" t="str">
        <f>VLOOKUP(F305,Покупатели!$F$2:$N$762,3,0)</f>
        <v>МЮ РК</v>
      </c>
      <c r="I305" s="36">
        <f>VLOOKUP(C305,Покупатели!$C$2:$M$805,7,0)</f>
        <v>630129301556</v>
      </c>
      <c r="J305" s="36" t="str">
        <f ca="1">IFERROR(__xludf.DUMMYFUNCTION("JOIN("" "", VLOOKUP(C305,Покупатели,8,0),VLOOKUP(C305,Покупатели,9,0),VLOOKUP(C305,Покупатели,10,0),VLOOKUP(C305,Покупатели,11,0))"),"Акмолинская обл., Целиноградский р-н, с.Кызылсуат, ул.Мира д.18а")</f>
        <v>Акмолинская обл., Целиноградский р-н, с.Кызылсуат, ул.Мира д.18а</v>
      </c>
      <c r="K305" s="36">
        <f t="shared" si="76"/>
        <v>87753806182</v>
      </c>
      <c r="L305" s="36" t="str">
        <f t="shared" si="77"/>
        <v>MX4000002S0002020</v>
      </c>
      <c r="M305" s="36" t="str">
        <f t="shared" ca="1" si="84"/>
        <v>002-2013E30Q13-OK</v>
      </c>
      <c r="N305" s="36" t="str">
        <f t="shared" si="83"/>
        <v>Прицеп 2,0*1,25 м  (до 750 кг.)</v>
      </c>
      <c r="O305" s="36" t="str">
        <f t="shared" si="78"/>
        <v>1 ось</v>
      </c>
      <c r="P305" s="36">
        <f t="shared" si="79"/>
        <v>2025</v>
      </c>
      <c r="Q305" s="36" t="str">
        <f t="shared" ca="1" si="88"/>
        <v>3150*1700*900</v>
      </c>
      <c r="R305" s="36" t="str">
        <f t="shared" ca="1" si="89"/>
        <v>2000*1250*300</v>
      </c>
      <c r="S305" s="34" t="str">
        <f>VLOOKUP(O305,ОТТС!$A$2:$B$3,2,0)</f>
        <v>ТС KZ Е-KZ.0317.00251 от 28.02.2023</v>
      </c>
      <c r="T305" s="39">
        <v>310000</v>
      </c>
      <c r="U305" s="36" t="str">
        <f t="shared" si="82"/>
        <v>Астана</v>
      </c>
    </row>
    <row r="306" spans="1:21" ht="13.2">
      <c r="A306" s="34">
        <v>1483</v>
      </c>
      <c r="B306" s="35">
        <f>VLOOKUP(A306,'Реестр договоров'!$A$2:$D$508,2,0)</f>
        <v>45727</v>
      </c>
      <c r="C306" s="36" t="str">
        <f t="shared" si="73"/>
        <v>Шубин</v>
      </c>
      <c r="D306" s="36" t="str">
        <f t="shared" si="74"/>
        <v>Илья</v>
      </c>
      <c r="E306" s="36" t="str">
        <f t="shared" si="87"/>
        <v>Олегович</v>
      </c>
      <c r="F306" s="36" t="str">
        <f t="shared" si="75"/>
        <v>052199133</v>
      </c>
      <c r="G306" s="37">
        <f>VLOOKUP(F306,Покупатели!$F$2:$N$762,2,0)</f>
        <v>44904</v>
      </c>
      <c r="H306" s="36" t="str">
        <f>VLOOKUP(F306,Покупатели!$F$2:$N$762,3,0)</f>
        <v>МВД РК</v>
      </c>
      <c r="I306" s="36">
        <f>VLOOKUP(C306,Покупатели!$C$2:$M$805,7,0)</f>
        <v>961022301228</v>
      </c>
      <c r="J306" s="36" t="str">
        <f ca="1">IFERROR(__xludf.DUMMYFUNCTION("JOIN("" "", VLOOKUP(C306,Покупатели,8,0),VLOOKUP(C306,Покупатели,9,0),VLOOKUP(C306,Покупатели,10,0),VLOOKUP(C306,Покупатели,11,0))"),"Алматинская область, г.Алматы,Турксибский район, ул. Новосибирская, д.17")</f>
        <v>Алматинская область, г.Алматы,Турксибский район, ул. Новосибирская, д.17</v>
      </c>
      <c r="K306" s="36">
        <f t="shared" si="76"/>
        <v>87079906066</v>
      </c>
      <c r="L306" s="36" t="str">
        <f t="shared" si="77"/>
        <v>MX4000002R0001601</v>
      </c>
      <c r="M306" s="36" t="str">
        <f t="shared" ca="1" si="84"/>
        <v>002-2513E50Q13-OK</v>
      </c>
      <c r="N306" s="36" t="str">
        <f t="shared" si="83"/>
        <v>Прицеп 2,5*1,25 м  (до 750 кг.)</v>
      </c>
      <c r="O306" s="36" t="str">
        <f t="shared" si="78"/>
        <v>1 ось</v>
      </c>
      <c r="P306" s="36">
        <f t="shared" si="79"/>
        <v>2024</v>
      </c>
      <c r="Q306" s="36" t="str">
        <f t="shared" ca="1" si="88"/>
        <v>3650*1700*1070</v>
      </c>
      <c r="R306" s="36" t="str">
        <f t="shared" ca="1" si="89"/>
        <v>2500*1250*500</v>
      </c>
      <c r="S306" s="34" t="str">
        <f>VLOOKUP(O306,ОТТС!$A$2:$B$3,2,0)</f>
        <v>ТС KZ Е-KZ.0317.00251 от 28.02.2023</v>
      </c>
      <c r="T306" s="39">
        <v>450000</v>
      </c>
      <c r="U306" s="36" t="str">
        <f t="shared" si="82"/>
        <v>Алматы</v>
      </c>
    </row>
    <row r="307" spans="1:21" ht="13.2">
      <c r="A307" s="34">
        <v>1484</v>
      </c>
      <c r="B307" s="35">
        <f>VLOOKUP(A307,'Реестр договоров'!$A$2:$D$508,2,0)</f>
        <v>45727</v>
      </c>
      <c r="C307" s="36" t="str">
        <f t="shared" si="73"/>
        <v>Абанов</v>
      </c>
      <c r="D307" s="36" t="str">
        <f t="shared" si="74"/>
        <v>Даулетқан</v>
      </c>
      <c r="E307" s="36" t="str">
        <f t="shared" si="87"/>
        <v>Советқанұлы</v>
      </c>
      <c r="F307" s="36" t="str">
        <f t="shared" si="75"/>
        <v>055191909</v>
      </c>
      <c r="G307" s="37">
        <f>VLOOKUP(F307,Покупатели!$F$2:$N$762,2,0)</f>
        <v>45275</v>
      </c>
      <c r="H307" s="36" t="str">
        <f>VLOOKUP(F307,Покупатели!$F$2:$N$762,3,0)</f>
        <v>ҚР ІІМ</v>
      </c>
      <c r="I307" s="36">
        <f>VLOOKUP(C307,Покупатели!$C$2:$M$805,7,0)</f>
        <v>920918301050</v>
      </c>
      <c r="J307" s="36" t="str">
        <f ca="1">IFERROR(__xludf.DUMMYFUNCTION("JOIN("" "", VLOOKUP(C307,Покупатели,8,0),VLOOKUP(C307,Покупатели,9,0),VLOOKUP(C307,Покупатели,10,0),VLOOKUP(C307,Покупатели,11,0))"),"Жетысуской область,  Саркандский район, с. Алмалы,  ул. Жамбыла, д.23")</f>
        <v>Жетысуской область,  Саркандский район, с. Алмалы,  ул. Жамбыла, д.23</v>
      </c>
      <c r="K307" s="36">
        <f t="shared" si="76"/>
        <v>87089008464</v>
      </c>
      <c r="L307" s="36" t="str">
        <f t="shared" si="77"/>
        <v>MX4000002R0001868</v>
      </c>
      <c r="M307" s="36" t="str">
        <f t="shared" ca="1" si="84"/>
        <v>002-2013E30Q13-OK</v>
      </c>
      <c r="N307" s="36" t="str">
        <f t="shared" si="83"/>
        <v>Прицеп 2,0*1,25 м  (до 750 кг.)</v>
      </c>
      <c r="O307" s="36" t="str">
        <f t="shared" si="78"/>
        <v>1 ось</v>
      </c>
      <c r="P307" s="36">
        <f t="shared" si="79"/>
        <v>2024</v>
      </c>
      <c r="Q307" s="36" t="str">
        <f t="shared" ca="1" si="88"/>
        <v>3150*1700*900</v>
      </c>
      <c r="R307" s="36" t="str">
        <f t="shared" ca="1" si="89"/>
        <v>2000*1250*300</v>
      </c>
      <c r="S307" s="34" t="str">
        <f>VLOOKUP(O307,ОТТС!$A$2:$B$3,2,0)</f>
        <v>ТС KZ Е-KZ.0317.00251 от 28.02.2023</v>
      </c>
      <c r="T307" s="39">
        <v>360000</v>
      </c>
      <c r="U307" s="36" t="str">
        <f t="shared" si="82"/>
        <v>Алматы</v>
      </c>
    </row>
    <row r="308" spans="1:21" ht="13.2">
      <c r="A308" s="34">
        <v>1485</v>
      </c>
      <c r="B308" s="35">
        <f>VLOOKUP(A308,'Реестр договоров'!$A$2:$D$508,2,0)</f>
        <v>45727</v>
      </c>
      <c r="C308" s="36" t="str">
        <f t="shared" si="73"/>
        <v>Кисловский</v>
      </c>
      <c r="D308" s="36" t="str">
        <f t="shared" si="74"/>
        <v>Иван</v>
      </c>
      <c r="E308" s="36" t="str">
        <f t="shared" si="87"/>
        <v>Алексеевич</v>
      </c>
      <c r="F308" s="36" t="str">
        <f t="shared" si="75"/>
        <v>016697607</v>
      </c>
      <c r="G308" s="37">
        <f>VLOOKUP(F308,Покупатели!$F$2:$N$762,2,0)</f>
        <v>38470</v>
      </c>
      <c r="H308" s="36" t="str">
        <f>VLOOKUP(F308,Покупатели!$F$2:$N$762,3,0)</f>
        <v>МЮ РК</v>
      </c>
      <c r="I308" s="36">
        <f>VLOOKUP(C308,Покупатели!$C$2:$M$805,7,0)</f>
        <v>600120300994</v>
      </c>
      <c r="J308" s="36" t="str">
        <f ca="1">IFERROR(__xludf.DUMMYFUNCTION("JOIN("" "", VLOOKUP(C308,Покупатели,8,0),VLOOKUP(C308,Покупатели,9,0),VLOOKUP(C308,Покупатели,10,0),VLOOKUP(C308,Покупатели,11,0))"),"СКО, Айыртауский район, с. Саумалколь, ул. Балахмета Хаирова, д.31")</f>
        <v>СКО, Айыртауский район, с. Саумалколь, ул. Балахмета Хаирова, д.31</v>
      </c>
      <c r="K308" s="36">
        <f t="shared" si="76"/>
        <v>87761538638</v>
      </c>
      <c r="L308" s="36" t="str">
        <f t="shared" si="77"/>
        <v>MX4000002S0002041</v>
      </c>
      <c r="M308" s="36" t="str">
        <f t="shared" ca="1" si="84"/>
        <v>002-2013E50Q13-OK30</v>
      </c>
      <c r="N308" s="36" t="str">
        <f t="shared" si="83"/>
        <v>Прицеп 2,0*1,25 м  (до 750 кг.)</v>
      </c>
      <c r="O308" s="36" t="str">
        <f t="shared" si="78"/>
        <v>1 ось</v>
      </c>
      <c r="P308" s="36">
        <f t="shared" si="79"/>
        <v>2025</v>
      </c>
      <c r="Q308" s="36" t="str">
        <f t="shared" ca="1" si="88"/>
        <v>3150*1700*1070</v>
      </c>
      <c r="R308" s="36" t="str">
        <f t="shared" ca="1" si="89"/>
        <v>2000*1250*500</v>
      </c>
      <c r="S308" s="34" t="str">
        <f>VLOOKUP(O308,ОТТС!$A$2:$B$3,2,0)</f>
        <v>ТС KZ Е-KZ.0317.00251 от 28.02.2023</v>
      </c>
      <c r="T308" s="39">
        <v>390000</v>
      </c>
      <c r="U308" s="36" t="str">
        <f t="shared" si="82"/>
        <v>Кокшетау</v>
      </c>
    </row>
    <row r="309" spans="1:21" ht="13.2">
      <c r="A309" s="34">
        <v>1486</v>
      </c>
      <c r="B309" s="35">
        <f>VLOOKUP(A309,'Реестр договоров'!$A$2:$D$508,2,0)</f>
        <v>45727</v>
      </c>
      <c r="C309" s="36" t="str">
        <f t="shared" si="73"/>
        <v>Смирнов</v>
      </c>
      <c r="D309" s="36" t="str">
        <f t="shared" si="74"/>
        <v>Виктор</v>
      </c>
      <c r="E309" s="36" t="str">
        <f t="shared" si="87"/>
        <v>Владимирович</v>
      </c>
      <c r="F309" s="36" t="str">
        <f t="shared" si="75"/>
        <v>047704184</v>
      </c>
      <c r="G309" s="37">
        <f>VLOOKUP(F309,Покупатели!$F$2:$N$762,2,0)</f>
        <v>43910</v>
      </c>
      <c r="H309" s="36" t="str">
        <f>VLOOKUP(F309,Покупатели!$F$2:$N$762,3,0)</f>
        <v>МВД РК</v>
      </c>
      <c r="I309" s="36">
        <f>VLOOKUP(C309,Покупатели!$C$2:$M$805,7,0)</f>
        <v>850323350336</v>
      </c>
      <c r="J309" s="36" t="str">
        <f ca="1">IFERROR(__xludf.DUMMYFUNCTION("JOIN("" "", VLOOKUP(C309,Покупатели,8,0),VLOOKUP(C309,Покупатели,9,0),VLOOKUP(C309,Покупатели,10,0),VLOOKUP(C309,Покупатели,11,0))"),"г.Астана р-н Сарыарка ул.Байсеитова д.106")</f>
        <v>г.Астана р-н Сарыарка ул.Байсеитова д.106</v>
      </c>
      <c r="K309" s="36">
        <f t="shared" si="76"/>
        <v>87029629887</v>
      </c>
      <c r="L309" s="36" t="str">
        <f t="shared" si="77"/>
        <v>MX4000002S0002029</v>
      </c>
      <c r="M309" s="36" t="str">
        <f t="shared" ca="1" si="84"/>
        <v>002-2013E50Q13-OK</v>
      </c>
      <c r="N309" s="36" t="str">
        <f t="shared" si="83"/>
        <v>Прицеп 2,0*1,25 м  (до 750 кг.)</v>
      </c>
      <c r="O309" s="36" t="str">
        <f t="shared" si="78"/>
        <v>1 ось</v>
      </c>
      <c r="P309" s="36">
        <f t="shared" si="79"/>
        <v>2025</v>
      </c>
      <c r="Q309" s="36" t="str">
        <f t="shared" ca="1" si="88"/>
        <v>3150*1700*1070</v>
      </c>
      <c r="R309" s="36" t="str">
        <f t="shared" ca="1" si="89"/>
        <v>2000*1250*500</v>
      </c>
      <c r="S309" s="34" t="str">
        <f>VLOOKUP(O309,ОТТС!$A$2:$B$3,2,0)</f>
        <v>ТС KZ Е-KZ.0317.00251 от 28.02.2023</v>
      </c>
      <c r="T309" s="39">
        <v>370000</v>
      </c>
      <c r="U309" s="36" t="str">
        <f t="shared" si="82"/>
        <v>Астана</v>
      </c>
    </row>
    <row r="310" spans="1:21" ht="13.2">
      <c r="A310" s="34">
        <v>1487</v>
      </c>
      <c r="B310" s="35">
        <f>VLOOKUP(A310,'Реестр договоров'!$A$2:$D$508,2,0)</f>
        <v>45729</v>
      </c>
      <c r="C310" s="36" t="str">
        <f t="shared" si="73"/>
        <v>Косов</v>
      </c>
      <c r="D310" s="36" t="str">
        <f t="shared" si="74"/>
        <v>Константин</v>
      </c>
      <c r="E310" s="36" t="str">
        <f t="shared" si="87"/>
        <v>Владимирович</v>
      </c>
      <c r="F310" s="36" t="str">
        <f t="shared" si="75"/>
        <v>050530859</v>
      </c>
      <c r="G310" s="37">
        <f>VLOOKUP(F310,Покупатели!$F$2:$N$762,2,0)</f>
        <v>44669</v>
      </c>
      <c r="H310" s="36" t="str">
        <f>VLOOKUP(F310,Покупатели!$F$2:$N$762,3,0)</f>
        <v>МВД РК</v>
      </c>
      <c r="I310" s="36">
        <f>VLOOKUP(C310,Покупатели!$C$2:$M$805,7,0)</f>
        <v>770523302118</v>
      </c>
      <c r="J310" s="36" t="str">
        <f ca="1">IFERROR(__xludf.DUMMYFUNCTION("JOIN("" "", VLOOKUP(C310,Покупатели,8,0),VLOOKUP(C310,Покупатели,9,0),VLOOKUP(C310,Покупатели,10,0),VLOOKUP(C310,Покупатели,11,0))"),"Алматинская область, г. Алматы, ​Жетысуский район, ул. Ломоносова, д.51")</f>
        <v>Алматинская область, г. Алматы, ​Жетысуский район, ул. Ломоносова, д.51</v>
      </c>
      <c r="K310" s="36">
        <f t="shared" si="76"/>
        <v>87772314488</v>
      </c>
      <c r="L310" s="36" t="str">
        <f t="shared" si="77"/>
        <v>MX4000002R0001875</v>
      </c>
      <c r="M310" s="36" t="str">
        <f t="shared" ca="1" si="84"/>
        <v>002-2013E50Q15-OK</v>
      </c>
      <c r="N310" s="36" t="str">
        <f t="shared" si="83"/>
        <v>Прицеп 2,0*1,25 м  (до 750 кг.)</v>
      </c>
      <c r="O310" s="36" t="str">
        <f t="shared" si="78"/>
        <v>1 ось</v>
      </c>
      <c r="P310" s="36">
        <f t="shared" si="79"/>
        <v>2024</v>
      </c>
      <c r="Q310" s="36" t="str">
        <f t="shared" ca="1" si="88"/>
        <v>3150*1700*1070</v>
      </c>
      <c r="R310" s="36" t="str">
        <f t="shared" ca="1" si="89"/>
        <v>2000*1250*500</v>
      </c>
      <c r="S310" s="34" t="str">
        <f>VLOOKUP(O310,ОТТС!$A$2:$B$3,2,0)</f>
        <v>ТС KZ Е-KZ.0317.00251 от 28.02.2023</v>
      </c>
      <c r="T310" s="39">
        <v>350000</v>
      </c>
      <c r="U310" s="36" t="str">
        <f t="shared" si="82"/>
        <v>Алматы</v>
      </c>
    </row>
    <row r="311" spans="1:21" ht="13.2">
      <c r="A311" s="34">
        <v>1488</v>
      </c>
      <c r="B311" s="35">
        <f>VLOOKUP(A311,'Реестр договоров'!$A$2:$D$508,2,0)</f>
        <v>45730</v>
      </c>
      <c r="C311" s="36" t="str">
        <f t="shared" si="73"/>
        <v xml:space="preserve">Ахматов </v>
      </c>
      <c r="D311" s="36" t="str">
        <f t="shared" si="74"/>
        <v>Эсенбек</v>
      </c>
      <c r="E311" s="36" t="str">
        <f t="shared" si="87"/>
        <v>Талайбекович</v>
      </c>
      <c r="F311" s="36" t="str">
        <f t="shared" si="75"/>
        <v>050763949</v>
      </c>
      <c r="G311" s="37">
        <f>VLOOKUP(F311,Покупатели!$F$2:$N$762,2,0)</f>
        <v>44699</v>
      </c>
      <c r="H311" s="36" t="str">
        <f>VLOOKUP(F311,Покупатели!$F$2:$N$762,3,0)</f>
        <v>МВД РК</v>
      </c>
      <c r="I311" s="36">
        <f>VLOOKUP(C311,Покупатели!$C$2:$M$805,7,0)</f>
        <v>901227050062</v>
      </c>
      <c r="J311" s="36" t="str">
        <f ca="1">IFERROR(__xludf.DUMMYFUNCTION("JOIN("" "", VLOOKUP(C311,Покупатели,8,0),VLOOKUP(C311,Покупатели,9,0),VLOOKUP(C311,Покупатели,10,0),VLOOKUP(C311,Покупатели,11,0))"),"Жамбылская область, Кордайский район, село Кордай, ул. Жылыбаева,  д. 28Б")</f>
        <v>Жамбылская область, Кордайский район, село Кордай, ул. Жылыбаева,  д. 28Б</v>
      </c>
      <c r="K311" s="36">
        <f t="shared" si="76"/>
        <v>87006776680</v>
      </c>
      <c r="L311" s="36" t="str">
        <f t="shared" si="77"/>
        <v>MX4000002R0001874</v>
      </c>
      <c r="M311" s="36" t="str">
        <f t="shared" ca="1" si="84"/>
        <v>002-2013E50Q13-OK</v>
      </c>
      <c r="N311" s="36" t="str">
        <f t="shared" si="83"/>
        <v>Прицеп 2,0*1,25 м  (до 750 кг.)</v>
      </c>
      <c r="O311" s="36" t="str">
        <f t="shared" si="78"/>
        <v>1 ось</v>
      </c>
      <c r="P311" s="36">
        <f t="shared" si="79"/>
        <v>2024</v>
      </c>
      <c r="Q311" s="36" t="str">
        <f t="shared" ca="1" si="88"/>
        <v>3150*1700*1070</v>
      </c>
      <c r="R311" s="36" t="str">
        <f t="shared" ca="1" si="89"/>
        <v>2000*1250*500</v>
      </c>
      <c r="S311" s="34" t="str">
        <f>VLOOKUP(O311,ОТТС!$A$2:$B$3,2,0)</f>
        <v>ТС KZ Е-KZ.0317.00251 от 28.02.2023</v>
      </c>
      <c r="T311" s="39">
        <v>330000</v>
      </c>
      <c r="U311" s="36" t="str">
        <f t="shared" si="82"/>
        <v>Алматы</v>
      </c>
    </row>
    <row r="312" spans="1:21" ht="13.2">
      <c r="A312" s="34">
        <v>1489</v>
      </c>
      <c r="B312" s="35">
        <f>VLOOKUP(A312,'Реестр договоров'!$A$2:$D$508,2,0)</f>
        <v>45730</v>
      </c>
      <c r="C312" s="36" t="str">
        <f t="shared" si="73"/>
        <v>Нуралин</v>
      </c>
      <c r="D312" s="36" t="str">
        <f t="shared" si="74"/>
        <v>Нурбол</v>
      </c>
      <c r="E312" s="36" t="str">
        <f t="shared" si="87"/>
        <v>Абсеитович</v>
      </c>
      <c r="F312" s="36" t="str">
        <f t="shared" si="75"/>
        <v>040550004</v>
      </c>
      <c r="G312" s="37">
        <f>VLOOKUP(F312,Покупатели!$F$2:$N$762,2,0)</f>
        <v>42398</v>
      </c>
      <c r="H312" s="36" t="str">
        <f>VLOOKUP(F312,Покупатели!$F$2:$N$762,3,0)</f>
        <v>МВД РК</v>
      </c>
      <c r="I312" s="36">
        <f>VLOOKUP(C312,Покупатели!$C$2:$M$805,7,0)</f>
        <v>910917300065</v>
      </c>
      <c r="J312" s="36" t="str">
        <f ca="1">IFERROR(__xludf.DUMMYFUNCTION("JOIN("" "", VLOOKUP(C312,Покупатели,8,0),VLOOKUP(C312,Покупатели,9,0),VLOOKUP(C312,Покупатели,10,0),VLOOKUP(C312,Покупатели,11,0))"),"г.Астана р-н Сарыарка ул.Шевченко д.8, кв.235")</f>
        <v>г.Астана р-н Сарыарка ул.Шевченко д.8, кв.235</v>
      </c>
      <c r="K312" s="36">
        <f t="shared" si="76"/>
        <v>87785498922</v>
      </c>
      <c r="L312" s="36" t="str">
        <f t="shared" si="77"/>
        <v>MX4000002R0001800</v>
      </c>
      <c r="M312" s="36" t="str">
        <f t="shared" ca="1" si="84"/>
        <v>002-2013E50Q15-OK30</v>
      </c>
      <c r="N312" s="36" t="str">
        <f t="shared" si="83"/>
        <v>Прицеп 2,0*1,25 м  (до 750 кг.)</v>
      </c>
      <c r="O312" s="36" t="str">
        <f t="shared" si="78"/>
        <v>1 ось</v>
      </c>
      <c r="P312" s="36">
        <f t="shared" si="79"/>
        <v>2024</v>
      </c>
      <c r="Q312" s="36" t="str">
        <f t="shared" ca="1" si="88"/>
        <v>3150*1700*1070</v>
      </c>
      <c r="R312" s="36" t="str">
        <f t="shared" ca="1" si="89"/>
        <v>2000*1250*500</v>
      </c>
      <c r="S312" s="34" t="str">
        <f>VLOOKUP(O312,ОТТС!$A$2:$B$3,2,0)</f>
        <v>ТС KZ Е-KZ.0317.00251 от 28.02.2023</v>
      </c>
      <c r="T312" s="39">
        <v>370000</v>
      </c>
      <c r="U312" s="36" t="str">
        <f t="shared" si="82"/>
        <v>Астана</v>
      </c>
    </row>
    <row r="313" spans="1:21" ht="13.2">
      <c r="A313" s="34">
        <v>1490</v>
      </c>
      <c r="B313" s="35">
        <f>VLOOKUP(A313,'Реестр договоров'!$A$2:$D$508,2,0)</f>
        <v>45730</v>
      </c>
      <c r="C313" s="36" t="str">
        <f t="shared" si="73"/>
        <v>Жанысбек</v>
      </c>
      <c r="D313" s="36" t="str">
        <f t="shared" si="74"/>
        <v>Клара</v>
      </c>
      <c r="E313" s="36" t="str">
        <f t="shared" si="87"/>
        <v>Құрбанбекқызы</v>
      </c>
      <c r="F313" s="36" t="str">
        <f t="shared" si="75"/>
        <v>052685978</v>
      </c>
      <c r="G313" s="37">
        <f>VLOOKUP(F313,Покупатели!$F$2:$N$762,2,0)</f>
        <v>44676</v>
      </c>
      <c r="H313" s="36" t="str">
        <f>VLOOKUP(F313,Покупатели!$F$2:$N$762,3,0)</f>
        <v>ҚР ІІМ</v>
      </c>
      <c r="I313" s="36">
        <f>VLOOKUP(C313,Покупатели!$C$2:$M$805,7,0)</f>
        <v>940824402206</v>
      </c>
      <c r="J313" s="36" t="str">
        <f ca="1">IFERROR(__xludf.DUMMYFUNCTION("JOIN("" "", VLOOKUP(C313,Покупатели,8,0),VLOOKUP(C313,Покупатели,9,0),VLOOKUP(C313,Покупатели,10,0),VLOOKUP(C313,Покупатели,11,0))"),"Акмолинская обл, г.Косшы,  ЖМ Лесная поляна д.50, кв.5")</f>
        <v>Акмолинская обл, г.Косшы,  ЖМ Лесная поляна д.50, кв.5</v>
      </c>
      <c r="K313" s="36">
        <f t="shared" si="76"/>
        <v>87070074849</v>
      </c>
      <c r="L313" s="36" t="str">
        <f t="shared" si="77"/>
        <v>MX4000002S0002003</v>
      </c>
      <c r="M313" s="36" t="str">
        <f t="shared" ca="1" si="84"/>
        <v>002-2013E50Q13-OK60</v>
      </c>
      <c r="N313" s="36" t="str">
        <f t="shared" si="83"/>
        <v>Прицеп 2,0*1,25 м  (до 750 кг.)</v>
      </c>
      <c r="O313" s="36" t="str">
        <f t="shared" si="78"/>
        <v>1 ось</v>
      </c>
      <c r="P313" s="36">
        <f t="shared" si="79"/>
        <v>2025</v>
      </c>
      <c r="Q313" s="36" t="str">
        <f t="shared" ca="1" si="88"/>
        <v>3150*1700*1070</v>
      </c>
      <c r="R313" s="36" t="str">
        <f t="shared" ca="1" si="89"/>
        <v>2000*1250*500</v>
      </c>
      <c r="S313" s="34" t="str">
        <f>VLOOKUP(O313,ОТТС!$A$2:$B$3,2,0)</f>
        <v>ТС KZ Е-KZ.0317.00251 от 28.02.2023</v>
      </c>
      <c r="T313" s="39">
        <v>370000</v>
      </c>
      <c r="U313" s="36" t="str">
        <f t="shared" si="82"/>
        <v>Астана</v>
      </c>
    </row>
    <row r="314" spans="1:21" ht="13.2">
      <c r="A314" s="34">
        <v>1491</v>
      </c>
      <c r="B314" s="35">
        <f>VLOOKUP(A314,'Реестр договоров'!$A$2:$D$508,2,0)</f>
        <v>45731</v>
      </c>
      <c r="C314" s="36" t="str">
        <f t="shared" si="73"/>
        <v>Асанов 3</v>
      </c>
      <c r="D314" s="36" t="str">
        <f t="shared" si="74"/>
        <v>Кайрат</v>
      </c>
      <c r="E314" s="36" t="str">
        <f t="shared" si="87"/>
        <v>Еркинович</v>
      </c>
      <c r="F314" s="36" t="str">
        <f t="shared" si="75"/>
        <v>022089815</v>
      </c>
      <c r="G314" s="37">
        <f>VLOOKUP(F314,Покупатели!$F$2:$N$762,2,0)</f>
        <v>39597</v>
      </c>
      <c r="H314" s="36" t="str">
        <f>VLOOKUP(F314,Покупатели!$F$2:$N$762,3,0)</f>
        <v>МЮ РК</v>
      </c>
      <c r="I314" s="36">
        <f>VLOOKUP(C314,Покупатели!$C$2:$M$805,7,0)</f>
        <v>811107350406</v>
      </c>
      <c r="J314" s="36" t="str">
        <f ca="1">IFERROR(__xludf.DUMMYFUNCTION("JOIN("" "", VLOOKUP(C314,Покупатели,8,0),VLOOKUP(C314,Покупатели,9,0),VLOOKUP(C314,Покупатели,10,0),VLOOKUP(C314,Покупатели,11,0))"),"СКО, Тайыншинский район, г. Тайынша, переулок Абая, д.15")</f>
        <v>СКО, Тайыншинский район, г. Тайынша, переулок Абая, д.15</v>
      </c>
      <c r="K314" s="36">
        <f t="shared" si="76"/>
        <v>87715414241</v>
      </c>
      <c r="L314" s="36" t="str">
        <f t="shared" si="77"/>
        <v>MX4000002S0002027</v>
      </c>
      <c r="M314" s="36" t="str">
        <f t="shared" ca="1" si="84"/>
        <v>002-2013E50Q13-OK60</v>
      </c>
      <c r="N314" s="36" t="str">
        <f t="shared" si="83"/>
        <v>Прицеп 2,0*1,25 м  (до 750 кг.)</v>
      </c>
      <c r="O314" s="36" t="str">
        <f t="shared" si="78"/>
        <v>1 ось</v>
      </c>
      <c r="P314" s="36">
        <f t="shared" si="79"/>
        <v>2025</v>
      </c>
      <c r="Q314" s="36" t="str">
        <f t="shared" ca="1" si="88"/>
        <v>3150*1700*1070</v>
      </c>
      <c r="R314" s="36" t="str">
        <f t="shared" ca="1" si="89"/>
        <v>2000*1250*500</v>
      </c>
      <c r="S314" s="34" t="str">
        <f>VLOOKUP(O314,ОТТС!$A$2:$B$3,2,0)</f>
        <v>ТС KZ Е-KZ.0317.00251 от 28.02.2023</v>
      </c>
      <c r="T314" s="39">
        <v>370000</v>
      </c>
      <c r="U314" s="36" t="str">
        <f t="shared" si="82"/>
        <v>Кокшетау</v>
      </c>
    </row>
    <row r="315" spans="1:21" ht="13.2">
      <c r="A315" s="34">
        <v>1492</v>
      </c>
      <c r="B315" s="35">
        <f>VLOOKUP(A315,'Реестр договоров'!$A$2:$D$508,2,0)</f>
        <v>45733</v>
      </c>
      <c r="C315" s="36" t="str">
        <f t="shared" si="73"/>
        <v>Еремин</v>
      </c>
      <c r="D315" s="36" t="str">
        <f t="shared" si="74"/>
        <v>Николай</v>
      </c>
      <c r="E315" s="36" t="str">
        <f t="shared" si="87"/>
        <v>Валерьевич</v>
      </c>
      <c r="F315" s="36" t="str">
        <f t="shared" si="75"/>
        <v>049496674</v>
      </c>
      <c r="G315" s="37">
        <f>VLOOKUP(F315,Покупатели!$F$2:$N$762,2,0)</f>
        <v>44189</v>
      </c>
      <c r="H315" s="36" t="str">
        <f>VLOOKUP(F315,Покупатели!$F$2:$N$762,3,0)</f>
        <v>МВД РК</v>
      </c>
      <c r="I315" s="36">
        <f>VLOOKUP(C315,Покупатели!$C$2:$M$805,7,0)</f>
        <v>830824350207</v>
      </c>
      <c r="J315" s="36" t="str">
        <f ca="1">IFERROR(__xludf.DUMMYFUNCTION("JOIN("" "", VLOOKUP(C315,Покупатели,8,0),VLOOKUP(C315,Покупатели,9,0),VLOOKUP(C315,Покупатели,10,0),VLOOKUP(C315,Покупатели,11,0))"),"г.Астана р-н Нура ул.Ч.Айтматова  д.33, кв.256")</f>
        <v>г.Астана р-н Нура ул.Ч.Айтматова  д.33, кв.256</v>
      </c>
      <c r="K315" s="36">
        <f t="shared" si="76"/>
        <v>87072031815</v>
      </c>
      <c r="L315" s="36" t="str">
        <f t="shared" si="77"/>
        <v>MX4000002R0001808</v>
      </c>
      <c r="M315" s="36" t="str">
        <f t="shared" ca="1" si="84"/>
        <v>002-2515E50Q13-OK</v>
      </c>
      <c r="N315" s="36" t="str">
        <f t="shared" si="83"/>
        <v>Прицеп 2,5*1,5 м  (до 750 кг.)</v>
      </c>
      <c r="O315" s="36" t="str">
        <f t="shared" si="78"/>
        <v>1 ось</v>
      </c>
      <c r="P315" s="36">
        <f t="shared" si="79"/>
        <v>2024</v>
      </c>
      <c r="Q315" s="36" t="str">
        <f t="shared" ca="1" si="88"/>
        <v>3650*1950*1070</v>
      </c>
      <c r="R315" s="36" t="str">
        <f t="shared" ca="1" si="89"/>
        <v>2500*1500*500</v>
      </c>
      <c r="S315" s="34" t="str">
        <f>VLOOKUP(O315,ОТТС!$A$2:$B$3,2,0)</f>
        <v>ТС KZ Е-KZ.0317.00251 от 28.02.2023</v>
      </c>
      <c r="T315" s="39">
        <v>540000</v>
      </c>
      <c r="U315" s="36" t="str">
        <f t="shared" si="82"/>
        <v>Астана</v>
      </c>
    </row>
    <row r="316" spans="1:21" ht="13.2">
      <c r="A316" s="34">
        <v>1493</v>
      </c>
      <c r="B316" s="35">
        <f>VLOOKUP(A316,'Реестр договоров'!$A$2:$D$508,2,0)</f>
        <v>45733</v>
      </c>
      <c r="C316" s="36" t="str">
        <f t="shared" si="73"/>
        <v>Мадышев</v>
      </c>
      <c r="D316" s="36" t="str">
        <f t="shared" si="74"/>
        <v>Куанышбай</v>
      </c>
      <c r="E316" s="36">
        <f t="shared" si="87"/>
        <v>0</v>
      </c>
      <c r="F316" s="36" t="str">
        <f t="shared" si="75"/>
        <v>047773887</v>
      </c>
      <c r="G316" s="37">
        <f>VLOOKUP(F316,Покупатели!$F$2:$N$762,2,0)</f>
        <v>44228</v>
      </c>
      <c r="H316" s="36" t="str">
        <f>VLOOKUP(F316,Покупатели!$F$2:$N$762,3,0)</f>
        <v>МВД РК</v>
      </c>
      <c r="I316" s="36">
        <f>VLOOKUP(C316,Покупатели!$C$2:$M$805,7,0)</f>
        <v>561222301093</v>
      </c>
      <c r="J316" s="36" t="str">
        <f ca="1">IFERROR(__xludf.DUMMYFUNCTION("JOIN("" "", VLOOKUP(C316,Покупатели,8,0),VLOOKUP(C316,Покупатели,9,0),VLOOKUP(C316,Покупатели,10,0),VLOOKUP(C316,Покупатели,11,0))"),"г. Алматы, ​Коктем-2 м-н, Бостандыкский район, ул. Байзакова, д.312, кв 43")</f>
        <v>г. Алматы, ​Коктем-2 м-н, Бостандыкский район, ул. Байзакова, д.312, кв 43</v>
      </c>
      <c r="K316" s="36">
        <f t="shared" si="76"/>
        <v>87772289777</v>
      </c>
      <c r="L316" s="36" t="str">
        <f t="shared" si="77"/>
        <v>MX4000002S0001886</v>
      </c>
      <c r="M316" s="36" t="str">
        <f t="shared" ca="1" si="84"/>
        <v>002-2013E30Q13-OK</v>
      </c>
      <c r="N316" s="36" t="str">
        <f t="shared" si="83"/>
        <v>Прицеп 2,0*1,25 м  (до 750 кг.)</v>
      </c>
      <c r="O316" s="36" t="str">
        <f t="shared" si="78"/>
        <v>1 ось</v>
      </c>
      <c r="P316" s="36">
        <f t="shared" si="79"/>
        <v>2025</v>
      </c>
      <c r="Q316" s="36" t="str">
        <f t="shared" ca="1" si="88"/>
        <v>3150*1700*900</v>
      </c>
      <c r="R316" s="36" t="str">
        <f t="shared" ca="1" si="89"/>
        <v>2000*1250*300</v>
      </c>
      <c r="S316" s="34" t="str">
        <f>VLOOKUP(O316,ОТТС!$A$2:$B$3,2,0)</f>
        <v>ТС KZ Е-KZ.0317.00251 от 28.02.2023</v>
      </c>
      <c r="T316" s="39">
        <v>310000</v>
      </c>
      <c r="U316" s="36" t="str">
        <f t="shared" si="82"/>
        <v>Алматы</v>
      </c>
    </row>
    <row r="317" spans="1:21" ht="13.2">
      <c r="A317" s="34">
        <v>1494</v>
      </c>
      <c r="B317" s="35">
        <f>VLOOKUP(A317,'Реестр договоров'!$A$2:$D$508,2,0)</f>
        <v>45733</v>
      </c>
      <c r="C317" s="36" t="str">
        <f t="shared" si="73"/>
        <v>Брумм</v>
      </c>
      <c r="D317" s="36" t="str">
        <f t="shared" si="74"/>
        <v>Виктор</v>
      </c>
      <c r="E317" s="36" t="str">
        <f t="shared" si="87"/>
        <v>Викторович</v>
      </c>
      <c r="F317" s="36" t="str">
        <f t="shared" si="75"/>
        <v>054183418</v>
      </c>
      <c r="G317" s="37">
        <f>VLOOKUP(F317,Покупатели!$F$2:$N$762,2,0)</f>
        <v>44888</v>
      </c>
      <c r="H317" s="36" t="str">
        <f>VLOOKUP(F317,Покупатели!$F$2:$N$762,3,0)</f>
        <v>МВД РК</v>
      </c>
      <c r="I317" s="36">
        <f>VLOOKUP(C317,Покупатели!$C$2:$M$805,7,0)</f>
        <v>871201350626</v>
      </c>
      <c r="J317" s="36" t="str">
        <f ca="1">IFERROR(__xludf.DUMMYFUNCTION("JOIN("" "", VLOOKUP(C317,Покупатели,8,0),VLOOKUP(C317,Покупатели,9,0),VLOOKUP(C317,Покупатели,10,0),VLOOKUP(C317,Покупатели,11,0))"),"СКО, г. Тайынша, ул. Куншыгыс, д.99")</f>
        <v>СКО, г. Тайынша, ул. Куншыгыс, д.99</v>
      </c>
      <c r="K317" s="36">
        <f t="shared" si="76"/>
        <v>87011053076</v>
      </c>
      <c r="L317" s="36" t="str">
        <f t="shared" si="77"/>
        <v>MX4000002S0002044</v>
      </c>
      <c r="M317" s="36" t="str">
        <f t="shared" ca="1" si="84"/>
        <v>002-2013E50Q13-OK60</v>
      </c>
      <c r="N317" s="36" t="str">
        <f t="shared" si="83"/>
        <v>Прицеп 2,0*1,25 м  (до 750 кг.)</v>
      </c>
      <c r="O317" s="36" t="str">
        <f t="shared" si="78"/>
        <v>1 ось</v>
      </c>
      <c r="P317" s="36">
        <f t="shared" si="79"/>
        <v>2025</v>
      </c>
      <c r="Q317" s="36" t="str">
        <f t="shared" ca="1" si="88"/>
        <v>3150*1700*1070</v>
      </c>
      <c r="R317" s="36" t="str">
        <f t="shared" ca="1" si="89"/>
        <v>2000*1250*500</v>
      </c>
      <c r="S317" s="34" t="str">
        <f>VLOOKUP(O317,ОТТС!$A$2:$B$3,2,0)</f>
        <v>ТС KZ Е-KZ.0317.00251 от 28.02.2023</v>
      </c>
      <c r="T317" s="39">
        <v>370000</v>
      </c>
      <c r="U317" s="36" t="str">
        <f t="shared" si="82"/>
        <v>Кокшетау</v>
      </c>
    </row>
    <row r="318" spans="1:21" ht="13.2">
      <c r="A318" s="34">
        <v>1495</v>
      </c>
      <c r="B318" s="35">
        <f>VLOOKUP(A318,'Реестр договоров'!$A$2:$D$508,2,0)</f>
        <v>45733</v>
      </c>
      <c r="C318" s="36" t="str">
        <f t="shared" si="73"/>
        <v>Шохыбаева</v>
      </c>
      <c r="D318" s="36" t="str">
        <f t="shared" si="74"/>
        <v>Бальнур</v>
      </c>
      <c r="E318" s="36" t="str">
        <f t="shared" si="87"/>
        <v>Сундетбековна</v>
      </c>
      <c r="F318" s="36" t="str">
        <f t="shared" si="75"/>
        <v>057991577</v>
      </c>
      <c r="G318" s="37">
        <f>VLOOKUP(F318,Покупатели!$F$2:$N$762,2,0)</f>
        <v>45576</v>
      </c>
      <c r="H318" s="36" t="str">
        <f>VLOOKUP(F318,Покупатели!$F$2:$N$762,3,0)</f>
        <v>МВД РК</v>
      </c>
      <c r="I318" s="36">
        <f>VLOOKUP(C318,Покупатели!$C$2:$M$805,7,0)</f>
        <v>860410402476</v>
      </c>
      <c r="J318" s="36" t="str">
        <f ca="1">IFERROR(__xludf.DUMMYFUNCTION("JOIN("" "", VLOOKUP(C318,Покупатели,8,0),VLOOKUP(C318,Покупатели,9,0),VLOOKUP(C318,Покупатели,10,0),VLOOKUP(C318,Покупатели,11,0))"),"Жамбылская область, Кордайский район, с. Альжан Ана, ул. Абдуллина, д.15")</f>
        <v>Жамбылская область, Кордайский район, с. Альжан Ана, ул. Абдуллина, д.15</v>
      </c>
      <c r="K318" s="36">
        <f t="shared" si="76"/>
        <v>87755180292</v>
      </c>
      <c r="L318" s="36" t="str">
        <f t="shared" si="77"/>
        <v>MX4000002S0001879</v>
      </c>
      <c r="M318" s="36" t="str">
        <f t="shared" ca="1" si="84"/>
        <v>002-2013E50Q13-OK</v>
      </c>
      <c r="N318" s="36" t="str">
        <f t="shared" si="83"/>
        <v>Прицеп 2,0*1,25 м  (до 750 кг.)</v>
      </c>
      <c r="O318" s="36" t="str">
        <f t="shared" si="78"/>
        <v>1 ось</v>
      </c>
      <c r="P318" s="36">
        <f t="shared" si="79"/>
        <v>2025</v>
      </c>
      <c r="Q318" s="36" t="str">
        <f t="shared" ca="1" si="88"/>
        <v>3150*1700*1070</v>
      </c>
      <c r="R318" s="36" t="str">
        <f t="shared" ca="1" si="89"/>
        <v>2000*1250*500</v>
      </c>
      <c r="S318" s="34" t="str">
        <f>VLOOKUP(O318,ОТТС!$A$2:$B$3,2,0)</f>
        <v>ТС KZ Е-KZ.0317.00251 от 28.02.2023</v>
      </c>
      <c r="T318" s="39">
        <v>340000</v>
      </c>
      <c r="U318" s="36" t="str">
        <f t="shared" si="82"/>
        <v>Алматы</v>
      </c>
    </row>
    <row r="319" spans="1:21" ht="13.2">
      <c r="A319" s="34">
        <v>1496</v>
      </c>
      <c r="B319" s="35">
        <f>VLOOKUP(A319,'Реестр договоров'!$A$2:$D$508,2,0)</f>
        <v>45733</v>
      </c>
      <c r="C319" s="36" t="str">
        <f t="shared" si="73"/>
        <v>Кальман</v>
      </c>
      <c r="D319" s="36" t="str">
        <f t="shared" si="74"/>
        <v>Игорь</v>
      </c>
      <c r="E319" s="36" t="str">
        <f t="shared" si="87"/>
        <v>Андреевич</v>
      </c>
      <c r="F319" s="36" t="str">
        <f t="shared" si="75"/>
        <v>041152836</v>
      </c>
      <c r="G319" s="37">
        <f>VLOOKUP(F319,Покупатели!$F$2:$N$762,2,0)</f>
        <v>42503</v>
      </c>
      <c r="H319" s="36" t="str">
        <f>VLOOKUP(F319,Покупатели!$F$2:$N$762,3,0)</f>
        <v>МВД РК</v>
      </c>
      <c r="I319" s="36">
        <f>VLOOKUP(C319,Покупатели!$C$2:$M$805,7,0)</f>
        <v>911008350667</v>
      </c>
      <c r="J319" s="36" t="str">
        <f ca="1">IFERROR(__xludf.DUMMYFUNCTION("JOIN("" "", VLOOKUP(C319,Покупатели,8,0),VLOOKUP(C319,Покупатели,9,0),VLOOKUP(C319,Покупатели,10,0),VLOOKUP(C319,Покупатели,11,0))"),"Акмолинская область, г. Кокшетау, ул. Жениса, д.80, кв 12")</f>
        <v>Акмолинская область, г. Кокшетау, ул. Жениса, д.80, кв 12</v>
      </c>
      <c r="K319" s="36">
        <f t="shared" si="76"/>
        <v>87771809110</v>
      </c>
      <c r="L319" s="36" t="str">
        <f t="shared" si="77"/>
        <v>MX4000003S0001955</v>
      </c>
      <c r="M319" s="36" t="str">
        <f t="shared" ca="1" si="84"/>
        <v>002-2515Q13-OK</v>
      </c>
      <c r="N319" s="36" t="str">
        <f t="shared" si="83"/>
        <v>Прицеп 2,5*1,5 м  (до 750 кг.)</v>
      </c>
      <c r="O319" s="36" t="str">
        <f t="shared" si="78"/>
        <v>1 ось</v>
      </c>
      <c r="P319" s="36">
        <f t="shared" si="79"/>
        <v>2025</v>
      </c>
      <c r="Q319" s="36" t="str">
        <f t="shared" ca="1" si="88"/>
        <v>4000*1950*650</v>
      </c>
      <c r="R319" s="36" t="str">
        <f t="shared" ca="1" si="89"/>
        <v>2500*1500*0</v>
      </c>
      <c r="S319" s="34" t="str">
        <f>VLOOKUP(O319,ОТТС!$A$2:$B$3,2,0)</f>
        <v>ТС KZ Е-KZ.0317.00251 от 28.02.2023</v>
      </c>
      <c r="T319" s="39">
        <v>420000</v>
      </c>
      <c r="U319" s="36" t="str">
        <f t="shared" si="82"/>
        <v>Кокшетау</v>
      </c>
    </row>
    <row r="320" spans="1:21" ht="13.2">
      <c r="A320" s="34">
        <v>1497</v>
      </c>
      <c r="B320" s="35">
        <f>VLOOKUP(A320,'Реестр договоров'!$A$2:$D$508,2,0)</f>
        <v>45733</v>
      </c>
      <c r="C320" s="36" t="str">
        <f t="shared" si="73"/>
        <v>Солонский</v>
      </c>
      <c r="D320" s="36" t="str">
        <f t="shared" si="74"/>
        <v>Андрей</v>
      </c>
      <c r="E320" s="36" t="str">
        <f t="shared" si="87"/>
        <v>Вячеславович</v>
      </c>
      <c r="F320" s="36" t="str">
        <f t="shared" si="75"/>
        <v>049342241</v>
      </c>
      <c r="G320" s="37">
        <f>VLOOKUP(F320,Покупатели!$F$2:$N$762,2,0)</f>
        <v>44481</v>
      </c>
      <c r="H320" s="36" t="str">
        <f>VLOOKUP(F320,Покупатели!$F$2:$N$762,3,0)</f>
        <v>МВД РК</v>
      </c>
      <c r="I320" s="36">
        <f>VLOOKUP(C320,Покупатели!$C$2:$M$805,7,0)</f>
        <v>780305302134</v>
      </c>
      <c r="J320" s="36" t="str">
        <f ca="1">IFERROR(__xludf.DUMMYFUNCTION("JOIN("" "", VLOOKUP(C320,Покупатели,8,0),VLOOKUP(C320,Покупатели,9,0),VLOOKUP(C320,Покупатели,10,0),VLOOKUP(C320,Покупатели,11,0))"),"Алматинская область, Илийский район, с. Өтеген Батыр, ул. Абая, д.12, кв.12")</f>
        <v>Алматинская область, Илийский район, с. Өтеген Батыр, ул. Абая, д.12, кв.12</v>
      </c>
      <c r="K320" s="36">
        <f t="shared" si="76"/>
        <v>87476157455</v>
      </c>
      <c r="L320" s="36" t="str">
        <f t="shared" si="77"/>
        <v>MX4000002R0001851</v>
      </c>
      <c r="M320" s="36" t="str">
        <f t="shared" ca="1" si="84"/>
        <v>002-2013E50Q13-OK60</v>
      </c>
      <c r="N320" s="36" t="str">
        <f t="shared" si="83"/>
        <v>Прицеп 2,0*1,25 м  (до 750 кг.)</v>
      </c>
      <c r="O320" s="36" t="str">
        <f t="shared" si="78"/>
        <v>1 ось</v>
      </c>
      <c r="P320" s="36">
        <f t="shared" si="79"/>
        <v>2024</v>
      </c>
      <c r="Q320" s="36" t="str">
        <f t="shared" ca="1" si="88"/>
        <v>3150*1700*1070</v>
      </c>
      <c r="R320" s="36" t="str">
        <f t="shared" ca="1" si="89"/>
        <v>2000*1250*500</v>
      </c>
      <c r="S320" s="34" t="str">
        <f>VLOOKUP(O320,ОТТС!$A$2:$B$3,2,0)</f>
        <v>ТС KZ Е-KZ.0317.00251 от 28.02.2023</v>
      </c>
      <c r="T320" s="39">
        <v>400000</v>
      </c>
      <c r="U320" s="36" t="str">
        <f t="shared" si="82"/>
        <v>Алматы</v>
      </c>
    </row>
    <row r="321" spans="1:21" ht="13.2">
      <c r="A321" s="34">
        <v>1498</v>
      </c>
      <c r="B321" s="35">
        <f>VLOOKUP(A321,'Реестр договоров'!$A$2:$D$508,2,0)</f>
        <v>45734</v>
      </c>
      <c r="C321" s="36" t="str">
        <f t="shared" si="73"/>
        <v>Амиров</v>
      </c>
      <c r="D321" s="36" t="str">
        <f t="shared" si="74"/>
        <v>Ренат</v>
      </c>
      <c r="E321" s="36" t="str">
        <f t="shared" si="87"/>
        <v>Айратович</v>
      </c>
      <c r="F321" s="36" t="str">
        <f t="shared" si="75"/>
        <v>019333736</v>
      </c>
      <c r="G321" s="37">
        <f>VLOOKUP(F321,Покупатели!$F$2:$N$762,2,0)</f>
        <v>39063</v>
      </c>
      <c r="H321" s="36" t="str">
        <f>VLOOKUP(F321,Покупатели!$F$2:$N$762,3,0)</f>
        <v>МЮ РК</v>
      </c>
      <c r="I321" s="36">
        <f>VLOOKUP(C321,Покупатели!$C$2:$M$805,7,0)</f>
        <v>611003350131</v>
      </c>
      <c r="J321" s="36" t="str">
        <f ca="1">IFERROR(__xludf.DUMMYFUNCTION("JOIN("" "", VLOOKUP(C321,Покупатели,8,0),VLOOKUP(C321,Покупатели,9,0),VLOOKUP(C321,Покупатели,10,0),VLOOKUP(C321,Покупатели,11,0))"),"Акмолинская обл. Астраханский р-н, с.Астраханка ул.Достык д.98")</f>
        <v>Акмолинская обл. Астраханский р-н, с.Астраханка ул.Достык д.98</v>
      </c>
      <c r="K321" s="36">
        <f t="shared" si="76"/>
        <v>87778695258</v>
      </c>
      <c r="L321" s="36" t="str">
        <f t="shared" si="77"/>
        <v>MX4000002S0002011</v>
      </c>
      <c r="M321" s="36" t="str">
        <f t="shared" ca="1" si="84"/>
        <v>002-2513E50Q13-OK</v>
      </c>
      <c r="N321" s="36" t="str">
        <f t="shared" si="83"/>
        <v>Прицеп 2,5*1,25 м  (до 750 кг.)</v>
      </c>
      <c r="O321" s="36" t="str">
        <f t="shared" si="78"/>
        <v>1 ось</v>
      </c>
      <c r="P321" s="36">
        <f t="shared" si="79"/>
        <v>2025</v>
      </c>
      <c r="Q321" s="36" t="str">
        <f t="shared" ca="1" si="88"/>
        <v>3650*1700*1070</v>
      </c>
      <c r="R321" s="36" t="str">
        <f t="shared" ca="1" si="89"/>
        <v>2500*1250*500</v>
      </c>
      <c r="S321" s="34" t="str">
        <f>VLOOKUP(O321,ОТТС!$A$2:$B$3,2,0)</f>
        <v>ТС KZ Е-KZ.0317.00251 от 28.02.2023</v>
      </c>
      <c r="T321" s="39">
        <v>440000</v>
      </c>
      <c r="U321" s="36" t="str">
        <f t="shared" si="82"/>
        <v>Астана</v>
      </c>
    </row>
    <row r="322" spans="1:21" ht="13.2">
      <c r="A322" s="34">
        <v>1499</v>
      </c>
      <c r="B322" s="35">
        <f>VLOOKUP(A322,'Реестр договоров'!$A$2:$D$508,2,0)</f>
        <v>45734</v>
      </c>
      <c r="C322" s="36" t="str">
        <f t="shared" ref="C322:C385" si="90">VLOOKUP(A322,Реестр_Договоров,3,0)</f>
        <v>Досжанов</v>
      </c>
      <c r="D322" s="36" t="str">
        <f t="shared" ref="D322:D385" si="91">VLOOKUP(C322,Покупатели,2,0)</f>
        <v>Тимур</v>
      </c>
      <c r="E322" s="36" t="str">
        <f t="shared" si="87"/>
        <v>Бакытбаевич</v>
      </c>
      <c r="F322" s="36" t="str">
        <f t="shared" ref="F322:F385" si="92">VLOOKUP(C322,Покупатели,4,0)</f>
        <v>050360597</v>
      </c>
      <c r="G322" s="37">
        <f>VLOOKUP(F322,Покупатели!$F$2:$N$762,2,0)</f>
        <v>44648</v>
      </c>
      <c r="H322" s="36" t="str">
        <f>VLOOKUP(F322,Покупатели!$F$2:$N$762,3,0)</f>
        <v>МВД РК</v>
      </c>
      <c r="I322" s="36">
        <f>VLOOKUP(C322,Покупатели!$C$2:$M$805,7,0)</f>
        <v>720420300985</v>
      </c>
      <c r="J322" s="36" t="str">
        <f ca="1">IFERROR(__xludf.DUMMYFUNCTION("JOIN("" "", VLOOKUP(C322,Покупатели,8,0),VLOOKUP(C322,Покупатели,9,0),VLOOKUP(C322,Покупатели,10,0),VLOOKUP(C322,Покупатели,11,0))"),"Жетысуская область, Ескельдинский район, с. Шымыр, ул. Абая,  д.12")</f>
        <v>Жетысуская область, Ескельдинский район, с. Шымыр, ул. Абая,  д.12</v>
      </c>
      <c r="K322" s="36">
        <f t="shared" ref="K322:K385" si="93">VLOOKUP(C322,Покупатели,12,0)</f>
        <v>87073846007</v>
      </c>
      <c r="L322" s="36" t="str">
        <f t="shared" ref="L322:L385" si="94">VLOOKUP(A322,Реестр_Договоров,4,0)</f>
        <v>MX4000002S0001885</v>
      </c>
      <c r="M322" s="36" t="str">
        <f t="shared" ca="1" si="84"/>
        <v>002-2013E30Q13-OK</v>
      </c>
      <c r="N322" s="36" t="str">
        <f t="shared" si="83"/>
        <v>Прицеп 2,0*1,25 м  (до 750 кг.)</v>
      </c>
      <c r="O322" s="36" t="str">
        <f t="shared" ref="O322:O385" si="95">VLOOKUP(L322,ПРИЦЕПЫ,10,0)</f>
        <v>1 ось</v>
      </c>
      <c r="P322" s="36">
        <f t="shared" ref="P322:P385" si="96">YEAR(VLOOKUP(L322,ПРИЦЕПЫ,7,0))</f>
        <v>2025</v>
      </c>
      <c r="Q322" s="36" t="str">
        <f t="shared" ca="1" si="88"/>
        <v>3150*1700*900</v>
      </c>
      <c r="R322" s="36" t="str">
        <f t="shared" ca="1" si="89"/>
        <v>2000*1250*300</v>
      </c>
      <c r="S322" s="34" t="str">
        <f>VLOOKUP(O322,ОТТС!$A$2:$B$3,2,0)</f>
        <v>ТС KZ Е-KZ.0317.00251 от 28.02.2023</v>
      </c>
      <c r="T322" s="39">
        <v>320000</v>
      </c>
      <c r="U322" s="36" t="str">
        <f t="shared" si="82"/>
        <v>Алматы</v>
      </c>
    </row>
    <row r="323" spans="1:21" ht="13.2">
      <c r="A323" s="34">
        <v>1500</v>
      </c>
      <c r="B323" s="35">
        <f>VLOOKUP(A323,'Реестр договоров'!$A$2:$D$508,2,0)</f>
        <v>45734</v>
      </c>
      <c r="C323" s="36" t="str">
        <f t="shared" si="90"/>
        <v>Ондаш</v>
      </c>
      <c r="D323" s="36" t="str">
        <f t="shared" si="91"/>
        <v>Бахытжан</v>
      </c>
      <c r="E323" s="36">
        <f t="shared" si="87"/>
        <v>0</v>
      </c>
      <c r="F323" s="36" t="str">
        <f t="shared" si="92"/>
        <v>047288183</v>
      </c>
      <c r="G323" s="37">
        <f>VLOOKUP(F323,Покупатели!$F$2:$N$762,2,0)</f>
        <v>44130</v>
      </c>
      <c r="H323" s="36" t="str">
        <f>VLOOKUP(F323,Покупатели!$F$2:$N$762,3,0)</f>
        <v>МВД РК</v>
      </c>
      <c r="I323" s="36">
        <f>VLOOKUP(C323,Покупатели!$C$2:$M$805,7,0)</f>
        <v>730829301304</v>
      </c>
      <c r="J323" s="36" t="str">
        <f ca="1">IFERROR(__xludf.DUMMYFUNCTION("JOIN("" "", VLOOKUP(C323,Покупатели,8,0),VLOOKUP(C323,Покупатели,9,0),VLOOKUP(C323,Покупатели,10,0),VLOOKUP(C323,Покупатели,11,0))"),"г. Алматы, Бостандыкский район,  ул.Рыскулбекова,  д.28/1, кв. 63")</f>
        <v>г. Алматы, Бостандыкский район,  ул.Рыскулбекова,  д.28/1, кв. 63</v>
      </c>
      <c r="K323" s="36">
        <f t="shared" si="93"/>
        <v>87017162828</v>
      </c>
      <c r="L323" s="36" t="str">
        <f t="shared" si="94"/>
        <v>MX4000002R0001873</v>
      </c>
      <c r="M323" s="36" t="str">
        <f t="shared" ca="1" si="84"/>
        <v>002-2013E50Q13-OK</v>
      </c>
      <c r="N323" s="36" t="str">
        <f t="shared" si="83"/>
        <v>Прицеп 2,0*1,25 м  (до 750 кг.)</v>
      </c>
      <c r="O323" s="36" t="str">
        <f t="shared" si="95"/>
        <v>1 ось</v>
      </c>
      <c r="P323" s="36">
        <f t="shared" si="96"/>
        <v>2024</v>
      </c>
      <c r="Q323" s="36" t="str">
        <f t="shared" ca="1" si="88"/>
        <v>3150*1700*1070</v>
      </c>
      <c r="R323" s="36" t="str">
        <f t="shared" ca="1" si="89"/>
        <v>2000*1250*500</v>
      </c>
      <c r="S323" s="34" t="str">
        <f>VLOOKUP(O323,ОТТС!$A$2:$B$3,2,0)</f>
        <v>ТС KZ Е-KZ.0317.00251 от 28.02.2023</v>
      </c>
      <c r="T323" s="39">
        <v>340000</v>
      </c>
      <c r="U323" s="36" t="str">
        <f t="shared" si="82"/>
        <v>Алматы</v>
      </c>
    </row>
    <row r="324" spans="1:21" ht="13.2">
      <c r="A324" s="34">
        <v>1501</v>
      </c>
      <c r="B324" s="35">
        <f>VLOOKUP(A324,'Реестр договоров'!$A$2:$D$508,2,0)</f>
        <v>45735</v>
      </c>
      <c r="C324" s="36" t="str">
        <f t="shared" si="90"/>
        <v>Синдирбаев</v>
      </c>
      <c r="D324" s="36" t="str">
        <f t="shared" si="91"/>
        <v>Исагалы</v>
      </c>
      <c r="E324" s="36" t="str">
        <f t="shared" si="87"/>
        <v>Турагалиевич</v>
      </c>
      <c r="F324" s="36" t="str">
        <f t="shared" si="92"/>
        <v>037807207</v>
      </c>
      <c r="G324" s="37">
        <f>VLOOKUP(F324,Покупатели!$F$2:$N$762,2,0)</f>
        <v>42107</v>
      </c>
      <c r="H324" s="36" t="str">
        <f>VLOOKUP(F324,Покупатели!$F$2:$N$762,3,0)</f>
        <v>МВД РК</v>
      </c>
      <c r="I324" s="36">
        <f>VLOOKUP(C324,Покупатели!$C$2:$M$805,7,0)</f>
        <v>740109303229</v>
      </c>
      <c r="J324" s="36" t="str">
        <f ca="1">IFERROR(__xludf.DUMMYFUNCTION("JOIN("" "", VLOOKUP(C324,Покупатели,8,0),VLOOKUP(C324,Покупатели,9,0),VLOOKUP(C324,Покупатели,10,0),VLOOKUP(C324,Покупатели,11,0))"),"Алматинская обл., Жамбыльский район, с.Каргалы ул.Молдабекова д.67")</f>
        <v>Алматинская обл., Жамбыльский район, с.Каргалы ул.Молдабекова д.67</v>
      </c>
      <c r="K324" s="36">
        <f t="shared" si="93"/>
        <v>87025503771</v>
      </c>
      <c r="L324" s="36" t="str">
        <f t="shared" si="94"/>
        <v>MX4000002S0001881</v>
      </c>
      <c r="M324" s="36" t="str">
        <f t="shared" ca="1" si="84"/>
        <v>002-2013E50Q13-OK</v>
      </c>
      <c r="N324" s="36" t="str">
        <f t="shared" si="83"/>
        <v>Прицеп 2,0*1,25 м  (до 750 кг.)</v>
      </c>
      <c r="O324" s="36" t="str">
        <f t="shared" si="95"/>
        <v>1 ось</v>
      </c>
      <c r="P324" s="36">
        <f t="shared" si="96"/>
        <v>2025</v>
      </c>
      <c r="Q324" s="36" t="str">
        <f t="shared" ca="1" si="88"/>
        <v>3150*1700*1070</v>
      </c>
      <c r="R324" s="36" t="str">
        <f t="shared" ca="1" si="89"/>
        <v>2000*1250*500</v>
      </c>
      <c r="S324" s="34" t="str">
        <f>VLOOKUP(O324,ОТТС!$A$2:$B$3,2,0)</f>
        <v>ТС KZ Е-KZ.0317.00251 от 28.02.2023</v>
      </c>
      <c r="T324" s="39">
        <v>380000</v>
      </c>
      <c r="U324" s="36" t="str">
        <f t="shared" si="82"/>
        <v>Алматы</v>
      </c>
    </row>
    <row r="325" spans="1:21" ht="13.2">
      <c r="A325" s="34">
        <v>1502</v>
      </c>
      <c r="B325" s="35">
        <f>VLOOKUP(A325,'Реестр договоров'!$A$2:$D$508,2,0)</f>
        <v>45736</v>
      </c>
      <c r="C325" s="36" t="str">
        <f t="shared" si="90"/>
        <v>Вагнер</v>
      </c>
      <c r="D325" s="36" t="str">
        <f t="shared" si="91"/>
        <v>Андрей</v>
      </c>
      <c r="E325" s="36" t="str">
        <f t="shared" si="87"/>
        <v>Филиппович</v>
      </c>
      <c r="F325" s="36" t="str">
        <f t="shared" si="92"/>
        <v>048713220</v>
      </c>
      <c r="G325" s="37">
        <f>VLOOKUP(F325,Покупатели!$F$2:$N$762,2,0)</f>
        <v>44082</v>
      </c>
      <c r="H325" s="36" t="str">
        <f>VLOOKUP(F325,Покупатели!$F$2:$N$762,3,0)</f>
        <v>МВД РК</v>
      </c>
      <c r="I325" s="36">
        <f>VLOOKUP(C325,Покупатели!$C$2:$M$805,7,0)</f>
        <v>720414301514</v>
      </c>
      <c r="J325" s="36" t="str">
        <f ca="1">IFERROR(__xludf.DUMMYFUNCTION("JOIN("" "", VLOOKUP(C325,Покупатели,8,0),VLOOKUP(C325,Покупатели,9,0),VLOOKUP(C325,Покупатели,10,0),VLOOKUP(C325,Покупатели,11,0))"),"Акмолинская обл, Шортандинский р-н, с.Петровка ул.Толе би д.29")</f>
        <v>Акмолинская обл, Шортандинский р-н, с.Петровка ул.Толе би д.29</v>
      </c>
      <c r="K325" s="36">
        <f t="shared" si="93"/>
        <v>87470307352</v>
      </c>
      <c r="L325" s="36" t="str">
        <f t="shared" si="94"/>
        <v>MX4000002S0002047</v>
      </c>
      <c r="M325" s="36" t="str">
        <f t="shared" ca="1" si="84"/>
        <v>002-2013E50Q13-OK</v>
      </c>
      <c r="N325" s="36" t="str">
        <f t="shared" si="83"/>
        <v>Прицеп 2,0*1,25 м  (до 750 кг.)</v>
      </c>
      <c r="O325" s="36" t="str">
        <f t="shared" si="95"/>
        <v>1 ось</v>
      </c>
      <c r="P325" s="36">
        <f t="shared" si="96"/>
        <v>2025</v>
      </c>
      <c r="Q325" s="36" t="str">
        <f t="shared" ca="1" si="88"/>
        <v>3150*1700*1070</v>
      </c>
      <c r="R325" s="36" t="str">
        <f t="shared" ca="1" si="89"/>
        <v>2000*1250*500</v>
      </c>
      <c r="S325" s="34" t="str">
        <f>VLOOKUP(O325,ОТТС!$A$2:$B$3,2,0)</f>
        <v>ТС KZ Е-KZ.0317.00251 от 28.02.2023</v>
      </c>
      <c r="T325" s="39">
        <v>420000</v>
      </c>
      <c r="U325" s="36" t="str">
        <f t="shared" si="82"/>
        <v>Кокшетау</v>
      </c>
    </row>
    <row r="326" spans="1:21" ht="13.2">
      <c r="A326" s="34">
        <v>1503</v>
      </c>
      <c r="B326" s="35">
        <f>VLOOKUP(A326,'Реестр договоров'!$A$2:$D$508,2,0)</f>
        <v>45735</v>
      </c>
      <c r="C326" s="36" t="str">
        <f t="shared" si="90"/>
        <v>Османов</v>
      </c>
      <c r="D326" s="36" t="str">
        <f t="shared" si="91"/>
        <v>Давыд</v>
      </c>
      <c r="E326" s="36" t="str">
        <f t="shared" si="87"/>
        <v>Афизович</v>
      </c>
      <c r="F326" s="36" t="str">
        <f t="shared" si="92"/>
        <v>023401447</v>
      </c>
      <c r="G326" s="37">
        <f>VLOOKUP(F326,Покупатели!$F$2:$N$762,2,0)</f>
        <v>39849</v>
      </c>
      <c r="H326" s="36" t="str">
        <f>VLOOKUP(F326,Покупатели!$F$2:$N$762,3,0)</f>
        <v>МЮ РК</v>
      </c>
      <c r="I326" s="36">
        <f>VLOOKUP(C326,Покупатели!$C$2:$M$805,7,0)</f>
        <v>831025300276</v>
      </c>
      <c r="J326" s="36" t="str">
        <f ca="1">IFERROR(__xludf.DUMMYFUNCTION("JOIN("" "", VLOOKUP(C326,Покупатели,8,0),VLOOKUP(C326,Покупатели,9,0),VLOOKUP(C326,Покупатели,10,0),VLOOKUP(C326,Покупатели,11,0))"),"Алматинская область, Илийский район, с. Екпинды, ул.Алгазиева, д. 37")</f>
        <v>Алматинская область, Илийский район, с. Екпинды, ул.Алгазиева, д. 37</v>
      </c>
      <c r="K326" s="36">
        <f t="shared" si="93"/>
        <v>87758277246</v>
      </c>
      <c r="L326" s="36" t="str">
        <f t="shared" si="94"/>
        <v>MX4000004R0001866</v>
      </c>
      <c r="M326" s="36" t="str">
        <f t="shared" ca="1" si="84"/>
        <v>002-2515E30Q13-OK</v>
      </c>
      <c r="N326" s="36" t="str">
        <f t="shared" si="83"/>
        <v>Прицеп 2,5*1,5 м  (до 750 кг.)</v>
      </c>
      <c r="O326" s="36" t="str">
        <f t="shared" si="95"/>
        <v>2 оси</v>
      </c>
      <c r="P326" s="36">
        <f t="shared" si="96"/>
        <v>2024</v>
      </c>
      <c r="Q326" s="36" t="str">
        <f t="shared" ca="1" si="88"/>
        <v>3650*1950*900</v>
      </c>
      <c r="R326" s="36" t="str">
        <f t="shared" ca="1" si="89"/>
        <v>2500*1500*300</v>
      </c>
      <c r="S326" s="34" t="str">
        <f>VLOOKUP(O326,ОТТС!$A$2:$B$3,2,0)</f>
        <v>ТС KZ Е-KZ.0317.00219.П1 от 17.07.2025</v>
      </c>
      <c r="T326" s="39">
        <v>720000</v>
      </c>
      <c r="U326" s="36" t="str">
        <f t="shared" si="82"/>
        <v>Алматы</v>
      </c>
    </row>
    <row r="327" spans="1:21" ht="13.2">
      <c r="A327" s="34">
        <v>1504</v>
      </c>
      <c r="B327" s="35">
        <f>VLOOKUP(A327,'Реестр договоров'!$A$2:$D$508,2,0)</f>
        <v>45736</v>
      </c>
      <c r="C327" s="36" t="str">
        <f t="shared" si="90"/>
        <v>Сумина</v>
      </c>
      <c r="D327" s="36" t="str">
        <f t="shared" si="91"/>
        <v>Кристина</v>
      </c>
      <c r="E327" s="36" t="str">
        <f t="shared" si="87"/>
        <v>Сергеевна</v>
      </c>
      <c r="F327" s="36" t="str">
        <f t="shared" si="92"/>
        <v>042289370</v>
      </c>
      <c r="G327" s="37">
        <f>VLOOKUP(F327,Покупатели!$F$2:$N$762,2,0)</f>
        <v>42768</v>
      </c>
      <c r="H327" s="36" t="str">
        <f>VLOOKUP(F327,Покупатели!$F$2:$N$762,3,0)</f>
        <v>МВД РК</v>
      </c>
      <c r="I327" s="36" t="str">
        <f>VLOOKUP(C327,Покупатели!$C$2:$M$805,7,0)</f>
        <v>000701651084</v>
      </c>
      <c r="J327" s="36" t="str">
        <f ca="1">IFERROR(__xludf.DUMMYFUNCTION("JOIN("" "", VLOOKUP(C327,Покупатели,8,0),VLOOKUP(C327,Покупатели,9,0),VLOOKUP(C327,Покупатели,10,0),VLOOKUP(C327,Покупатели,11,0))"),"Акмолинская область, г. Кокшетау,  ул. Айдын, д.38")</f>
        <v>Акмолинская область, г. Кокшетау,  ул. Айдын, д.38</v>
      </c>
      <c r="K327" s="36">
        <f t="shared" si="93"/>
        <v>87022054124</v>
      </c>
      <c r="L327" s="36" t="str">
        <f t="shared" si="94"/>
        <v>MX4000002S0002046</v>
      </c>
      <c r="M327" s="36" t="str">
        <f t="shared" ca="1" si="84"/>
        <v>002-2513E30Q13-OK</v>
      </c>
      <c r="N327" s="36" t="str">
        <f t="shared" si="83"/>
        <v>Прицеп 2,5*1,25 м  (до 750 кг.)</v>
      </c>
      <c r="O327" s="36" t="str">
        <f t="shared" si="95"/>
        <v>1 ось</v>
      </c>
      <c r="P327" s="36">
        <f t="shared" si="96"/>
        <v>2025</v>
      </c>
      <c r="Q327" s="36" t="str">
        <f t="shared" ca="1" si="88"/>
        <v>3650*1700*900</v>
      </c>
      <c r="R327" s="36" t="str">
        <f t="shared" ca="1" si="89"/>
        <v>2500*1250*300</v>
      </c>
      <c r="S327" s="34" t="str">
        <f>VLOOKUP(O327,ОТТС!$A$2:$B$3,2,0)</f>
        <v>ТС KZ Е-KZ.0317.00251 от 28.02.2023</v>
      </c>
      <c r="T327" s="39">
        <v>410000</v>
      </c>
      <c r="U327" s="36" t="str">
        <f t="shared" si="82"/>
        <v>Кокшетау</v>
      </c>
    </row>
    <row r="328" spans="1:21" ht="13.2">
      <c r="A328" s="34">
        <v>1505</v>
      </c>
      <c r="B328" s="35">
        <f>VLOOKUP(A328,'Реестр договоров'!$A$2:$D$508,2,0)</f>
        <v>45736</v>
      </c>
      <c r="C328" s="36" t="str">
        <f t="shared" si="90"/>
        <v>Дикамбаев</v>
      </c>
      <c r="D328" s="36" t="str">
        <f t="shared" si="91"/>
        <v>Марлен</v>
      </c>
      <c r="E328" s="36" t="str">
        <f t="shared" si="87"/>
        <v>Джаикович</v>
      </c>
      <c r="F328" s="36" t="str">
        <f t="shared" si="92"/>
        <v>053985647</v>
      </c>
      <c r="G328" s="37">
        <f>VLOOKUP(F328,Покупатели!$F$2:$N$762,2,0)</f>
        <v>45135</v>
      </c>
      <c r="H328" s="36" t="str">
        <f>VLOOKUP(F328,Покупатели!$F$2:$N$762,3,0)</f>
        <v>МВД РК</v>
      </c>
      <c r="I328" s="36">
        <f>VLOOKUP(C328,Покупатели!$C$2:$M$805,7,0)</f>
        <v>880615301737</v>
      </c>
      <c r="J328" s="36" t="str">
        <f ca="1">IFERROR(__xludf.DUMMYFUNCTION("JOIN("" "", VLOOKUP(C328,Покупатели,8,0),VLOOKUP(C328,Покупатели,9,0),VLOOKUP(C328,Покупатели,10,0),VLOOKUP(C328,Покупатели,11,0))"),"Алматинская область, Талгарский район, с. Жибек Жолы, ул. Райымбек батыра, д.168")</f>
        <v>Алматинская область, Талгарский район, с. Жибек Жолы, ул. Райымбек батыра, д.168</v>
      </c>
      <c r="K328" s="36">
        <f t="shared" si="93"/>
        <v>87072408836</v>
      </c>
      <c r="L328" s="36" t="str">
        <f t="shared" si="94"/>
        <v>MX4000002R0001862</v>
      </c>
      <c r="M328" s="36" t="str">
        <f t="shared" ca="1" si="84"/>
        <v>002-2013E50Q13-OK</v>
      </c>
      <c r="N328" s="36" t="str">
        <f t="shared" si="83"/>
        <v>Прицеп 2,0*1,25 м  (до 750 кг.)</v>
      </c>
      <c r="O328" s="36" t="str">
        <f t="shared" si="95"/>
        <v>1 ось</v>
      </c>
      <c r="P328" s="36">
        <f t="shared" si="96"/>
        <v>2024</v>
      </c>
      <c r="Q328" s="36" t="str">
        <f t="shared" ca="1" si="88"/>
        <v>3150*1700*1070</v>
      </c>
      <c r="R328" s="36" t="str">
        <f t="shared" ca="1" si="89"/>
        <v>2000*1250*500</v>
      </c>
      <c r="S328" s="34" t="str">
        <f>VLOOKUP(O328,ОТТС!$A$2:$B$3,2,0)</f>
        <v>ТС KZ Е-KZ.0317.00251 от 28.02.2023</v>
      </c>
      <c r="T328" s="39">
        <v>340000</v>
      </c>
      <c r="U328" s="36" t="str">
        <f t="shared" si="82"/>
        <v>Алматы</v>
      </c>
    </row>
    <row r="329" spans="1:21" ht="13.2">
      <c r="A329" s="34">
        <v>1507</v>
      </c>
      <c r="B329" s="35">
        <f>VLOOKUP(A329,'Реестр договоров'!$A$2:$D$508,2,0)</f>
        <v>45736</v>
      </c>
      <c r="C329" s="36" t="str">
        <f t="shared" si="90"/>
        <v>Саркушеков</v>
      </c>
      <c r="D329" s="36" t="str">
        <f t="shared" si="91"/>
        <v>Бауржан</v>
      </c>
      <c r="E329" s="36" t="str">
        <f t="shared" si="87"/>
        <v>Муратович</v>
      </c>
      <c r="F329" s="36" t="str">
        <f t="shared" si="92"/>
        <v>057163634</v>
      </c>
      <c r="G329" s="37">
        <f>VLOOKUP(F329,Покупатели!$F$2:$N$762,2,0)</f>
        <v>45307</v>
      </c>
      <c r="H329" s="36" t="str">
        <f>VLOOKUP(F329,Покупатели!$F$2:$N$762,3,0)</f>
        <v>МВД РК</v>
      </c>
      <c r="I329" s="36">
        <f>VLOOKUP(C329,Покупатели!$C$2:$M$805,7,0)</f>
        <v>871006300075</v>
      </c>
      <c r="J329" s="36" t="str">
        <f ca="1">IFERROR(__xludf.DUMMYFUNCTION("JOIN("" "", VLOOKUP(C329,Покупатели,8,0),VLOOKUP(C329,Покупатели,9,0),VLOOKUP(C329,Покупатели,10,0),VLOOKUP(C329,Покупатели,11,0))"),"г.Астана р-н Нура, ул.Омарова д.3, кв.61")</f>
        <v>г.Астана р-н Нура, ул.Омарова д.3, кв.61</v>
      </c>
      <c r="K329" s="36">
        <f t="shared" si="93"/>
        <v>87475670747</v>
      </c>
      <c r="L329" s="36" t="str">
        <f t="shared" si="94"/>
        <v>MX4000002S0002019</v>
      </c>
      <c r="M329" s="36" t="str">
        <f t="shared" ca="1" si="84"/>
        <v>002-2013E50Q13-OK60</v>
      </c>
      <c r="N329" s="36" t="str">
        <f t="shared" si="83"/>
        <v>Прицеп 2,0*1,25 м  (до 750 кг.)</v>
      </c>
      <c r="O329" s="36" t="str">
        <f t="shared" si="95"/>
        <v>1 ось</v>
      </c>
      <c r="P329" s="36">
        <f t="shared" si="96"/>
        <v>2025</v>
      </c>
      <c r="Q329" s="36" t="str">
        <f t="shared" ca="1" si="88"/>
        <v>3150*1700*1070</v>
      </c>
      <c r="R329" s="36" t="str">
        <f t="shared" ca="1" si="89"/>
        <v>2000*1250*500</v>
      </c>
      <c r="S329" s="34" t="str">
        <f>VLOOKUP(O329,ОТТС!$A$2:$B$3,2,0)</f>
        <v>ТС KZ Е-KZ.0317.00251 от 28.02.2023</v>
      </c>
      <c r="T329" s="39">
        <v>400000</v>
      </c>
      <c r="U329" s="36" t="str">
        <f t="shared" si="82"/>
        <v>Астана</v>
      </c>
    </row>
    <row r="330" spans="1:21" ht="13.2">
      <c r="A330" s="34">
        <v>1508</v>
      </c>
      <c r="B330" s="35">
        <f>VLOOKUP(A330,'Реестр договоров'!$A$2:$D$508,2,0)</f>
        <v>45757</v>
      </c>
      <c r="C330" s="36" t="str">
        <f t="shared" si="90"/>
        <v>Соломеин</v>
      </c>
      <c r="D330" s="36" t="str">
        <f t="shared" si="91"/>
        <v>Дмитрий</v>
      </c>
      <c r="E330" s="36" t="str">
        <f t="shared" si="87"/>
        <v>Александрович</v>
      </c>
      <c r="F330" s="36" t="str">
        <f t="shared" si="92"/>
        <v>048498671</v>
      </c>
      <c r="G330" s="37">
        <f>VLOOKUP(F330,Покупатели!$F$2:$N$762,2,0)</f>
        <v>44343</v>
      </c>
      <c r="H330" s="36" t="str">
        <f>VLOOKUP(F330,Покупатели!$F$2:$N$762,3,0)</f>
        <v>МВД РК</v>
      </c>
      <c r="I330" s="36">
        <f>VLOOKUP(C330,Покупатели!$C$2:$M$805,7,0)</f>
        <v>790916302831</v>
      </c>
      <c r="J330" s="36" t="str">
        <f ca="1">IFERROR(__xludf.DUMMYFUNCTION("JOIN("" "", VLOOKUP(C330,Покупатели,8,0),VLOOKUP(C330,Покупатели,9,0),VLOOKUP(C330,Покупатели,10,0),VLOOKUP(C330,Покупатели,11,0))"),"Алматинская область, г.Алматы, ул. Рудаки, д.69")</f>
        <v>Алматинская область, г.Алматы, ул. Рудаки, д.69</v>
      </c>
      <c r="K330" s="36">
        <f t="shared" si="93"/>
        <v>87075458443</v>
      </c>
      <c r="L330" s="36" t="str">
        <f t="shared" si="94"/>
        <v>MX4000002R0001861</v>
      </c>
      <c r="M330" s="36" t="str">
        <f t="shared" ca="1" si="84"/>
        <v>002-2013E50Q13-OK</v>
      </c>
      <c r="N330" s="36" t="str">
        <f t="shared" si="83"/>
        <v>Прицеп 2,0*1,25 м  (до 750 кг.)</v>
      </c>
      <c r="O330" s="36" t="str">
        <f t="shared" si="95"/>
        <v>1 ось</v>
      </c>
      <c r="P330" s="36">
        <f t="shared" si="96"/>
        <v>2024</v>
      </c>
      <c r="Q330" s="36" t="str">
        <f t="shared" ca="1" si="88"/>
        <v>3150*1700*1070</v>
      </c>
      <c r="R330" s="36" t="str">
        <f t="shared" ca="1" si="89"/>
        <v>2000*1250*500</v>
      </c>
      <c r="S330" s="34" t="str">
        <f>VLOOKUP(O330,ОТТС!$A$2:$B$3,2,0)</f>
        <v>ТС KZ Е-KZ.0317.00251 от 28.02.2023</v>
      </c>
      <c r="T330" s="39">
        <v>380000</v>
      </c>
      <c r="U330" s="36" t="str">
        <f t="shared" si="82"/>
        <v>Алматы</v>
      </c>
    </row>
    <row r="331" spans="1:21" ht="13.2">
      <c r="A331" s="34">
        <v>1509</v>
      </c>
      <c r="B331" s="35">
        <f>VLOOKUP(A331,'Реестр договоров'!$A$2:$D$508,2,0)</f>
        <v>45740</v>
      </c>
      <c r="C331" s="36" t="str">
        <f t="shared" si="90"/>
        <v>Турениязов</v>
      </c>
      <c r="D331" s="36" t="str">
        <f t="shared" si="91"/>
        <v>Мирамбек</v>
      </c>
      <c r="E331" s="36" t="str">
        <f t="shared" si="87"/>
        <v>Куралтаевич</v>
      </c>
      <c r="F331" s="36" t="str">
        <f t="shared" si="92"/>
        <v>046914155</v>
      </c>
      <c r="G331" s="37">
        <f>VLOOKUP(F331,Покупатели!$F$2:$N$762,2,0)</f>
        <v>44076</v>
      </c>
      <c r="H331" s="36" t="str">
        <f>VLOOKUP(F331,Покупатели!$F$2:$N$762,3,0)</f>
        <v>МВД РК</v>
      </c>
      <c r="I331" s="36">
        <f>VLOOKUP(C331,Покупатели!$C$2:$M$805,7,0)</f>
        <v>870426302171</v>
      </c>
      <c r="J331" s="36" t="str">
        <f ca="1">IFERROR(__xludf.DUMMYFUNCTION("JOIN("" "", VLOOKUP(C331,Покупатели,8,0),VLOOKUP(C331,Покупатели,9,0),VLOOKUP(C331,Покупатели,10,0),VLOOKUP(C331,Покупатели,11,0))"),"Кызылординская область, с. Арал, ул. Курмангазы, д.2")</f>
        <v>Кызылординская область, с. Арал, ул. Курмангазы, д.2</v>
      </c>
      <c r="K331" s="36">
        <f t="shared" si="93"/>
        <v>87772410166</v>
      </c>
      <c r="L331" s="36" t="str">
        <f t="shared" si="94"/>
        <v>MX4000002R0001641</v>
      </c>
      <c r="M331" s="36" t="str">
        <f t="shared" ca="1" si="84"/>
        <v>002-2513E50Q13</v>
      </c>
      <c r="N331" s="36" t="str">
        <f t="shared" si="83"/>
        <v>Прицеп 2,5*1,25 м  (до 750 кг.)</v>
      </c>
      <c r="O331" s="36" t="str">
        <f t="shared" si="95"/>
        <v>1 ось</v>
      </c>
      <c r="P331" s="36">
        <f t="shared" si="96"/>
        <v>2024</v>
      </c>
      <c r="Q331" s="36" t="str">
        <f t="shared" ca="1" si="88"/>
        <v>3650*1700*1070</v>
      </c>
      <c r="R331" s="36" t="str">
        <f t="shared" ca="1" si="89"/>
        <v>2500*1250*500</v>
      </c>
      <c r="S331" s="34" t="str">
        <f>VLOOKUP(O331,ОТТС!$A$2:$B$3,2,0)</f>
        <v>ТС KZ Е-KZ.0317.00251 от 28.02.2023</v>
      </c>
      <c r="T331" s="39">
        <v>390000</v>
      </c>
      <c r="U331" s="36" t="str">
        <f t="shared" si="82"/>
        <v>Алматы</v>
      </c>
    </row>
    <row r="332" spans="1:21" ht="13.2">
      <c r="A332" s="34">
        <v>1510</v>
      </c>
      <c r="B332" s="35">
        <f>VLOOKUP(A332,'Реестр договоров'!$A$2:$D$508,2,0)</f>
        <v>45741</v>
      </c>
      <c r="C332" s="36" t="str">
        <f t="shared" si="90"/>
        <v>Даурбаев</v>
      </c>
      <c r="D332" s="36" t="str">
        <f t="shared" si="91"/>
        <v>Эдиль</v>
      </c>
      <c r="E332" s="36" t="str">
        <f t="shared" si="87"/>
        <v>Темиржанович</v>
      </c>
      <c r="F332" s="36" t="str">
        <f t="shared" si="92"/>
        <v>043498996</v>
      </c>
      <c r="G332" s="37">
        <f>VLOOKUP(F332,Покупатели!$F$2:$N$762,2,0)</f>
        <v>43040</v>
      </c>
      <c r="H332" s="36" t="str">
        <f>VLOOKUP(F332,Покупатели!$F$2:$N$762,3,0)</f>
        <v>МВД РК</v>
      </c>
      <c r="I332" s="36">
        <f>VLOOKUP(C332,Покупатели!$C$2:$M$805,7,0)</f>
        <v>841123351516</v>
      </c>
      <c r="J332" s="36" t="str">
        <f ca="1">IFERROR(__xludf.DUMMYFUNCTION("JOIN("" "", VLOOKUP(C332,Покупатели,8,0),VLOOKUP(C332,Покупатели,9,0),VLOOKUP(C332,Покупатели,10,0),VLOOKUP(C332,Покупатели,11,0))"),"г.Астана р-н Нура ул.Толе-би д.61, кв.185")</f>
        <v>г.Астана р-н Нура ул.Толе-би д.61, кв.185</v>
      </c>
      <c r="K332" s="36">
        <f t="shared" si="93"/>
        <v>87751709261</v>
      </c>
      <c r="L332" s="36" t="str">
        <f t="shared" si="94"/>
        <v>MX4000002S0002023</v>
      </c>
      <c r="M332" s="36" t="str">
        <f t="shared" ca="1" si="84"/>
        <v>002-2013E50Q13-OK</v>
      </c>
      <c r="N332" s="36" t="str">
        <f t="shared" si="83"/>
        <v>Прицеп 2,0*1,25 м  (до 750 кг.)</v>
      </c>
      <c r="O332" s="36" t="str">
        <f t="shared" si="95"/>
        <v>1 ось</v>
      </c>
      <c r="P332" s="36">
        <f t="shared" si="96"/>
        <v>2025</v>
      </c>
      <c r="Q332" s="36" t="str">
        <f t="shared" ca="1" si="88"/>
        <v>3150*1700*1070</v>
      </c>
      <c r="R332" s="36" t="str">
        <f t="shared" ca="1" si="89"/>
        <v>2000*1250*500</v>
      </c>
      <c r="S332" s="34" t="str">
        <f>VLOOKUP(O332,ОТТС!$A$2:$B$3,2,0)</f>
        <v>ТС KZ Е-KZ.0317.00251 от 28.02.2023</v>
      </c>
      <c r="T332" s="39">
        <v>370000</v>
      </c>
      <c r="U332" s="36" t="str">
        <f t="shared" si="82"/>
        <v>Астана</v>
      </c>
    </row>
    <row r="333" spans="1:21" ht="13.2">
      <c r="A333" s="34">
        <v>1511</v>
      </c>
      <c r="B333" s="35">
        <f>VLOOKUP(A333,'Реестр договоров'!$A$2:$D$508,2,0)</f>
        <v>45741</v>
      </c>
      <c r="C333" s="36" t="str">
        <f t="shared" si="90"/>
        <v>Бердиханова 2</v>
      </c>
      <c r="D333" s="36" t="str">
        <f t="shared" si="91"/>
        <v>Полаткалий</v>
      </c>
      <c r="E333" s="36" t="str">
        <f t="shared" si="87"/>
        <v>Нурдаулетович</v>
      </c>
      <c r="F333" s="36" t="str">
        <f t="shared" si="92"/>
        <v>055060113</v>
      </c>
      <c r="G333" s="37">
        <f>VLOOKUP(F333,Покупатели!$F$2:$N$762,2,0)</f>
        <v>45261</v>
      </c>
      <c r="H333" s="36" t="str">
        <f>VLOOKUP(F333,Покупатели!$F$2:$N$762,3,0)</f>
        <v>МВД РК</v>
      </c>
      <c r="I333" s="36">
        <f>VLOOKUP(C333,Покупатели!$C$2:$M$805,7,0)</f>
        <v>810522303061</v>
      </c>
      <c r="J333" s="36" t="str">
        <f ca="1">IFERROR(__xludf.DUMMYFUNCTION("JOIN("" "", VLOOKUP(C333,Покупатели,8,0),VLOOKUP(C333,Покупатели,9,0),VLOOKUP(C333,Покупатели,10,0),VLOOKUP(C333,Покупатели,11,0))"),"Жамбульская область Байзакский район, с.Сарыкемер ул.Орынкулова д.119а")</f>
        <v>Жамбульская область Байзакский район, с.Сарыкемер ул.Орынкулова д.119а</v>
      </c>
      <c r="K333" s="36">
        <f t="shared" si="93"/>
        <v>87087435052</v>
      </c>
      <c r="L333" s="36" t="str">
        <f t="shared" si="94"/>
        <v>MX4000002S0001880</v>
      </c>
      <c r="M333" s="36" t="str">
        <f t="shared" ca="1" si="84"/>
        <v>002-2013E30Q13-OK</v>
      </c>
      <c r="N333" s="36" t="str">
        <f t="shared" si="83"/>
        <v>Прицеп 2,0*1,25 м  (до 750 кг.)</v>
      </c>
      <c r="O333" s="36" t="str">
        <f t="shared" si="95"/>
        <v>1 ось</v>
      </c>
      <c r="P333" s="36">
        <f t="shared" si="96"/>
        <v>2025</v>
      </c>
      <c r="Q333" s="36" t="str">
        <f t="shared" ca="1" si="88"/>
        <v>3150*1700*900</v>
      </c>
      <c r="R333" s="36" t="str">
        <f t="shared" ref="R333:R364" ca="1" si="97">VLOOKUP(M333,матрица,17,0)</f>
        <v>2000*1250*300</v>
      </c>
      <c r="S333" s="34" t="str">
        <f>VLOOKUP(O333,ОТТС!$A$2:$B$3,2,0)</f>
        <v>ТС KZ Е-KZ.0317.00251 от 28.02.2023</v>
      </c>
      <c r="T333" s="39">
        <v>310000</v>
      </c>
      <c r="U333" s="36" t="str">
        <f t="shared" si="82"/>
        <v>Алматы</v>
      </c>
    </row>
    <row r="334" spans="1:21" ht="13.2">
      <c r="A334" s="34">
        <v>1512</v>
      </c>
      <c r="B334" s="35">
        <f>VLOOKUP(A334,'Реестр договоров'!$A$2:$D$508,2,0)</f>
        <v>45742</v>
      </c>
      <c r="C334" s="36" t="str">
        <f t="shared" si="90"/>
        <v>Попандопуло</v>
      </c>
      <c r="D334" s="36" t="str">
        <f t="shared" si="91"/>
        <v>Александр</v>
      </c>
      <c r="E334" s="36" t="str">
        <f t="shared" si="87"/>
        <v>Сергеевич</v>
      </c>
      <c r="F334" s="36" t="str">
        <f t="shared" si="92"/>
        <v>039370039</v>
      </c>
      <c r="G334" s="37">
        <f>VLOOKUP(F334,Покупатели!$F$2:$N$762,2,0)</f>
        <v>42361</v>
      </c>
      <c r="H334" s="36" t="str">
        <f>VLOOKUP(F334,Покупатели!$F$2:$N$762,3,0)</f>
        <v>МВД РК</v>
      </c>
      <c r="I334" s="36">
        <f>VLOOKUP(C334,Покупатели!$C$2:$M$805,7,0)</f>
        <v>901202300297</v>
      </c>
      <c r="J334" s="36" t="str">
        <f ca="1">IFERROR(__xludf.DUMMYFUNCTION("JOIN("" "", VLOOKUP(C334,Покупатели,8,0),VLOOKUP(C334,Покупатели,9,0),VLOOKUP(C334,Покупатели,10,0),VLOOKUP(C334,Покупатели,11,0))"),"Алматинская область, Енбекшиказахский район, с. Шелек, ул. Каипова, д. 32")</f>
        <v>Алматинская область, Енбекшиказахский район, с. Шелек, ул. Каипова, д. 32</v>
      </c>
      <c r="K334" s="36">
        <f t="shared" si="93"/>
        <v>87772968605</v>
      </c>
      <c r="L334" s="36" t="str">
        <f t="shared" si="94"/>
        <v>MX4000002S0001887</v>
      </c>
      <c r="M334" s="36" t="str">
        <f t="shared" ca="1" si="84"/>
        <v>002-2013E50Q13-OK</v>
      </c>
      <c r="N334" s="36" t="str">
        <f t="shared" si="83"/>
        <v>Прицеп 2,0*1,25 м  (до 750 кг.)</v>
      </c>
      <c r="O334" s="36" t="str">
        <f t="shared" si="95"/>
        <v>1 ось</v>
      </c>
      <c r="P334" s="36">
        <f t="shared" si="96"/>
        <v>2025</v>
      </c>
      <c r="Q334" s="36" t="str">
        <f t="shared" ca="1" si="88"/>
        <v>3150*1700*1070</v>
      </c>
      <c r="R334" s="36" t="str">
        <f t="shared" ca="1" si="97"/>
        <v>2000*1250*500</v>
      </c>
      <c r="S334" s="34" t="str">
        <f>VLOOKUP(O334,ОТТС!$A$2:$B$3,2,0)</f>
        <v>ТС KZ Е-KZ.0317.00251 от 28.02.2023</v>
      </c>
      <c r="T334" s="39">
        <v>340000</v>
      </c>
      <c r="U334" s="36" t="str">
        <f t="shared" si="82"/>
        <v>Алматы</v>
      </c>
    </row>
    <row r="335" spans="1:21" ht="13.2">
      <c r="A335" s="34">
        <v>1513</v>
      </c>
      <c r="B335" s="35">
        <f>VLOOKUP(A335,'Реестр договоров'!$A$2:$D$508,2,0)</f>
        <v>45742</v>
      </c>
      <c r="C335" s="36" t="str">
        <f t="shared" si="90"/>
        <v>Байжанов</v>
      </c>
      <c r="D335" s="36" t="str">
        <f t="shared" si="91"/>
        <v>Арман</v>
      </c>
      <c r="E335" s="36" t="str">
        <f t="shared" si="87"/>
        <v>Умертаевич</v>
      </c>
      <c r="F335" s="36" t="str">
        <f t="shared" si="92"/>
        <v>043929602</v>
      </c>
      <c r="G335" s="37">
        <f>VLOOKUP(F335,Покупатели!$F$2:$N$762,2,0)</f>
        <v>43136</v>
      </c>
      <c r="H335" s="36" t="str">
        <f>VLOOKUP(F335,Покупатели!$F$2:$N$762,3,0)</f>
        <v>МВД РК</v>
      </c>
      <c r="I335" s="36">
        <f>VLOOKUP(C335,Покупатели!$C$2:$M$805,7,0)</f>
        <v>840325350533</v>
      </c>
      <c r="J335" s="36" t="str">
        <f ca="1">IFERROR(__xludf.DUMMYFUNCTION("JOIN("" "", VLOOKUP(C335,Покупатели,8,0),VLOOKUP(C335,Покупатели,9,0),VLOOKUP(C335,Покупатели,10,0),VLOOKUP(C335,Покупатели,11,0))"),"Акмолинская область, с. Красный Яр, ул. Нурлы кош, д.7, кв 1")</f>
        <v>Акмолинская область, с. Красный Яр, ул. Нурлы кош, д.7, кв 1</v>
      </c>
      <c r="K335" s="36">
        <f t="shared" si="93"/>
        <v>87052643999</v>
      </c>
      <c r="L335" s="36" t="str">
        <f t="shared" si="94"/>
        <v>MX4000002S0002051</v>
      </c>
      <c r="M335" s="36" t="str">
        <f t="shared" ca="1" si="84"/>
        <v>002-2013E50Q13-OK</v>
      </c>
      <c r="N335" s="36" t="str">
        <f t="shared" si="83"/>
        <v>Прицеп 2,0*1,25 м  (до 750 кг.)</v>
      </c>
      <c r="O335" s="36" t="str">
        <f t="shared" si="95"/>
        <v>1 ось</v>
      </c>
      <c r="P335" s="36">
        <f t="shared" si="96"/>
        <v>2025</v>
      </c>
      <c r="Q335" s="36" t="str">
        <f t="shared" ca="1" si="88"/>
        <v>3150*1700*1070</v>
      </c>
      <c r="R335" s="36" t="str">
        <f t="shared" ca="1" si="97"/>
        <v>2000*1250*500</v>
      </c>
      <c r="S335" s="34" t="str">
        <f>VLOOKUP(O335,ОТТС!$A$2:$B$3,2,0)</f>
        <v>ТС KZ Е-KZ.0317.00251 от 28.02.2023</v>
      </c>
      <c r="T335" s="39">
        <v>360000</v>
      </c>
      <c r="U335" s="36" t="str">
        <f t="shared" si="82"/>
        <v>Кокшетау</v>
      </c>
    </row>
    <row r="336" spans="1:21" ht="13.2">
      <c r="A336" s="34">
        <v>1514</v>
      </c>
      <c r="B336" s="35">
        <f>VLOOKUP(A336,'Реестр договоров'!$A$2:$D$508,2,0)</f>
        <v>45742</v>
      </c>
      <c r="C336" s="36" t="str">
        <f t="shared" si="90"/>
        <v>Мамташуров</v>
      </c>
      <c r="D336" s="36" t="str">
        <f t="shared" si="91"/>
        <v>Рустям</v>
      </c>
      <c r="E336" s="36" t="str">
        <f t="shared" si="87"/>
        <v>Винович</v>
      </c>
      <c r="F336" s="36" t="str">
        <f t="shared" si="92"/>
        <v>047849977</v>
      </c>
      <c r="G336" s="37">
        <f>VLOOKUP(F336,Покупатели!$F$2:$N$762,2,0)</f>
        <v>44238</v>
      </c>
      <c r="H336" s="36" t="str">
        <f>VLOOKUP(F336,Покупатели!$F$2:$N$762,3,0)</f>
        <v>МВД РК</v>
      </c>
      <c r="I336" s="36">
        <f>VLOOKUP(C336,Покупатели!$C$2:$M$805,7,0)</f>
        <v>660405302084</v>
      </c>
      <c r="J336" s="36" t="str">
        <f ca="1">IFERROR(__xludf.DUMMYFUNCTION("JOIN("" "", VLOOKUP(C336,Покупатели,8,0),VLOOKUP(C336,Покупатели,9,0),VLOOKUP(C336,Покупатели,10,0),VLOOKUP(C336,Покупатели,11,0))"),"Алматинская обл, Талгарский р-н, пос.Бесагаш, ул.Айманова д.72")</f>
        <v>Алматинская обл, Талгарский р-н, пос.Бесагаш, ул.Айманова д.72</v>
      </c>
      <c r="K336" s="36">
        <f t="shared" si="93"/>
        <v>87011118167</v>
      </c>
      <c r="L336" s="36" t="str">
        <f t="shared" si="94"/>
        <v>MX4000002S0001888</v>
      </c>
      <c r="M336" s="36" t="str">
        <f t="shared" ca="1" si="84"/>
        <v>002-2013E50Q13-OK</v>
      </c>
      <c r="N336" s="36" t="str">
        <f t="shared" si="83"/>
        <v>Прицеп 2,0*1,25 м  (до 750 кг.)</v>
      </c>
      <c r="O336" s="36" t="str">
        <f t="shared" si="95"/>
        <v>1 ось</v>
      </c>
      <c r="P336" s="36">
        <f t="shared" si="96"/>
        <v>2025</v>
      </c>
      <c r="Q336" s="36" t="str">
        <f t="shared" ca="1" si="88"/>
        <v>3150*1700*1070</v>
      </c>
      <c r="R336" s="36" t="str">
        <f t="shared" ca="1" si="97"/>
        <v>2000*1250*500</v>
      </c>
      <c r="S336" s="34" t="str">
        <f>VLOOKUP(O336,ОТТС!$A$2:$B$3,2,0)</f>
        <v>ТС KZ Е-KZ.0317.00251 от 28.02.2023</v>
      </c>
      <c r="T336" s="39">
        <v>340000</v>
      </c>
      <c r="U336" s="36" t="str">
        <f t="shared" si="82"/>
        <v>Алматы</v>
      </c>
    </row>
    <row r="337" spans="1:21" ht="13.2">
      <c r="A337" s="34">
        <v>1515</v>
      </c>
      <c r="B337" s="35">
        <f>VLOOKUP(A337,'Реестр договоров'!$A$2:$D$508,2,0)</f>
        <v>45742</v>
      </c>
      <c r="C337" s="36" t="str">
        <f t="shared" si="90"/>
        <v>Ахтямов</v>
      </c>
      <c r="D337" s="36" t="str">
        <f t="shared" si="91"/>
        <v>Бахтияр</v>
      </c>
      <c r="E337" s="36" t="str">
        <f t="shared" si="87"/>
        <v>Гуламович</v>
      </c>
      <c r="F337" s="36" t="str">
        <f t="shared" si="92"/>
        <v>049617753</v>
      </c>
      <c r="G337" s="37">
        <f>VLOOKUP(F337,Покупатели!$F$2:$N$762,2,0)</f>
        <v>44529</v>
      </c>
      <c r="H337" s="36" t="str">
        <f>VLOOKUP(F337,Покупатели!$F$2:$N$762,3,0)</f>
        <v>МВД РК</v>
      </c>
      <c r="I337" s="36">
        <f>VLOOKUP(C337,Покупатели!$C$2:$M$805,7,0)</f>
        <v>830708301743</v>
      </c>
      <c r="J337" s="36" t="str">
        <f ca="1">IFERROR(__xludf.DUMMYFUNCTION("JOIN("" "", VLOOKUP(C337,Покупатели,8,0),VLOOKUP(C337,Покупатели,9,0),VLOOKUP(C337,Покупатели,10,0),VLOOKUP(C337,Покупатели,11,0))"),"г.Алматы мкр.Шапагат ул.Биенкул д.58")</f>
        <v>г.Алматы мкр.Шапагат ул.Биенкул д.58</v>
      </c>
      <c r="K337" s="36">
        <f t="shared" si="93"/>
        <v>87016892049</v>
      </c>
      <c r="L337" s="36" t="str">
        <f t="shared" si="94"/>
        <v>MX4000002S0001882</v>
      </c>
      <c r="M337" s="36" t="str">
        <f t="shared" ca="1" si="84"/>
        <v>002-2013Q13-OK</v>
      </c>
      <c r="N337" s="36" t="str">
        <f t="shared" si="83"/>
        <v>Прицеп 2,0*1,25 м  (до 750 кг.)</v>
      </c>
      <c r="O337" s="36" t="str">
        <f t="shared" si="95"/>
        <v>1 ось</v>
      </c>
      <c r="P337" s="36">
        <f t="shared" si="96"/>
        <v>2025</v>
      </c>
      <c r="Q337" s="36" t="str">
        <f t="shared" ca="1" si="88"/>
        <v>4000*1700*650</v>
      </c>
      <c r="R337" s="36" t="str">
        <f t="shared" ca="1" si="97"/>
        <v>2000*1250*0</v>
      </c>
      <c r="S337" s="34" t="str">
        <f>VLOOKUP(O337,ОТТС!$A$2:$B$3,2,0)</f>
        <v>ТС KZ Е-KZ.0317.00251 от 28.02.2023</v>
      </c>
      <c r="T337" s="39">
        <v>340000</v>
      </c>
      <c r="U337" s="36" t="str">
        <f t="shared" si="82"/>
        <v>Алматы</v>
      </c>
    </row>
    <row r="338" spans="1:21" ht="13.2">
      <c r="A338" s="34">
        <v>1516</v>
      </c>
      <c r="B338" s="35">
        <f>VLOOKUP(A338,'Реестр договоров'!$A$2:$D$508,2,0)</f>
        <v>45742</v>
      </c>
      <c r="C338" s="36" t="str">
        <f t="shared" si="90"/>
        <v>Чуев</v>
      </c>
      <c r="D338" s="36" t="str">
        <f t="shared" si="91"/>
        <v>Олег</v>
      </c>
      <c r="E338" s="36" t="str">
        <f t="shared" si="87"/>
        <v>Юрьевич</v>
      </c>
      <c r="F338" s="36" t="str">
        <f t="shared" si="92"/>
        <v>048440213</v>
      </c>
      <c r="G338" s="37">
        <f>VLOOKUP(F338,Покупатели!$F$2:$N$762,2,0)</f>
        <v>44335</v>
      </c>
      <c r="H338" s="36" t="str">
        <f>VLOOKUP(F338,Покупатели!$F$2:$N$762,3,0)</f>
        <v>МВД РК</v>
      </c>
      <c r="I338" s="36">
        <f>VLOOKUP(C338,Покупатели!$C$2:$M$805,7,0)</f>
        <v>660115303462</v>
      </c>
      <c r="J338" s="36" t="str">
        <f ca="1">IFERROR(__xludf.DUMMYFUNCTION("JOIN("" "", VLOOKUP(C338,Покупатели,8,0),VLOOKUP(C338,Покупатели,9,0),VLOOKUP(C338,Покупатели,10,0),VLOOKUP(C338,Покупатели,11,0))"),"Жетысу область, г. Уштобе, ул. Кутузова, д.10")</f>
        <v>Жетысу область, г. Уштобе, ул. Кутузова, д.10</v>
      </c>
      <c r="K338" s="36">
        <f t="shared" si="93"/>
        <v>87771642122</v>
      </c>
      <c r="L338" s="36" t="str">
        <f t="shared" si="94"/>
        <v>MX4000002R0001860</v>
      </c>
      <c r="M338" s="36" t="str">
        <f t="shared" ca="1" si="84"/>
        <v>002-2013E30Q13</v>
      </c>
      <c r="N338" s="36" t="str">
        <f t="shared" si="83"/>
        <v>Прицеп 2,0*1,25 м  (до 750 кг.)</v>
      </c>
      <c r="O338" s="36" t="str">
        <f t="shared" si="95"/>
        <v>1 ось</v>
      </c>
      <c r="P338" s="36">
        <f t="shared" si="96"/>
        <v>2024</v>
      </c>
      <c r="Q338" s="36" t="str">
        <f t="shared" ca="1" si="88"/>
        <v>3150*1700*900</v>
      </c>
      <c r="R338" s="36" t="str">
        <f t="shared" ca="1" si="97"/>
        <v>2000*1250*300</v>
      </c>
      <c r="S338" s="34" t="str">
        <f>VLOOKUP(O338,ОТТС!$A$2:$B$3,2,0)</f>
        <v>ТС KZ Е-KZ.0317.00251 от 28.02.2023</v>
      </c>
      <c r="T338" s="39">
        <v>300000</v>
      </c>
      <c r="U338" s="36" t="str">
        <f t="shared" ref="U338:U401" si="98">VLOOKUP(L338,ПРИЦЕПЫ,9,0)</f>
        <v>Алматы</v>
      </c>
    </row>
    <row r="339" spans="1:21" ht="13.2">
      <c r="A339" s="34">
        <v>1517</v>
      </c>
      <c r="B339" s="35">
        <f>VLOOKUP(A339,'Реестр договоров'!$A$2:$D$508,2,0)</f>
        <v>45743</v>
      </c>
      <c r="C339" s="36" t="str">
        <f t="shared" si="90"/>
        <v>Ниязбеков</v>
      </c>
      <c r="D339" s="36" t="str">
        <f t="shared" si="91"/>
        <v>Бахытбек</v>
      </c>
      <c r="E339" s="36" t="str">
        <f t="shared" si="87"/>
        <v>Масгутович</v>
      </c>
      <c r="F339" s="36" t="str">
        <f t="shared" si="92"/>
        <v>039314718</v>
      </c>
      <c r="G339" s="37">
        <f>VLOOKUP(F339,Покупатели!$F$2:$N$762,2,0)</f>
        <v>42264</v>
      </c>
      <c r="H339" s="36" t="str">
        <f>VLOOKUP(F339,Покупатели!$F$2:$N$762,3,0)</f>
        <v>МВД РК</v>
      </c>
      <c r="I339" s="36">
        <f>VLOOKUP(C339,Покупатели!$C$2:$M$805,7,0)</f>
        <v>600315350084</v>
      </c>
      <c r="J339" s="36" t="str">
        <f ca="1">IFERROR(__xludf.DUMMYFUNCTION("JOIN("" "", VLOOKUP(C339,Покупатели,8,0),VLOOKUP(C339,Покупатели,9,0),VLOOKUP(C339,Покупатели,10,0),VLOOKUP(C339,Покупатели,11,0))"),"СКО,  Уалихановский район, с. Кишкенеколь, ул. Маликова, д.134, кв.2")</f>
        <v>СКО,  Уалихановский район, с. Кишкенеколь, ул. Маликова, д.134, кв.2</v>
      </c>
      <c r="K339" s="36">
        <f t="shared" si="93"/>
        <v>87756592748</v>
      </c>
      <c r="L339" s="36" t="str">
        <f t="shared" si="94"/>
        <v>MX4000002R0001608</v>
      </c>
      <c r="M339" s="36" t="str">
        <f t="shared" ca="1" si="84"/>
        <v>002-2513E50Q13-OK</v>
      </c>
      <c r="N339" s="36" t="str">
        <f t="shared" si="83"/>
        <v>Прицеп 2,5*1,25 м  (до 750 кг.)</v>
      </c>
      <c r="O339" s="36" t="str">
        <f t="shared" si="95"/>
        <v>1 ось</v>
      </c>
      <c r="P339" s="36">
        <f t="shared" si="96"/>
        <v>2024</v>
      </c>
      <c r="Q339" s="36" t="str">
        <f t="shared" ca="1" si="88"/>
        <v>3650*1700*1070</v>
      </c>
      <c r="R339" s="36" t="str">
        <f t="shared" ca="1" si="97"/>
        <v>2500*1250*500</v>
      </c>
      <c r="S339" s="34" t="str">
        <f>VLOOKUP(O339,ОТТС!$A$2:$B$3,2,0)</f>
        <v>ТС KZ Е-KZ.0317.00251 от 28.02.2023</v>
      </c>
      <c r="T339" s="39">
        <v>430000</v>
      </c>
      <c r="U339" s="36" t="str">
        <f t="shared" si="98"/>
        <v>Кокшетау</v>
      </c>
    </row>
    <row r="340" spans="1:21" ht="13.2">
      <c r="A340" s="34">
        <v>1518</v>
      </c>
      <c r="B340" s="35">
        <f>VLOOKUP(A340,'Реестр договоров'!$A$2:$D$508,2,0)</f>
        <v>45744</v>
      </c>
      <c r="C340" s="36" t="str">
        <f t="shared" si="90"/>
        <v>Орунбаев</v>
      </c>
      <c r="D340" s="36" t="str">
        <f t="shared" si="91"/>
        <v>Талгат</v>
      </c>
      <c r="E340" s="36" t="str">
        <f t="shared" si="87"/>
        <v>Малдубаевич</v>
      </c>
      <c r="F340" s="36" t="str">
        <f t="shared" si="92"/>
        <v>049354138</v>
      </c>
      <c r="G340" s="37">
        <f>VLOOKUP(F340,Покупатели!$F$2:$N$762,2,0)</f>
        <v>44168</v>
      </c>
      <c r="H340" s="36" t="str">
        <f>VLOOKUP(F340,Покупатели!$F$2:$N$762,3,0)</f>
        <v>МВД РК</v>
      </c>
      <c r="I340" s="36">
        <f>VLOOKUP(C340,Покупатели!$C$2:$M$805,7,0)</f>
        <v>670615301347</v>
      </c>
      <c r="J340" s="36" t="str">
        <f ca="1">IFERROR(__xludf.DUMMYFUNCTION("JOIN("" "", VLOOKUP(C340,Покупатели,8,0),VLOOKUP(C340,Покупатели,9,0),VLOOKUP(C340,Покупатели,10,0),VLOOKUP(C340,Покупатели,11,0))"),"СКО Айыртауский район, с. Междуозерное ул. Мира  д. 4/2")</f>
        <v>СКО Айыртауский район, с. Междуозерное ул. Мира  д. 4/2</v>
      </c>
      <c r="K340" s="36">
        <f t="shared" si="93"/>
        <v>87775871205</v>
      </c>
      <c r="L340" s="36" t="str">
        <f t="shared" si="94"/>
        <v>MX4000002S0002048</v>
      </c>
      <c r="M340" s="36" t="str">
        <f t="shared" ca="1" si="84"/>
        <v>002-2513E50Q13-OK30</v>
      </c>
      <c r="N340" s="36" t="str">
        <f t="shared" si="83"/>
        <v>Прицеп 2,5*1,25 м  (до 750 кг.)</v>
      </c>
      <c r="O340" s="36" t="str">
        <f t="shared" si="95"/>
        <v>1 ось</v>
      </c>
      <c r="P340" s="36">
        <f t="shared" si="96"/>
        <v>2025</v>
      </c>
      <c r="Q340" s="36" t="str">
        <f t="shared" ca="1" si="88"/>
        <v>3650*1700*1070</v>
      </c>
      <c r="R340" s="36" t="str">
        <f t="shared" ca="1" si="97"/>
        <v>2500*1250*500</v>
      </c>
      <c r="S340" s="34" t="str">
        <f>VLOOKUP(O340,ОТТС!$A$2:$B$3,2,0)</f>
        <v>ТС KZ Е-KZ.0317.00251 от 28.02.2023</v>
      </c>
      <c r="T340" s="39">
        <v>420000</v>
      </c>
      <c r="U340" s="36" t="str">
        <f t="shared" si="98"/>
        <v>Кокшетау</v>
      </c>
    </row>
    <row r="341" spans="1:21" ht="13.2">
      <c r="A341" s="34">
        <v>1519</v>
      </c>
      <c r="B341" s="35">
        <f>VLOOKUP(A341,'Реестр договоров'!$A$2:$D$508,2,0)</f>
        <v>45744</v>
      </c>
      <c r="C341" s="36" t="str">
        <f t="shared" si="90"/>
        <v>Пшеничный</v>
      </c>
      <c r="D341" s="36" t="str">
        <f t="shared" si="91"/>
        <v>Александр</v>
      </c>
      <c r="E341" s="36" t="str">
        <f t="shared" si="87"/>
        <v>Петрович</v>
      </c>
      <c r="F341" s="36" t="str">
        <f t="shared" si="92"/>
        <v>059007306</v>
      </c>
      <c r="G341" s="37">
        <f>VLOOKUP(F341,Покупатели!$F$2:$N$762,2,0)</f>
        <v>45554</v>
      </c>
      <c r="H341" s="36" t="str">
        <f>VLOOKUP(F341,Покупатели!$F$2:$N$762,3,0)</f>
        <v>МВД РК</v>
      </c>
      <c r="I341" s="36">
        <f>VLOOKUP(C341,Покупатели!$C$2:$M$805,7,0)</f>
        <v>790726350224</v>
      </c>
      <c r="J341" s="36" t="str">
        <f ca="1">IFERROR(__xludf.DUMMYFUNCTION("JOIN("" "", VLOOKUP(C341,Покупатели,8,0),VLOOKUP(C341,Покупатели,9,0),VLOOKUP(C341,Покупатели,10,0),VLOOKUP(C341,Покупатели,11,0))"),"Акмолинская область г. Кокшетау ул. Дулатова д. 102")</f>
        <v>Акмолинская область г. Кокшетау ул. Дулатова д. 102</v>
      </c>
      <c r="K341" s="36">
        <f t="shared" si="93"/>
        <v>87053106604</v>
      </c>
      <c r="L341" s="36" t="str">
        <f t="shared" si="94"/>
        <v>MX4000002S0001965</v>
      </c>
      <c r="M341" s="36" t="str">
        <f t="shared" ca="1" si="84"/>
        <v>002-2513E50Q13-OK</v>
      </c>
      <c r="N341" s="36" t="str">
        <f t="shared" si="83"/>
        <v>Прицеп 2,5*1,25 м  (до 750 кг.)</v>
      </c>
      <c r="O341" s="36" t="str">
        <f t="shared" si="95"/>
        <v>1 ось</v>
      </c>
      <c r="P341" s="36">
        <f t="shared" si="96"/>
        <v>2025</v>
      </c>
      <c r="Q341" s="36" t="str">
        <f t="shared" ca="1" si="88"/>
        <v>3650*1700*1070</v>
      </c>
      <c r="R341" s="36" t="str">
        <f t="shared" ca="1" si="97"/>
        <v>2500*1250*500</v>
      </c>
      <c r="S341" s="34" t="str">
        <f>VLOOKUP(O341,ОТТС!$A$2:$B$3,2,0)</f>
        <v>ТС KZ Е-KZ.0317.00251 от 28.02.2023</v>
      </c>
      <c r="T341" s="39">
        <v>380000</v>
      </c>
      <c r="U341" s="36" t="str">
        <f t="shared" si="98"/>
        <v>Кокшетау</v>
      </c>
    </row>
    <row r="342" spans="1:21" ht="13.2">
      <c r="A342" s="34">
        <v>1520</v>
      </c>
      <c r="B342" s="35">
        <f>VLOOKUP(A342,'Реестр договоров'!$A$2:$D$508,2,0)</f>
        <v>45744</v>
      </c>
      <c r="C342" s="36" t="str">
        <f t="shared" si="90"/>
        <v>Таджиев</v>
      </c>
      <c r="D342" s="36" t="str">
        <f t="shared" si="91"/>
        <v>Усен</v>
      </c>
      <c r="E342" s="36" t="str">
        <f t="shared" si="87"/>
        <v>Нурлыбаевич</v>
      </c>
      <c r="F342" s="36" t="str">
        <f t="shared" si="92"/>
        <v>040240705</v>
      </c>
      <c r="G342" s="37">
        <f>VLOOKUP(F342,Покупатели!$F$2:$N$762,2,0)</f>
        <v>42535</v>
      </c>
      <c r="H342" s="36" t="str">
        <f>VLOOKUP(F342,Покупатели!$F$2:$N$762,3,0)</f>
        <v>МВД РК</v>
      </c>
      <c r="I342" s="36">
        <f>VLOOKUP(C342,Покупатели!$C$2:$M$805,7,0)</f>
        <v>850203000526</v>
      </c>
      <c r="J342" s="36" t="str">
        <f ca="1">IFERROR(__xludf.DUMMYFUNCTION("JOIN("" "", VLOOKUP(C342,Покупатели,8,0),VLOOKUP(C342,Покупатели,9,0),VLOOKUP(C342,Покупатели,10,0),VLOOKUP(C342,Покупатели,11,0))"),"Жетысуская область г. Текели ул. Оракты батыра д. 30")</f>
        <v>Жетысуская область г. Текели ул. Оракты батыра д. 30</v>
      </c>
      <c r="K342" s="36">
        <f t="shared" si="93"/>
        <v>87087598717</v>
      </c>
      <c r="L342" s="36" t="str">
        <f t="shared" si="94"/>
        <v>MX4000002S0001883</v>
      </c>
      <c r="M342" s="36" t="str">
        <f t="shared" ca="1" si="84"/>
        <v>002-2013E30Q13-OK</v>
      </c>
      <c r="N342" s="36" t="str">
        <f t="shared" si="83"/>
        <v>Прицеп 2,0*1,25 м  (до 750 кг.)</v>
      </c>
      <c r="O342" s="36" t="str">
        <f t="shared" si="95"/>
        <v>1 ось</v>
      </c>
      <c r="P342" s="36">
        <f t="shared" si="96"/>
        <v>2025</v>
      </c>
      <c r="Q342" s="36" t="str">
        <f t="shared" ca="1" si="88"/>
        <v>3150*1700*900</v>
      </c>
      <c r="R342" s="36" t="str">
        <f t="shared" ca="1" si="97"/>
        <v>2000*1250*300</v>
      </c>
      <c r="S342" s="34" t="str">
        <f>VLOOKUP(O342,ОТТС!$A$2:$B$3,2,0)</f>
        <v>ТС KZ Е-KZ.0317.00251 от 28.02.2023</v>
      </c>
      <c r="T342" s="39">
        <v>310000</v>
      </c>
      <c r="U342" s="36" t="str">
        <f t="shared" si="98"/>
        <v>Алматы</v>
      </c>
    </row>
    <row r="343" spans="1:21" ht="13.2">
      <c r="A343" s="34">
        <v>1521</v>
      </c>
      <c r="B343" s="35">
        <f>VLOOKUP(A343,'Реестр договоров'!$A$2:$D$508,2,0)</f>
        <v>45744</v>
      </c>
      <c r="C343" s="36" t="str">
        <f t="shared" si="90"/>
        <v>Шаламбар</v>
      </c>
      <c r="D343" s="36" t="str">
        <f t="shared" si="91"/>
        <v>Роман</v>
      </c>
      <c r="E343" s="36" t="str">
        <f t="shared" si="87"/>
        <v>Русланович</v>
      </c>
      <c r="F343" s="36" t="str">
        <f t="shared" si="92"/>
        <v>043494375</v>
      </c>
      <c r="G343" s="37">
        <f>VLOOKUP(F343,Покупатели!$F$2:$N$762,2,0)</f>
        <v>43362</v>
      </c>
      <c r="H343" s="36" t="str">
        <f>VLOOKUP(F343,Покупатели!$F$2:$N$762,3,0)</f>
        <v>МВД РК</v>
      </c>
      <c r="I343" s="36" t="str">
        <f>VLOOKUP(C343,Покупатели!$C$2:$M$805,7,0)</f>
        <v>000107501220</v>
      </c>
      <c r="J343" s="36" t="str">
        <f ca="1">IFERROR(__xludf.DUMMYFUNCTION("JOIN("" "", VLOOKUP(C343,Покупатели,8,0),VLOOKUP(C343,Покупатели,9,0),VLOOKUP(C343,Покупатели,10,0),VLOOKUP(C343,Покупатели,11,0))"),"Алматинская область г. Алматы,  Турксибский район ул. Красногорская д. 35Г, кв. 18")</f>
        <v>Алматинская область г. Алматы,  Турксибский район ул. Красногорская д. 35Г, кв. 18</v>
      </c>
      <c r="K343" s="36">
        <f t="shared" si="93"/>
        <v>87076155465</v>
      </c>
      <c r="L343" s="36" t="str">
        <f t="shared" si="94"/>
        <v>MX4000002S0001889</v>
      </c>
      <c r="M343" s="36" t="str">
        <f t="shared" ca="1" si="84"/>
        <v>002-2013E50Q13-OK</v>
      </c>
      <c r="N343" s="36" t="str">
        <f t="shared" si="83"/>
        <v>Прицеп 2,0*1,25 м  (до 750 кг.)</v>
      </c>
      <c r="O343" s="36" t="str">
        <f t="shared" si="95"/>
        <v>1 ось</v>
      </c>
      <c r="P343" s="36">
        <f t="shared" si="96"/>
        <v>2025</v>
      </c>
      <c r="Q343" s="36" t="str">
        <f t="shared" ca="1" si="88"/>
        <v>3150*1700*1070</v>
      </c>
      <c r="R343" s="36" t="str">
        <f t="shared" ca="1" si="97"/>
        <v>2000*1250*500</v>
      </c>
      <c r="S343" s="34" t="str">
        <f>VLOOKUP(O343,ОТТС!$A$2:$B$3,2,0)</f>
        <v>ТС KZ Е-KZ.0317.00251 от 28.02.2023</v>
      </c>
      <c r="T343" s="39">
        <v>340000</v>
      </c>
      <c r="U343" s="36" t="str">
        <f t="shared" si="98"/>
        <v>Алматы</v>
      </c>
    </row>
    <row r="344" spans="1:21" ht="13.2">
      <c r="A344" s="34">
        <v>1522</v>
      </c>
      <c r="B344" s="35">
        <f>VLOOKUP(A344,'Реестр договоров'!$A$2:$D$508,2,0)</f>
        <v>45745</v>
      </c>
      <c r="C344" s="36" t="str">
        <f t="shared" si="90"/>
        <v>Алибеков</v>
      </c>
      <c r="D344" s="36" t="str">
        <f t="shared" si="91"/>
        <v>Кайрат</v>
      </c>
      <c r="E344" s="36" t="str">
        <f t="shared" si="87"/>
        <v>Кудабаевич</v>
      </c>
      <c r="F344" s="36" t="str">
        <f t="shared" si="92"/>
        <v>045766350</v>
      </c>
      <c r="G344" s="37">
        <f>VLOOKUP(F344,Покупатели!$F$2:$N$762,2,0)</f>
        <v>43573</v>
      </c>
      <c r="H344" s="36" t="str">
        <f>VLOOKUP(F344,Покупатели!$F$2:$N$762,3,0)</f>
        <v>МВД РК</v>
      </c>
      <c r="I344" s="36">
        <f>VLOOKUP(C344,Покупатели!$C$2:$M$805,7,0)</f>
        <v>740630301453</v>
      </c>
      <c r="J344" s="36" t="str">
        <f ca="1">IFERROR(__xludf.DUMMYFUNCTION("JOIN("" "", VLOOKUP(C344,Покупатели,8,0),VLOOKUP(C344,Покупатели,9,0),VLOOKUP(C344,Покупатели,10,0),VLOOKUP(C344,Покупатели,11,0))"),"Акмолинская обл. Целиноградский р-н, с.Родина ул.Набережная д.15")</f>
        <v>Акмолинская обл. Целиноградский р-н, с.Родина ул.Набережная д.15</v>
      </c>
      <c r="K344" s="36">
        <f t="shared" si="93"/>
        <v>87022477469</v>
      </c>
      <c r="L344" s="36" t="str">
        <f t="shared" si="94"/>
        <v>MX4000002S0001976</v>
      </c>
      <c r="M344" s="36" t="str">
        <f t="shared" ca="1" si="84"/>
        <v>002-2513E50Q13-OK</v>
      </c>
      <c r="N344" s="36" t="str">
        <f t="shared" si="83"/>
        <v>Прицеп 2,5*1,25 м  (до 750 кг.)</v>
      </c>
      <c r="O344" s="36" t="str">
        <f t="shared" si="95"/>
        <v>1 ось</v>
      </c>
      <c r="P344" s="36">
        <f t="shared" si="96"/>
        <v>2025</v>
      </c>
      <c r="Q344" s="36" t="str">
        <f t="shared" ca="1" si="88"/>
        <v>3650*1700*1070</v>
      </c>
      <c r="R344" s="36" t="str">
        <f t="shared" ca="1" si="97"/>
        <v>2500*1250*500</v>
      </c>
      <c r="S344" s="34" t="str">
        <f>VLOOKUP(O344,ОТТС!$A$2:$B$3,2,0)</f>
        <v>ТС KZ Е-KZ.0317.00251 от 28.02.2023</v>
      </c>
      <c r="T344" s="39">
        <v>440000</v>
      </c>
      <c r="U344" s="36" t="str">
        <f t="shared" si="98"/>
        <v>Астана</v>
      </c>
    </row>
    <row r="345" spans="1:21" ht="13.2">
      <c r="A345" s="34">
        <v>1523</v>
      </c>
      <c r="B345" s="35">
        <f>VLOOKUP(A345,'Реестр договоров'!$A$2:$D$508,2,0)</f>
        <v>45746</v>
      </c>
      <c r="C345" s="36" t="str">
        <f t="shared" si="90"/>
        <v>Билялова</v>
      </c>
      <c r="D345" s="36" t="str">
        <f t="shared" si="91"/>
        <v>Оксана</v>
      </c>
      <c r="E345" s="36" t="str">
        <f t="shared" si="87"/>
        <v>Владимировна</v>
      </c>
      <c r="F345" s="36" t="str">
        <f t="shared" si="92"/>
        <v>039508718</v>
      </c>
      <c r="G345" s="37">
        <f>VLOOKUP(F345,Покупатели!$F$2:$N$762,2,0)</f>
        <v>42270</v>
      </c>
      <c r="H345" s="36" t="str">
        <f>VLOOKUP(F345,Покупатели!$F$2:$N$762,3,0)</f>
        <v>МВД РК</v>
      </c>
      <c r="I345" s="36">
        <f>VLOOKUP(C345,Покупатели!$C$2:$M$805,7,0)</f>
        <v>820913350526</v>
      </c>
      <c r="J345" s="36" t="str">
        <f ca="1">IFERROR(__xludf.DUMMYFUNCTION("JOIN("" "", VLOOKUP(C345,Покупатели,8,0),VLOOKUP(C345,Покупатели,9,0),VLOOKUP(C345,Покупатели,10,0),VLOOKUP(C345,Покупатели,11,0))"),"СКО,  район Габита Мусрепова, ул. Октябрьская, д. 1г")</f>
        <v>СКО,  район Габита Мусрепова, ул. Октябрьская, д. 1г</v>
      </c>
      <c r="K345" s="36">
        <f t="shared" si="93"/>
        <v>87781568303</v>
      </c>
      <c r="L345" s="36" t="str">
        <f t="shared" si="94"/>
        <v>MX4000002S0002058</v>
      </c>
      <c r="M345" s="36" t="str">
        <f t="shared" ca="1" si="84"/>
        <v>002-2013E30Q13-OK</v>
      </c>
      <c r="N345" s="36" t="str">
        <f t="shared" ref="N345:N408" si="99">VLOOKUP(L345,ПРИЦЕПЫ,2,0)</f>
        <v>Прицеп 2,0*1,25 м  (до 750 кг.)</v>
      </c>
      <c r="O345" s="36" t="str">
        <f t="shared" si="95"/>
        <v>1 ось</v>
      </c>
      <c r="P345" s="36">
        <f t="shared" si="96"/>
        <v>2025</v>
      </c>
      <c r="Q345" s="36" t="str">
        <f t="shared" ca="1" si="88"/>
        <v>3150*1700*900</v>
      </c>
      <c r="R345" s="36" t="str">
        <f t="shared" ca="1" si="97"/>
        <v>2000*1250*300</v>
      </c>
      <c r="S345" s="34" t="str">
        <f>VLOOKUP(O345,ОТТС!$A$2:$B$3,2,0)</f>
        <v>ТС KZ Е-KZ.0317.00251 от 28.02.2023</v>
      </c>
      <c r="T345" s="39">
        <v>330000</v>
      </c>
      <c r="U345" s="36" t="str">
        <f t="shared" si="98"/>
        <v>Кокшетау</v>
      </c>
    </row>
    <row r="346" spans="1:21" ht="13.2">
      <c r="A346" s="34">
        <v>1525</v>
      </c>
      <c r="B346" s="35">
        <f>VLOOKUP(A346,'Реестр договоров'!$A$2:$D$508,2,0)</f>
        <v>45747</v>
      </c>
      <c r="C346" s="36" t="str">
        <f t="shared" si="90"/>
        <v>Каиржанов</v>
      </c>
      <c r="D346" s="36" t="str">
        <f t="shared" si="91"/>
        <v>Канат</v>
      </c>
      <c r="E346" s="36" t="str">
        <f t="shared" si="87"/>
        <v>Негметжанович</v>
      </c>
      <c r="F346" s="36" t="str">
        <f t="shared" si="92"/>
        <v>051914554</v>
      </c>
      <c r="G346" s="37">
        <f>VLOOKUP(F346,Покупатели!$F$2:$N$762,2,0)</f>
        <v>44567</v>
      </c>
      <c r="H346" s="36" t="str">
        <f>VLOOKUP(F346,Покупатели!$F$2:$N$762,3,0)</f>
        <v>МВД РК</v>
      </c>
      <c r="I346" s="36">
        <f>VLOOKUP(C346,Покупатели!$C$2:$M$805,7,0)</f>
        <v>670301300470</v>
      </c>
      <c r="J346" s="36" t="str">
        <f ca="1">IFERROR(__xludf.DUMMYFUNCTION("JOIN("" "", VLOOKUP(C346,Покупатели,8,0),VLOOKUP(C346,Покупатели,9,0),VLOOKUP(C346,Покупатели,10,0),VLOOKUP(C346,Покупатели,11,0))"),"Акмолинская область, Зерендинский район, село Кеноткель, ул. Орталык, д.37")</f>
        <v>Акмолинская область, Зерендинский район, село Кеноткель, ул. Орталык, д.37</v>
      </c>
      <c r="K346" s="36">
        <f t="shared" si="93"/>
        <v>87470191067</v>
      </c>
      <c r="L346" s="36" t="str">
        <f t="shared" si="94"/>
        <v>MX4000002S0002057</v>
      </c>
      <c r="M346" s="36" t="str">
        <f t="shared" ca="1" si="84"/>
        <v>002-2013E50Q13-OK30</v>
      </c>
      <c r="N346" s="36" t="str">
        <f t="shared" si="99"/>
        <v>Прицеп 2,0*1,25 м  (до 750 кг.)</v>
      </c>
      <c r="O346" s="36" t="str">
        <f t="shared" si="95"/>
        <v>1 ось</v>
      </c>
      <c r="P346" s="36">
        <f t="shared" si="96"/>
        <v>2025</v>
      </c>
      <c r="Q346" s="36" t="str">
        <f t="shared" ca="1" si="88"/>
        <v>3150*1700*1070</v>
      </c>
      <c r="R346" s="36" t="str">
        <f t="shared" ca="1" si="97"/>
        <v>2000*1250*500</v>
      </c>
      <c r="S346" s="34" t="str">
        <f>VLOOKUP(O346,ОТТС!$A$2:$B$3,2,0)</f>
        <v>ТС KZ Е-KZ.0317.00251 от 28.02.2023</v>
      </c>
      <c r="T346" s="39">
        <v>390000</v>
      </c>
      <c r="U346" s="36" t="str">
        <f t="shared" si="98"/>
        <v>Кокшетау</v>
      </c>
    </row>
    <row r="347" spans="1:21" ht="13.2">
      <c r="A347" s="34">
        <v>1526</v>
      </c>
      <c r="B347" s="35">
        <f>VLOOKUP(A347,'Реестр договоров'!$A$2:$D$508,2,0)</f>
        <v>45747</v>
      </c>
      <c r="C347" s="36" t="str">
        <f t="shared" si="90"/>
        <v>Ұлықпан</v>
      </c>
      <c r="D347" s="36" t="str">
        <f t="shared" si="91"/>
        <v>Кенжебек</v>
      </c>
      <c r="E347" s="36">
        <f t="shared" si="87"/>
        <v>0</v>
      </c>
      <c r="F347" s="36" t="str">
        <f t="shared" si="92"/>
        <v>057945970</v>
      </c>
      <c r="G347" s="37">
        <f>VLOOKUP(F347,Покупатели!$F$2:$N$762,2,0)</f>
        <v>45426</v>
      </c>
      <c r="H347" s="36" t="str">
        <f>VLOOKUP(F347,Покупатели!$F$2:$N$762,3,0)</f>
        <v>ҚР ІІМ</v>
      </c>
      <c r="I347" s="36">
        <f>VLOOKUP(C347,Покупатели!$C$2:$M$805,7,0)</f>
        <v>860220399063</v>
      </c>
      <c r="J347" s="36" t="str">
        <f ca="1">IFERROR(__xludf.DUMMYFUNCTION("JOIN("" "", VLOOKUP(C347,Покупатели,8,0),VLOOKUP(C347,Покупатели,9,0),VLOOKUP(C347,Покупатели,10,0),VLOOKUP(C347,Покупатели,11,0))"),"Акмолинская обл. Ерементауский р-н, с. Майлан, ул.А.Халыкова д.35")</f>
        <v>Акмолинская обл. Ерементауский р-н, с. Майлан, ул.А.Халыкова д.35</v>
      </c>
      <c r="K347" s="36">
        <f t="shared" si="93"/>
        <v>87753142763</v>
      </c>
      <c r="L347" s="36" t="str">
        <f t="shared" si="94"/>
        <v>MX4000004S0001949</v>
      </c>
      <c r="M347" s="36" t="str">
        <f t="shared" ca="1" si="84"/>
        <v>002-3015E50Q13-OK</v>
      </c>
      <c r="N347" s="36" t="str">
        <f t="shared" si="99"/>
        <v>Прицеп 3,0*1,5 м  (до 750 кг.)</v>
      </c>
      <c r="O347" s="36" t="str">
        <f t="shared" si="95"/>
        <v>2 оси</v>
      </c>
      <c r="P347" s="36">
        <f t="shared" si="96"/>
        <v>2025</v>
      </c>
      <c r="Q347" s="34" t="s">
        <v>925</v>
      </c>
      <c r="R347" s="36" t="str">
        <f t="shared" ca="1" si="97"/>
        <v>3000*1500*500</v>
      </c>
      <c r="S347" s="34" t="str">
        <f>VLOOKUP(O347,ОТТС!$A$2:$B$3,2,0)</f>
        <v>ТС KZ Е-KZ.0317.00219.П1 от 17.07.2025</v>
      </c>
      <c r="T347" s="39">
        <v>450000</v>
      </c>
      <c r="U347" s="36" t="str">
        <f t="shared" si="98"/>
        <v>Астана</v>
      </c>
    </row>
    <row r="348" spans="1:21" ht="13.2">
      <c r="A348" s="34">
        <v>1527</v>
      </c>
      <c r="B348" s="35">
        <f>VLOOKUP(A348,'Реестр договоров'!$A$2:$D$508,2,0)</f>
        <v>45748</v>
      </c>
      <c r="C348" s="36" t="str">
        <f t="shared" si="90"/>
        <v>Абаев</v>
      </c>
      <c r="D348" s="36" t="str">
        <f t="shared" si="91"/>
        <v>Абзал</v>
      </c>
      <c r="E348" s="36" t="str">
        <f t="shared" si="87"/>
        <v>Бакытжанович</v>
      </c>
      <c r="F348" s="36" t="str">
        <f t="shared" si="92"/>
        <v>045705845</v>
      </c>
      <c r="G348" s="37">
        <f>VLOOKUP(F348,Покупатели!$F$2:$N$762,2,0)</f>
        <v>43854</v>
      </c>
      <c r="H348" s="36" t="str">
        <f>VLOOKUP(F348,Покупатели!$F$2:$N$762,3,0)</f>
        <v>МВД РК</v>
      </c>
      <c r="I348" s="36">
        <f>VLOOKUP(C348,Покупатели!$C$2:$M$805,7,0)</f>
        <v>790818300812</v>
      </c>
      <c r="J348" s="36" t="str">
        <f ca="1">IFERROR(__xludf.DUMMYFUNCTION("JOIN("" "", VLOOKUP(C348,Покупатели,8,0),VLOOKUP(C348,Покупатели,9,0),VLOOKUP(C348,Покупатели,10,0),VLOOKUP(C348,Покупатели,11,0))"),"Алматинская область, г. Алматы, проспект Абая, д. 52а, кв 21")</f>
        <v>Алматинская область, г. Алматы, проспект Абая, д. 52а, кв 21</v>
      </c>
      <c r="K348" s="36">
        <f t="shared" si="93"/>
        <v>8777777130</v>
      </c>
      <c r="L348" s="36" t="str">
        <f t="shared" si="94"/>
        <v>MX4000002S0002053</v>
      </c>
      <c r="M348" s="36" t="str">
        <f t="shared" ref="M348:M411" ca="1" si="100">VLOOKUP(L348,ПРИЦЕПЫ,11,0)</f>
        <v>002-2515E30Q13-OK</v>
      </c>
      <c r="N348" s="36" t="str">
        <f t="shared" si="99"/>
        <v>Прицеп 2,5*1,5 м  (до 750 кг.)</v>
      </c>
      <c r="O348" s="36" t="str">
        <f t="shared" si="95"/>
        <v>1 ось</v>
      </c>
      <c r="P348" s="36">
        <f t="shared" si="96"/>
        <v>2025</v>
      </c>
      <c r="Q348" s="34" t="str">
        <f t="shared" ref="Q348:Q388" ca="1" si="101">VLOOKUP(M348,матрица,16,0)</f>
        <v>3650*1950*900</v>
      </c>
      <c r="R348" s="36" t="str">
        <f t="shared" ca="1" si="97"/>
        <v>2500*1500*300</v>
      </c>
      <c r="S348" s="34" t="str">
        <f>VLOOKUP(O348,ОТТС!$A$2:$B$3,2,0)</f>
        <v>ТС KZ Е-KZ.0317.00251 от 28.02.2023</v>
      </c>
      <c r="T348" s="39">
        <v>520000</v>
      </c>
      <c r="U348" s="36" t="str">
        <f t="shared" si="98"/>
        <v>Алматы</v>
      </c>
    </row>
    <row r="349" spans="1:21" ht="13.2">
      <c r="A349" s="34">
        <v>1528</v>
      </c>
      <c r="B349" s="35">
        <f>VLOOKUP(A349,'Реестр договоров'!$A$2:$D$508,2,0)</f>
        <v>45748</v>
      </c>
      <c r="C349" s="36" t="str">
        <f t="shared" si="90"/>
        <v>Садуакасов</v>
      </c>
      <c r="D349" s="36" t="str">
        <f t="shared" si="91"/>
        <v>Мурат</v>
      </c>
      <c r="E349" s="36" t="str">
        <f t="shared" si="87"/>
        <v>Рысбекович</v>
      </c>
      <c r="F349" s="36" t="str">
        <f t="shared" si="92"/>
        <v>040486761</v>
      </c>
      <c r="G349" s="37">
        <f>VLOOKUP(F349,Покупатели!$F$2:$N$762,2,0)</f>
        <v>42587</v>
      </c>
      <c r="H349" s="36" t="str">
        <f>VLOOKUP(F349,Покупатели!$F$2:$N$762,3,0)</f>
        <v>МВД РК</v>
      </c>
      <c r="I349" s="36">
        <f>VLOOKUP(C349,Покупатели!$C$2:$M$805,7,0)</f>
        <v>800512302681</v>
      </c>
      <c r="J349" s="36" t="str">
        <f ca="1">IFERROR(__xludf.DUMMYFUNCTION("JOIN("" "", VLOOKUP(C349,Покупатели,8,0),VLOOKUP(C349,Покупатели,9,0),VLOOKUP(C349,Покупатели,10,0),VLOOKUP(C349,Покупатели,11,0))"),"Жетысуская область, Коксуский район, село Алгабас, ул. Қызылтоған Лабильданова, д.34")</f>
        <v>Жетысуская область, Коксуский район, село Алгабас, ул. Қызылтоған Лабильданова, д.34</v>
      </c>
      <c r="K349" s="36">
        <f t="shared" si="93"/>
        <v>87715721580</v>
      </c>
      <c r="L349" s="36" t="str">
        <f t="shared" si="94"/>
        <v>MX4000002S0001899</v>
      </c>
      <c r="M349" s="36" t="str">
        <f t="shared" ca="1" si="100"/>
        <v>002-2013E50Q13-OK</v>
      </c>
      <c r="N349" s="36" t="str">
        <f t="shared" si="99"/>
        <v>Прицеп 2,0*1,25 м  (до 750 кг.)</v>
      </c>
      <c r="O349" s="36" t="str">
        <f t="shared" si="95"/>
        <v>1 ось</v>
      </c>
      <c r="P349" s="36">
        <f t="shared" si="96"/>
        <v>2025</v>
      </c>
      <c r="Q349" s="34" t="str">
        <f t="shared" ca="1" si="101"/>
        <v>3150*1700*1070</v>
      </c>
      <c r="R349" s="36" t="str">
        <f t="shared" ca="1" si="97"/>
        <v>2000*1250*500</v>
      </c>
      <c r="S349" s="34" t="str">
        <f>VLOOKUP(O349,ОТТС!$A$2:$B$3,2,0)</f>
        <v>ТС KZ Е-KZ.0317.00251 от 28.02.2023</v>
      </c>
      <c r="T349" s="39">
        <v>340000</v>
      </c>
      <c r="U349" s="36" t="str">
        <f t="shared" si="98"/>
        <v>Алматы</v>
      </c>
    </row>
    <row r="350" spans="1:21" ht="13.2">
      <c r="A350" s="34">
        <v>1529</v>
      </c>
      <c r="B350" s="35">
        <f>VLOOKUP(A350,'Реестр договоров'!$A$2:$D$508,2,0)</f>
        <v>45749</v>
      </c>
      <c r="C350" s="36" t="str">
        <f t="shared" si="90"/>
        <v>Ильин</v>
      </c>
      <c r="D350" s="36" t="str">
        <f t="shared" si="91"/>
        <v>Сергей</v>
      </c>
      <c r="E350" s="36" t="str">
        <f t="shared" si="87"/>
        <v>Геннадьевич</v>
      </c>
      <c r="F350" s="36" t="str">
        <f t="shared" si="92"/>
        <v>052745186</v>
      </c>
      <c r="G350" s="37">
        <f>VLOOKUP(F350,Покупатели!$F$2:$N$762,2,0)</f>
        <v>44693</v>
      </c>
      <c r="H350" s="36" t="str">
        <f>VLOOKUP(F350,Покупатели!$F$2:$N$762,3,0)</f>
        <v>МВД РК</v>
      </c>
      <c r="I350" s="36">
        <f>VLOOKUP(C350,Покупатели!$C$2:$M$805,7,0)</f>
        <v>670506350154</v>
      </c>
      <c r="J350" s="36" t="str">
        <f ca="1">IFERROR(__xludf.DUMMYFUNCTION("JOIN("" "", VLOOKUP(C350,Покупатели,8,0),VLOOKUP(C350,Покупатели,9,0),VLOOKUP(C350,Покупатели,10,0),VLOOKUP(C350,Покупатели,11,0))"),"Акмолинская область, г. Кокшетау, ул.Пушкина, д.68а, кв 3")</f>
        <v>Акмолинская область, г. Кокшетау, ул.Пушкина, д.68а, кв 3</v>
      </c>
      <c r="K350" s="36">
        <f t="shared" si="93"/>
        <v>87787007895</v>
      </c>
      <c r="L350" s="36" t="str">
        <f t="shared" si="94"/>
        <v>MX4000002S0002059</v>
      </c>
      <c r="M350" s="36" t="str">
        <f t="shared" ca="1" si="100"/>
        <v>002-2013E30Q13-OK60</v>
      </c>
      <c r="N350" s="36" t="str">
        <f t="shared" si="99"/>
        <v>Прицеп 2,0*1,25 м  (до 750 кг.)</v>
      </c>
      <c r="O350" s="36" t="str">
        <f t="shared" si="95"/>
        <v>1 ось</v>
      </c>
      <c r="P350" s="36">
        <f t="shared" si="96"/>
        <v>2025</v>
      </c>
      <c r="Q350" s="34" t="str">
        <f t="shared" ca="1" si="101"/>
        <v>3150*1700*900</v>
      </c>
      <c r="R350" s="36" t="str">
        <f t="shared" ca="1" si="97"/>
        <v>2000*1250*300</v>
      </c>
      <c r="S350" s="34" t="str">
        <f>VLOOKUP(O350,ОТТС!$A$2:$B$3,2,0)</f>
        <v>ТС KZ Е-KZ.0317.00251 от 28.02.2023</v>
      </c>
      <c r="T350" s="39">
        <v>350000</v>
      </c>
      <c r="U350" s="36" t="str">
        <f t="shared" si="98"/>
        <v>Кокшетау</v>
      </c>
    </row>
    <row r="351" spans="1:21" ht="13.2">
      <c r="A351" s="34">
        <v>1530</v>
      </c>
      <c r="B351" s="35">
        <f>VLOOKUP(A351,'Реестр договоров'!$A$2:$D$508,2,0)</f>
        <v>45749</v>
      </c>
      <c r="C351" s="36" t="str">
        <f t="shared" si="90"/>
        <v>Москаленко</v>
      </c>
      <c r="D351" s="36" t="str">
        <f t="shared" si="91"/>
        <v>Петр</v>
      </c>
      <c r="E351" s="36" t="str">
        <f t="shared" si="87"/>
        <v>Александрович</v>
      </c>
      <c r="F351" s="36" t="str">
        <f t="shared" si="92"/>
        <v>040559288</v>
      </c>
      <c r="G351" s="37">
        <f>VLOOKUP(F351,Покупатели!$F$2:$N$762,2,0)</f>
        <v>42410</v>
      </c>
      <c r="H351" s="36" t="str">
        <f>VLOOKUP(F351,Покупатели!$F$2:$N$762,3,0)</f>
        <v>МВД РК</v>
      </c>
      <c r="I351" s="36">
        <f>VLOOKUP(C351,Покупатели!$C$2:$M$805,7,0)</f>
        <v>560521300622</v>
      </c>
      <c r="J351" s="36" t="str">
        <f ca="1">IFERROR(__xludf.DUMMYFUNCTION("JOIN("" "", VLOOKUP(C351,Покупатели,8,0),VLOOKUP(C351,Покупатели,9,0),VLOOKUP(C351,Покупатели,10,0),VLOOKUP(C351,Покупатели,11,0))"),"Акмолинская обл Шортандинский р-н, с.Шортанды ул.Западная д.2")</f>
        <v>Акмолинская обл Шортандинский р-н, с.Шортанды ул.Западная д.2</v>
      </c>
      <c r="K351" s="36">
        <f t="shared" si="93"/>
        <v>87023295189</v>
      </c>
      <c r="L351" s="36" t="str">
        <f t="shared" si="94"/>
        <v>MX4000002S0002028</v>
      </c>
      <c r="M351" s="36" t="str">
        <f t="shared" ca="1" si="100"/>
        <v>002-2013E50Q13-OK</v>
      </c>
      <c r="N351" s="36" t="str">
        <f t="shared" si="99"/>
        <v>Прицеп 2,0*1,25 м  (до 750 кг.)</v>
      </c>
      <c r="O351" s="36" t="str">
        <f t="shared" si="95"/>
        <v>1 ось</v>
      </c>
      <c r="P351" s="36">
        <f t="shared" si="96"/>
        <v>2025</v>
      </c>
      <c r="Q351" s="34" t="str">
        <f t="shared" ca="1" si="101"/>
        <v>3150*1700*1070</v>
      </c>
      <c r="R351" s="36" t="str">
        <f t="shared" ca="1" si="97"/>
        <v>2000*1250*500</v>
      </c>
      <c r="S351" s="34" t="str">
        <f>VLOOKUP(O351,ОТТС!$A$2:$B$3,2,0)</f>
        <v>ТС KZ Е-KZ.0317.00251 от 28.02.2023</v>
      </c>
      <c r="T351" s="39">
        <v>350000</v>
      </c>
      <c r="U351" s="36" t="str">
        <f t="shared" si="98"/>
        <v>Астана</v>
      </c>
    </row>
    <row r="352" spans="1:21" ht="13.2">
      <c r="A352" s="34">
        <v>1531</v>
      </c>
      <c r="B352" s="35">
        <f>VLOOKUP(A352,'Реестр договоров'!$A$2:$D$508,2,0)</f>
        <v>45749</v>
      </c>
      <c r="C352" s="36" t="str">
        <f t="shared" si="90"/>
        <v>Алиева 1</v>
      </c>
      <c r="D352" s="36" t="str">
        <f t="shared" si="91"/>
        <v>Гулистам</v>
      </c>
      <c r="E352" s="36" t="str">
        <f t="shared" si="87"/>
        <v>Рустамовна</v>
      </c>
      <c r="F352" s="36">
        <f t="shared" si="92"/>
        <v>44995705</v>
      </c>
      <c r="G352" s="37">
        <f>VLOOKUP(F352,Покупатели!$F$2:$N$762,2,0)</f>
        <v>43719</v>
      </c>
      <c r="H352" s="36" t="str">
        <f>VLOOKUP(F352,Покупатели!$F$2:$N$762,3,0)</f>
        <v>МВД РК</v>
      </c>
      <c r="I352" s="36">
        <f>VLOOKUP(C352,Покупатели!$C$2:$M$805,7,0)</f>
        <v>901117301075</v>
      </c>
      <c r="J352" s="36" t="str">
        <f ca="1">IFERROR(__xludf.DUMMYFUNCTION("JOIN("" "", VLOOKUP(C352,Покупатели,8,0),VLOOKUP(C352,Покупатели,9,0),VLOOKUP(C352,Покупатели,10,0),VLOOKUP(C352,Покупатели,11,0))"),"Алматинская область, Илийский район, г.Алатау, мкр-н Жетыген, ул. Джамбула, дом 9")</f>
        <v>Алматинская область, Илийский район, г.Алатау, мкр-н Жетыген, ул. Джамбула, дом 9</v>
      </c>
      <c r="K352" s="36">
        <f t="shared" si="93"/>
        <v>87025861905</v>
      </c>
      <c r="L352" s="36" t="str">
        <f t="shared" si="94"/>
        <v>MX4000002S0001893</v>
      </c>
      <c r="M352" s="36" t="str">
        <f t="shared" ca="1" si="100"/>
        <v>002-2013E50Q13-OK</v>
      </c>
      <c r="N352" s="36" t="str">
        <f t="shared" si="99"/>
        <v>Прицеп 2,0*1,25 м  (до 750 кг.)</v>
      </c>
      <c r="O352" s="36" t="str">
        <f t="shared" si="95"/>
        <v>1 ось</v>
      </c>
      <c r="P352" s="36">
        <f t="shared" si="96"/>
        <v>2025</v>
      </c>
      <c r="Q352" s="34" t="str">
        <f t="shared" ca="1" si="101"/>
        <v>3150*1700*1070</v>
      </c>
      <c r="R352" s="36" t="str">
        <f t="shared" ca="1" si="97"/>
        <v>2000*1250*500</v>
      </c>
      <c r="S352" s="34" t="str">
        <f>VLOOKUP(O352,ОТТС!$A$2:$B$3,2,0)</f>
        <v>ТС KZ Е-KZ.0317.00251 от 28.02.2023</v>
      </c>
      <c r="T352" s="39">
        <v>340000</v>
      </c>
      <c r="U352" s="36" t="str">
        <f t="shared" si="98"/>
        <v>Алматы</v>
      </c>
    </row>
    <row r="353" spans="1:21" ht="13.2">
      <c r="A353" s="34">
        <v>1532</v>
      </c>
      <c r="B353" s="35">
        <f>VLOOKUP(A353,'Реестр договоров'!$A$2:$D$508,2,0)</f>
        <v>45749</v>
      </c>
      <c r="C353" s="36" t="str">
        <f t="shared" si="90"/>
        <v>Ченкин</v>
      </c>
      <c r="D353" s="36" t="str">
        <f t="shared" si="91"/>
        <v>Виталий</v>
      </c>
      <c r="E353" s="36" t="str">
        <f t="shared" si="87"/>
        <v>Викторович</v>
      </c>
      <c r="F353" s="36" t="str">
        <f t="shared" si="92"/>
        <v>046379413</v>
      </c>
      <c r="G353" s="37">
        <f>VLOOKUP(F353,Покупатели!$F$2:$N$762,2,0)</f>
        <v>43994</v>
      </c>
      <c r="H353" s="36" t="str">
        <f>VLOOKUP(F353,Покупатели!$F$2:$N$762,3,0)</f>
        <v>МВД РК</v>
      </c>
      <c r="I353" s="36">
        <f>VLOOKUP(C353,Покупатели!$C$2:$M$805,7,0)</f>
        <v>810912300156</v>
      </c>
      <c r="J353" s="36" t="str">
        <f ca="1">IFERROR(__xludf.DUMMYFUNCTION("JOIN("" "", VLOOKUP(C353,Покупатели,8,0),VLOOKUP(C353,Покупатели,9,0),VLOOKUP(C353,Покупатели,10,0),VLOOKUP(C353,Покупатели,11,0))"),"Жетысуская область, Каратальский район, г. Уштобе, ул. Лазо, 7")</f>
        <v>Жетысуская область, Каратальский район, г. Уштобе, ул. Лазо, 7</v>
      </c>
      <c r="K353" s="36">
        <f t="shared" si="93"/>
        <v>87772970940</v>
      </c>
      <c r="L353" s="36" t="str">
        <f t="shared" si="94"/>
        <v>MX4000002S0001884</v>
      </c>
      <c r="M353" s="36" t="str">
        <f t="shared" ca="1" si="100"/>
        <v>002-2013E30Q13-OK</v>
      </c>
      <c r="N353" s="36" t="str">
        <f t="shared" si="99"/>
        <v>Прицеп 2,0*1,25 м  (до 750 кг.)</v>
      </c>
      <c r="O353" s="36" t="str">
        <f t="shared" si="95"/>
        <v>1 ось</v>
      </c>
      <c r="P353" s="36">
        <f t="shared" si="96"/>
        <v>2025</v>
      </c>
      <c r="Q353" s="34" t="str">
        <f t="shared" ca="1" si="101"/>
        <v>3150*1700*900</v>
      </c>
      <c r="R353" s="36" t="str">
        <f t="shared" ca="1" si="97"/>
        <v>2000*1250*300</v>
      </c>
      <c r="S353" s="34" t="str">
        <f>VLOOKUP(O353,ОТТС!$A$2:$B$3,2,0)</f>
        <v>ТС KZ Е-KZ.0317.00251 от 28.02.2023</v>
      </c>
      <c r="T353" s="39">
        <v>310000</v>
      </c>
      <c r="U353" s="36" t="str">
        <f t="shared" si="98"/>
        <v>Алматы</v>
      </c>
    </row>
    <row r="354" spans="1:21" ht="13.2">
      <c r="A354" s="34">
        <v>1533</v>
      </c>
      <c r="B354" s="35">
        <f>VLOOKUP(A354,'Реестр договоров'!$A$2:$D$508,2,0)</f>
        <v>45749</v>
      </c>
      <c r="C354" s="36" t="str">
        <f t="shared" si="90"/>
        <v>Омарбек</v>
      </c>
      <c r="D354" s="36" t="str">
        <f t="shared" si="91"/>
        <v>Нұржан</v>
      </c>
      <c r="E354" s="36" t="str">
        <f t="shared" si="87"/>
        <v>Сабажанұлы</v>
      </c>
      <c r="F354" s="36" t="str">
        <f t="shared" si="92"/>
        <v>058915629</v>
      </c>
      <c r="G354" s="37">
        <f>VLOOKUP(F354,Покупатели!$F$2:$N$762,2,0)</f>
        <v>45715</v>
      </c>
      <c r="H354" s="36" t="str">
        <f>VLOOKUP(F354,Покупатели!$F$2:$N$762,3,0)</f>
        <v>ҚР ІІМ</v>
      </c>
      <c r="I354" s="36">
        <f>VLOOKUP(C354,Покупатели!$C$2:$M$805,7,0)</f>
        <v>861212301478</v>
      </c>
      <c r="J354" s="36" t="str">
        <f ca="1">IFERROR(__xludf.DUMMYFUNCTION("JOIN("" "", VLOOKUP(C354,Покупатели,8,0),VLOOKUP(C354,Покупатели,9,0),VLOOKUP(C354,Покупатели,10,0),VLOOKUP(C354,Покупатели,11,0))"),"г.Алматы, Алатауский рн., Мкр. Шанырақ-2, Турысова  д.96")</f>
        <v>г.Алматы, Алатауский рн., Мкр. Шанырақ-2, Турысова  д.96</v>
      </c>
      <c r="K354" s="36">
        <f t="shared" si="93"/>
        <v>87079395230</v>
      </c>
      <c r="L354" s="36" t="str">
        <f t="shared" si="94"/>
        <v>MX4000002S0001892</v>
      </c>
      <c r="M354" s="36" t="str">
        <f t="shared" ca="1" si="100"/>
        <v>002-2013E50Q13-OK</v>
      </c>
      <c r="N354" s="36" t="str">
        <f t="shared" si="99"/>
        <v>Прицеп 2,0*1,25 м  (до 750 кг.)</v>
      </c>
      <c r="O354" s="36" t="str">
        <f t="shared" si="95"/>
        <v>1 ось</v>
      </c>
      <c r="P354" s="36">
        <f t="shared" si="96"/>
        <v>2025</v>
      </c>
      <c r="Q354" s="34" t="str">
        <f t="shared" ca="1" si="101"/>
        <v>3150*1700*1070</v>
      </c>
      <c r="R354" s="36" t="str">
        <f t="shared" ca="1" si="97"/>
        <v>2000*1250*500</v>
      </c>
      <c r="S354" s="34" t="str">
        <f>VLOOKUP(O354,ОТТС!$A$2:$B$3,2,0)</f>
        <v>ТС KZ Е-KZ.0317.00251 от 28.02.2023</v>
      </c>
      <c r="T354" s="39">
        <v>340000</v>
      </c>
      <c r="U354" s="36" t="str">
        <f t="shared" si="98"/>
        <v>Алматы</v>
      </c>
    </row>
    <row r="355" spans="1:21" ht="13.2">
      <c r="A355" s="34">
        <v>1534</v>
      </c>
      <c r="B355" s="35">
        <f>VLOOKUP(A355,'Реестр договоров'!$A$2:$D$508,2,0)</f>
        <v>45749</v>
      </c>
      <c r="C355" s="36" t="str">
        <f t="shared" si="90"/>
        <v>Агамбаев</v>
      </c>
      <c r="D355" s="36" t="str">
        <f t="shared" si="91"/>
        <v>Тимур</v>
      </c>
      <c r="E355" s="36" t="str">
        <f t="shared" si="87"/>
        <v>Батырханович</v>
      </c>
      <c r="F355" s="36" t="str">
        <f t="shared" si="92"/>
        <v>042066415</v>
      </c>
      <c r="G355" s="37">
        <f>VLOOKUP(F355,Покупатели!$F$2:$N$762,2,0)</f>
        <v>42984</v>
      </c>
      <c r="H355" s="36" t="str">
        <f>VLOOKUP(F355,Покупатели!$F$2:$N$762,3,0)</f>
        <v>МВД РК</v>
      </c>
      <c r="I355" s="36">
        <f>VLOOKUP(C355,Покупатели!$C$2:$M$805,7,0)</f>
        <v>830831300982</v>
      </c>
      <c r="J355" s="36" t="str">
        <f ca="1">IFERROR(__xludf.DUMMYFUNCTION("JOIN("" "", VLOOKUP(C355,Покупатели,8,0),VLOOKUP(C355,Покупатели,9,0),VLOOKUP(C355,Покупатели,10,0),VLOOKUP(C355,Покупатели,11,0))"),"город Алматы, район Бостандыкский, микрорайон Мирас дом №157, Квартира №222 район Бостандыкский, микрорайон Мирас дом №157, Квартира №222 микрорайон Мирас,  д.157, кв 222")</f>
        <v>город Алматы, район Бостандыкский, микрорайон Мирас дом №157, Квартира №222 район Бостандыкский, микрорайон Мирас дом №157, Квартира №222 микрорайон Мирас,  д.157, кв 222</v>
      </c>
      <c r="K355" s="36">
        <f t="shared" si="93"/>
        <v>87770750171</v>
      </c>
      <c r="L355" s="36" t="str">
        <f t="shared" si="94"/>
        <v>MX4000002S0001898</v>
      </c>
      <c r="M355" s="36" t="str">
        <f t="shared" ca="1" si="100"/>
        <v>002-2013E50Q15-OK</v>
      </c>
      <c r="N355" s="36" t="str">
        <f t="shared" si="99"/>
        <v>Прицеп 2,0*1,25 м  (до 750 кг.)</v>
      </c>
      <c r="O355" s="36" t="str">
        <f t="shared" si="95"/>
        <v>1 ось</v>
      </c>
      <c r="P355" s="36">
        <f t="shared" si="96"/>
        <v>2025</v>
      </c>
      <c r="Q355" s="34" t="str">
        <f t="shared" ca="1" si="101"/>
        <v>3150*1700*1070</v>
      </c>
      <c r="R355" s="36" t="str">
        <f t="shared" ca="1" si="97"/>
        <v>2000*1250*500</v>
      </c>
      <c r="S355" s="34" t="str">
        <f>VLOOKUP(O355,ОТТС!$A$2:$B$3,2,0)</f>
        <v>ТС KZ Е-KZ.0317.00251 от 28.02.2023</v>
      </c>
      <c r="T355" s="39">
        <v>370000</v>
      </c>
      <c r="U355" s="36" t="str">
        <f t="shared" si="98"/>
        <v>Алматы</v>
      </c>
    </row>
    <row r="356" spans="1:21" ht="13.2">
      <c r="A356" s="34">
        <v>1535</v>
      </c>
      <c r="B356" s="35">
        <f>VLOOKUP(A356,'Реестр договоров'!$A$2:$D$508,2,0)</f>
        <v>45749</v>
      </c>
      <c r="C356" s="36" t="str">
        <f t="shared" si="90"/>
        <v>Гусев</v>
      </c>
      <c r="D356" s="36" t="str">
        <f t="shared" si="91"/>
        <v>Александр</v>
      </c>
      <c r="E356" s="36" t="str">
        <f t="shared" si="87"/>
        <v>Александрович</v>
      </c>
      <c r="F356" s="36" t="str">
        <f t="shared" si="92"/>
        <v>057976748</v>
      </c>
      <c r="G356" s="37">
        <f>VLOOKUP(F356,Покупатели!$F$2:$N$762,2,0)</f>
        <v>45428</v>
      </c>
      <c r="H356" s="36" t="str">
        <f>VLOOKUP(F356,Покупатели!$F$2:$N$762,3,0)</f>
        <v>МВД РК</v>
      </c>
      <c r="I356" s="36">
        <f>VLOOKUP(C356,Покупатели!$C$2:$M$805,7,0)</f>
        <v>830319351091</v>
      </c>
      <c r="J356" s="36" t="str">
        <f ca="1">IFERROR(__xludf.DUMMYFUNCTION("JOIN("" "", VLOOKUP(C356,Покупатели,8,0),VLOOKUP(C356,Покупатели,9,0),VLOOKUP(C356,Покупатели,10,0),VLOOKUP(C356,Покупатели,11,0))"),"Акмолинская обл. Аршалынский р-н, аул Турген ул.Есиль д.20")</f>
        <v>Акмолинская обл. Аршалынский р-н, аул Турген ул.Есиль д.20</v>
      </c>
      <c r="K356" s="36">
        <f t="shared" si="93"/>
        <v>87023164000</v>
      </c>
      <c r="L356" s="36" t="str">
        <f t="shared" si="94"/>
        <v>MX4000002S0002013</v>
      </c>
      <c r="M356" s="36" t="str">
        <f t="shared" ca="1" si="100"/>
        <v>002-2013E50Q13-OK30</v>
      </c>
      <c r="N356" s="36" t="str">
        <f t="shared" si="99"/>
        <v>Прицеп 2,0*1,25 м  (до 750 кг.)</v>
      </c>
      <c r="O356" s="36" t="str">
        <f t="shared" si="95"/>
        <v>1 ось</v>
      </c>
      <c r="P356" s="36">
        <f t="shared" si="96"/>
        <v>2025</v>
      </c>
      <c r="Q356" s="34" t="str">
        <f t="shared" ca="1" si="101"/>
        <v>3150*1700*1070</v>
      </c>
      <c r="R356" s="36" t="str">
        <f t="shared" ca="1" si="97"/>
        <v>2000*1250*500</v>
      </c>
      <c r="S356" s="34" t="str">
        <f>VLOOKUP(O356,ОТТС!$A$2:$B$3,2,0)</f>
        <v>ТС KZ Е-KZ.0317.00251 от 28.02.2023</v>
      </c>
      <c r="T356" s="39">
        <v>360000</v>
      </c>
      <c r="U356" s="36" t="str">
        <f t="shared" si="98"/>
        <v>Астана</v>
      </c>
    </row>
    <row r="357" spans="1:21" ht="13.2">
      <c r="A357" s="34">
        <v>1536</v>
      </c>
      <c r="B357" s="35">
        <f>VLOOKUP(A357,'Реестр договоров'!$A$2:$D$508,2,0)</f>
        <v>45749</v>
      </c>
      <c r="C357" s="36" t="str">
        <f t="shared" si="90"/>
        <v>Давыденко</v>
      </c>
      <c r="D357" s="36" t="str">
        <f t="shared" si="91"/>
        <v>Евгений</v>
      </c>
      <c r="E357" s="36" t="str">
        <f t="shared" si="87"/>
        <v>Сергеевич</v>
      </c>
      <c r="F357" s="36" t="str">
        <f t="shared" si="92"/>
        <v>048924057</v>
      </c>
      <c r="G357" s="37">
        <f>VLOOKUP(F357,Покупатели!$F$2:$N$762,2,0)</f>
        <v>44199</v>
      </c>
      <c r="H357" s="36" t="str">
        <f>VLOOKUP(F357,Покупатели!$F$2:$N$762,3,0)</f>
        <v>МВД РК</v>
      </c>
      <c r="I357" s="36">
        <f>VLOOKUP(C357,Покупатели!$C$2:$M$805,7,0)</f>
        <v>820203399043</v>
      </c>
      <c r="J357" s="36" t="str">
        <f ca="1">IFERROR(__xludf.DUMMYFUNCTION("JOIN("" "", VLOOKUP(C357,Покупатели,8,0),VLOOKUP(C357,Покупатели,9,0),VLOOKUP(C357,Покупатели,10,0),VLOOKUP(C357,Покупатели,11,0))"),"Жетысуская область, г. Текели, ул. Темерязева, д.16")</f>
        <v>Жетысуская область, г. Текели, ул. Темерязева, д.16</v>
      </c>
      <c r="K357" s="36">
        <f t="shared" si="93"/>
        <v>87776484087</v>
      </c>
      <c r="L357" s="36" t="str">
        <f t="shared" si="94"/>
        <v>MX4000002R0001871</v>
      </c>
      <c r="M357" s="36" t="str">
        <f t="shared" ca="1" si="100"/>
        <v>002-2013E50Q13-OK</v>
      </c>
      <c r="N357" s="36" t="str">
        <f t="shared" si="99"/>
        <v>Прицеп 2,0*1,25 м  (до 750 кг.)</v>
      </c>
      <c r="O357" s="36" t="str">
        <f t="shared" si="95"/>
        <v>1 ось</v>
      </c>
      <c r="P357" s="36">
        <f t="shared" si="96"/>
        <v>2024</v>
      </c>
      <c r="Q357" s="34" t="str">
        <f t="shared" ca="1" si="101"/>
        <v>3150*1700*1070</v>
      </c>
      <c r="R357" s="36" t="str">
        <f t="shared" ca="1" si="97"/>
        <v>2000*1250*500</v>
      </c>
      <c r="S357" s="34" t="str">
        <f>VLOOKUP(O357,ОТТС!$A$2:$B$3,2,0)</f>
        <v>ТС KZ Е-KZ.0317.00251 от 28.02.2023</v>
      </c>
      <c r="T357" s="39">
        <v>340000</v>
      </c>
      <c r="U357" s="36" t="str">
        <f t="shared" si="98"/>
        <v>Алматы</v>
      </c>
    </row>
    <row r="358" spans="1:21" ht="13.2">
      <c r="A358" s="34">
        <v>1537</v>
      </c>
      <c r="B358" s="35">
        <f>VLOOKUP(A358,'Реестр договоров'!$A$2:$D$508,2,0)</f>
        <v>45749</v>
      </c>
      <c r="C358" s="36" t="str">
        <f t="shared" si="90"/>
        <v>Султанкулов</v>
      </c>
      <c r="D358" s="36" t="str">
        <f t="shared" si="91"/>
        <v>Женис</v>
      </c>
      <c r="E358" s="36" t="str">
        <f t="shared" si="87"/>
        <v>Бегимович</v>
      </c>
      <c r="F358" s="36" t="str">
        <f t="shared" si="92"/>
        <v>040491483</v>
      </c>
      <c r="G358" s="37">
        <f>VLOOKUP(F358,Покупатели!$F$2:$N$762,2,0)</f>
        <v>42590</v>
      </c>
      <c r="H358" s="36" t="str">
        <f>VLOOKUP(F358,Покупатели!$F$2:$N$762,3,0)</f>
        <v>МВД РК</v>
      </c>
      <c r="I358" s="36">
        <f>VLOOKUP(C358,Покупатели!$C$2:$M$805,7,0)</f>
        <v>760218302594</v>
      </c>
      <c r="J358" s="36" t="str">
        <f ca="1">IFERROR(__xludf.DUMMYFUNCTION("JOIN("" "", VLOOKUP(C358,Покупатели,8,0),VLOOKUP(C358,Покупатели,9,0),VLOOKUP(C358,Покупатели,10,0),VLOOKUP(C358,Покупатели,11,0))"),"Алматинская область,  Талгарский район, пос Туздыбастау,  улица Абдул Мажит Искаков,  дом 75")</f>
        <v>Алматинская область,  Талгарский район, пос Туздыбастау,  улица Абдул Мажит Искаков,  дом 75</v>
      </c>
      <c r="K358" s="36">
        <f t="shared" si="93"/>
        <v>87772288188</v>
      </c>
      <c r="L358" s="36" t="str">
        <f t="shared" si="94"/>
        <v>MX4000002R0001637</v>
      </c>
      <c r="M358" s="36" t="str">
        <f t="shared" ca="1" si="100"/>
        <v>002-2513E50Q13-OK</v>
      </c>
      <c r="N358" s="36" t="str">
        <f t="shared" si="99"/>
        <v>Прицеп 2,5*1,25 м  (до 750 кг.)</v>
      </c>
      <c r="O358" s="36" t="str">
        <f t="shared" si="95"/>
        <v>1 ось</v>
      </c>
      <c r="P358" s="36">
        <f t="shared" si="96"/>
        <v>2024</v>
      </c>
      <c r="Q358" s="34" t="str">
        <f t="shared" ca="1" si="101"/>
        <v>3650*1700*1070</v>
      </c>
      <c r="R358" s="36" t="str">
        <f t="shared" ca="1" si="97"/>
        <v>2500*1250*500</v>
      </c>
      <c r="S358" s="34" t="str">
        <f>VLOOKUP(O358,ОТТС!$A$2:$B$3,2,0)</f>
        <v>ТС KZ Е-KZ.0317.00251 от 28.02.2023</v>
      </c>
      <c r="T358" s="39">
        <v>390000</v>
      </c>
      <c r="U358" s="36" t="str">
        <f t="shared" si="98"/>
        <v>Алматы</v>
      </c>
    </row>
    <row r="359" spans="1:21" ht="13.2">
      <c r="A359" s="34">
        <v>1538</v>
      </c>
      <c r="B359" s="35">
        <f>VLOOKUP(A359,'Реестр договоров'!$A$2:$D$508,2,0)</f>
        <v>45750</v>
      </c>
      <c r="C359" s="36" t="str">
        <f t="shared" si="90"/>
        <v>Доненко</v>
      </c>
      <c r="D359" s="36" t="str">
        <f t="shared" si="91"/>
        <v>Андрей</v>
      </c>
      <c r="E359" s="36" t="str">
        <f t="shared" ref="E359:E422" si="102">VLOOKUP(C359,Покупатели,3,0)</f>
        <v>Владмирович</v>
      </c>
      <c r="F359" s="36" t="str">
        <f t="shared" si="92"/>
        <v>022731447</v>
      </c>
      <c r="G359" s="37">
        <f>VLOOKUP(F359,Покупатели!$F$2:$N$762,2,0)</f>
        <v>39730</v>
      </c>
      <c r="H359" s="36" t="str">
        <f>VLOOKUP(F359,Покупатели!$F$2:$N$762,3,0)</f>
        <v>МВД РК</v>
      </c>
      <c r="I359" s="36">
        <f>VLOOKUP(C359,Покупатели!$C$2:$M$805,7,0)</f>
        <v>821105350853</v>
      </c>
      <c r="J359" s="36" t="str">
        <f ca="1">IFERROR(__xludf.DUMMYFUNCTION("JOIN("" "", VLOOKUP(C359,Покупатели,8,0),VLOOKUP(C359,Покупатели,9,0),VLOOKUP(C359,Покупатели,10,0),VLOOKUP(C359,Покупатели,11,0))"),"г.Астана р-н Сарыарка ул.Богенбая д.30, кв.105")</f>
        <v>г.Астана р-н Сарыарка ул.Богенбая д.30, кв.105</v>
      </c>
      <c r="K359" s="36">
        <f t="shared" si="93"/>
        <v>87013671039</v>
      </c>
      <c r="L359" s="36" t="str">
        <f t="shared" si="94"/>
        <v>MX4000002S0002056</v>
      </c>
      <c r="M359" s="36" t="str">
        <f t="shared" ca="1" si="100"/>
        <v>002-2513E50Q13-OK</v>
      </c>
      <c r="N359" s="36" t="str">
        <f t="shared" si="99"/>
        <v>Прицеп 2,5*1,25 м  (до 750 кг.)</v>
      </c>
      <c r="O359" s="36" t="str">
        <f t="shared" si="95"/>
        <v>1 ось</v>
      </c>
      <c r="P359" s="36">
        <f t="shared" si="96"/>
        <v>2025</v>
      </c>
      <c r="Q359" s="34" t="str">
        <f t="shared" ca="1" si="101"/>
        <v>3650*1700*1070</v>
      </c>
      <c r="R359" s="36" t="str">
        <f t="shared" ca="1" si="97"/>
        <v>2500*1250*500</v>
      </c>
      <c r="S359" s="34" t="str">
        <f>VLOOKUP(O359,ОТТС!$A$2:$B$3,2,0)</f>
        <v>ТС KZ Е-KZ.0317.00251 от 28.02.2023</v>
      </c>
      <c r="T359" s="39">
        <v>430000</v>
      </c>
      <c r="U359" s="36" t="str">
        <f t="shared" si="98"/>
        <v>Астана</v>
      </c>
    </row>
    <row r="360" spans="1:21" ht="13.2">
      <c r="A360" s="34">
        <v>1539</v>
      </c>
      <c r="B360" s="35">
        <f>VLOOKUP(A360,'Реестр договоров'!$A$2:$D$508,2,0)</f>
        <v>45750</v>
      </c>
      <c r="C360" s="36" t="str">
        <f t="shared" si="90"/>
        <v>Чуяков</v>
      </c>
      <c r="D360" s="36" t="str">
        <f t="shared" si="91"/>
        <v>Иван</v>
      </c>
      <c r="E360" s="36" t="str">
        <f t="shared" si="102"/>
        <v>Федорович</v>
      </c>
      <c r="F360" s="36" t="str">
        <f t="shared" si="92"/>
        <v>051087155</v>
      </c>
      <c r="G360" s="37">
        <f>VLOOKUP(F360,Покупатели!$F$2:$N$762,2,0)</f>
        <v>44740</v>
      </c>
      <c r="H360" s="36" t="str">
        <f>VLOOKUP(F360,Покупатели!$F$2:$N$762,3,0)</f>
        <v>МВД РК</v>
      </c>
      <c r="I360" s="36">
        <f>VLOOKUP(C360,Покупатели!$C$2:$M$805,7,0)</f>
        <v>870416301041</v>
      </c>
      <c r="J360" s="36" t="str">
        <f ca="1">IFERROR(__xludf.DUMMYFUNCTION("JOIN("" "", VLOOKUP(C360,Покупатели,8,0),VLOOKUP(C360,Покупатели,9,0),VLOOKUP(C360,Покупатели,10,0),VLOOKUP(C360,Покупатели,11,0))"),"Жетысуская область  Ескильдинский район, с. Бактыбай, ул. Конаева, д.21")</f>
        <v>Жетысуская область  Ескильдинский район, с. Бактыбай, ул. Конаева, д.21</v>
      </c>
      <c r="K360" s="36">
        <f t="shared" si="93"/>
        <v>87773120800</v>
      </c>
      <c r="L360" s="36" t="str">
        <f t="shared" si="94"/>
        <v>MX4000002R0001870</v>
      </c>
      <c r="M360" s="36" t="str">
        <f t="shared" ca="1" si="100"/>
        <v>002-2013E30Q13-OK</v>
      </c>
      <c r="N360" s="36" t="str">
        <f t="shared" si="99"/>
        <v>Прицеп 2,0*1,25 м  (до 750 кг.)</v>
      </c>
      <c r="O360" s="36" t="str">
        <f t="shared" si="95"/>
        <v>1 ось</v>
      </c>
      <c r="P360" s="36">
        <f t="shared" si="96"/>
        <v>2024</v>
      </c>
      <c r="Q360" s="34" t="str">
        <f t="shared" ca="1" si="101"/>
        <v>3150*1700*900</v>
      </c>
      <c r="R360" s="36" t="str">
        <f t="shared" ca="1" si="97"/>
        <v>2000*1250*300</v>
      </c>
      <c r="S360" s="34" t="str">
        <f>VLOOKUP(O360,ОТТС!$A$2:$B$3,2,0)</f>
        <v>ТС KZ Е-KZ.0317.00251 от 28.02.2023</v>
      </c>
      <c r="T360" s="39">
        <v>320000</v>
      </c>
      <c r="U360" s="36" t="str">
        <f t="shared" si="98"/>
        <v>Алматы</v>
      </c>
    </row>
    <row r="361" spans="1:21" ht="13.2">
      <c r="A361" s="34">
        <v>1542</v>
      </c>
      <c r="B361" s="35">
        <f>VLOOKUP(A361,'Реестр договоров'!$A$2:$D$508,2,0)</f>
        <v>45751</v>
      </c>
      <c r="C361" s="36" t="str">
        <f t="shared" si="90"/>
        <v>Стрежнёв</v>
      </c>
      <c r="D361" s="36" t="str">
        <f t="shared" si="91"/>
        <v>Валерий</v>
      </c>
      <c r="E361" s="36" t="str">
        <f t="shared" si="102"/>
        <v>Викторович</v>
      </c>
      <c r="F361" s="36" t="str">
        <f t="shared" si="92"/>
        <v>056504802</v>
      </c>
      <c r="G361" s="37">
        <f>VLOOKUP(F361,Покупатели!$F$2:$N$762,2,0)</f>
        <v>45215</v>
      </c>
      <c r="H361" s="36" t="str">
        <f>VLOOKUP(F361,Покупатели!$F$2:$N$762,3,0)</f>
        <v>МВД РК</v>
      </c>
      <c r="I361" s="36">
        <f>VLOOKUP(C361,Покупатели!$C$2:$M$805,7,0)</f>
        <v>740617350044</v>
      </c>
      <c r="J361" s="36" t="str">
        <f ca="1">IFERROR(__xludf.DUMMYFUNCTION("JOIN("" "", VLOOKUP(C361,Покупатели,8,0),VLOOKUP(C361,Покупатели,9,0),VLOOKUP(C361,Покупатели,10,0),VLOOKUP(C361,Покупатели,11,0))"),"Акмолинская область, г. Акколь, ул. Курылыс,  д.50/7, кв.2")</f>
        <v>Акмолинская область, г. Акколь, ул. Курылыс,  д.50/7, кв.2</v>
      </c>
      <c r="K361" s="36">
        <f t="shared" si="93"/>
        <v>87015827740</v>
      </c>
      <c r="L361" s="36" t="str">
        <f t="shared" si="94"/>
        <v>MX4000002S0002085</v>
      </c>
      <c r="M361" s="36" t="str">
        <f t="shared" ca="1" si="100"/>
        <v>002-2013E50Q13-OK</v>
      </c>
      <c r="N361" s="36" t="str">
        <f t="shared" si="99"/>
        <v>Прицеп 2,0*1,25 м  (до 750 кг.)</v>
      </c>
      <c r="O361" s="36" t="str">
        <f t="shared" si="95"/>
        <v>1 ось</v>
      </c>
      <c r="P361" s="36">
        <f t="shared" si="96"/>
        <v>2025</v>
      </c>
      <c r="Q361" s="34" t="str">
        <f t="shared" ca="1" si="101"/>
        <v>3150*1700*1070</v>
      </c>
      <c r="R361" s="36" t="str">
        <f t="shared" ca="1" si="97"/>
        <v>2000*1250*500</v>
      </c>
      <c r="S361" s="34" t="str">
        <f>VLOOKUP(O361,ОТТС!$A$2:$B$3,2,0)</f>
        <v>ТС KZ Е-KZ.0317.00251 от 28.02.2023</v>
      </c>
      <c r="T361" s="39">
        <v>360000</v>
      </c>
      <c r="U361" s="36" t="str">
        <f t="shared" si="98"/>
        <v>Кокшетау</v>
      </c>
    </row>
    <row r="362" spans="1:21" ht="13.2">
      <c r="A362" s="34">
        <v>1543</v>
      </c>
      <c r="B362" s="35">
        <f>VLOOKUP(A362,'Реестр договоров'!$A$2:$D$508,2,0)</f>
        <v>45751</v>
      </c>
      <c r="C362" s="36" t="str">
        <f t="shared" si="90"/>
        <v>Умирбаев</v>
      </c>
      <c r="D362" s="36" t="str">
        <f t="shared" si="91"/>
        <v>Серик</v>
      </c>
      <c r="E362" s="36" t="str">
        <f t="shared" si="102"/>
        <v>Умирзакович</v>
      </c>
      <c r="F362" s="36" t="str">
        <f t="shared" si="92"/>
        <v>054332284</v>
      </c>
      <c r="G362" s="37">
        <f>VLOOKUP(F362,Покупатели!$F$2:$N$762,2,0)</f>
        <v>44909</v>
      </c>
      <c r="H362" s="36" t="str">
        <f>VLOOKUP(F362,Покупатели!$F$2:$N$762,3,0)</f>
        <v>МВД РК</v>
      </c>
      <c r="I362" s="36">
        <f>VLOOKUP(C362,Покупатели!$C$2:$M$805,7,0)</f>
        <v>921222351175</v>
      </c>
      <c r="J362" s="36" t="str">
        <f ca="1">IFERROR(__xludf.DUMMYFUNCTION("JOIN("" "", VLOOKUP(C362,Покупатели,8,0),VLOOKUP(C362,Покупатели,9,0),VLOOKUP(C362,Покупатели,10,0),VLOOKUP(C362,Покупатели,11,0))"),"Акмолинская область, Зерендинский район, с. Байтерек, ул. Центральная, д.10, кв 1")</f>
        <v>Акмолинская область, Зерендинский район, с. Байтерек, ул. Центральная, д.10, кв 1</v>
      </c>
      <c r="K362" s="36">
        <f t="shared" si="93"/>
        <v>87054504261</v>
      </c>
      <c r="L362" s="36" t="str">
        <f t="shared" si="94"/>
        <v>MX4000002S0002073</v>
      </c>
      <c r="M362" s="36" t="str">
        <f t="shared" ca="1" si="100"/>
        <v>002-2013E50Q13-OK</v>
      </c>
      <c r="N362" s="36" t="str">
        <f t="shared" si="99"/>
        <v>Прицеп 2,0*1,25 м  (до 750 кг.)</v>
      </c>
      <c r="O362" s="36" t="str">
        <f t="shared" si="95"/>
        <v>1 ось</v>
      </c>
      <c r="P362" s="36">
        <f t="shared" si="96"/>
        <v>2025</v>
      </c>
      <c r="Q362" s="34" t="str">
        <f t="shared" ca="1" si="101"/>
        <v>3150*1700*1070</v>
      </c>
      <c r="R362" s="36" t="str">
        <f t="shared" ca="1" si="97"/>
        <v>2000*1250*500</v>
      </c>
      <c r="S362" s="34" t="str">
        <f>VLOOKUP(O362,ОТТС!$A$2:$B$3,2,0)</f>
        <v>ТС KZ Е-KZ.0317.00251 от 28.02.2023</v>
      </c>
      <c r="T362" s="39">
        <v>360000</v>
      </c>
      <c r="U362" s="36" t="str">
        <f t="shared" si="98"/>
        <v>Кокшетау</v>
      </c>
    </row>
    <row r="363" spans="1:21" ht="13.2">
      <c r="A363" s="34">
        <v>1544</v>
      </c>
      <c r="B363" s="35">
        <f>VLOOKUP(A363,'Реестр договоров'!$A$2:$D$508,2,0)</f>
        <v>45751</v>
      </c>
      <c r="C363" s="36" t="str">
        <f t="shared" si="90"/>
        <v>Галицкий</v>
      </c>
      <c r="D363" s="36" t="str">
        <f t="shared" si="91"/>
        <v>Павел</v>
      </c>
      <c r="E363" s="36" t="str">
        <f t="shared" si="102"/>
        <v>Витальевич</v>
      </c>
      <c r="F363" s="36" t="str">
        <f t="shared" si="92"/>
        <v>051361052</v>
      </c>
      <c r="G363" s="37">
        <f>VLOOKUP(F363,Покупатели!$F$2:$N$762,2,0)</f>
        <v>44473</v>
      </c>
      <c r="H363" s="36" t="str">
        <f>VLOOKUP(F363,Покупатели!$F$2:$N$762,3,0)</f>
        <v>МВД РК</v>
      </c>
      <c r="I363" s="36">
        <f>VLOOKUP(C363,Покупатели!$C$2:$M$805,7,0)</f>
        <v>570506300375</v>
      </c>
      <c r="J363" s="36" t="str">
        <f ca="1">IFERROR(__xludf.DUMMYFUNCTION("JOIN("" "", VLOOKUP(C363,Покупатели,8,0),VLOOKUP(C363,Покупатели,9,0),VLOOKUP(C363,Покупатели,10,0),VLOOKUP(C363,Покупатели,11,0))"),"СКО,  Тайыншинский район, с. Чкалово, ул. Восточная, д.22")</f>
        <v>СКО,  Тайыншинский район, с. Чкалово, ул. Восточная, д.22</v>
      </c>
      <c r="K363" s="36">
        <f t="shared" si="93"/>
        <v>87776208126</v>
      </c>
      <c r="L363" s="36" t="str">
        <f t="shared" si="94"/>
        <v>MX4000002S0002070</v>
      </c>
      <c r="M363" s="36" t="str">
        <f t="shared" ca="1" si="100"/>
        <v>002-2515E30Q13-OK120</v>
      </c>
      <c r="N363" s="36" t="str">
        <f t="shared" si="99"/>
        <v>Прицеп 2,5*1,5 м  (до 750 кг.)</v>
      </c>
      <c r="O363" s="36" t="str">
        <f t="shared" si="95"/>
        <v>1 ось</v>
      </c>
      <c r="P363" s="36">
        <f t="shared" si="96"/>
        <v>2025</v>
      </c>
      <c r="Q363" s="34" t="str">
        <f t="shared" ca="1" si="101"/>
        <v>3650*1950*900</v>
      </c>
      <c r="R363" s="36" t="str">
        <f t="shared" ca="1" si="97"/>
        <v>2500*1500*300</v>
      </c>
      <c r="S363" s="34" t="str">
        <f>VLOOKUP(O363,ОТТС!$A$2:$B$3,2,0)</f>
        <v>ТС KZ Е-KZ.0317.00251 от 28.02.2023</v>
      </c>
      <c r="T363" s="39">
        <v>530000</v>
      </c>
      <c r="U363" s="36" t="str">
        <f t="shared" si="98"/>
        <v>Кокшетау</v>
      </c>
    </row>
    <row r="364" spans="1:21" ht="13.2">
      <c r="A364" s="34">
        <v>1545</v>
      </c>
      <c r="B364" s="35">
        <f>VLOOKUP(A364,'Реестр договоров'!$A$2:$D$508,2,0)</f>
        <v>45754</v>
      </c>
      <c r="C364" s="36" t="str">
        <f t="shared" si="90"/>
        <v>Харламова</v>
      </c>
      <c r="D364" s="36" t="str">
        <f t="shared" si="91"/>
        <v>Елена</v>
      </c>
      <c r="E364" s="36" t="str">
        <f t="shared" si="102"/>
        <v>Владимировна</v>
      </c>
      <c r="F364" s="36" t="str">
        <f t="shared" si="92"/>
        <v>021078155</v>
      </c>
      <c r="G364" s="37">
        <f>VLOOKUP(F364,Покупатели!$F$2:$N$762,2,0)</f>
        <v>39290</v>
      </c>
      <c r="H364" s="36" t="str">
        <f>VLOOKUP(F364,Покупатели!$F$2:$N$762,3,0)</f>
        <v>МЮ РК</v>
      </c>
      <c r="I364" s="36">
        <f>VLOOKUP(C364,Покупатели!$C$2:$M$805,7,0)</f>
        <v>820427401999</v>
      </c>
      <c r="J364" s="36" t="str">
        <f ca="1">IFERROR(__xludf.DUMMYFUNCTION("JOIN("" "", VLOOKUP(C364,Покупатели,8,0),VLOOKUP(C364,Покупатели,9,0),VLOOKUP(C364,Покупатели,10,0),VLOOKUP(C364,Покупатели,11,0))"),"Алматинская область, Талгарский район, с. Гульдала, ул. Наурызбай батыра,  д.22")</f>
        <v>Алматинская область, Талгарский район, с. Гульдала, ул. Наурызбай батыра,  д.22</v>
      </c>
      <c r="K364" s="36">
        <f t="shared" si="93"/>
        <v>87052260070</v>
      </c>
      <c r="L364" s="36" t="str">
        <f t="shared" si="94"/>
        <v>MX4000002S0001891</v>
      </c>
      <c r="M364" s="36" t="str">
        <f t="shared" ca="1" si="100"/>
        <v>002-2013E50Q13-OK</v>
      </c>
      <c r="N364" s="36" t="str">
        <f t="shared" si="99"/>
        <v>Прицеп 2,0*1,25 м  (до 750 кг.)</v>
      </c>
      <c r="O364" s="36" t="str">
        <f t="shared" si="95"/>
        <v>1 ось</v>
      </c>
      <c r="P364" s="36">
        <f t="shared" si="96"/>
        <v>2025</v>
      </c>
      <c r="Q364" s="34" t="str">
        <f t="shared" ca="1" si="101"/>
        <v>3150*1700*1070</v>
      </c>
      <c r="R364" s="36" t="str">
        <f t="shared" ca="1" si="97"/>
        <v>2000*1250*500</v>
      </c>
      <c r="S364" s="34" t="str">
        <f>VLOOKUP(O364,ОТТС!$A$2:$B$3,2,0)</f>
        <v>ТС KZ Е-KZ.0317.00251 от 28.02.2023</v>
      </c>
      <c r="T364" s="39">
        <v>340000</v>
      </c>
      <c r="U364" s="36" t="str">
        <f t="shared" si="98"/>
        <v>Алматы</v>
      </c>
    </row>
    <row r="365" spans="1:21" ht="13.2">
      <c r="A365" s="34">
        <v>1546</v>
      </c>
      <c r="B365" s="35">
        <f>VLOOKUP(A365,'Реестр договоров'!$A$2:$D$508,2,0)</f>
        <v>45754</v>
      </c>
      <c r="C365" s="36" t="str">
        <f t="shared" si="90"/>
        <v>Құсмолданов</v>
      </c>
      <c r="D365" s="36" t="str">
        <f t="shared" si="91"/>
        <v>Елікжан</v>
      </c>
      <c r="E365" s="36" t="str">
        <f t="shared" si="102"/>
        <v>Санатұлы</v>
      </c>
      <c r="F365" s="36" t="str">
        <f t="shared" si="92"/>
        <v>040570155</v>
      </c>
      <c r="G365" s="37">
        <f>VLOOKUP(F365,Покупатели!$F$2:$N$762,2,0)</f>
        <v>42606</v>
      </c>
      <c r="H365" s="36" t="str">
        <f>VLOOKUP(F365,Покупатели!$F$2:$N$762,3,0)</f>
        <v>ҚР ІІМ</v>
      </c>
      <c r="I365" s="36">
        <f>VLOOKUP(C365,Покупатели!$C$2:$M$805,7,0)</f>
        <v>931030300664</v>
      </c>
      <c r="J365" s="36" t="str">
        <f ca="1">IFERROR(__xludf.DUMMYFUNCTION("JOIN("" "", VLOOKUP(C365,Покупатели,8,0),VLOOKUP(C365,Покупатели,9,0),VLOOKUP(C365,Покупатели,10,0),VLOOKUP(C365,Покупатели,11,0))"),"Каратальский район, мкр-н Достык, ул. Чкалова, д.38")</f>
        <v>Каратальский район, мкр-н Достык, ул. Чкалова, д.38</v>
      </c>
      <c r="K365" s="36">
        <f t="shared" si="93"/>
        <v>87082525134</v>
      </c>
      <c r="L365" s="36" t="str">
        <f t="shared" si="94"/>
        <v>MX4000002R0001872</v>
      </c>
      <c r="M365" s="36" t="str">
        <f t="shared" ca="1" si="100"/>
        <v>002-2013E30Q13</v>
      </c>
      <c r="N365" s="36" t="str">
        <f t="shared" si="99"/>
        <v>Прицеп 2,0*1,25 м  (до 750 кг.)</v>
      </c>
      <c r="O365" s="36" t="str">
        <f t="shared" si="95"/>
        <v>1 ось</v>
      </c>
      <c r="P365" s="36">
        <f t="shared" si="96"/>
        <v>2024</v>
      </c>
      <c r="Q365" s="34" t="str">
        <f t="shared" ca="1" si="101"/>
        <v>3150*1700*900</v>
      </c>
      <c r="R365" s="36" t="str">
        <f t="shared" ref="R365:R396" ca="1" si="103">VLOOKUP(M365,матрица,17,0)</f>
        <v>2000*1250*300</v>
      </c>
      <c r="S365" s="34" t="str">
        <f>VLOOKUP(O365,ОТТС!$A$2:$B$3,2,0)</f>
        <v>ТС KZ Е-KZ.0317.00251 от 28.02.2023</v>
      </c>
      <c r="T365" s="39">
        <v>310000</v>
      </c>
      <c r="U365" s="36" t="str">
        <f t="shared" si="98"/>
        <v>Алматы</v>
      </c>
    </row>
    <row r="366" spans="1:21" ht="13.2">
      <c r="A366" s="34">
        <v>1547</v>
      </c>
      <c r="B366" s="35">
        <f>VLOOKUP(A366,'Реестр договоров'!$A$2:$D$508,2,0)</f>
        <v>45754</v>
      </c>
      <c r="C366" s="36" t="str">
        <f t="shared" si="90"/>
        <v>Именов</v>
      </c>
      <c r="D366" s="36" t="str">
        <f t="shared" si="91"/>
        <v>Муслим</v>
      </c>
      <c r="E366" s="36" t="str">
        <f t="shared" si="102"/>
        <v>Исматович</v>
      </c>
      <c r="F366" s="36" t="str">
        <f t="shared" si="92"/>
        <v>057488373</v>
      </c>
      <c r="G366" s="37">
        <f>VLOOKUP(F366,Покупатели!$F$2:$N$762,2,0)</f>
        <v>45517</v>
      </c>
      <c r="H366" s="36" t="str">
        <f>VLOOKUP(F366,Покупатели!$F$2:$N$762,3,0)</f>
        <v>МВД РК</v>
      </c>
      <c r="I366" s="36">
        <f>VLOOKUP(C366,Покупатели!$C$2:$M$805,7,0)</f>
        <v>850622301135</v>
      </c>
      <c r="J366" s="36" t="str">
        <f ca="1">IFERROR(__xludf.DUMMYFUNCTION("JOIN("" "", VLOOKUP(C366,Покупатели,8,0),VLOOKUP(C366,Покупатели,9,0),VLOOKUP(C366,Покупатели,10,0),VLOOKUP(C366,Покупатели,11,0))"),"Г.Алматы, мкр-н Жетысу 2, д.10, кв. 58")</f>
        <v>Г.Алматы, мкр-н Жетысу 2, д.10, кв. 58</v>
      </c>
      <c r="K366" s="36">
        <f t="shared" si="93"/>
        <v>87016957777</v>
      </c>
      <c r="L366" s="36" t="str">
        <f t="shared" si="94"/>
        <v>MX4000002S0001897</v>
      </c>
      <c r="M366" s="36" t="str">
        <f t="shared" ca="1" si="100"/>
        <v>002-2013E50Q13-OK</v>
      </c>
      <c r="N366" s="36" t="str">
        <f t="shared" si="99"/>
        <v>Прицеп 2,0*1,25 м  (до 750 кг.)</v>
      </c>
      <c r="O366" s="36" t="str">
        <f t="shared" si="95"/>
        <v>1 ось</v>
      </c>
      <c r="P366" s="36">
        <f t="shared" si="96"/>
        <v>2025</v>
      </c>
      <c r="Q366" s="34" t="str">
        <f t="shared" ca="1" si="101"/>
        <v>3150*1700*1070</v>
      </c>
      <c r="R366" s="36" t="str">
        <f t="shared" ca="1" si="103"/>
        <v>2000*1250*500</v>
      </c>
      <c r="S366" s="34" t="str">
        <f>VLOOKUP(O366,ОТТС!$A$2:$B$3,2,0)</f>
        <v>ТС KZ Е-KZ.0317.00251 от 28.02.2023</v>
      </c>
      <c r="T366" s="39">
        <v>380000</v>
      </c>
      <c r="U366" s="36" t="str">
        <f t="shared" si="98"/>
        <v>Алматы</v>
      </c>
    </row>
    <row r="367" spans="1:21" ht="13.2">
      <c r="A367" s="34">
        <v>1548</v>
      </c>
      <c r="B367" s="35">
        <f>VLOOKUP(A367,'Реестр договоров'!$A$2:$D$508,2,0)</f>
        <v>45754</v>
      </c>
      <c r="C367" s="36" t="str">
        <f t="shared" si="90"/>
        <v>Науанов</v>
      </c>
      <c r="D367" s="36" t="str">
        <f t="shared" si="91"/>
        <v>Бауржан</v>
      </c>
      <c r="E367" s="36" t="str">
        <f t="shared" si="102"/>
        <v>Даулетович</v>
      </c>
      <c r="F367" s="36" t="str">
        <f t="shared" si="92"/>
        <v>040282994</v>
      </c>
      <c r="G367" s="37">
        <f>VLOOKUP(F367,Покупатели!$F$2:$N$762,2,0)</f>
        <v>42327</v>
      </c>
      <c r="H367" s="36" t="str">
        <f>VLOOKUP(F367,Покупатели!$F$2:$N$762,3,0)</f>
        <v>МВД РК</v>
      </c>
      <c r="I367" s="36">
        <f>VLOOKUP(C367,Покупатели!$C$2:$M$805,7,0)</f>
        <v>811022350375</v>
      </c>
      <c r="J367" s="36" t="str">
        <f ca="1">IFERROR(__xludf.DUMMYFUNCTION("JOIN("" "", VLOOKUP(C367,Покупатели,8,0),VLOOKUP(C367,Покупатели,9,0),VLOOKUP(C367,Покупатели,10,0),VLOOKUP(C367,Покупатели,11,0))"),"Акмолинская область г. Кокшетау ул. Королева д. 29")</f>
        <v>Акмолинская область г. Кокшетау ул. Королева д. 29</v>
      </c>
      <c r="K367" s="36">
        <f t="shared" si="93"/>
        <v>87017093458</v>
      </c>
      <c r="L367" s="36" t="str">
        <f t="shared" si="94"/>
        <v>MX4000002S0002086</v>
      </c>
      <c r="M367" s="36" t="str">
        <f t="shared" ca="1" si="100"/>
        <v>002-2013E50Q13-OK</v>
      </c>
      <c r="N367" s="36" t="str">
        <f t="shared" si="99"/>
        <v>Прицеп 2,0*1,25 м  (до 750 кг.)</v>
      </c>
      <c r="O367" s="36" t="str">
        <f t="shared" si="95"/>
        <v>1 ось</v>
      </c>
      <c r="P367" s="36">
        <f t="shared" si="96"/>
        <v>2025</v>
      </c>
      <c r="Q367" s="34" t="str">
        <f t="shared" ca="1" si="101"/>
        <v>3150*1700*1070</v>
      </c>
      <c r="R367" s="36" t="str">
        <f t="shared" ca="1" si="103"/>
        <v>2000*1250*500</v>
      </c>
      <c r="S367" s="34" t="str">
        <f>VLOOKUP(O367,ОТТС!$A$2:$B$3,2,0)</f>
        <v>ТС KZ Е-KZ.0317.00251 от 28.02.2023</v>
      </c>
      <c r="T367" s="39">
        <v>320000</v>
      </c>
      <c r="U367" s="36" t="str">
        <f t="shared" si="98"/>
        <v>Кокшетау</v>
      </c>
    </row>
    <row r="368" spans="1:21" ht="13.2">
      <c r="A368" s="34">
        <v>1549</v>
      </c>
      <c r="B368" s="35">
        <f>VLOOKUP(A368,'Реестр договоров'!$A$2:$D$508,2,0)</f>
        <v>45754</v>
      </c>
      <c r="C368" s="36" t="str">
        <f t="shared" si="90"/>
        <v>Ганевич</v>
      </c>
      <c r="D368" s="36" t="str">
        <f t="shared" si="91"/>
        <v>Наталья</v>
      </c>
      <c r="E368" s="36" t="str">
        <f t="shared" si="102"/>
        <v>Александровна</v>
      </c>
      <c r="F368" s="36" t="str">
        <f t="shared" si="92"/>
        <v>054558162</v>
      </c>
      <c r="G368" s="37">
        <f>VLOOKUP(F368,Покупатели!$F$2:$N$762,2,0)</f>
        <v>44945</v>
      </c>
      <c r="H368" s="36" t="str">
        <f>VLOOKUP(F368,Покупатели!$F$2:$N$762,3,0)</f>
        <v>МВД РК</v>
      </c>
      <c r="I368" s="36">
        <f>VLOOKUP(C368,Покупатели!$C$2:$M$805,7,0)</f>
        <v>780124400224</v>
      </c>
      <c r="J368" s="36" t="str">
        <f ca="1">IFERROR(__xludf.DUMMYFUNCTION("JOIN("" "", VLOOKUP(C368,Покупатели,8,0),VLOOKUP(C368,Покупатели,9,0),VLOOKUP(C368,Покупатели,10,0),VLOOKUP(C368,Покупатели,11,0))"),"Акмолинская область г. Кокшетау ул. Габдуллина д. 34, кв. 36")</f>
        <v>Акмолинская область г. Кокшетау ул. Габдуллина д. 34, кв. 36</v>
      </c>
      <c r="K368" s="36">
        <f t="shared" si="93"/>
        <v>87012576963</v>
      </c>
      <c r="L368" s="36" t="str">
        <f t="shared" si="94"/>
        <v>MX4000002S0002084</v>
      </c>
      <c r="M368" s="36" t="str">
        <f t="shared" ca="1" si="100"/>
        <v>002-2013E50Q13-OK60</v>
      </c>
      <c r="N368" s="36" t="str">
        <f t="shared" si="99"/>
        <v>Прицеп 2,0*1,25 м  (до 750 кг.)</v>
      </c>
      <c r="O368" s="36" t="str">
        <f t="shared" si="95"/>
        <v>1 ось</v>
      </c>
      <c r="P368" s="36">
        <f t="shared" si="96"/>
        <v>2025</v>
      </c>
      <c r="Q368" s="34" t="str">
        <f t="shared" ca="1" si="101"/>
        <v>3150*1700*1070</v>
      </c>
      <c r="R368" s="36" t="str">
        <f t="shared" ca="1" si="103"/>
        <v>2000*1250*500</v>
      </c>
      <c r="S368" s="34" t="str">
        <f>VLOOKUP(O368,ОТТС!$A$2:$B$3,2,0)</f>
        <v>ТС KZ Е-KZ.0317.00251 от 28.02.2023</v>
      </c>
      <c r="T368" s="39">
        <v>260000</v>
      </c>
      <c r="U368" s="36" t="str">
        <f t="shared" si="98"/>
        <v>Кокшетау</v>
      </c>
    </row>
    <row r="369" spans="1:21" ht="13.2">
      <c r="A369" s="34">
        <v>1550</v>
      </c>
      <c r="B369" s="35">
        <f>VLOOKUP(A369,'Реестр договоров'!$A$2:$D$508,2,0)</f>
        <v>45755</v>
      </c>
      <c r="C369" s="36" t="str">
        <f t="shared" si="90"/>
        <v>Кутлузаманов</v>
      </c>
      <c r="D369" s="36" t="str">
        <f t="shared" si="91"/>
        <v>Виктор</v>
      </c>
      <c r="E369" s="36" t="str">
        <f t="shared" si="102"/>
        <v>Нургалиевич</v>
      </c>
      <c r="F369" s="36" t="str">
        <f t="shared" si="92"/>
        <v>049001144</v>
      </c>
      <c r="G369" s="37">
        <f>VLOOKUP(F369,Покупатели!$F$2:$N$762,2,0)</f>
        <v>44116</v>
      </c>
      <c r="H369" s="36" t="str">
        <f>VLOOKUP(F369,Покупатели!$F$2:$N$762,3,0)</f>
        <v>МВД РК</v>
      </c>
      <c r="I369" s="36">
        <f>VLOOKUP(C369,Покупатели!$C$2:$M$805,7,0)</f>
        <v>690329300526</v>
      </c>
      <c r="J369" s="36" t="str">
        <f ca="1">IFERROR(__xludf.DUMMYFUNCTION("JOIN("" "", VLOOKUP(C369,Покупатели,8,0),VLOOKUP(C369,Покупатели,9,0),VLOOKUP(C369,Покупатели,10,0),VLOOKUP(C369,Покупатели,11,0))"),"Акмолинская обл. Шортандинский р-н, с.Новокубанка ул.Кенесары д.31")</f>
        <v>Акмолинская обл. Шортандинский р-н, с.Новокубанка ул.Кенесары д.31</v>
      </c>
      <c r="K369" s="36">
        <f t="shared" si="93"/>
        <v>87028968019</v>
      </c>
      <c r="L369" s="36" t="str">
        <f t="shared" si="94"/>
        <v>MX4000002S0002024</v>
      </c>
      <c r="M369" s="36" t="str">
        <f t="shared" ca="1" si="100"/>
        <v>002-2013E30Q13-OK</v>
      </c>
      <c r="N369" s="36" t="str">
        <f t="shared" si="99"/>
        <v>Прицеп 2,0*1,25 м  (до 750 кг.)</v>
      </c>
      <c r="O369" s="36" t="str">
        <f t="shared" si="95"/>
        <v>1 ось</v>
      </c>
      <c r="P369" s="36">
        <f t="shared" si="96"/>
        <v>2025</v>
      </c>
      <c r="Q369" s="34" t="str">
        <f t="shared" ca="1" si="101"/>
        <v>3150*1700*900</v>
      </c>
      <c r="R369" s="36" t="str">
        <f t="shared" ca="1" si="103"/>
        <v>2000*1250*300</v>
      </c>
      <c r="S369" s="34" t="str">
        <f>VLOOKUP(O369,ОТТС!$A$2:$B$3,2,0)</f>
        <v>ТС KZ Е-KZ.0317.00251 от 28.02.2023</v>
      </c>
      <c r="T369" s="39">
        <v>350000</v>
      </c>
      <c r="U369" s="36" t="str">
        <f t="shared" si="98"/>
        <v>Астана</v>
      </c>
    </row>
    <row r="370" spans="1:21" ht="13.2">
      <c r="A370" s="34">
        <v>1551</v>
      </c>
      <c r="B370" s="35">
        <f>VLOOKUP(A370,'Реестр договоров'!$A$2:$D$508,2,0)</f>
        <v>45755</v>
      </c>
      <c r="C370" s="36" t="str">
        <f t="shared" si="90"/>
        <v>Хазтай</v>
      </c>
      <c r="D370" s="36" t="str">
        <f t="shared" si="91"/>
        <v>Ерболат</v>
      </c>
      <c r="E370" s="36">
        <f t="shared" si="102"/>
        <v>0</v>
      </c>
      <c r="F370" s="36" t="str">
        <f t="shared" si="92"/>
        <v>050380006</v>
      </c>
      <c r="G370" s="37">
        <f>VLOOKUP(F370,Покупатели!$F$2:$N$762,2,0)</f>
        <v>44321</v>
      </c>
      <c r="H370" s="36" t="str">
        <f>VLOOKUP(F370,Покупатели!$F$2:$N$762,3,0)</f>
        <v>МВД РК</v>
      </c>
      <c r="I370" s="36">
        <f>VLOOKUP(C370,Покупатели!$C$2:$M$805,7,0)</f>
        <v>761010350596</v>
      </c>
      <c r="J370" s="36" t="str">
        <f ca="1">IFERROR(__xludf.DUMMYFUNCTION("JOIN("" "", VLOOKUP(C370,Покупатели,8,0),VLOOKUP(C370,Покупатели,9,0),VLOOKUP(C370,Покупатели,10,0),VLOOKUP(C370,Покупатели,11,0))"),"Акмола обл Аршалынский р-н, Аршалы ул.Ынтымак д.14")</f>
        <v>Акмола обл Аршалынский р-н, Аршалы ул.Ынтымак д.14</v>
      </c>
      <c r="K370" s="36">
        <f t="shared" si="93"/>
        <v>87016470593</v>
      </c>
      <c r="L370" s="36" t="str">
        <f t="shared" si="94"/>
        <v>MX4000002S0002054</v>
      </c>
      <c r="M370" s="36" t="str">
        <f t="shared" ca="1" si="100"/>
        <v>002-2013E50Q13-OK</v>
      </c>
      <c r="N370" s="36" t="str">
        <f t="shared" si="99"/>
        <v>Прицеп 2,0*1,25 м  (до 750 кг.)</v>
      </c>
      <c r="O370" s="36" t="str">
        <f t="shared" si="95"/>
        <v>1 ось</v>
      </c>
      <c r="P370" s="36">
        <f t="shared" si="96"/>
        <v>2025</v>
      </c>
      <c r="Q370" s="34" t="str">
        <f t="shared" ca="1" si="101"/>
        <v>3150*1700*1070</v>
      </c>
      <c r="R370" s="36" t="str">
        <f t="shared" ca="1" si="103"/>
        <v>2000*1250*500</v>
      </c>
      <c r="S370" s="34" t="str">
        <f>VLOOKUP(O370,ОТТС!$A$2:$B$3,2,0)</f>
        <v>ТС KZ Е-KZ.0317.00251 от 28.02.2023</v>
      </c>
      <c r="T370" s="39">
        <v>370000</v>
      </c>
      <c r="U370" s="36" t="str">
        <f t="shared" si="98"/>
        <v>Астана</v>
      </c>
    </row>
    <row r="371" spans="1:21" ht="13.2">
      <c r="A371" s="34">
        <v>1552</v>
      </c>
      <c r="B371" s="35">
        <f>VLOOKUP(A371,'Реестр договоров'!$A$2:$D$508,2,0)</f>
        <v>45755</v>
      </c>
      <c r="C371" s="36" t="str">
        <f t="shared" si="90"/>
        <v>Колесников</v>
      </c>
      <c r="D371" s="36" t="str">
        <f t="shared" si="91"/>
        <v>Александр</v>
      </c>
      <c r="E371" s="36" t="str">
        <f t="shared" si="102"/>
        <v>Владимирович</v>
      </c>
      <c r="F371" s="36" t="str">
        <f t="shared" si="92"/>
        <v>056251716</v>
      </c>
      <c r="G371" s="37">
        <f>VLOOKUP(F371,Покупатели!$F$2:$N$762,2,0)</f>
        <v>45175</v>
      </c>
      <c r="H371" s="36" t="str">
        <f>VLOOKUP(F371,Покупатели!$F$2:$N$762,3,0)</f>
        <v>МВД РК</v>
      </c>
      <c r="I371" s="36">
        <f>VLOOKUP(C371,Покупатели!$C$2:$M$805,7,0)</f>
        <v>780825300787</v>
      </c>
      <c r="J371" s="36" t="str">
        <f ca="1">IFERROR(__xludf.DUMMYFUNCTION("JOIN("" "", VLOOKUP(C371,Покупатели,8,0),VLOOKUP(C371,Покупатели,9,0),VLOOKUP(C371,Покупатели,10,0),VLOOKUP(C371,Покупатели,11,0))"),"Акмолинская область, Бурабайский район, с. Златополье ул. Новостройка, д. 1, кв. 2")</f>
        <v>Акмолинская область, Бурабайский район, с. Златополье ул. Новостройка, д. 1, кв. 2</v>
      </c>
      <c r="K371" s="36">
        <f t="shared" si="93"/>
        <v>87471316409</v>
      </c>
      <c r="L371" s="36" t="str">
        <f t="shared" si="94"/>
        <v>MX4000002S0002045</v>
      </c>
      <c r="M371" s="36" t="str">
        <f t="shared" ca="1" si="100"/>
        <v>002-2013E50Q13-OK30</v>
      </c>
      <c r="N371" s="36" t="str">
        <f t="shared" si="99"/>
        <v>Прицеп 2,0*1,25 м  (до 750 кг.)</v>
      </c>
      <c r="O371" s="36" t="str">
        <f t="shared" si="95"/>
        <v>1 ось</v>
      </c>
      <c r="P371" s="36">
        <f t="shared" si="96"/>
        <v>2025</v>
      </c>
      <c r="Q371" s="34" t="str">
        <f t="shared" ca="1" si="101"/>
        <v>3150*1700*1070</v>
      </c>
      <c r="R371" s="36" t="str">
        <f t="shared" ca="1" si="103"/>
        <v>2000*1250*500</v>
      </c>
      <c r="S371" s="34" t="str">
        <f>VLOOKUP(O371,ОТТС!$A$2:$B$3,2,0)</f>
        <v>ТС KZ Е-KZ.0317.00251 от 28.02.2023</v>
      </c>
      <c r="T371" s="39">
        <v>350000</v>
      </c>
      <c r="U371" s="36" t="str">
        <f t="shared" si="98"/>
        <v>Кокшетау</v>
      </c>
    </row>
    <row r="372" spans="1:21" ht="13.2">
      <c r="A372" s="34">
        <v>1553</v>
      </c>
      <c r="B372" s="35">
        <f>VLOOKUP(A372,'Реестр договоров'!$A$2:$D$508,2,0)</f>
        <v>45755</v>
      </c>
      <c r="C372" s="36" t="str">
        <f t="shared" si="90"/>
        <v>Величко</v>
      </c>
      <c r="D372" s="36" t="str">
        <f t="shared" si="91"/>
        <v>Владимир</v>
      </c>
      <c r="E372" s="36" t="str">
        <f t="shared" si="102"/>
        <v>Алексеевич</v>
      </c>
      <c r="F372" s="36" t="str">
        <f t="shared" si="92"/>
        <v>020712446</v>
      </c>
      <c r="G372" s="37">
        <f>VLOOKUP(F372,Покупатели!$F$2:$N$762,2,0)</f>
        <v>39241</v>
      </c>
      <c r="H372" s="36" t="str">
        <f>VLOOKUP(F372,Покупатели!$F$2:$N$762,3,0)</f>
        <v>МЮ РК</v>
      </c>
      <c r="I372" s="36">
        <f>VLOOKUP(C372,Покупатели!$C$2:$M$805,7,0)</f>
        <v>820514350140</v>
      </c>
      <c r="J372" s="36" t="str">
        <f ca="1">IFERROR(__xludf.DUMMYFUNCTION("JOIN("" "", VLOOKUP(C372,Покупатели,8,0),VLOOKUP(C372,Покупатели,9,0),VLOOKUP(C372,Покупатели,10,0),VLOOKUP(C372,Покупатели,11,0))"),"г.Астана р-н Есиль СО Черемушки Атп-1, ул.5 уч.176")</f>
        <v>г.Астана р-н Есиль СО Черемушки Атп-1, ул.5 уч.176</v>
      </c>
      <c r="K372" s="36">
        <f t="shared" si="93"/>
        <v>87013226917</v>
      </c>
      <c r="L372" s="36" t="str">
        <f t="shared" si="94"/>
        <v>MX4000002S0001982</v>
      </c>
      <c r="M372" s="36" t="str">
        <f t="shared" ca="1" si="100"/>
        <v>002-2513E50Q13-OK</v>
      </c>
      <c r="N372" s="36" t="str">
        <f t="shared" si="99"/>
        <v>Прицеп 2,5*1,25 м  (до 750 кг.)</v>
      </c>
      <c r="O372" s="36" t="str">
        <f t="shared" si="95"/>
        <v>1 ось</v>
      </c>
      <c r="P372" s="36">
        <f t="shared" si="96"/>
        <v>2025</v>
      </c>
      <c r="Q372" s="34" t="str">
        <f t="shared" ca="1" si="101"/>
        <v>3650*1700*1070</v>
      </c>
      <c r="R372" s="36" t="str">
        <f t="shared" ca="1" si="103"/>
        <v>2500*1250*500</v>
      </c>
      <c r="S372" s="34" t="str">
        <f>VLOOKUP(O372,ОТТС!$A$2:$B$3,2,0)</f>
        <v>ТС KZ Е-KZ.0317.00251 от 28.02.2023</v>
      </c>
      <c r="T372" s="39">
        <v>440000</v>
      </c>
      <c r="U372" s="36" t="str">
        <f t="shared" si="98"/>
        <v>Астана</v>
      </c>
    </row>
    <row r="373" spans="1:21" ht="13.2">
      <c r="A373" s="34">
        <v>1554</v>
      </c>
      <c r="B373" s="35">
        <f>VLOOKUP(A373,'Реестр договоров'!$A$2:$D$508,2,0)</f>
        <v>45757</v>
      </c>
      <c r="C373" s="36" t="str">
        <f t="shared" si="90"/>
        <v>Абильдин</v>
      </c>
      <c r="D373" s="36" t="str">
        <f t="shared" si="91"/>
        <v>Талгат</v>
      </c>
      <c r="E373" s="36" t="str">
        <f t="shared" si="102"/>
        <v>Хазырбекович</v>
      </c>
      <c r="F373" s="36" t="str">
        <f t="shared" si="92"/>
        <v>040762596</v>
      </c>
      <c r="G373" s="37">
        <f>VLOOKUP(F373,Покупатели!$F$2:$N$762,2,0)</f>
        <v>42409</v>
      </c>
      <c r="H373" s="36" t="str">
        <f>VLOOKUP(F373,Покупатели!$F$2:$N$762,3,0)</f>
        <v>МВД РК</v>
      </c>
      <c r="I373" s="36">
        <f>VLOOKUP(C373,Покупатели!$C$2:$M$805,7,0)</f>
        <v>841020350429</v>
      </c>
      <c r="J373" s="36" t="str">
        <f ca="1">IFERROR(__xludf.DUMMYFUNCTION("JOIN("" "", VLOOKUP(C373,Покупатели,8,0),VLOOKUP(C373,Покупатели,9,0),VLOOKUP(C373,Покупатели,10,0),VLOOKUP(C373,Покупатели,11,0))"),"Акмолинская обл. Коргалжынский район, с.Жантеке ул.Ж.Жабаева д.16")</f>
        <v>Акмолинская обл. Коргалжынский район, с.Жантеке ул.Ж.Жабаева д.16</v>
      </c>
      <c r="K373" s="36">
        <f t="shared" si="93"/>
        <v>87017776566</v>
      </c>
      <c r="L373" s="36" t="str">
        <f t="shared" si="94"/>
        <v>MX4000002S0002043</v>
      </c>
      <c r="M373" s="36" t="str">
        <f t="shared" ca="1" si="100"/>
        <v>002-2013E50Q13-OK</v>
      </c>
      <c r="N373" s="36" t="str">
        <f t="shared" si="99"/>
        <v>Прицеп 2,0*1,25 м  (до 750 кг.)</v>
      </c>
      <c r="O373" s="36" t="str">
        <f t="shared" si="95"/>
        <v>1 ось</v>
      </c>
      <c r="P373" s="36">
        <f t="shared" si="96"/>
        <v>2025</v>
      </c>
      <c r="Q373" s="34" t="str">
        <f t="shared" ca="1" si="101"/>
        <v>3150*1700*1070</v>
      </c>
      <c r="R373" s="36" t="str">
        <f t="shared" ca="1" si="103"/>
        <v>2000*1250*500</v>
      </c>
      <c r="S373" s="34" t="str">
        <f>VLOOKUP(O373,ОТТС!$A$2:$B$3,2,0)</f>
        <v>ТС KZ Е-KZ.0317.00251 от 28.02.2023</v>
      </c>
      <c r="T373" s="39">
        <v>330000</v>
      </c>
      <c r="U373" s="36" t="str">
        <f t="shared" si="98"/>
        <v>Астана</v>
      </c>
    </row>
    <row r="374" spans="1:21" ht="13.2">
      <c r="A374" s="34">
        <v>1555</v>
      </c>
      <c r="B374" s="35">
        <f>VLOOKUP(A374,'Реестр договоров'!$A$2:$D$508,2,0)</f>
        <v>45757</v>
      </c>
      <c r="C374" s="36" t="str">
        <f t="shared" si="90"/>
        <v>Джандарбеков</v>
      </c>
      <c r="D374" s="36" t="str">
        <f t="shared" si="91"/>
        <v>Утепберди</v>
      </c>
      <c r="E374" s="36" t="str">
        <f t="shared" si="102"/>
        <v>Баймахамбетович</v>
      </c>
      <c r="F374" s="36" t="str">
        <f t="shared" si="92"/>
        <v>056151514</v>
      </c>
      <c r="G374" s="37">
        <f>VLOOKUP(F374,Покупатели!$F$2:$N$762,2,0)</f>
        <v>45154</v>
      </c>
      <c r="H374" s="36" t="str">
        <f>VLOOKUP(F374,Покупатели!$F$2:$N$762,3,0)</f>
        <v>МВД РК</v>
      </c>
      <c r="I374" s="36">
        <f>VLOOKUP(C374,Покупатели!$C$2:$M$805,7,0)</f>
        <v>790204301278</v>
      </c>
      <c r="J374" s="36" t="str">
        <f ca="1">IFERROR(__xludf.DUMMYFUNCTION("JOIN("" "", VLOOKUP(C374,Покупатели,8,0),VLOOKUP(C374,Покупатели,9,0),VLOOKUP(C374,Покупатели,10,0),VLOOKUP(C374,Покупатели,11,0))"),"г.Астана р-н Есиль ул.Бокейхана д.8, кв.44")</f>
        <v>г.Астана р-н Есиль ул.Бокейхана д.8, кв.44</v>
      </c>
      <c r="K374" s="36">
        <f t="shared" si="93"/>
        <v>87078430616</v>
      </c>
      <c r="L374" s="36" t="str">
        <f t="shared" si="94"/>
        <v>MX4000002S0001977</v>
      </c>
      <c r="M374" s="36" t="str">
        <f t="shared" ca="1" si="100"/>
        <v>002-2513E50Q15-OK</v>
      </c>
      <c r="N374" s="36" t="str">
        <f t="shared" si="99"/>
        <v>Прицеп 2,5*1,25 м  (до 750 кг.)</v>
      </c>
      <c r="O374" s="36" t="str">
        <f t="shared" si="95"/>
        <v>1 ось</v>
      </c>
      <c r="P374" s="36">
        <f t="shared" si="96"/>
        <v>2025</v>
      </c>
      <c r="Q374" s="34" t="str">
        <f t="shared" ca="1" si="101"/>
        <v>3650*1700*1070</v>
      </c>
      <c r="R374" s="36" t="str">
        <f t="shared" ca="1" si="103"/>
        <v>2500*1250*500</v>
      </c>
      <c r="S374" s="34" t="str">
        <f>VLOOKUP(O374,ОТТС!$A$2:$B$3,2,0)</f>
        <v>ТС KZ Е-KZ.0317.00251 от 28.02.2023</v>
      </c>
      <c r="T374" s="39">
        <v>410000</v>
      </c>
      <c r="U374" s="36" t="str">
        <f t="shared" si="98"/>
        <v>Астана</v>
      </c>
    </row>
    <row r="375" spans="1:21" ht="13.2">
      <c r="A375" s="34">
        <v>1556</v>
      </c>
      <c r="B375" s="35">
        <f>VLOOKUP(A375,'Реестр договоров'!$A$2:$D$508,2,0)</f>
        <v>45757</v>
      </c>
      <c r="C375" s="36" t="str">
        <f t="shared" si="90"/>
        <v>Нурлыбай</v>
      </c>
      <c r="D375" s="36" t="str">
        <f t="shared" si="91"/>
        <v>Нуркелдi</v>
      </c>
      <c r="E375" s="36" t="str">
        <f t="shared" si="102"/>
        <v>Нуржанұлы</v>
      </c>
      <c r="F375" s="36" t="str">
        <f t="shared" si="92"/>
        <v>042347463</v>
      </c>
      <c r="G375" s="37">
        <f>VLOOKUP(F375,Покупатели!$F$2:$N$762,2,0)</f>
        <v>43061</v>
      </c>
      <c r="H375" s="36" t="str">
        <f>VLOOKUP(F375,Покупатели!$F$2:$N$762,3,0)</f>
        <v>ҚР ІІМ</v>
      </c>
      <c r="I375" s="36">
        <f>VLOOKUP(C375,Покупатели!$C$2:$M$805,7,0)</f>
        <v>980211301305</v>
      </c>
      <c r="J375" s="36" t="str">
        <f ca="1">IFERROR(__xludf.DUMMYFUNCTION("JOIN("" "", VLOOKUP(C375,Покупатели,8,0),VLOOKUP(C375,Покупатели,9,0),VLOOKUP(C375,Покупатели,10,0),VLOOKUP(C375,Покупатели,11,0))"),"Алматинская область, г. Алматы, ул. Османова, д. 99")</f>
        <v>Алматинская область, г. Алматы, ул. Османова, д. 99</v>
      </c>
      <c r="K375" s="36">
        <f t="shared" si="93"/>
        <v>87471724288</v>
      </c>
      <c r="L375" s="36" t="str">
        <f t="shared" si="94"/>
        <v>MX4000002R0001613</v>
      </c>
      <c r="M375" s="36" t="str">
        <f t="shared" ca="1" si="100"/>
        <v>002-2513E30Q13-OK</v>
      </c>
      <c r="N375" s="36" t="str">
        <f t="shared" si="99"/>
        <v>Прицеп 2,5*1,25 м  (до 750 кг.)</v>
      </c>
      <c r="O375" s="36" t="str">
        <f t="shared" si="95"/>
        <v>1 ось</v>
      </c>
      <c r="P375" s="36">
        <f t="shared" si="96"/>
        <v>2024</v>
      </c>
      <c r="Q375" s="34" t="str">
        <f t="shared" ca="1" si="101"/>
        <v>3650*1700*900</v>
      </c>
      <c r="R375" s="36" t="str">
        <f t="shared" ca="1" si="103"/>
        <v>2500*1250*300</v>
      </c>
      <c r="S375" s="34" t="str">
        <f>VLOOKUP(O375,ОТТС!$A$2:$B$3,2,0)</f>
        <v>ТС KZ Е-KZ.0317.00251 от 28.02.2023</v>
      </c>
      <c r="T375" s="39">
        <v>380000</v>
      </c>
      <c r="U375" s="36" t="str">
        <f t="shared" si="98"/>
        <v>Алматы</v>
      </c>
    </row>
    <row r="376" spans="1:21" ht="13.2">
      <c r="A376" s="34">
        <v>1557</v>
      </c>
      <c r="B376" s="35">
        <f>VLOOKUP(A376,'Реестр договоров'!$A$2:$D$508,2,0)</f>
        <v>45758</v>
      </c>
      <c r="C376" s="36" t="str">
        <f t="shared" si="90"/>
        <v>Имангалиев</v>
      </c>
      <c r="D376" s="36" t="str">
        <f t="shared" si="91"/>
        <v>Жан</v>
      </c>
      <c r="E376" s="36" t="str">
        <f t="shared" si="102"/>
        <v>Серикович</v>
      </c>
      <c r="F376" s="36" t="str">
        <f t="shared" si="92"/>
        <v>053131301</v>
      </c>
      <c r="G376" s="37">
        <f>VLOOKUP(F376,Покупатели!$F$2:$N$762,2,0)</f>
        <v>45030</v>
      </c>
      <c r="H376" s="36" t="str">
        <f>VLOOKUP(F376,Покупатели!$F$2:$N$762,3,0)</f>
        <v>МВД РК</v>
      </c>
      <c r="I376" s="36">
        <f>VLOOKUP(C376,Покупатели!$C$2:$M$805,7,0)</f>
        <v>780131300023</v>
      </c>
      <c r="J376" s="36" t="str">
        <f ca="1">IFERROR(__xludf.DUMMYFUNCTION("JOIN("" "", VLOOKUP(C376,Покупатели,8,0),VLOOKUP(C376,Покупатели,9,0),VLOOKUP(C376,Покупатели,10,0),VLOOKUP(C376,Покупатели,11,0))"),"Алматинская область, Карасайский район, ​с. Райымбек,. Улица Суюнбая,  д.25")</f>
        <v>Алматинская область, Карасайский район, ​с. Райымбек,. Улица Суюнбая,  д.25</v>
      </c>
      <c r="K376" s="36">
        <f t="shared" si="93"/>
        <v>87477374548</v>
      </c>
      <c r="L376" s="36" t="str">
        <f t="shared" si="94"/>
        <v>MX4000002S0001895</v>
      </c>
      <c r="M376" s="36" t="str">
        <f t="shared" ca="1" si="100"/>
        <v>002-2013E30Q13-OK</v>
      </c>
      <c r="N376" s="36" t="str">
        <f t="shared" si="99"/>
        <v>Прицеп 2,0*1,25 м  (до 750 кг.)</v>
      </c>
      <c r="O376" s="36" t="str">
        <f t="shared" si="95"/>
        <v>1 ось</v>
      </c>
      <c r="P376" s="36">
        <f t="shared" si="96"/>
        <v>2025</v>
      </c>
      <c r="Q376" s="34" t="str">
        <f t="shared" ca="1" si="101"/>
        <v>3150*1700*900</v>
      </c>
      <c r="R376" s="36" t="str">
        <f t="shared" ca="1" si="103"/>
        <v>2000*1250*300</v>
      </c>
      <c r="S376" s="34" t="str">
        <f>VLOOKUP(O376,ОТТС!$A$2:$B$3,2,0)</f>
        <v>ТС KZ Е-KZ.0317.00251 от 28.02.2023</v>
      </c>
      <c r="T376" s="39">
        <v>360000</v>
      </c>
      <c r="U376" s="36" t="str">
        <f t="shared" si="98"/>
        <v>Алматы</v>
      </c>
    </row>
    <row r="377" spans="1:21" ht="13.2">
      <c r="A377" s="34">
        <v>1558</v>
      </c>
      <c r="B377" s="35">
        <f>VLOOKUP(A377,'Реестр договоров'!$A$2:$D$508,2,0)</f>
        <v>45760</v>
      </c>
      <c r="C377" s="36" t="str">
        <f t="shared" si="90"/>
        <v>Мерей</v>
      </c>
      <c r="D377" s="36" t="str">
        <f t="shared" si="91"/>
        <v>Руслан</v>
      </c>
      <c r="E377" s="36">
        <f t="shared" si="102"/>
        <v>0</v>
      </c>
      <c r="F377" s="36" t="str">
        <f t="shared" si="92"/>
        <v>042223772</v>
      </c>
      <c r="G377" s="37">
        <f>VLOOKUP(F377,Покупатели!$F$2:$N$762,2,0)</f>
        <v>42754</v>
      </c>
      <c r="H377" s="36" t="str">
        <f>VLOOKUP(F377,Покупатели!$F$2:$N$762,3,0)</f>
        <v>МВД РК</v>
      </c>
      <c r="I377" s="36" t="str">
        <f>VLOOKUP(C377,Покупатели!$C$2:$M$805,7,0)</f>
        <v>010108551006</v>
      </c>
      <c r="J377" s="36" t="str">
        <f ca="1">IFERROR(__xludf.DUMMYFUNCTION("JOIN("" "", VLOOKUP(C377,Покупатели,8,0),VLOOKUP(C377,Покупатели,9,0),VLOOKUP(C377,Покупатели,10,0),VLOOKUP(C377,Покупатели,11,0))"),"Акмолинская обл. Щортандинский р-н, с.Бектау ул.Иманова д.8/2")</f>
        <v>Акмолинская обл. Щортандинский р-н, с.Бектау ул.Иманова д.8/2</v>
      </c>
      <c r="K377" s="36">
        <f t="shared" si="93"/>
        <v>87057474821</v>
      </c>
      <c r="L377" s="36" t="str">
        <f t="shared" si="94"/>
        <v>MX4000002S0002055</v>
      </c>
      <c r="M377" s="36" t="str">
        <f t="shared" ca="1" si="100"/>
        <v>002-2013E50Q13-OK</v>
      </c>
      <c r="N377" s="36" t="str">
        <f t="shared" si="99"/>
        <v>Прицеп 2,0*1,25 м  (до 750 кг.)</v>
      </c>
      <c r="O377" s="36" t="str">
        <f t="shared" si="95"/>
        <v>1 ось</v>
      </c>
      <c r="P377" s="36">
        <f t="shared" si="96"/>
        <v>2025</v>
      </c>
      <c r="Q377" s="34" t="str">
        <f t="shared" ca="1" si="101"/>
        <v>3150*1700*1070</v>
      </c>
      <c r="R377" s="36" t="str">
        <f t="shared" ca="1" si="103"/>
        <v>2000*1250*500</v>
      </c>
      <c r="S377" s="34" t="str">
        <f>VLOOKUP(O377,ОТТС!$A$2:$B$3,2,0)</f>
        <v>ТС KZ Е-KZ.0317.00251 от 28.02.2023</v>
      </c>
      <c r="T377" s="39">
        <v>330000</v>
      </c>
      <c r="U377" s="36" t="str">
        <f t="shared" si="98"/>
        <v>Астана</v>
      </c>
    </row>
    <row r="378" spans="1:21" ht="13.2">
      <c r="A378" s="34">
        <v>1559</v>
      </c>
      <c r="B378" s="35">
        <f>VLOOKUP(A378,'Реестр договоров'!$A$2:$D$508,2,0)</f>
        <v>45761</v>
      </c>
      <c r="C378" s="36" t="str">
        <f t="shared" si="90"/>
        <v>Андруцуляк 1</v>
      </c>
      <c r="D378" s="36" t="str">
        <f t="shared" si="91"/>
        <v>Сергей</v>
      </c>
      <c r="E378" s="36" t="str">
        <f t="shared" si="102"/>
        <v>Викторович</v>
      </c>
      <c r="F378" s="36" t="str">
        <f t="shared" si="92"/>
        <v>052183304</v>
      </c>
      <c r="G378" s="37">
        <f>VLOOKUP(F378,Покупатели!$F$2:$N$762,2,0)</f>
        <v>44608</v>
      </c>
      <c r="H378" s="36" t="str">
        <f>VLOOKUP(F378,Покупатели!$F$2:$N$762,3,0)</f>
        <v>МВД РК</v>
      </c>
      <c r="I378" s="36">
        <f>VLOOKUP(C378,Покупатели!$C$2:$M$805,7,0)</f>
        <v>940823350076</v>
      </c>
      <c r="J378" s="36" t="str">
        <f ca="1">IFERROR(__xludf.DUMMYFUNCTION("JOIN("" "", VLOOKUP(C378,Покупатели,8,0),VLOOKUP(C378,Покупатели,9,0),VLOOKUP(C378,Покупатели,10,0),VLOOKUP(C378,Покупатели,11,0))"),"Акмолинская область, Сандыктауский район, с. Белгородское, ул. Богенбай Би, д.8/2")</f>
        <v>Акмолинская область, Сандыктауский район, с. Белгородское, ул. Богенбай Би, д.8/2</v>
      </c>
      <c r="K378" s="36">
        <f t="shared" si="93"/>
        <v>87072479999</v>
      </c>
      <c r="L378" s="36" t="str">
        <f t="shared" si="94"/>
        <v>MX4000002S0001978</v>
      </c>
      <c r="M378" s="36" t="str">
        <f t="shared" ca="1" si="100"/>
        <v>002-2513E30Q13-OK</v>
      </c>
      <c r="N378" s="36" t="str">
        <f t="shared" si="99"/>
        <v>Прицеп 2,5*1,25 м  (до 750 кг.)</v>
      </c>
      <c r="O378" s="36" t="str">
        <f t="shared" si="95"/>
        <v>1 ось</v>
      </c>
      <c r="P378" s="36">
        <f t="shared" si="96"/>
        <v>2025</v>
      </c>
      <c r="Q378" s="34" t="str">
        <f t="shared" ca="1" si="101"/>
        <v>3650*1700*900</v>
      </c>
      <c r="R378" s="36" t="str">
        <f t="shared" ca="1" si="103"/>
        <v>2500*1250*300</v>
      </c>
      <c r="S378" s="34" t="str">
        <f>VLOOKUP(O378,ОТТС!$A$2:$B$3,2,0)</f>
        <v>ТС KZ Е-KZ.0317.00251 от 28.02.2023</v>
      </c>
      <c r="T378" s="39">
        <v>360000</v>
      </c>
      <c r="U378" s="36" t="str">
        <f t="shared" si="98"/>
        <v>Кокшетау</v>
      </c>
    </row>
    <row r="379" spans="1:21" ht="13.2">
      <c r="A379" s="34">
        <v>1560</v>
      </c>
      <c r="B379" s="35">
        <f>VLOOKUP(A379,'Реестр договоров'!$A$2:$D$508,2,0)</f>
        <v>45765</v>
      </c>
      <c r="C379" s="36" t="str">
        <f t="shared" si="90"/>
        <v>Андруцуляк 2</v>
      </c>
      <c r="D379" s="36" t="str">
        <f t="shared" si="91"/>
        <v>Сергей</v>
      </c>
      <c r="E379" s="36" t="str">
        <f t="shared" si="102"/>
        <v>Викторович</v>
      </c>
      <c r="F379" s="36">
        <f t="shared" si="92"/>
        <v>52183304</v>
      </c>
      <c r="G379" s="37">
        <f>VLOOKUP(F379,Покупатели!$F$2:$N$762,2,0)</f>
        <v>44608</v>
      </c>
      <c r="H379" s="36" t="str">
        <f>VLOOKUP(F379,Покупатели!$F$2:$N$762,3,0)</f>
        <v>МВД РК</v>
      </c>
      <c r="I379" s="36">
        <f>VLOOKUP(C379,Покупатели!$C$2:$M$805,7,0)</f>
        <v>940823350076</v>
      </c>
      <c r="J379" s="36" t="str">
        <f ca="1">IFERROR(__xludf.DUMMYFUNCTION("JOIN("" "", VLOOKUP(C379,Покупатели,8,0),VLOOKUP(C379,Покупатели,9,0),VLOOKUP(C379,Покупатели,10,0),VLOOKUP(C379,Покупатели,11,0))"),"Акмолинская область, Сандыктауский район, с. Белгородское, ул. Богенбай Би, д.8/2")</f>
        <v>Акмолинская область, Сандыктауский район, с. Белгородское, ул. Богенбай Би, д.8/2</v>
      </c>
      <c r="K379" s="36">
        <f t="shared" si="93"/>
        <v>87072479999</v>
      </c>
      <c r="L379" s="36" t="str">
        <f t="shared" si="94"/>
        <v>MX4000002S0001983</v>
      </c>
      <c r="M379" s="36" t="str">
        <f t="shared" ca="1" si="100"/>
        <v>002-2513E30Q13-OK</v>
      </c>
      <c r="N379" s="36" t="str">
        <f t="shared" si="99"/>
        <v>Прицеп 2,5*1,25 м  (до 750 кг.)</v>
      </c>
      <c r="O379" s="36" t="str">
        <f t="shared" si="95"/>
        <v>1 ось</v>
      </c>
      <c r="P379" s="36">
        <f t="shared" si="96"/>
        <v>2025</v>
      </c>
      <c r="Q379" s="34" t="str">
        <f t="shared" ca="1" si="101"/>
        <v>3650*1700*900</v>
      </c>
      <c r="R379" s="36" t="str">
        <f t="shared" ca="1" si="103"/>
        <v>2500*1250*300</v>
      </c>
      <c r="S379" s="34" t="str">
        <f>VLOOKUP(O379,ОТТС!$A$2:$B$3,2,0)</f>
        <v>ТС KZ Е-KZ.0317.00251 от 28.02.2023</v>
      </c>
      <c r="T379" s="39">
        <v>360000</v>
      </c>
      <c r="U379" s="36" t="str">
        <f t="shared" si="98"/>
        <v>Кокшетау</v>
      </c>
    </row>
    <row r="380" spans="1:21" ht="13.2">
      <c r="A380" s="34">
        <v>1561</v>
      </c>
      <c r="B380" s="35">
        <f>VLOOKUP(A380,'Реестр договоров'!$A$2:$D$508,2,0)</f>
        <v>45762</v>
      </c>
      <c r="C380" s="36" t="str">
        <f t="shared" si="90"/>
        <v>Жилиев</v>
      </c>
      <c r="D380" s="36" t="str">
        <f t="shared" si="91"/>
        <v>Алексей</v>
      </c>
      <c r="E380" s="36" t="str">
        <f t="shared" si="102"/>
        <v>Валентинович</v>
      </c>
      <c r="F380" s="36" t="str">
        <f t="shared" si="92"/>
        <v>053297231</v>
      </c>
      <c r="G380" s="37">
        <f>VLOOKUP(F380,Покупатели!$F$2:$N$762,2,0)</f>
        <v>45065</v>
      </c>
      <c r="H380" s="36" t="str">
        <f>VLOOKUP(F380,Покупатели!$F$2:$N$762,3,0)</f>
        <v>МВД РК</v>
      </c>
      <c r="I380" s="36">
        <f>VLOOKUP(C380,Покупатели!$C$2:$M$805,7,0)</f>
        <v>790430300566</v>
      </c>
      <c r="J380" s="36" t="str">
        <f ca="1">IFERROR(__xludf.DUMMYFUNCTION("JOIN("" "", VLOOKUP(C380,Покупатели,8,0),VLOOKUP(C380,Покупатели,9,0),VLOOKUP(C380,Покупатели,10,0),VLOOKUP(C380,Покупатели,11,0))"),"Алматинская область, г.Алматы, ул. Монтажная, д. 10а")</f>
        <v>Алматинская область, г.Алматы, ул. Монтажная, д. 10а</v>
      </c>
      <c r="K380" s="36">
        <f t="shared" si="93"/>
        <v>87004044104</v>
      </c>
      <c r="L380" s="36" t="str">
        <f t="shared" si="94"/>
        <v>MX4000002S0001910</v>
      </c>
      <c r="M380" s="36" t="str">
        <f t="shared" ca="1" si="100"/>
        <v>002-2013E30Q13-OK</v>
      </c>
      <c r="N380" s="36" t="str">
        <f t="shared" si="99"/>
        <v>Прицеп 2,0*1,25 м  (до 750 кг.)</v>
      </c>
      <c r="O380" s="36" t="str">
        <f t="shared" si="95"/>
        <v>1 ось</v>
      </c>
      <c r="P380" s="36">
        <f t="shared" si="96"/>
        <v>2025</v>
      </c>
      <c r="Q380" s="34" t="str">
        <f t="shared" ca="1" si="101"/>
        <v>3150*1700*900</v>
      </c>
      <c r="R380" s="36" t="str">
        <f t="shared" ca="1" si="103"/>
        <v>2000*1250*300</v>
      </c>
      <c r="S380" s="34" t="str">
        <f>VLOOKUP(O380,ОТТС!$A$2:$B$3,2,0)</f>
        <v>ТС KZ Е-KZ.0317.00251 от 28.02.2023</v>
      </c>
      <c r="T380" s="39">
        <v>360000</v>
      </c>
      <c r="U380" s="36" t="str">
        <f t="shared" si="98"/>
        <v>Алматы</v>
      </c>
    </row>
    <row r="381" spans="1:21" ht="13.2">
      <c r="A381" s="34">
        <v>1562</v>
      </c>
      <c r="B381" s="35">
        <f>VLOOKUP(A381,'Реестр договоров'!$A$2:$D$508,2,0)</f>
        <v>45762</v>
      </c>
      <c r="C381" s="36" t="str">
        <f t="shared" si="90"/>
        <v>Айткенов</v>
      </c>
      <c r="D381" s="36" t="str">
        <f t="shared" si="91"/>
        <v>Аслан</v>
      </c>
      <c r="E381" s="36" t="str">
        <f t="shared" si="102"/>
        <v>Актаевич</v>
      </c>
      <c r="F381" s="36" t="str">
        <f t="shared" si="92"/>
        <v>041670792</v>
      </c>
      <c r="G381" s="37">
        <f>VLOOKUP(F381,Покупатели!$F$2:$N$762,2,0)</f>
        <v>42608</v>
      </c>
      <c r="H381" s="36" t="str">
        <f>VLOOKUP(F381,Покупатели!$F$2:$N$762,3,0)</f>
        <v>МВД РК</v>
      </c>
      <c r="I381" s="36">
        <f>VLOOKUP(C381,Покупатели!$C$2:$M$805,7,0)</f>
        <v>790723301041</v>
      </c>
      <c r="J381" s="36" t="str">
        <f ca="1">IFERROR(__xludf.DUMMYFUNCTION("JOIN("" "", VLOOKUP(C381,Покупатели,8,0),VLOOKUP(C381,Покупатели,9,0),VLOOKUP(C381,Покупатели,10,0),VLOOKUP(C381,Покупатели,11,0))"),"Акмолинская область, г. Кокшетау, ул. Сабатаева, д.131")</f>
        <v>Акмолинская область, г. Кокшетау, ул. Сабатаева, д.131</v>
      </c>
      <c r="K381" s="36">
        <f t="shared" si="93"/>
        <v>87477447457</v>
      </c>
      <c r="L381" s="36" t="str">
        <f t="shared" si="94"/>
        <v>MX4000002S0002081</v>
      </c>
      <c r="M381" s="36" t="str">
        <f t="shared" ca="1" si="100"/>
        <v>002-2013E50Q13-OK30</v>
      </c>
      <c r="N381" s="36" t="str">
        <f t="shared" si="99"/>
        <v>Прицеп 2,0*1,25 м  (до 750 кг.)</v>
      </c>
      <c r="O381" s="36" t="str">
        <f t="shared" si="95"/>
        <v>1 ось</v>
      </c>
      <c r="P381" s="36">
        <f t="shared" si="96"/>
        <v>2025</v>
      </c>
      <c r="Q381" s="34" t="str">
        <f t="shared" ca="1" si="101"/>
        <v>3150*1700*1070</v>
      </c>
      <c r="R381" s="36" t="str">
        <f t="shared" ca="1" si="103"/>
        <v>2000*1250*500</v>
      </c>
      <c r="S381" s="34" t="str">
        <f>VLOOKUP(O381,ОТТС!$A$2:$B$3,2,0)</f>
        <v>ТС KZ Е-KZ.0317.00251 от 28.02.2023</v>
      </c>
      <c r="T381" s="39">
        <v>390000</v>
      </c>
      <c r="U381" s="36" t="str">
        <f t="shared" si="98"/>
        <v>Кокшетау</v>
      </c>
    </row>
    <row r="382" spans="1:21" ht="13.2">
      <c r="A382" s="34">
        <v>1563</v>
      </c>
      <c r="B382" s="35">
        <f>VLOOKUP(A382,'Реестр договоров'!$A$2:$D$508,2,0)</f>
        <v>45762</v>
      </c>
      <c r="C382" s="36" t="str">
        <f t="shared" si="90"/>
        <v>Небышинец</v>
      </c>
      <c r="D382" s="36" t="str">
        <f t="shared" si="91"/>
        <v>Валерий</v>
      </c>
      <c r="E382" s="36" t="str">
        <f t="shared" si="102"/>
        <v>Петрович</v>
      </c>
      <c r="F382" s="36" t="str">
        <f t="shared" si="92"/>
        <v>059790216</v>
      </c>
      <c r="G382" s="37">
        <f>VLOOKUP(F382,Покупатели!$F$2:$N$762,2,0)</f>
        <v>45688</v>
      </c>
      <c r="H382" s="36" t="str">
        <f>VLOOKUP(F382,Покупатели!$F$2:$N$762,3,0)</f>
        <v>МВД РК</v>
      </c>
      <c r="I382" s="36">
        <f>VLOOKUP(C382,Покупатели!$C$2:$M$805,7,0)</f>
        <v>740310350174</v>
      </c>
      <c r="J382" s="36" t="str">
        <f ca="1">IFERROR(__xludf.DUMMYFUNCTION("JOIN("" "", VLOOKUP(C382,Покупатели,8,0),VLOOKUP(C382,Покупатели,9,0),VLOOKUP(C382,Покупатели,10,0),VLOOKUP(C382,Покупатели,11,0))"),"г.Астана р-н Сарайшык ул.Бабажанова д.59")</f>
        <v>г.Астана р-н Сарайшык ул.Бабажанова д.59</v>
      </c>
      <c r="K382" s="36">
        <f t="shared" si="93"/>
        <v>87011447740</v>
      </c>
      <c r="L382" s="36" t="str">
        <f t="shared" si="94"/>
        <v>MX4000002S0001951</v>
      </c>
      <c r="M382" s="36" t="str">
        <f t="shared" ca="1" si="100"/>
        <v>002-2013E30Q13-OK</v>
      </c>
      <c r="N382" s="36" t="str">
        <f t="shared" si="99"/>
        <v>Прицеп 2,0*1,25 м  (до 750 кг.)</v>
      </c>
      <c r="O382" s="36" t="str">
        <f t="shared" si="95"/>
        <v>1 ось</v>
      </c>
      <c r="P382" s="36">
        <f t="shared" si="96"/>
        <v>2025</v>
      </c>
      <c r="Q382" s="34" t="str">
        <f t="shared" ca="1" si="101"/>
        <v>3150*1700*900</v>
      </c>
      <c r="R382" s="36" t="str">
        <f t="shared" ca="1" si="103"/>
        <v>2000*1250*300</v>
      </c>
      <c r="S382" s="34" t="str">
        <f>VLOOKUP(O382,ОТТС!$A$2:$B$3,2,0)</f>
        <v>ТС KZ Е-KZ.0317.00251 от 28.02.2023</v>
      </c>
      <c r="T382" s="39">
        <v>350000</v>
      </c>
      <c r="U382" s="36" t="str">
        <f t="shared" si="98"/>
        <v>Астана</v>
      </c>
    </row>
    <row r="383" spans="1:21" ht="13.2">
      <c r="A383" s="34">
        <v>1564</v>
      </c>
      <c r="B383" s="35">
        <f>VLOOKUP(A383,'Реестр договоров'!$A$2:$D$508,2,0)</f>
        <v>45762</v>
      </c>
      <c r="C383" s="36" t="str">
        <f t="shared" si="90"/>
        <v>Мазур</v>
      </c>
      <c r="D383" s="36" t="str">
        <f t="shared" si="91"/>
        <v>Евгений</v>
      </c>
      <c r="E383" s="36" t="str">
        <f t="shared" si="102"/>
        <v>Михайлович</v>
      </c>
      <c r="F383" s="36" t="str">
        <f t="shared" si="92"/>
        <v>048035549</v>
      </c>
      <c r="G383" s="37">
        <f>VLOOKUP(F383,Покупатели!$F$2:$N$762,2,0)</f>
        <v>44267</v>
      </c>
      <c r="H383" s="36" t="str">
        <f>VLOOKUP(F383,Покупатели!$F$2:$N$762,3,0)</f>
        <v>МВД РК</v>
      </c>
      <c r="I383" s="36">
        <f>VLOOKUP(C383,Покупатели!$C$2:$M$805,7,0)</f>
        <v>830326300392</v>
      </c>
      <c r="J383" s="36" t="str">
        <f ca="1">IFERROR(__xludf.DUMMYFUNCTION("JOIN("" "", VLOOKUP(C383,Покупатели,8,0),VLOOKUP(C383,Покупатели,9,0),VLOOKUP(C383,Покупатели,10,0),VLOOKUP(C383,Покупатели,11,0))"),"Алматинская область, Талгарский район, село Гульдала, ул. Карасай Батыра, дом 12")</f>
        <v>Алматинская область, Талгарский район, село Гульдала, ул. Карасай Батыра, дом 12</v>
      </c>
      <c r="K383" s="36">
        <f t="shared" si="93"/>
        <v>87771935602</v>
      </c>
      <c r="L383" s="36" t="str">
        <f t="shared" si="94"/>
        <v>MX4000002S0001924</v>
      </c>
      <c r="M383" s="36" t="str">
        <f t="shared" ca="1" si="100"/>
        <v>002-2013E50Q13-OK</v>
      </c>
      <c r="N383" s="36" t="str">
        <f t="shared" si="99"/>
        <v>Прицеп 2,0*1,25 м  (до 750 кг.)</v>
      </c>
      <c r="O383" s="36" t="str">
        <f t="shared" si="95"/>
        <v>1 ось</v>
      </c>
      <c r="P383" s="36">
        <f t="shared" si="96"/>
        <v>2025</v>
      </c>
      <c r="Q383" s="34" t="str">
        <f t="shared" ca="1" si="101"/>
        <v>3150*1700*1070</v>
      </c>
      <c r="R383" s="36" t="str">
        <f t="shared" ca="1" si="103"/>
        <v>2000*1250*500</v>
      </c>
      <c r="S383" s="34" t="str">
        <f>VLOOKUP(O383,ОТТС!$A$2:$B$3,2,0)</f>
        <v>ТС KZ Е-KZ.0317.00251 от 28.02.2023</v>
      </c>
      <c r="T383" s="39">
        <v>380000</v>
      </c>
      <c r="U383" s="36" t="str">
        <f t="shared" si="98"/>
        <v>Алматы</v>
      </c>
    </row>
    <row r="384" spans="1:21" ht="13.2">
      <c r="A384" s="34">
        <v>1565</v>
      </c>
      <c r="B384" s="35">
        <f>VLOOKUP(A384,'Реестр договоров'!$A$2:$D$508,2,0)</f>
        <v>45763</v>
      </c>
      <c r="C384" s="36" t="str">
        <f t="shared" si="90"/>
        <v>Ковригина</v>
      </c>
      <c r="D384" s="36" t="str">
        <f t="shared" si="91"/>
        <v>Светлана</v>
      </c>
      <c r="E384" s="36" t="str">
        <f t="shared" si="102"/>
        <v>Владимировна</v>
      </c>
      <c r="F384" s="36" t="str">
        <f t="shared" si="92"/>
        <v>044487640</v>
      </c>
      <c r="G384" s="37">
        <f>VLOOKUP(F384,Покупатели!$F$2:$N$762,2,0)</f>
        <v>43269</v>
      </c>
      <c r="H384" s="36" t="str">
        <f>VLOOKUP(F384,Покупатели!$F$2:$N$762,3,0)</f>
        <v>МВД РК</v>
      </c>
      <c r="I384" s="36">
        <f>VLOOKUP(C384,Покупатели!$C$2:$M$805,7,0)</f>
        <v>791026450199</v>
      </c>
      <c r="J384" s="36" t="str">
        <f ca="1">IFERROR(__xludf.DUMMYFUNCTION("JOIN("" "", VLOOKUP(C384,Покупатели,8,0),VLOOKUP(C384,Покупатели,9,0),VLOOKUP(C384,Покупатели,10,0),VLOOKUP(C384,Покупатели,11,0))"),"Акмолинская область, г. Кокшетау, ул.Биржан Сал, д.133")</f>
        <v>Акмолинская область, г. Кокшетау, ул.Биржан Сал, д.133</v>
      </c>
      <c r="K384" s="36">
        <f t="shared" si="93"/>
        <v>87057052680</v>
      </c>
      <c r="L384" s="36" t="str">
        <f t="shared" si="94"/>
        <v>MX4000002S0001984</v>
      </c>
      <c r="M384" s="36" t="str">
        <f t="shared" ca="1" si="100"/>
        <v>002-2513E50Q13-OK60</v>
      </c>
      <c r="N384" s="36" t="str">
        <f t="shared" si="99"/>
        <v>Прицеп 2,5*1,25 м  (до 750 кг.)</v>
      </c>
      <c r="O384" s="36" t="str">
        <f t="shared" si="95"/>
        <v>1 ось</v>
      </c>
      <c r="P384" s="36">
        <f t="shared" si="96"/>
        <v>2025</v>
      </c>
      <c r="Q384" s="34" t="str">
        <f t="shared" ca="1" si="101"/>
        <v>3650*1700*1070</v>
      </c>
      <c r="R384" s="36" t="str">
        <f t="shared" ca="1" si="103"/>
        <v>2500*1250*500</v>
      </c>
      <c r="S384" s="34" t="str">
        <f>VLOOKUP(O384,ОТТС!$A$2:$B$3,2,0)</f>
        <v>ТС KZ Е-KZ.0317.00251 от 28.02.2023</v>
      </c>
      <c r="T384" s="39">
        <v>430000</v>
      </c>
      <c r="U384" s="36" t="str">
        <f t="shared" si="98"/>
        <v>Кокшетау</v>
      </c>
    </row>
    <row r="385" spans="1:21" ht="13.2">
      <c r="A385" s="34">
        <v>1566</v>
      </c>
      <c r="B385" s="35">
        <f>VLOOKUP(A385,'Реестр договоров'!$A$2:$D$508,2,0)</f>
        <v>45762</v>
      </c>
      <c r="C385" s="36" t="str">
        <f t="shared" si="90"/>
        <v>Асылбек</v>
      </c>
      <c r="D385" s="36" t="str">
        <f t="shared" si="91"/>
        <v>Нұрхан</v>
      </c>
      <c r="E385" s="36" t="str">
        <f t="shared" si="102"/>
        <v>Ардақұлы</v>
      </c>
      <c r="F385" s="36" t="str">
        <f t="shared" si="92"/>
        <v>045004568</v>
      </c>
      <c r="G385" s="37">
        <f>VLOOKUP(F385,Покупатели!$F$2:$N$762,2,0)</f>
        <v>43389</v>
      </c>
      <c r="H385" s="36" t="str">
        <f>VLOOKUP(F385,Покупатели!$F$2:$N$762,3,0)</f>
        <v>ҚР ІІМ</v>
      </c>
      <c r="I385" s="36" t="str">
        <f>VLOOKUP(C385,Покупатели!$C$2:$M$805,7,0)</f>
        <v>020920551220</v>
      </c>
      <c r="J385" s="36" t="str">
        <f ca="1">IFERROR(__xludf.DUMMYFUNCTION("JOIN("" "", VLOOKUP(C385,Покупатели,8,0),VLOOKUP(C385,Покупатели,9,0),VLOOKUP(C385,Покупатели,10,0),VLOOKUP(C385,Покупатели,11,0))"),"Акмолинская область,  г.Кокшетау, ул. Жубанова, д.16")</f>
        <v>Акмолинская область,  г.Кокшетау, ул. Жубанова, д.16</v>
      </c>
      <c r="K385" s="36">
        <f t="shared" si="93"/>
        <v>87774952895</v>
      </c>
      <c r="L385" s="36" t="str">
        <f t="shared" si="94"/>
        <v>MX4000002S0002080</v>
      </c>
      <c r="M385" s="36" t="str">
        <f t="shared" ca="1" si="100"/>
        <v>002-2013E50Q13-OK60</v>
      </c>
      <c r="N385" s="36" t="str">
        <f t="shared" si="99"/>
        <v>Прицеп 2,0*1,25 м  (до 750 кг.)</v>
      </c>
      <c r="O385" s="36" t="str">
        <f t="shared" si="95"/>
        <v>1 ось</v>
      </c>
      <c r="P385" s="36">
        <f t="shared" si="96"/>
        <v>2025</v>
      </c>
      <c r="Q385" s="34" t="str">
        <f t="shared" ca="1" si="101"/>
        <v>3150*1700*1070</v>
      </c>
      <c r="R385" s="36" t="str">
        <f t="shared" ca="1" si="103"/>
        <v>2000*1250*500</v>
      </c>
      <c r="S385" s="34" t="str">
        <f>VLOOKUP(O385,ОТТС!$A$2:$B$3,2,0)</f>
        <v>ТС KZ Е-KZ.0317.00251 от 28.02.2023</v>
      </c>
      <c r="T385" s="39">
        <v>410000</v>
      </c>
      <c r="U385" s="36" t="str">
        <f t="shared" si="98"/>
        <v>Кокшетау</v>
      </c>
    </row>
    <row r="386" spans="1:21" ht="13.2">
      <c r="A386" s="34">
        <v>1567</v>
      </c>
      <c r="B386" s="35">
        <f>VLOOKUP(A386,'Реестр договоров'!$A$2:$D$508,2,0)</f>
        <v>45763</v>
      </c>
      <c r="C386" s="36" t="str">
        <f t="shared" ref="C386:C449" si="104">VLOOKUP(A386,Реестр_Договоров,3,0)</f>
        <v>Керимов</v>
      </c>
      <c r="D386" s="36" t="str">
        <f t="shared" ref="D386:D449" si="105">VLOOKUP(C386,Покупатели,2,0)</f>
        <v>Валерий</v>
      </c>
      <c r="E386" s="36" t="str">
        <f t="shared" si="102"/>
        <v>Рамизович</v>
      </c>
      <c r="F386" s="36" t="str">
        <f t="shared" ref="F386:F449" si="106">VLOOKUP(C386,Покупатели,4,0)</f>
        <v>052618108</v>
      </c>
      <c r="G386" s="37">
        <f>VLOOKUP(F386,Покупатели!$F$2:$N$762,2,0)</f>
        <v>44672</v>
      </c>
      <c r="H386" s="36" t="str">
        <f>VLOOKUP(F386,Покупатели!$F$2:$N$762,3,0)</f>
        <v>МВД РК</v>
      </c>
      <c r="I386" s="36">
        <f>VLOOKUP(C386,Покупатели!$C$2:$M$805,7,0)</f>
        <v>780211302212</v>
      </c>
      <c r="J386" s="36" t="str">
        <f ca="1">IFERROR(__xludf.DUMMYFUNCTION("JOIN("" "", VLOOKUP(C386,Покупатели,8,0),VLOOKUP(C386,Покупатели,9,0),VLOOKUP(C386,Покупатели,10,0),VLOOKUP(C386,Покупатели,11,0))"),"Акмолинская область, г. Кокшетау, ул. Акана Серы, д.62а")</f>
        <v>Акмолинская область, г. Кокшетау, ул. Акана Серы, д.62а</v>
      </c>
      <c r="K386" s="36">
        <f t="shared" ref="K386:K449" si="107">VLOOKUP(C386,Покупатели,12,0)</f>
        <v>87058997262</v>
      </c>
      <c r="L386" s="36" t="str">
        <f t="shared" ref="L386:L449" si="108">VLOOKUP(A386,Реестр_Договоров,4,0)</f>
        <v>MX4000002S0002087</v>
      </c>
      <c r="M386" s="36" t="str">
        <f t="shared" ca="1" si="100"/>
        <v>002-2013E50Q13-OK</v>
      </c>
      <c r="N386" s="36" t="str">
        <f t="shared" si="99"/>
        <v>Прицеп 2,0*1,25 м  (до 750 кг.)</v>
      </c>
      <c r="O386" s="36" t="str">
        <f t="shared" ref="O386:O449" si="109">VLOOKUP(L386,ПРИЦЕПЫ,10,0)</f>
        <v>1 ось</v>
      </c>
      <c r="P386" s="36">
        <f t="shared" ref="P386:P449" si="110">YEAR(VLOOKUP(L386,ПРИЦЕПЫ,7,0))</f>
        <v>2025</v>
      </c>
      <c r="Q386" s="34" t="str">
        <f t="shared" ca="1" si="101"/>
        <v>3150*1700*1070</v>
      </c>
      <c r="R386" s="36" t="str">
        <f t="shared" ca="1" si="103"/>
        <v>2000*1250*500</v>
      </c>
      <c r="S386" s="34" t="str">
        <f>VLOOKUP(O386,ОТТС!$A$2:$B$3,2,0)</f>
        <v>ТС KZ Е-KZ.0317.00251 от 28.02.2023</v>
      </c>
      <c r="T386" s="39">
        <v>360000</v>
      </c>
      <c r="U386" s="36" t="str">
        <f t="shared" si="98"/>
        <v>Кокшетау</v>
      </c>
    </row>
    <row r="387" spans="1:21" ht="13.2">
      <c r="A387" s="34">
        <v>1568</v>
      </c>
      <c r="B387" s="35">
        <f>VLOOKUP(A387,'Реестр договоров'!$A$2:$D$508,2,0)</f>
        <v>45763</v>
      </c>
      <c r="C387" s="36" t="str">
        <f t="shared" si="104"/>
        <v>Кадышев</v>
      </c>
      <c r="D387" s="36" t="str">
        <f t="shared" si="105"/>
        <v>Бауржан</v>
      </c>
      <c r="E387" s="36" t="str">
        <f t="shared" si="102"/>
        <v>Келденович</v>
      </c>
      <c r="F387" s="36" t="str">
        <f t="shared" si="106"/>
        <v>043783012</v>
      </c>
      <c r="G387" s="37">
        <f>VLOOKUP(F387,Покупатели!$F$2:$N$762,2,0)</f>
        <v>43117</v>
      </c>
      <c r="H387" s="36" t="str">
        <f>VLOOKUP(F387,Покупатели!$F$2:$N$762,3,0)</f>
        <v>МВД РК</v>
      </c>
      <c r="I387" s="36">
        <f>VLOOKUP(C387,Покупатели!$C$2:$M$805,7,0)</f>
        <v>751008300281</v>
      </c>
      <c r="J387" s="36" t="str">
        <f ca="1">IFERROR(__xludf.DUMMYFUNCTION("JOIN("" "", VLOOKUP(C387,Покупатели,8,0),VLOOKUP(C387,Покупатели,9,0),VLOOKUP(C387,Покупатели,10,0),VLOOKUP(C387,Покупатели,11,0))"),"Акмолинская область, г. Кокшетау, проспект Назарбаева, д. 2/3, кв 5")</f>
        <v>Акмолинская область, г. Кокшетау, проспект Назарбаева, д. 2/3, кв 5</v>
      </c>
      <c r="K387" s="36">
        <f t="shared" si="107"/>
        <v>87075269088</v>
      </c>
      <c r="L387" s="36" t="str">
        <f t="shared" si="108"/>
        <v>MX4000002S0002088</v>
      </c>
      <c r="M387" s="36" t="str">
        <f t="shared" ca="1" si="100"/>
        <v>002-2013E50Q13-OK30</v>
      </c>
      <c r="N387" s="36" t="str">
        <f t="shared" si="99"/>
        <v>Прицеп 2,0*1,25 м  (до 750 кг.)</v>
      </c>
      <c r="O387" s="36" t="str">
        <f t="shared" si="109"/>
        <v>1 ось</v>
      </c>
      <c r="P387" s="36">
        <f t="shared" si="110"/>
        <v>2025</v>
      </c>
      <c r="Q387" s="34" t="str">
        <f t="shared" ca="1" si="101"/>
        <v>3150*1700*1070</v>
      </c>
      <c r="R387" s="36" t="str">
        <f t="shared" ca="1" si="103"/>
        <v>2000*1250*500</v>
      </c>
      <c r="S387" s="34" t="str">
        <f>VLOOKUP(O387,ОТТС!$A$2:$B$3,2,0)</f>
        <v>ТС KZ Е-KZ.0317.00251 от 28.02.2023</v>
      </c>
      <c r="T387" s="39">
        <v>390000</v>
      </c>
      <c r="U387" s="36" t="str">
        <f t="shared" si="98"/>
        <v>Кокшетау</v>
      </c>
    </row>
    <row r="388" spans="1:21" ht="13.2">
      <c r="A388" s="34">
        <v>1569</v>
      </c>
      <c r="B388" s="35">
        <f>VLOOKUP(A388,'Реестр договоров'!$A$2:$D$508,2,0)</f>
        <v>45764</v>
      </c>
      <c r="C388" s="36" t="str">
        <f t="shared" si="104"/>
        <v>Утешев</v>
      </c>
      <c r="D388" s="36" t="str">
        <f t="shared" si="105"/>
        <v>Канат</v>
      </c>
      <c r="E388" s="36" t="str">
        <f t="shared" si="102"/>
        <v>Александрович</v>
      </c>
      <c r="F388" s="36" t="str">
        <f t="shared" si="106"/>
        <v>053699748</v>
      </c>
      <c r="G388" s="37">
        <f>VLOOKUP(F388,Покупатели!$F$2:$N$762,2,0)</f>
        <v>44813</v>
      </c>
      <c r="H388" s="36" t="str">
        <f>VLOOKUP(F388,Покупатели!$F$2:$N$762,3,0)</f>
        <v>МВД РК</v>
      </c>
      <c r="I388" s="36">
        <f>VLOOKUP(C388,Покупатели!$C$2:$M$805,7,0)</f>
        <v>840307351325</v>
      </c>
      <c r="J388" s="36" t="str">
        <f ca="1">IFERROR(__xludf.DUMMYFUNCTION("JOIN("" "", VLOOKUP(C388,Покупатели,8,0),VLOOKUP(C388,Покупатели,9,0),VLOOKUP(C388,Покупатели,10,0),VLOOKUP(C388,Покупатели,11,0))"),"Акмолинская область, Зерендинский район, с. Шагалалы, ул. 8 марта, д.37/1")</f>
        <v>Акмолинская область, Зерендинский район, с. Шагалалы, ул. 8 марта, д.37/1</v>
      </c>
      <c r="K388" s="36">
        <f t="shared" si="107"/>
        <v>87773131030</v>
      </c>
      <c r="L388" s="36" t="str">
        <f t="shared" si="108"/>
        <v>MX4000002S0002092</v>
      </c>
      <c r="M388" s="36" t="str">
        <f t="shared" ca="1" si="100"/>
        <v>002-2013E50Q13-OK</v>
      </c>
      <c r="N388" s="36" t="str">
        <f t="shared" si="99"/>
        <v>Прицеп 2,0*1,25 м  (до 750 кг.)</v>
      </c>
      <c r="O388" s="36" t="str">
        <f t="shared" si="109"/>
        <v>1 ось</v>
      </c>
      <c r="P388" s="36">
        <f t="shared" si="110"/>
        <v>2025</v>
      </c>
      <c r="Q388" s="34" t="str">
        <f t="shared" ca="1" si="101"/>
        <v>3150*1700*1070</v>
      </c>
      <c r="R388" s="36" t="str">
        <f t="shared" ca="1" si="103"/>
        <v>2000*1250*500</v>
      </c>
      <c r="S388" s="34" t="str">
        <f>VLOOKUP(O388,ОТТС!$A$2:$B$3,2,0)</f>
        <v>ТС KZ Е-KZ.0317.00251 от 28.02.2023</v>
      </c>
      <c r="T388" s="39">
        <v>390000</v>
      </c>
      <c r="U388" s="36" t="str">
        <f t="shared" si="98"/>
        <v>Кокшетау</v>
      </c>
    </row>
    <row r="389" spans="1:21" ht="13.2">
      <c r="A389" s="34">
        <v>1570</v>
      </c>
      <c r="B389" s="35">
        <f>VLOOKUP(A389,'Реестр договоров'!$A$2:$D$508,2,0)</f>
        <v>45764</v>
      </c>
      <c r="C389" s="36" t="str">
        <f t="shared" si="104"/>
        <v>Добровольский</v>
      </c>
      <c r="D389" s="36" t="str">
        <f t="shared" si="105"/>
        <v>Анатолий</v>
      </c>
      <c r="E389" s="36" t="str">
        <f t="shared" si="102"/>
        <v>Валерьевич</v>
      </c>
      <c r="F389" s="36" t="str">
        <f t="shared" si="106"/>
        <v>060184358</v>
      </c>
      <c r="G389" s="37">
        <f>VLOOKUP(F389,Покупатели!$F$2:$N$762,2,0)</f>
        <v>45735</v>
      </c>
      <c r="H389" s="36" t="str">
        <f>VLOOKUP(F389,Покупатели!$F$2:$N$762,3,0)</f>
        <v>МВД РК</v>
      </c>
      <c r="I389" s="36">
        <f>VLOOKUP(C389,Покупатели!$C$2:$M$805,7,0)</f>
        <v>841106351078</v>
      </c>
      <c r="J389" s="36" t="str">
        <f ca="1">IFERROR(__xludf.DUMMYFUNCTION("JOIN("" "", VLOOKUP(C389,Покупатели,8,0),VLOOKUP(C389,Покупатели,9,0),VLOOKUP(C389,Покупатели,10,0),VLOOKUP(C389,Покупатели,11,0))"),"Акмолинская обл, Аршалынский р-н, с.Аршалы ул.Сазонова д.7")</f>
        <v>Акмолинская обл, Аршалынский р-н, с.Аршалы ул.Сазонова д.7</v>
      </c>
      <c r="K389" s="36">
        <f t="shared" si="107"/>
        <v>87715921992</v>
      </c>
      <c r="L389" s="36" t="str">
        <f t="shared" si="108"/>
        <v>MX4000004S0002089</v>
      </c>
      <c r="M389" s="36" t="str">
        <f t="shared" ca="1" si="100"/>
        <v>002-3015E30Q13-OK</v>
      </c>
      <c r="N389" s="36" t="str">
        <f t="shared" si="99"/>
        <v>Прицеп 3,0*1,5 м  (до 750 кг.)</v>
      </c>
      <c r="O389" s="36" t="str">
        <f t="shared" si="109"/>
        <v>2 оси</v>
      </c>
      <c r="P389" s="36">
        <f t="shared" si="110"/>
        <v>2025</v>
      </c>
      <c r="Q389" s="34" t="s">
        <v>939</v>
      </c>
      <c r="R389" s="36" t="str">
        <f t="shared" ca="1" si="103"/>
        <v>3000*1500*300</v>
      </c>
      <c r="S389" s="34" t="str">
        <f>VLOOKUP(O389,ОТТС!$A$2:$B$3,2,0)</f>
        <v>ТС KZ Е-KZ.0317.00219.П1 от 17.07.2025</v>
      </c>
      <c r="T389" s="39">
        <v>780000</v>
      </c>
      <c r="U389" s="36" t="str">
        <f t="shared" si="98"/>
        <v>Астана</v>
      </c>
    </row>
    <row r="390" spans="1:21" ht="13.2">
      <c r="A390" s="34">
        <v>1571</v>
      </c>
      <c r="B390" s="35">
        <f>VLOOKUP(A390,'Реестр договоров'!$A$2:$D$508,2,0)</f>
        <v>45764</v>
      </c>
      <c r="C390" s="36" t="str">
        <f t="shared" si="104"/>
        <v>Кошанов</v>
      </c>
      <c r="D390" s="36" t="str">
        <f t="shared" si="105"/>
        <v>Махамбет</v>
      </c>
      <c r="E390" s="36" t="str">
        <f t="shared" si="102"/>
        <v>Амангельдыевич</v>
      </c>
      <c r="F390" s="36" t="str">
        <f t="shared" si="106"/>
        <v>060149746</v>
      </c>
      <c r="G390" s="37">
        <f>VLOOKUP(F390,Покупатели!$F$2:$N$762,2,0)</f>
        <v>45735</v>
      </c>
      <c r="H390" s="36" t="str">
        <f>VLOOKUP(F390,Покупатели!$F$2:$N$762,3,0)</f>
        <v>МВД РК</v>
      </c>
      <c r="I390" s="36">
        <f>VLOOKUP(C390,Покупатели!$C$2:$M$805,7,0)</f>
        <v>850612351414</v>
      </c>
      <c r="J390" s="36" t="str">
        <f ca="1">IFERROR(__xludf.DUMMYFUNCTION("JOIN("" "", VLOOKUP(C390,Покупатели,8,0),VLOOKUP(C390,Покупатели,9,0),VLOOKUP(C390,Покупатели,10,0),VLOOKUP(C390,Покупатели,11,0))"),"Акмолинская область, с. Красный яр, ул. Нурлы, д.25")</f>
        <v>Акмолинская область, с. Красный яр, ул. Нурлы, д.25</v>
      </c>
      <c r="K390" s="36">
        <f t="shared" si="107"/>
        <v>87712431414</v>
      </c>
      <c r="L390" s="36" t="str">
        <f t="shared" si="108"/>
        <v>MX4000003S0002093</v>
      </c>
      <c r="M390" s="36" t="str">
        <f t="shared" ca="1" si="100"/>
        <v>002-2013Q13-OK</v>
      </c>
      <c r="N390" s="36" t="str">
        <f t="shared" si="99"/>
        <v>Прицеп 2,0*1,25 м  (до 750 кг.)</v>
      </c>
      <c r="O390" s="36" t="str">
        <f t="shared" si="109"/>
        <v>1 ось</v>
      </c>
      <c r="P390" s="36">
        <f t="shared" si="110"/>
        <v>2025</v>
      </c>
      <c r="Q390" s="34" t="str">
        <f t="shared" ref="Q390:Q398" ca="1" si="111">VLOOKUP(M387,матрица,16,0)</f>
        <v>3150*1700*1070</v>
      </c>
      <c r="R390" s="36" t="str">
        <f t="shared" ca="1" si="103"/>
        <v>2000*1250*0</v>
      </c>
      <c r="S390" s="34" t="str">
        <f>VLOOKUP(O390,ОТТС!$A$2:$B$3,2,0)</f>
        <v>ТС KZ Е-KZ.0317.00251 от 28.02.2023</v>
      </c>
      <c r="T390" s="39">
        <v>250000</v>
      </c>
      <c r="U390" s="36" t="str">
        <f t="shared" si="98"/>
        <v>Кокшетау</v>
      </c>
    </row>
    <row r="391" spans="1:21" ht="13.2">
      <c r="A391" s="34">
        <v>1572</v>
      </c>
      <c r="B391" s="35">
        <f>VLOOKUP(A391,'Реестр договоров'!$A$2:$D$508,2,0)</f>
        <v>45766</v>
      </c>
      <c r="C391" s="36" t="str">
        <f t="shared" si="104"/>
        <v>Зырянов 3</v>
      </c>
      <c r="D391" s="36" t="str">
        <f t="shared" si="105"/>
        <v>Игорь</v>
      </c>
      <c r="E391" s="36" t="str">
        <f t="shared" si="102"/>
        <v>Владимирович</v>
      </c>
      <c r="F391" s="36" t="str">
        <f t="shared" si="106"/>
        <v>043900133</v>
      </c>
      <c r="G391" s="37">
        <f>VLOOKUP(F391,Покупатели!$F$2:$N$762,2,0)</f>
        <v>43475</v>
      </c>
      <c r="H391" s="36" t="str">
        <f>VLOOKUP(F391,Покупатели!$F$2:$N$762,3,0)</f>
        <v>МВД РК</v>
      </c>
      <c r="I391" s="36">
        <f>VLOOKUP(C391,Покупатели!$C$2:$M$805,7,0)</f>
        <v>890121300399</v>
      </c>
      <c r="J391" s="36" t="str">
        <f ca="1">IFERROR(__xludf.DUMMYFUNCTION("JOIN("" "", VLOOKUP(C391,Покупатели,8,0),VLOOKUP(C391,Покупатели,9,0),VLOOKUP(C391,Покупатели,10,0),VLOOKUP(C391,Покупатели,11,0))"),"Жетысуская область, г. Текели, ул. Ауэзова, д.37, кв.22")</f>
        <v>Жетысуская область, г. Текели, ул. Ауэзова, д.37, кв.22</v>
      </c>
      <c r="K391" s="36">
        <f t="shared" si="107"/>
        <v>87059907871</v>
      </c>
      <c r="L391" s="36" t="str">
        <f t="shared" si="108"/>
        <v>MX4000002S0001911</v>
      </c>
      <c r="M391" s="36" t="str">
        <f t="shared" ca="1" si="100"/>
        <v>002-2013E30Q13</v>
      </c>
      <c r="N391" s="36" t="str">
        <f t="shared" si="99"/>
        <v>Прицеп 2,0*1,25 м  (до 750 кг.)</v>
      </c>
      <c r="O391" s="36" t="str">
        <f t="shared" si="109"/>
        <v>1 ось</v>
      </c>
      <c r="P391" s="36">
        <f t="shared" si="110"/>
        <v>2025</v>
      </c>
      <c r="Q391" s="34" t="str">
        <f t="shared" ca="1" si="111"/>
        <v>3150*1700*1070</v>
      </c>
      <c r="R391" s="36" t="str">
        <f t="shared" ca="1" si="103"/>
        <v>2000*1250*300</v>
      </c>
      <c r="S391" s="34" t="str">
        <f>VLOOKUP(O391,ОТТС!$A$2:$B$3,2,0)</f>
        <v>ТС KZ Е-KZ.0317.00251 от 28.02.2023</v>
      </c>
      <c r="T391" s="39">
        <v>280000</v>
      </c>
      <c r="U391" s="36" t="str">
        <f t="shared" si="98"/>
        <v>Алматы</v>
      </c>
    </row>
    <row r="392" spans="1:21" ht="13.2">
      <c r="A392" s="34">
        <v>1573</v>
      </c>
      <c r="B392" s="35">
        <f>VLOOKUP(A392,'Реестр договоров'!$A$2:$D$508,2,0)</f>
        <v>45766</v>
      </c>
      <c r="C392" s="36" t="str">
        <f t="shared" si="104"/>
        <v>Караев</v>
      </c>
      <c r="D392" s="36" t="str">
        <f t="shared" si="105"/>
        <v>Урушан</v>
      </c>
      <c r="E392" s="36" t="str">
        <f t="shared" si="102"/>
        <v>Ибрагимович</v>
      </c>
      <c r="F392" s="36" t="str">
        <f t="shared" si="106"/>
        <v>044004621</v>
      </c>
      <c r="G392" s="37">
        <f>VLOOKUP(F392,Покупатели!$F$2:$N$762,2,0)</f>
        <v>43497</v>
      </c>
      <c r="H392" s="36" t="str">
        <f>VLOOKUP(F392,Покупатели!$F$2:$N$762,3,0)</f>
        <v>МВД РК</v>
      </c>
      <c r="I392" s="36">
        <f>VLOOKUP(C392,Покупатели!$C$2:$M$805,7,0)</f>
        <v>831225301027</v>
      </c>
      <c r="J392" s="36" t="str">
        <f ca="1">IFERROR(__xludf.DUMMYFUNCTION("JOIN("" "", VLOOKUP(C392,Покупатели,8,0),VLOOKUP(C392,Покупатели,9,0),VLOOKUP(C392,Покупатели,10,0),VLOOKUP(C392,Покупатели,11,0))"),"Алматинская область, поселок Абая, ул. Доламак-Ана,  д.17, кв 7")</f>
        <v>Алматинская область, поселок Абая, ул. Доламак-Ана,  д.17, кв 7</v>
      </c>
      <c r="K392" s="36">
        <f t="shared" si="107"/>
        <v>87082206012</v>
      </c>
      <c r="L392" s="36" t="str">
        <f t="shared" si="108"/>
        <v>MX4000002S0001925</v>
      </c>
      <c r="M392" s="36" t="str">
        <f t="shared" ca="1" si="100"/>
        <v>002-2013E50Q13-OK</v>
      </c>
      <c r="N392" s="36" t="str">
        <f t="shared" si="99"/>
        <v>Прицеп 2,0*1,25 м  (до 750 кг.)</v>
      </c>
      <c r="O392" s="36" t="str">
        <f t="shared" si="109"/>
        <v>1 ось</v>
      </c>
      <c r="P392" s="36">
        <f t="shared" si="110"/>
        <v>2025</v>
      </c>
      <c r="Q392" s="34" t="str">
        <f t="shared" ca="1" si="111"/>
        <v>3800*1950*900</v>
      </c>
      <c r="R392" s="36" t="str">
        <f t="shared" ca="1" si="103"/>
        <v>2000*1250*500</v>
      </c>
      <c r="S392" s="34" t="str">
        <f>VLOOKUP(O392,ОТТС!$A$2:$B$3,2,0)</f>
        <v>ТС KZ Е-KZ.0317.00251 от 28.02.2023</v>
      </c>
      <c r="T392" s="39">
        <v>380000</v>
      </c>
      <c r="U392" s="36" t="str">
        <f t="shared" si="98"/>
        <v>Алматы</v>
      </c>
    </row>
    <row r="393" spans="1:21" ht="13.2">
      <c r="A393" s="34">
        <v>1574</v>
      </c>
      <c r="B393" s="35">
        <f>VLOOKUP(A393,'Реестр договоров'!$A$2:$D$508,2,0)</f>
        <v>45768</v>
      </c>
      <c r="C393" s="36" t="str">
        <f t="shared" si="104"/>
        <v>Баймолданов</v>
      </c>
      <c r="D393" s="36" t="str">
        <f t="shared" si="105"/>
        <v>Бакытжан</v>
      </c>
      <c r="E393" s="36" t="str">
        <f t="shared" si="102"/>
        <v>Молдагалиевич</v>
      </c>
      <c r="F393" s="36" t="str">
        <f t="shared" si="106"/>
        <v>051630207</v>
      </c>
      <c r="G393" s="37">
        <f>VLOOKUP(F393,Покупатели!$F$2:$N$762,2,0)</f>
        <v>44813</v>
      </c>
      <c r="H393" s="36" t="str">
        <f>VLOOKUP(F393,Покупатели!$F$2:$N$762,3,0)</f>
        <v>МВД РК</v>
      </c>
      <c r="I393" s="36">
        <f>VLOOKUP(C393,Покупатели!$C$2:$M$805,7,0)</f>
        <v>880724302123</v>
      </c>
      <c r="J393" s="36" t="str">
        <f ca="1">IFERROR(__xludf.DUMMYFUNCTION("JOIN("" "", VLOOKUP(C393,Покупатели,8,0),VLOOKUP(C393,Покупатели,9,0),VLOOKUP(C393,Покупатели,10,0),VLOOKUP(C393,Покупатели,11,0))"),"область Жетiсу, г. Талдыкорган,  потребительский кооператив садоводов Агропромышленник, д.20")</f>
        <v>область Жетiсу, г. Талдыкорган,  потребительский кооператив садоводов Агропромышленник, д.20</v>
      </c>
      <c r="K393" s="36">
        <f t="shared" si="107"/>
        <v>87476489259</v>
      </c>
      <c r="L393" s="36" t="str">
        <f t="shared" si="108"/>
        <v>MX4000002S0001896</v>
      </c>
      <c r="M393" s="36" t="str">
        <f t="shared" ca="1" si="100"/>
        <v>002-2013E30Q13-OK</v>
      </c>
      <c r="N393" s="36" t="str">
        <f t="shared" si="99"/>
        <v>Прицеп 2,0*1,25 м  (до 750 кг.)</v>
      </c>
      <c r="O393" s="36" t="str">
        <f t="shared" si="109"/>
        <v>1 ось</v>
      </c>
      <c r="P393" s="36">
        <f t="shared" si="110"/>
        <v>2025</v>
      </c>
      <c r="Q393" s="34" t="str">
        <f t="shared" ca="1" si="111"/>
        <v>4000*1700*650</v>
      </c>
      <c r="R393" s="36" t="str">
        <f t="shared" ca="1" si="103"/>
        <v>2000*1250*300</v>
      </c>
      <c r="S393" s="34" t="str">
        <f>VLOOKUP(O393,ОТТС!$A$2:$B$3,2,0)</f>
        <v>ТС KZ Е-KZ.0317.00251 от 28.02.2023</v>
      </c>
      <c r="T393" s="39">
        <v>310000</v>
      </c>
      <c r="U393" s="36" t="str">
        <f t="shared" si="98"/>
        <v>Алматы</v>
      </c>
    </row>
    <row r="394" spans="1:21" ht="13.2">
      <c r="A394" s="34">
        <v>1575</v>
      </c>
      <c r="B394" s="35">
        <f>VLOOKUP(A394,'Реестр договоров'!$A$2:$D$508,2,0)</f>
        <v>45768</v>
      </c>
      <c r="C394" s="36" t="str">
        <f t="shared" si="104"/>
        <v>Киреев</v>
      </c>
      <c r="D394" s="36" t="str">
        <f t="shared" si="105"/>
        <v>Владимир</v>
      </c>
      <c r="E394" s="36" t="str">
        <f t="shared" si="102"/>
        <v>Сергеевич</v>
      </c>
      <c r="F394" s="36" t="str">
        <f t="shared" si="106"/>
        <v>022705815</v>
      </c>
      <c r="G394" s="37">
        <f>VLOOKUP(F394,Покупатели!$F$2:$N$762,2,0)</f>
        <v>39841</v>
      </c>
      <c r="H394" s="36" t="str">
        <f>VLOOKUP(F394,Покупатели!$F$2:$N$762,3,0)</f>
        <v>МЮ РК</v>
      </c>
      <c r="I394" s="36">
        <f>VLOOKUP(C394,Покупатели!$C$2:$M$805,7,0)</f>
        <v>840112351177</v>
      </c>
      <c r="J394" s="36" t="str">
        <f ca="1">IFERROR(__xludf.DUMMYFUNCTION("JOIN("" "", VLOOKUP(C394,Покупатели,8,0),VLOOKUP(C394,Покупатели,9,0),VLOOKUP(C394,Покупатели,10,0),VLOOKUP(C394,Покупатели,11,0))"),"Акмолинская область, Краснояркие дачи, ул. Центральная, д.8")</f>
        <v>Акмолинская область, Краснояркие дачи, ул. Центральная, д.8</v>
      </c>
      <c r="K394" s="36">
        <f t="shared" si="107"/>
        <v>87054234256</v>
      </c>
      <c r="L394" s="36" t="str">
        <f t="shared" si="108"/>
        <v>MX4000002S0002094</v>
      </c>
      <c r="M394" s="36" t="str">
        <f t="shared" ca="1" si="100"/>
        <v>002-2013E50Q13-OK</v>
      </c>
      <c r="N394" s="36" t="str">
        <f t="shared" si="99"/>
        <v>Прицеп 2,0*1,25 м  (до 750 кг.)</v>
      </c>
      <c r="O394" s="36" t="str">
        <f t="shared" si="109"/>
        <v>1 ось</v>
      </c>
      <c r="P394" s="36">
        <f t="shared" si="110"/>
        <v>2025</v>
      </c>
      <c r="Q394" s="34" t="str">
        <f t="shared" ca="1" si="111"/>
        <v>3150*1700*900</v>
      </c>
      <c r="R394" s="36" t="str">
        <f t="shared" ca="1" si="103"/>
        <v>2000*1250*500</v>
      </c>
      <c r="S394" s="34" t="str">
        <f>VLOOKUP(O394,ОТТС!$A$2:$B$3,2,0)</f>
        <v>ТС KZ Е-KZ.0317.00251 от 28.02.2023</v>
      </c>
      <c r="T394" s="39">
        <v>360000</v>
      </c>
      <c r="U394" s="36" t="str">
        <f t="shared" si="98"/>
        <v>Кокшетау</v>
      </c>
    </row>
    <row r="395" spans="1:21" ht="13.2">
      <c r="A395" s="34">
        <v>1576</v>
      </c>
      <c r="B395" s="35">
        <f>VLOOKUP(A395,'Реестр договоров'!$A$2:$D$508,2,0)</f>
        <v>45768</v>
      </c>
      <c r="C395" s="36" t="str">
        <f t="shared" si="104"/>
        <v>Абжанов</v>
      </c>
      <c r="D395" s="36" t="str">
        <f t="shared" si="105"/>
        <v>Ержан</v>
      </c>
      <c r="E395" s="36" t="str">
        <f t="shared" si="102"/>
        <v>Галымжанович</v>
      </c>
      <c r="F395" s="36" t="str">
        <f t="shared" si="106"/>
        <v>052919990</v>
      </c>
      <c r="G395" s="37">
        <f>VLOOKUP(F395,Покупатели!$F$2:$N$762,2,0)</f>
        <v>44707</v>
      </c>
      <c r="H395" s="36" t="str">
        <f>VLOOKUP(F395,Покупатели!$F$2:$N$762,3,0)</f>
        <v>МВД РК</v>
      </c>
      <c r="I395" s="36">
        <f>VLOOKUP(C395,Покупатели!$C$2:$M$805,7,0)</f>
        <v>870921350698</v>
      </c>
      <c r="J395" s="36" t="str">
        <f ca="1">IFERROR(__xludf.DUMMYFUNCTION("JOIN("" "", VLOOKUP(C395,Покупатели,8,0),VLOOKUP(C395,Покупатели,9,0),VLOOKUP(C395,Покупатели,10,0),VLOOKUP(C395,Покупатели,11,0))"),"г.Астана р-Сарайшык ул.Нажимиденова д.62, кв.1")</f>
        <v>г.Астана р-Сарайшык ул.Нажимиденова д.62, кв.1</v>
      </c>
      <c r="K395" s="36">
        <f t="shared" si="107"/>
        <v>87771005025</v>
      </c>
      <c r="L395" s="36" t="str">
        <f t="shared" si="108"/>
        <v>MX4000002S0002115</v>
      </c>
      <c r="M395" s="36" t="str">
        <f t="shared" ca="1" si="100"/>
        <v>002-2013E50Q13-OK30</v>
      </c>
      <c r="N395" s="36" t="str">
        <f t="shared" si="99"/>
        <v>Прицеп 2,0*1,25 м  (до 750 кг.)</v>
      </c>
      <c r="O395" s="36" t="str">
        <f t="shared" si="109"/>
        <v>1 ось</v>
      </c>
      <c r="P395" s="36">
        <f t="shared" si="110"/>
        <v>2025</v>
      </c>
      <c r="Q395" s="34" t="str">
        <f t="shared" ca="1" si="111"/>
        <v>3150*1700*1070</v>
      </c>
      <c r="R395" s="36" t="str">
        <f t="shared" ca="1" si="103"/>
        <v>2000*1250*500</v>
      </c>
      <c r="S395" s="34" t="str">
        <f>VLOOKUP(O395,ОТТС!$A$2:$B$3,2,0)</f>
        <v>ТС KZ Е-KZ.0317.00251 от 28.02.2023</v>
      </c>
      <c r="T395" s="39">
        <v>370000</v>
      </c>
      <c r="U395" s="36" t="str">
        <f t="shared" si="98"/>
        <v>Астана</v>
      </c>
    </row>
    <row r="396" spans="1:21" ht="13.2">
      <c r="A396" s="34">
        <v>1577</v>
      </c>
      <c r="B396" s="35">
        <f>VLOOKUP(A396,'Реестр договоров'!$A$2:$D$508,2,0)</f>
        <v>45768</v>
      </c>
      <c r="C396" s="36" t="str">
        <f t="shared" si="104"/>
        <v>Замятин</v>
      </c>
      <c r="D396" s="36" t="str">
        <f t="shared" si="105"/>
        <v>Иван</v>
      </c>
      <c r="E396" s="36" t="str">
        <f t="shared" si="102"/>
        <v>Сергеевич</v>
      </c>
      <c r="F396" s="36" t="str">
        <f t="shared" si="106"/>
        <v>039557810</v>
      </c>
      <c r="G396" s="37">
        <f>VLOOKUP(F396,Покупатели!$F$2:$N$762,2,0)</f>
        <v>42269</v>
      </c>
      <c r="H396" s="36" t="str">
        <f>VLOOKUP(F396,Покупатели!$F$2:$N$762,3,0)</f>
        <v>МВД РК</v>
      </c>
      <c r="I396" s="36">
        <f>VLOOKUP(C396,Покупатели!$C$2:$M$805,7,0)</f>
        <v>85102351273</v>
      </c>
      <c r="J396" s="36" t="str">
        <f ca="1">IFERROR(__xludf.DUMMYFUNCTION("JOIN("" "", VLOOKUP(C396,Покупатели,8,0),VLOOKUP(C396,Покупатели,9,0),VLOOKUP(C396,Покупатели,10,0),VLOOKUP(C396,Покупатели,11,0))"),"г.Астана р-н Сары Арка пер.Караой д.3")</f>
        <v>г.Астана р-н Сары Арка пер.Караой д.3</v>
      </c>
      <c r="K396" s="36">
        <f t="shared" si="107"/>
        <v>87476669330</v>
      </c>
      <c r="L396" s="36" t="str">
        <f t="shared" si="108"/>
        <v>MX4000002S0002097</v>
      </c>
      <c r="M396" s="36" t="str">
        <f t="shared" ca="1" si="100"/>
        <v>002-2013E50Q13-OK30</v>
      </c>
      <c r="N396" s="36" t="str">
        <f t="shared" si="99"/>
        <v>Прицеп 2,0*1,25 м  (до 750 кг.)</v>
      </c>
      <c r="O396" s="36" t="str">
        <f t="shared" si="109"/>
        <v>1 ось</v>
      </c>
      <c r="P396" s="36">
        <f t="shared" si="110"/>
        <v>2025</v>
      </c>
      <c r="Q396" s="34" t="str">
        <f t="shared" ca="1" si="111"/>
        <v>3150*1700*900</v>
      </c>
      <c r="R396" s="36" t="str">
        <f t="shared" ca="1" si="103"/>
        <v>2000*1250*500</v>
      </c>
      <c r="S396" s="34" t="str">
        <f>VLOOKUP(O396,ОТТС!$A$2:$B$3,2,0)</f>
        <v>ТС KZ Е-KZ.0317.00251 от 28.02.2023</v>
      </c>
      <c r="T396" s="39">
        <v>400000</v>
      </c>
      <c r="U396" s="36" t="str">
        <f t="shared" si="98"/>
        <v>Астана</v>
      </c>
    </row>
    <row r="397" spans="1:21" ht="13.2">
      <c r="A397" s="34">
        <v>1578</v>
      </c>
      <c r="B397" s="35">
        <f>VLOOKUP(A397,'Реестр договоров'!$A$2:$D$508,2,0)</f>
        <v>45768</v>
      </c>
      <c r="C397" s="36" t="str">
        <f t="shared" si="104"/>
        <v>Даутов 1</v>
      </c>
      <c r="D397" s="36" t="str">
        <f t="shared" si="105"/>
        <v>Дамир</v>
      </c>
      <c r="E397" s="36" t="str">
        <f t="shared" si="102"/>
        <v>Уралович</v>
      </c>
      <c r="F397" s="36" t="str">
        <f t="shared" si="106"/>
        <v>045937214</v>
      </c>
      <c r="G397" s="37">
        <f>VLOOKUP(F397,Покупатели!$F$2:$N$762,2,0)</f>
        <v>43612</v>
      </c>
      <c r="H397" s="36" t="str">
        <f>VLOOKUP(F397,Покупатели!$F$2:$N$762,3,0)</f>
        <v>МВД РК</v>
      </c>
      <c r="I397" s="36">
        <f>VLOOKUP(C397,Покупатели!$C$2:$M$805,7,0)</f>
        <v>861229350548</v>
      </c>
      <c r="J397" s="36" t="str">
        <f ca="1">IFERROR(__xludf.DUMMYFUNCTION("JOIN("" "", VLOOKUP(C397,Покупатели,8,0),VLOOKUP(C397,Покупатели,9,0),VLOOKUP(C397,Покупатели,10,0),VLOOKUP(C397,Покупатели,11,0))"),"г.Астана р-н Сарыарка ул.Тамшалы д.70")</f>
        <v>г.Астана р-н Сарыарка ул.Тамшалы д.70</v>
      </c>
      <c r="K397" s="36">
        <f t="shared" si="107"/>
        <v>87017493856</v>
      </c>
      <c r="L397" s="36" t="str">
        <f t="shared" si="108"/>
        <v>MX4000002S0002101</v>
      </c>
      <c r="M397" s="36" t="str">
        <f t="shared" ca="1" si="100"/>
        <v>002-2013E50Q13-OK</v>
      </c>
      <c r="N397" s="36" t="str">
        <f t="shared" si="99"/>
        <v>Прицеп 2,0*1,25 м  (до 750 кг.)</v>
      </c>
      <c r="O397" s="36" t="str">
        <f t="shared" si="109"/>
        <v>1 ось</v>
      </c>
      <c r="P397" s="36">
        <f t="shared" si="110"/>
        <v>2025</v>
      </c>
      <c r="Q397" s="34" t="str">
        <f t="shared" ca="1" si="111"/>
        <v>3150*1700*1070</v>
      </c>
      <c r="R397" s="36" t="str">
        <f t="shared" ref="R397:R428" ca="1" si="112">VLOOKUP(M397,матрица,17,0)</f>
        <v>2000*1250*500</v>
      </c>
      <c r="S397" s="34" t="str">
        <f>VLOOKUP(O397,ОТТС!$A$2:$B$3,2,0)</f>
        <v>ТС KZ Е-KZ.0317.00251 от 28.02.2023</v>
      </c>
      <c r="T397" s="39">
        <v>360000</v>
      </c>
      <c r="U397" s="36" t="str">
        <f t="shared" si="98"/>
        <v>Астана</v>
      </c>
    </row>
    <row r="398" spans="1:21" ht="13.2">
      <c r="A398" s="34">
        <v>1579</v>
      </c>
      <c r="B398" s="35">
        <f>VLOOKUP(A398,'Реестр договоров'!$A$2:$D$508,2,0)</f>
        <v>45768</v>
      </c>
      <c r="C398" s="36" t="str">
        <f t="shared" si="104"/>
        <v>Раев</v>
      </c>
      <c r="D398" s="36" t="str">
        <f t="shared" si="105"/>
        <v>Нурхат</v>
      </c>
      <c r="E398" s="36" t="str">
        <f t="shared" si="102"/>
        <v>Сейлханович</v>
      </c>
      <c r="F398" s="36" t="str">
        <f t="shared" si="106"/>
        <v>056530076</v>
      </c>
      <c r="G398" s="37">
        <f>VLOOKUP(F398,Покупатели!$F$2:$N$762,2,0)</f>
        <v>45216</v>
      </c>
      <c r="H398" s="36" t="str">
        <f>VLOOKUP(F398,Покупатели!$F$2:$N$762,3,0)</f>
        <v>МВД РК</v>
      </c>
      <c r="I398" s="36">
        <f>VLOOKUP(C398,Покупатели!$C$2:$M$805,7,0)</f>
        <v>920113351714</v>
      </c>
      <c r="J398" s="36" t="str">
        <f ca="1">IFERROR(__xludf.DUMMYFUNCTION("JOIN("" "", VLOOKUP(C398,Покупатели,8,0),VLOOKUP(C398,Покупатели,9,0),VLOOKUP(C398,Покупатели,10,0),VLOOKUP(C398,Покупатели,11,0))"),"г.Астана р-н Байконыр пр-т Богенбай батыра д.56б")</f>
        <v>г.Астана р-н Байконыр пр-т Богенбай батыра д.56б</v>
      </c>
      <c r="K398" s="36">
        <f t="shared" si="107"/>
        <v>87082320908</v>
      </c>
      <c r="L398" s="36" t="str">
        <f t="shared" si="108"/>
        <v>MX4000002R0001815</v>
      </c>
      <c r="M398" s="36" t="str">
        <f t="shared" ca="1" si="100"/>
        <v>002-2013E30Q13-OK60</v>
      </c>
      <c r="N398" s="36" t="str">
        <f t="shared" si="99"/>
        <v>Прицеп 2,0*1,25 м  (до 750 кг.)</v>
      </c>
      <c r="O398" s="36" t="str">
        <f t="shared" si="109"/>
        <v>1 ось</v>
      </c>
      <c r="P398" s="36">
        <f t="shared" si="110"/>
        <v>2024</v>
      </c>
      <c r="Q398" s="34" t="str">
        <f t="shared" ca="1" si="111"/>
        <v>3150*1700*1070</v>
      </c>
      <c r="R398" s="36" t="str">
        <f t="shared" ca="1" si="112"/>
        <v>2000*1250*300</v>
      </c>
      <c r="S398" s="34" t="str">
        <f>VLOOKUP(O398,ОТТС!$A$2:$B$3,2,0)</f>
        <v>ТС KZ Е-KZ.0317.00251 от 28.02.2023</v>
      </c>
      <c r="T398" s="39">
        <v>345000</v>
      </c>
      <c r="U398" s="36" t="str">
        <f t="shared" si="98"/>
        <v>Астана</v>
      </c>
    </row>
    <row r="399" spans="1:21" ht="13.2">
      <c r="A399" s="34">
        <v>1580</v>
      </c>
      <c r="B399" s="35">
        <f>VLOOKUP(A399,'Реестр договоров'!$A$2:$D$508,2,0)</f>
        <v>45769</v>
      </c>
      <c r="C399" s="36" t="str">
        <f t="shared" si="104"/>
        <v>Лита</v>
      </c>
      <c r="D399" s="36" t="str">
        <f t="shared" si="105"/>
        <v>Олег</v>
      </c>
      <c r="E399" s="36" t="str">
        <f t="shared" si="102"/>
        <v>Анатольевич</v>
      </c>
      <c r="F399" s="36" t="str">
        <f t="shared" si="106"/>
        <v>054815641</v>
      </c>
      <c r="G399" s="37">
        <f>VLOOKUP(F399,Покупатели!$F$2:$N$762,2,0)</f>
        <v>45232</v>
      </c>
      <c r="H399" s="36" t="str">
        <f>VLOOKUP(F399,Покупатели!$F$2:$N$762,3,0)</f>
        <v>МВД РК</v>
      </c>
      <c r="I399" s="36">
        <f>VLOOKUP(C399,Покупатели!$C$2:$M$805,7,0)</f>
        <v>871207303200</v>
      </c>
      <c r="J399" s="36" t="str">
        <f ca="1">IFERROR(__xludf.DUMMYFUNCTION("JOIN("" "", VLOOKUP(C399,Покупатели,8,0),VLOOKUP(C399,Покупатели,9,0),VLOOKUP(C399,Покупатели,10,0),VLOOKUP(C399,Покупатели,11,0))"),"Алматинская область, г. Алматы, Наурызбайский район, ул. Камысдала, д. 21/1")</f>
        <v>Алматинская область, г. Алматы, Наурызбайский район, ул. Камысдала, д. 21/1</v>
      </c>
      <c r="K399" s="36">
        <f t="shared" si="107"/>
        <v>87471537651</v>
      </c>
      <c r="L399" s="36" t="str">
        <f t="shared" si="108"/>
        <v>MX4000002S0002105</v>
      </c>
      <c r="M399" s="36" t="str">
        <f t="shared" ca="1" si="100"/>
        <v>002-2515E30Q13-OK</v>
      </c>
      <c r="N399" s="36" t="str">
        <f t="shared" si="99"/>
        <v>Прицеп 2,5*1,5 м  (до 750 кг.)</v>
      </c>
      <c r="O399" s="36" t="str">
        <f t="shared" si="109"/>
        <v>1 ось</v>
      </c>
      <c r="P399" s="36">
        <f t="shared" si="110"/>
        <v>2025</v>
      </c>
      <c r="Q399" s="34" t="str">
        <f t="shared" ref="Q399:Q422" ca="1" si="113">VLOOKUP(M399,матрица,16,0)</f>
        <v>3650*1950*900</v>
      </c>
      <c r="R399" s="36" t="str">
        <f t="shared" ca="1" si="112"/>
        <v>2500*1500*300</v>
      </c>
      <c r="S399" s="34" t="str">
        <f>VLOOKUP(O399,ОТТС!$A$2:$B$3,2,0)</f>
        <v>ТС KZ Е-KZ.0317.00251 от 28.02.2023</v>
      </c>
      <c r="T399" s="39">
        <v>520000</v>
      </c>
      <c r="U399" s="36" t="str">
        <f t="shared" si="98"/>
        <v>Алматы</v>
      </c>
    </row>
    <row r="400" spans="1:21" ht="13.2">
      <c r="A400" s="34">
        <v>1581</v>
      </c>
      <c r="B400" s="35">
        <f>VLOOKUP(A400,'Реестр договоров'!$A$2:$D$508,2,0)</f>
        <v>45769</v>
      </c>
      <c r="C400" s="36" t="str">
        <f t="shared" si="104"/>
        <v>Умирбеков1</v>
      </c>
      <c r="D400" s="36" t="str">
        <f t="shared" si="105"/>
        <v>Наурызбай</v>
      </c>
      <c r="E400" s="36" t="str">
        <f t="shared" si="102"/>
        <v>Болатович</v>
      </c>
      <c r="F400" s="36" t="str">
        <f t="shared" si="106"/>
        <v>050777122</v>
      </c>
      <c r="G400" s="37">
        <f>VLOOKUP(F400,Покупатели!$F$2:$N$762,2,0)</f>
        <v>44380</v>
      </c>
      <c r="H400" s="36" t="str">
        <f>VLOOKUP(F400,Покупатели!$F$2:$N$762,3,0)</f>
        <v>МВД РК</v>
      </c>
      <c r="I400" s="36">
        <f>VLOOKUP(C400,Покупатели!$C$2:$M$805,7,0)</f>
        <v>920330351516</v>
      </c>
      <c r="J400" s="36" t="str">
        <f ca="1">IFERROR(__xludf.DUMMYFUNCTION("JOIN("" "", VLOOKUP(C400,Покупатели,8,0),VLOOKUP(C400,Покупатели,9,0),VLOOKUP(C400,Покупатели,10,0),VLOOKUP(C400,Покупатели,11,0))"),"Акмолинская область, с. Красный Яр, ул. Абая, д. 33, кв 1")</f>
        <v>Акмолинская область, с. Красный Яр, ул. Абая, д. 33, кв 1</v>
      </c>
      <c r="K400" s="36">
        <f t="shared" si="107"/>
        <v>87710220777</v>
      </c>
      <c r="L400" s="36" t="str">
        <f t="shared" si="108"/>
        <v>MX4000002S0002082</v>
      </c>
      <c r="M400" s="36" t="str">
        <f t="shared" ca="1" si="100"/>
        <v>002-2013E30Q13-OK30</v>
      </c>
      <c r="N400" s="36" t="str">
        <f t="shared" si="99"/>
        <v>Прицеп 2,0*1,25 м  (до 750 кг.)</v>
      </c>
      <c r="O400" s="36" t="str">
        <f t="shared" si="109"/>
        <v>1 ось</v>
      </c>
      <c r="P400" s="36">
        <f t="shared" si="110"/>
        <v>2025</v>
      </c>
      <c r="Q400" s="34" t="str">
        <f t="shared" ca="1" si="113"/>
        <v>3150*1700*900</v>
      </c>
      <c r="R400" s="36" t="str">
        <f t="shared" ca="1" si="112"/>
        <v>2000*1250*300</v>
      </c>
      <c r="S400" s="34" t="str">
        <f>VLOOKUP(O400,ОТТС!$A$2:$B$3,2,0)</f>
        <v>ТС KZ Е-KZ.0317.00251 от 28.02.2023</v>
      </c>
      <c r="T400" s="39">
        <v>390000</v>
      </c>
      <c r="U400" s="36" t="str">
        <f t="shared" si="98"/>
        <v>Кокшетау</v>
      </c>
    </row>
    <row r="401" spans="1:21" ht="13.2">
      <c r="A401" s="34">
        <v>1582</v>
      </c>
      <c r="B401" s="35">
        <f>VLOOKUP(A401,'Реестр договоров'!$A$2:$D$508,2,0)</f>
        <v>45770</v>
      </c>
      <c r="C401" s="36" t="str">
        <f t="shared" si="104"/>
        <v>Омаров</v>
      </c>
      <c r="D401" s="36" t="str">
        <f t="shared" si="105"/>
        <v>Нурлан</v>
      </c>
      <c r="E401" s="36" t="str">
        <f t="shared" si="102"/>
        <v>Дюсенбаевич</v>
      </c>
      <c r="F401" s="36" t="str">
        <f t="shared" si="106"/>
        <v>050524916</v>
      </c>
      <c r="G401" s="37">
        <f>VLOOKUP(F401,Покупатели!$F$2:$N$762,2,0)</f>
        <v>44344</v>
      </c>
      <c r="H401" s="36" t="str">
        <f>VLOOKUP(F401,Покупатели!$F$2:$N$762,3,0)</f>
        <v>МВД РК</v>
      </c>
      <c r="I401" s="36">
        <f>VLOOKUP(C401,Покупатели!$C$2:$M$805,7,0)</f>
        <v>860502350896</v>
      </c>
      <c r="J401" s="36" t="str">
        <f ca="1">IFERROR(__xludf.DUMMYFUNCTION("JOIN("" "", VLOOKUP(C401,Покупатели,8,0),VLOOKUP(C401,Покупатели,9,0),VLOOKUP(C401,Покупатели,10,0),VLOOKUP(C401,Покупатели,11,0))"),"Костанайская обл г.Тобыл ул.Крестьянская д.28")</f>
        <v>Костанайская обл г.Тобыл ул.Крестьянская д.28</v>
      </c>
      <c r="K401" s="36">
        <f t="shared" si="107"/>
        <v>87011908802</v>
      </c>
      <c r="L401" s="36" t="str">
        <f t="shared" si="108"/>
        <v>MX4000002S0002103</v>
      </c>
      <c r="M401" s="36" t="str">
        <f t="shared" ca="1" si="100"/>
        <v>002-2013E50Q13-OK</v>
      </c>
      <c r="N401" s="36" t="str">
        <f t="shared" si="99"/>
        <v>Прицеп 2,0*1,25 м  (до 750 кг.)</v>
      </c>
      <c r="O401" s="36" t="str">
        <f t="shared" si="109"/>
        <v>1 ось</v>
      </c>
      <c r="P401" s="36">
        <f t="shared" si="110"/>
        <v>2025</v>
      </c>
      <c r="Q401" s="34" t="str">
        <f t="shared" ca="1" si="113"/>
        <v>3150*1700*1070</v>
      </c>
      <c r="R401" s="36" t="str">
        <f t="shared" ca="1" si="112"/>
        <v>2000*1250*500</v>
      </c>
      <c r="S401" s="34" t="str">
        <f>VLOOKUP(O401,ОТТС!$A$2:$B$3,2,0)</f>
        <v>ТС KZ Е-KZ.0317.00251 от 28.02.2023</v>
      </c>
      <c r="T401" s="39">
        <v>360000</v>
      </c>
      <c r="U401" s="36" t="str">
        <f t="shared" si="98"/>
        <v>Астана</v>
      </c>
    </row>
    <row r="402" spans="1:21" ht="13.2">
      <c r="A402" s="34">
        <v>1583</v>
      </c>
      <c r="B402" s="35">
        <f>VLOOKUP(A402,'Реестр договоров'!$A$2:$D$508,2,0)</f>
        <v>45772</v>
      </c>
      <c r="C402" s="36" t="str">
        <f t="shared" si="104"/>
        <v>Кузнецов2</v>
      </c>
      <c r="D402" s="36" t="str">
        <f t="shared" si="105"/>
        <v>Дмитрий</v>
      </c>
      <c r="E402" s="36" t="str">
        <f t="shared" si="102"/>
        <v>Вячеславович</v>
      </c>
      <c r="F402" s="36" t="str">
        <f t="shared" si="106"/>
        <v>041636036</v>
      </c>
      <c r="G402" s="37">
        <f>VLOOKUP(F402,Покупатели!$F$2:$N$762,2,0)</f>
        <v>42600</v>
      </c>
      <c r="H402" s="36" t="str">
        <f>VLOOKUP(F402,Покупатели!$F$2:$N$762,3,0)</f>
        <v>МВД РК</v>
      </c>
      <c r="I402" s="36">
        <f>VLOOKUP(C402,Покупатели!$C$2:$M$805,7,0)</f>
        <v>910826350641</v>
      </c>
      <c r="J402" s="36" t="str">
        <f ca="1">IFERROR(__xludf.DUMMYFUNCTION("JOIN("" "", VLOOKUP(C402,Покупатели,8,0),VLOOKUP(C402,Покупатели,9,0),VLOOKUP(C402,Покупатели,10,0),VLOOKUP(C402,Покупатели,11,0))"),"Акмолинская область, г.Акколь, ул. Аль-Фараби, д.2/2, кв.1")</f>
        <v>Акмолинская область, г.Акколь, ул. Аль-Фараби, д.2/2, кв.1</v>
      </c>
      <c r="K402" s="36">
        <f t="shared" si="107"/>
        <v>87088565754</v>
      </c>
      <c r="L402" s="36" t="str">
        <f t="shared" si="108"/>
        <v>MX4000004S0002107</v>
      </c>
      <c r="M402" s="36" t="str">
        <f t="shared" ca="1" si="100"/>
        <v>002-3015E50Q13-OK</v>
      </c>
      <c r="N402" s="36" t="str">
        <f t="shared" si="99"/>
        <v>Прицеп 3,0*1,5 м  (до 750 кг.)</v>
      </c>
      <c r="O402" s="36" t="str">
        <f t="shared" si="109"/>
        <v>2 оси</v>
      </c>
      <c r="P402" s="36">
        <f t="shared" si="110"/>
        <v>2025</v>
      </c>
      <c r="Q402" s="34" t="str">
        <f t="shared" ca="1" si="113"/>
        <v>3800*1950*1200</v>
      </c>
      <c r="R402" s="36" t="str">
        <f t="shared" ca="1" si="112"/>
        <v>3000*1500*500</v>
      </c>
      <c r="S402" s="34" t="str">
        <f>VLOOKUP(O402,ОТТС!$A$2:$B$3,2,0)</f>
        <v>ТС KZ Е-KZ.0317.00219.П1 от 17.07.2025</v>
      </c>
      <c r="T402" s="39">
        <v>667000</v>
      </c>
      <c r="U402" s="36" t="str">
        <f t="shared" ref="U402:U465" si="114">VLOOKUP(L402,ПРИЦЕПЫ,9,0)</f>
        <v>Кокшетау</v>
      </c>
    </row>
    <row r="403" spans="1:21" ht="13.2">
      <c r="A403" s="34">
        <v>1584</v>
      </c>
      <c r="B403" s="35">
        <f>VLOOKUP(A403,'Реестр договоров'!$A$2:$D$508,2,0)</f>
        <v>45774</v>
      </c>
      <c r="C403" s="36" t="str">
        <f t="shared" si="104"/>
        <v>Сарсенбеков</v>
      </c>
      <c r="D403" s="36" t="str">
        <f t="shared" si="105"/>
        <v>Габиден</v>
      </c>
      <c r="E403" s="36" t="str">
        <f t="shared" si="102"/>
        <v>Советханович</v>
      </c>
      <c r="F403" s="36" t="str">
        <f t="shared" si="106"/>
        <v>055488678</v>
      </c>
      <c r="G403" s="37">
        <f>VLOOKUP(F403,Покупатели!$F$2:$N$762,2,0)</f>
        <v>45071</v>
      </c>
      <c r="H403" s="36" t="str">
        <f>VLOOKUP(F403,Покупатели!$F$2:$N$762,3,0)</f>
        <v>МВД РК</v>
      </c>
      <c r="I403" s="36">
        <f>VLOOKUP(C403,Покупатели!$C$2:$M$805,7,0)</f>
        <v>780520300088</v>
      </c>
      <c r="J403" s="36" t="str">
        <f ca="1">IFERROR(__xludf.DUMMYFUNCTION("JOIN("" "", VLOOKUP(C403,Покупатели,8,0),VLOOKUP(C403,Покупатели,9,0),VLOOKUP(C403,Покупатели,10,0),VLOOKUP(C403,Покупатели,11,0))"),"г.Астана р-н Сарайшык ул.Байтурсынова д.40")</f>
        <v>г.Астана р-н Сарайшык ул.Байтурсынова д.40</v>
      </c>
      <c r="K403" s="36">
        <f t="shared" si="107"/>
        <v>87782052149</v>
      </c>
      <c r="L403" s="36" t="str">
        <f t="shared" si="108"/>
        <v>MX4000002S0002108</v>
      </c>
      <c r="M403" s="36" t="str">
        <f t="shared" ca="1" si="100"/>
        <v>002-2013E50Q13-OK30</v>
      </c>
      <c r="N403" s="36" t="str">
        <f t="shared" si="99"/>
        <v>Прицеп 2,0*1,25 м  (до 750 кг.)</v>
      </c>
      <c r="O403" s="36" t="str">
        <f t="shared" si="109"/>
        <v>1 ось</v>
      </c>
      <c r="P403" s="36">
        <f t="shared" si="110"/>
        <v>2025</v>
      </c>
      <c r="Q403" s="34" t="str">
        <f t="shared" ca="1" si="113"/>
        <v>3150*1700*1070</v>
      </c>
      <c r="R403" s="36" t="str">
        <f t="shared" ca="1" si="112"/>
        <v>2000*1250*500</v>
      </c>
      <c r="S403" s="34" t="str">
        <f>VLOOKUP(O403,ОТТС!$A$2:$B$3,2,0)</f>
        <v>ТС KZ Е-KZ.0317.00251 от 28.02.2023</v>
      </c>
      <c r="T403" s="39">
        <v>360000</v>
      </c>
      <c r="U403" s="36" t="str">
        <f t="shared" si="114"/>
        <v>Астана</v>
      </c>
    </row>
    <row r="404" spans="1:21" ht="13.2">
      <c r="A404" s="34">
        <v>1585</v>
      </c>
      <c r="B404" s="35">
        <f>VLOOKUP(A404,'Реестр договоров'!$A$2:$D$508,2,0)</f>
        <v>45771</v>
      </c>
      <c r="C404" s="36" t="str">
        <f t="shared" si="104"/>
        <v>Касенов</v>
      </c>
      <c r="D404" s="36" t="str">
        <f t="shared" si="105"/>
        <v>Канат</v>
      </c>
      <c r="E404" s="36" t="str">
        <f t="shared" si="102"/>
        <v>Сарсенбаевич</v>
      </c>
      <c r="F404" s="36" t="str">
        <f t="shared" si="106"/>
        <v>044314064</v>
      </c>
      <c r="G404" s="37">
        <f>VLOOKUP(F404,Покупатели!$F$2:$N$762,2,0)</f>
        <v>43234</v>
      </c>
      <c r="H404" s="36" t="str">
        <f>VLOOKUP(F404,Покупатели!$F$2:$N$762,3,0)</f>
        <v>МВД РК</v>
      </c>
      <c r="I404" s="36">
        <f>VLOOKUP(C404,Покупатели!$C$2:$M$805,7,0)</f>
        <v>730405350505</v>
      </c>
      <c r="J404" s="36" t="str">
        <f ca="1">IFERROR(__xludf.DUMMYFUNCTION("JOIN("" "", VLOOKUP(C404,Покупатели,8,0),VLOOKUP(C404,Покупатели,9,0),VLOOKUP(C404,Покупатели,10,0),VLOOKUP(C404,Покупатели,11,0))"),"Акмолинская область, Зерендинский район, с. Зеренда, ул. Ильясова, д. 20, кв. 12")</f>
        <v>Акмолинская область, Зерендинский район, с. Зеренда, ул. Ильясова, д. 20, кв. 12</v>
      </c>
      <c r="K404" s="36">
        <f t="shared" si="107"/>
        <v>87051022191</v>
      </c>
      <c r="L404" s="36" t="str">
        <f t="shared" si="108"/>
        <v>MX4000002S0002083</v>
      </c>
      <c r="M404" s="36" t="str">
        <f t="shared" ca="1" si="100"/>
        <v>002-2013E30Q13-OK</v>
      </c>
      <c r="N404" s="36" t="str">
        <f t="shared" si="99"/>
        <v>Прицеп 2,0*1,25 м  (до 750 кг.)</v>
      </c>
      <c r="O404" s="36" t="str">
        <f t="shared" si="109"/>
        <v>1 ось</v>
      </c>
      <c r="P404" s="36">
        <f t="shared" si="110"/>
        <v>2025</v>
      </c>
      <c r="Q404" s="34" t="str">
        <f t="shared" ca="1" si="113"/>
        <v>3150*1700*900</v>
      </c>
      <c r="R404" s="36" t="str">
        <f t="shared" ca="1" si="112"/>
        <v>2000*1250*300</v>
      </c>
      <c r="S404" s="34" t="str">
        <f>VLOOKUP(O404,ОТТС!$A$2:$B$3,2,0)</f>
        <v>ТС KZ Е-KZ.0317.00251 от 28.02.2023</v>
      </c>
      <c r="T404" s="39">
        <v>300000</v>
      </c>
      <c r="U404" s="36" t="str">
        <f t="shared" si="114"/>
        <v>Кокшетау</v>
      </c>
    </row>
    <row r="405" spans="1:21" ht="13.2">
      <c r="A405" s="34">
        <v>1586</v>
      </c>
      <c r="B405" s="35">
        <f>VLOOKUP(A405,'Реестр договоров'!$A$2:$D$508,2,0)</f>
        <v>45771</v>
      </c>
      <c r="C405" s="36" t="str">
        <f t="shared" si="104"/>
        <v>Шаяхметов</v>
      </c>
      <c r="D405" s="36" t="str">
        <f t="shared" si="105"/>
        <v>Раис</v>
      </c>
      <c r="E405" s="36" t="str">
        <f t="shared" si="102"/>
        <v>Шамильевич</v>
      </c>
      <c r="F405" s="36" t="str">
        <f t="shared" si="106"/>
        <v>060179434</v>
      </c>
      <c r="G405" s="37">
        <f>VLOOKUP(F405,Покупатели!$F$2:$N$762,2,0)</f>
        <v>45734</v>
      </c>
      <c r="H405" s="36" t="str">
        <f>VLOOKUP(F405,Покупатели!$F$2:$N$762,3,0)</f>
        <v>МВД РК</v>
      </c>
      <c r="I405" s="36">
        <f>VLOOKUP(C405,Покупатели!$C$2:$M$805,7,0)</f>
        <v>900628351413</v>
      </c>
      <c r="J405" s="36" t="str">
        <f ca="1">IFERROR(__xludf.DUMMYFUNCTION("JOIN("" "", VLOOKUP(C405,Покупатели,8,0),VLOOKUP(C405,Покупатели,9,0),VLOOKUP(C405,Покупатели,10,0),VLOOKUP(C405,Покупатели,11,0))"),"г.Астана р-н Алматы пр-т Абылай хана д.19/2, кв.15")</f>
        <v>г.Астана р-н Алматы пр-т Абылай хана д.19/2, кв.15</v>
      </c>
      <c r="K405" s="36">
        <f t="shared" si="107"/>
        <v>87054253358</v>
      </c>
      <c r="L405" s="36" t="str">
        <f t="shared" si="108"/>
        <v>MX4000002S0002098</v>
      </c>
      <c r="M405" s="36" t="str">
        <f t="shared" ca="1" si="100"/>
        <v>002-2513E30Q13-OK</v>
      </c>
      <c r="N405" s="36" t="str">
        <f t="shared" si="99"/>
        <v>Прицеп 2,5*1,25 м  (до 750 кг.)</v>
      </c>
      <c r="O405" s="36" t="str">
        <f t="shared" si="109"/>
        <v>1 ось</v>
      </c>
      <c r="P405" s="36">
        <f t="shared" si="110"/>
        <v>2025</v>
      </c>
      <c r="Q405" s="34" t="str">
        <f t="shared" ca="1" si="113"/>
        <v>3650*1700*900</v>
      </c>
      <c r="R405" s="36" t="str">
        <f t="shared" ca="1" si="112"/>
        <v>2500*1250*300</v>
      </c>
      <c r="S405" s="34" t="str">
        <f>VLOOKUP(O405,ОТТС!$A$2:$B$3,2,0)</f>
        <v>ТС KZ Е-KZ.0317.00251 от 28.02.2023</v>
      </c>
      <c r="T405" s="39">
        <v>370000</v>
      </c>
      <c r="U405" s="36" t="str">
        <f t="shared" si="114"/>
        <v>Астана</v>
      </c>
    </row>
    <row r="406" spans="1:21" ht="13.2">
      <c r="A406" s="34">
        <v>1587</v>
      </c>
      <c r="B406" s="35">
        <f>VLOOKUP(A406,'Реестр договоров'!$A$2:$D$508,2,0)</f>
        <v>45771</v>
      </c>
      <c r="C406" s="36" t="str">
        <f t="shared" si="104"/>
        <v>Аренов</v>
      </c>
      <c r="D406" s="36" t="str">
        <f t="shared" si="105"/>
        <v>Ерлик</v>
      </c>
      <c r="E406" s="36" t="str">
        <f t="shared" si="102"/>
        <v>Аблаевич</v>
      </c>
      <c r="F406" s="36" t="str">
        <f t="shared" si="106"/>
        <v>023112789</v>
      </c>
      <c r="G406" s="37">
        <f>VLOOKUP(F406,Покупатели!$F$2:$N$762,2,0)</f>
        <v>39905</v>
      </c>
      <c r="H406" s="36" t="str">
        <f>VLOOKUP(F406,Покупатели!$F$2:$N$762,3,0)</f>
        <v>МЮ РК</v>
      </c>
      <c r="I406" s="36">
        <f>VLOOKUP(C406,Покупатели!$C$2:$M$805,7,0)</f>
        <v>810113350802</v>
      </c>
      <c r="J406" s="36" t="str">
        <f ca="1">IFERROR(__xludf.DUMMYFUNCTION("JOIN("" "", VLOOKUP(C406,Покупатели,8,0),VLOOKUP(C406,Покупатели,9,0),VLOOKUP(C406,Покупатели,10,0),VLOOKUP(C406,Покупатели,11,0))"),"Акмолинская область, п.с. Красный Яр, ул. Нурлы-кош д.58/1")</f>
        <v>Акмолинская область, п.с. Красный Яр, ул. Нурлы-кош д.58/1</v>
      </c>
      <c r="K406" s="36">
        <f t="shared" si="107"/>
        <v>87078480805</v>
      </c>
      <c r="L406" s="36" t="str">
        <f t="shared" si="108"/>
        <v>MX4000005S0002112</v>
      </c>
      <c r="M406" s="36" t="str">
        <f t="shared" ca="1" si="100"/>
        <v>002-2515Q13-OK</v>
      </c>
      <c r="N406" s="36" t="str">
        <f t="shared" si="99"/>
        <v>Прицеп 2,5*1,5 м  (до 750 кг.)</v>
      </c>
      <c r="O406" s="36" t="str">
        <f t="shared" si="109"/>
        <v>2 оси</v>
      </c>
      <c r="P406" s="36">
        <f t="shared" si="110"/>
        <v>2025</v>
      </c>
      <c r="Q406" s="34" t="str">
        <f t="shared" ca="1" si="113"/>
        <v>4000*1950*650</v>
      </c>
      <c r="R406" s="36" t="str">
        <f t="shared" ca="1" si="112"/>
        <v>2500*1500*0</v>
      </c>
      <c r="S406" s="34" t="str">
        <f>VLOOKUP(O406,ОТТС!$A$2:$B$3,2,0)</f>
        <v>ТС KZ Е-KZ.0317.00219.П1 от 17.07.2025</v>
      </c>
      <c r="T406" s="39">
        <v>380000</v>
      </c>
      <c r="U406" s="36" t="str">
        <f t="shared" si="114"/>
        <v>Кокшетау</v>
      </c>
    </row>
    <row r="407" spans="1:21" ht="13.2">
      <c r="A407" s="34">
        <v>1588</v>
      </c>
      <c r="B407" s="35">
        <f>VLOOKUP(A407,'Реестр договоров'!$A$2:$D$508,2,0)</f>
        <v>45772</v>
      </c>
      <c r="C407" s="36" t="str">
        <f t="shared" si="104"/>
        <v>Аймухамбетов</v>
      </c>
      <c r="D407" s="36" t="str">
        <f t="shared" si="105"/>
        <v>Дулат</v>
      </c>
      <c r="E407" s="36" t="str">
        <f t="shared" si="102"/>
        <v>Нурсафинович</v>
      </c>
      <c r="F407" s="36" t="str">
        <f t="shared" si="106"/>
        <v>053074877</v>
      </c>
      <c r="G407" s="37">
        <f>VLOOKUP(F407,Покупатели!$F$2:$N$762,2,0)</f>
        <v>45026</v>
      </c>
      <c r="H407" s="36" t="str">
        <f>VLOOKUP(F407,Покупатели!$F$2:$N$762,3,0)</f>
        <v>МВД РК</v>
      </c>
      <c r="I407" s="36">
        <f>VLOOKUP(C407,Покупатели!$C$2:$M$805,7,0)</f>
        <v>880802302711</v>
      </c>
      <c r="J407" s="36" t="str">
        <f ca="1">IFERROR(__xludf.DUMMYFUNCTION("JOIN("" "", VLOOKUP(C407,Покупатели,8,0),VLOOKUP(C407,Покупатели,9,0),VLOOKUP(C407,Покупатели,10,0),VLOOKUP(C407,Покупатели,11,0))"),"Талгарский район, п. Талдыбулак, ул. Ауэзова, д.6а")</f>
        <v>Талгарский район, п. Талдыбулак, ул. Ауэзова, д.6а</v>
      </c>
      <c r="K407" s="36">
        <f t="shared" si="107"/>
        <v>87074256985</v>
      </c>
      <c r="L407" s="36" t="str">
        <f t="shared" si="108"/>
        <v>MX4000002S0001926</v>
      </c>
      <c r="M407" s="36" t="str">
        <f t="shared" ca="1" si="100"/>
        <v>002-2013E50Q13-OK</v>
      </c>
      <c r="N407" s="36" t="str">
        <f t="shared" si="99"/>
        <v>Прицеп 2,0*1,25 м  (до 750 кг.)</v>
      </c>
      <c r="O407" s="36" t="str">
        <f t="shared" si="109"/>
        <v>1 ось</v>
      </c>
      <c r="P407" s="36">
        <f t="shared" si="110"/>
        <v>2025</v>
      </c>
      <c r="Q407" s="34" t="str">
        <f t="shared" ca="1" si="113"/>
        <v>3150*1700*1070</v>
      </c>
      <c r="R407" s="36" t="str">
        <f t="shared" ca="1" si="112"/>
        <v>2000*1250*500</v>
      </c>
      <c r="S407" s="34" t="str">
        <f>VLOOKUP(O407,ОТТС!$A$2:$B$3,2,0)</f>
        <v>ТС KZ Е-KZ.0317.00251 от 28.02.2023</v>
      </c>
      <c r="T407" s="39">
        <v>340000</v>
      </c>
      <c r="U407" s="36" t="str">
        <f t="shared" si="114"/>
        <v>Алматы</v>
      </c>
    </row>
    <row r="408" spans="1:21" ht="13.2">
      <c r="A408" s="34">
        <v>1589</v>
      </c>
      <c r="B408" s="35">
        <f>VLOOKUP(A408,'Реестр договоров'!$A$2:$D$508,2,0)</f>
        <v>45772</v>
      </c>
      <c r="C408" s="36" t="str">
        <f t="shared" si="104"/>
        <v>Абилов</v>
      </c>
      <c r="D408" s="36" t="str">
        <f t="shared" si="105"/>
        <v>Дінмұхамед</v>
      </c>
      <c r="E408" s="36" t="str">
        <f t="shared" si="102"/>
        <v>Әбуталипұлы</v>
      </c>
      <c r="F408" s="36" t="str">
        <f t="shared" si="106"/>
        <v>046917343</v>
      </c>
      <c r="G408" s="37">
        <f>VLOOKUP(F408,Покупатели!$F$2:$N$762,2,0)</f>
        <v>44077</v>
      </c>
      <c r="H408" s="36" t="str">
        <f>VLOOKUP(F408,Покупатели!$F$2:$N$762,3,0)</f>
        <v>ҚР ІІМ</v>
      </c>
      <c r="I408" s="36" t="str">
        <f>VLOOKUP(C408,Покупатели!$C$2:$M$805,7,0)</f>
        <v>040227500916</v>
      </c>
      <c r="J408" s="36" t="str">
        <f ca="1">IFERROR(__xludf.DUMMYFUNCTION("JOIN("" "", VLOOKUP(C408,Покупатели,8,0),VLOOKUP(C408,Покупатели,9,0),VLOOKUP(C408,Покупатели,10,0),VLOOKUP(C408,Покупатели,11,0))"),"Жамбылская область, г.Тараз, 5 переулок, улица Сыздыкова, д.64")</f>
        <v>Жамбылская область, г.Тараз, 5 переулок, улица Сыздыкова, д.64</v>
      </c>
      <c r="K408" s="36">
        <f t="shared" si="107"/>
        <v>87077170115</v>
      </c>
      <c r="L408" s="36" t="str">
        <f t="shared" si="108"/>
        <v>MX4000002S0001916</v>
      </c>
      <c r="M408" s="36" t="str">
        <f t="shared" ca="1" si="100"/>
        <v>002-2013E50Q13-OK</v>
      </c>
      <c r="N408" s="36" t="str">
        <f t="shared" si="99"/>
        <v>Прицеп 2,0*1,25 м  (до 750 кг.)</v>
      </c>
      <c r="O408" s="36" t="str">
        <f t="shared" si="109"/>
        <v>1 ось</v>
      </c>
      <c r="P408" s="36">
        <f t="shared" si="110"/>
        <v>2025</v>
      </c>
      <c r="Q408" s="34" t="str">
        <f t="shared" ca="1" si="113"/>
        <v>3150*1700*1070</v>
      </c>
      <c r="R408" s="36" t="str">
        <f t="shared" ca="1" si="112"/>
        <v>2000*1250*500</v>
      </c>
      <c r="S408" s="34" t="str">
        <f>VLOOKUP(O408,ОТТС!$A$2:$B$3,2,0)</f>
        <v>ТС KZ Е-KZ.0317.00251 от 28.02.2023</v>
      </c>
      <c r="T408" s="39">
        <v>340000</v>
      </c>
      <c r="U408" s="36" t="str">
        <f t="shared" si="114"/>
        <v>Алматы</v>
      </c>
    </row>
    <row r="409" spans="1:21" ht="13.2">
      <c r="A409" s="34">
        <v>1590</v>
      </c>
      <c r="B409" s="35">
        <f>VLOOKUP(A409,'Реестр договоров'!$A$2:$D$508,2,0)</f>
        <v>45772</v>
      </c>
      <c r="C409" s="36" t="str">
        <f t="shared" si="104"/>
        <v>Буткевич</v>
      </c>
      <c r="D409" s="36" t="str">
        <f t="shared" si="105"/>
        <v>Алёна</v>
      </c>
      <c r="E409" s="36" t="str">
        <f t="shared" si="102"/>
        <v>Николаевна</v>
      </c>
      <c r="F409" s="36" t="str">
        <f t="shared" si="106"/>
        <v>049964622</v>
      </c>
      <c r="G409" s="37">
        <f>VLOOKUP(F409,Покупатели!$F$2:$N$762,2,0)</f>
        <v>44259</v>
      </c>
      <c r="H409" s="36" t="str">
        <f>VLOOKUP(F409,Покупатели!$F$2:$N$762,3,0)</f>
        <v>МВД РК</v>
      </c>
      <c r="I409" s="36">
        <f>VLOOKUP(C409,Покупатели!$C$2:$M$805,7,0)</f>
        <v>860105450031</v>
      </c>
      <c r="J409" s="36" t="str">
        <f ca="1">IFERROR(__xludf.DUMMYFUNCTION("JOIN("" "", VLOOKUP(C409,Покупатели,8,0),VLOOKUP(C409,Покупатели,9,0),VLOOKUP(C409,Покупатели,10,0),VLOOKUP(C409,Покупатели,11,0))"),"Павлодарская обл. г.Павлодар ул.Павлова д.102/3, кв.74")</f>
        <v>Павлодарская обл. г.Павлодар ул.Павлова д.102/3, кв.74</v>
      </c>
      <c r="K409" s="36">
        <f t="shared" si="107"/>
        <v>87079161686</v>
      </c>
      <c r="L409" s="36" t="str">
        <f t="shared" si="108"/>
        <v>MX4000002S0002099</v>
      </c>
      <c r="M409" s="36" t="str">
        <f t="shared" ca="1" si="100"/>
        <v>002-2513E50Q13-OK</v>
      </c>
      <c r="N409" s="36" t="str">
        <f t="shared" ref="N409:N472" si="115">VLOOKUP(L409,ПРИЦЕПЫ,2,0)</f>
        <v>Прицеп 2,5*1,25 м  (до 750 кг.)</v>
      </c>
      <c r="O409" s="36" t="str">
        <f t="shared" si="109"/>
        <v>1 ось</v>
      </c>
      <c r="P409" s="36">
        <f t="shared" si="110"/>
        <v>2025</v>
      </c>
      <c r="Q409" s="34" t="str">
        <f t="shared" ca="1" si="113"/>
        <v>3650*1700*1070</v>
      </c>
      <c r="R409" s="36" t="str">
        <f t="shared" ca="1" si="112"/>
        <v>2500*1250*500</v>
      </c>
      <c r="S409" s="34" t="str">
        <f>VLOOKUP(O409,ОТТС!$A$2:$B$3,2,0)</f>
        <v>ТС KZ Е-KZ.0317.00251 от 28.02.2023</v>
      </c>
      <c r="T409" s="39">
        <v>380000</v>
      </c>
      <c r="U409" s="36" t="str">
        <f t="shared" si="114"/>
        <v>Астана</v>
      </c>
    </row>
    <row r="410" spans="1:21" ht="13.2">
      <c r="A410" s="34">
        <v>1591</v>
      </c>
      <c r="B410" s="35">
        <f>VLOOKUP(A410,'Реестр договоров'!$A$2:$D$508,2,0)</f>
        <v>45772</v>
      </c>
      <c r="C410" s="36" t="str">
        <f t="shared" si="104"/>
        <v>Багаутдинов</v>
      </c>
      <c r="D410" s="36" t="str">
        <f t="shared" si="105"/>
        <v>Эльдар</v>
      </c>
      <c r="E410" s="36" t="str">
        <f t="shared" si="102"/>
        <v>Халитович</v>
      </c>
      <c r="F410" s="36" t="str">
        <f t="shared" si="106"/>
        <v>048263329</v>
      </c>
      <c r="G410" s="37">
        <f>VLOOKUP(F410,Покупатели!$F$2:$N$762,2,0)</f>
        <v>45773</v>
      </c>
      <c r="H410" s="36" t="str">
        <f>VLOOKUP(F410,Покупатели!$F$2:$N$762,3,0)</f>
        <v>МВД РК</v>
      </c>
      <c r="I410" s="36">
        <f>VLOOKUP(C410,Покупатели!$C$2:$M$805,7,0)</f>
        <v>780814300036</v>
      </c>
      <c r="J410" s="36" t="str">
        <f ca="1">IFERROR(__xludf.DUMMYFUNCTION("JOIN("" "", VLOOKUP(C410,Покупатели,8,0),VLOOKUP(C410,Покупатели,9,0),VLOOKUP(C410,Покупатели,10,0),VLOOKUP(C410,Покупатели,11,0))"),"Алматинская область, г. Алматы,  ул. Шухова, дом 22.")</f>
        <v>Алматинская область, г. Алматы,  ул. Шухова, дом 22.</v>
      </c>
      <c r="K410" s="36">
        <f t="shared" si="107"/>
        <v>87076988881</v>
      </c>
      <c r="L410" s="36" t="str">
        <f t="shared" si="108"/>
        <v>MX4000002S0001915</v>
      </c>
      <c r="M410" s="36" t="str">
        <f t="shared" ca="1" si="100"/>
        <v>002-2013E50Q13-OK</v>
      </c>
      <c r="N410" s="36" t="str">
        <f t="shared" si="115"/>
        <v>Прицеп 2,0*1,25 м  (до 750 кг.)</v>
      </c>
      <c r="O410" s="36" t="str">
        <f t="shared" si="109"/>
        <v>1 ось</v>
      </c>
      <c r="P410" s="36">
        <f t="shared" si="110"/>
        <v>2025</v>
      </c>
      <c r="Q410" s="34" t="str">
        <f t="shared" ca="1" si="113"/>
        <v>3150*1700*1070</v>
      </c>
      <c r="R410" s="36" t="str">
        <f t="shared" ca="1" si="112"/>
        <v>2000*1250*500</v>
      </c>
      <c r="S410" s="34" t="str">
        <f>VLOOKUP(O410,ОТТС!$A$2:$B$3,2,0)</f>
        <v>ТС KZ Е-KZ.0317.00251 от 28.02.2023</v>
      </c>
      <c r="T410" s="39">
        <v>380000</v>
      </c>
      <c r="U410" s="36" t="str">
        <f t="shared" si="114"/>
        <v>Алматы</v>
      </c>
    </row>
    <row r="411" spans="1:21" ht="13.2">
      <c r="A411" s="34">
        <v>1592</v>
      </c>
      <c r="B411" s="35">
        <f>VLOOKUP(A411,'Реестр договоров'!$A$2:$D$508,2,0)</f>
        <v>45775</v>
      </c>
      <c r="C411" s="36" t="str">
        <f t="shared" si="104"/>
        <v>Дроздова</v>
      </c>
      <c r="D411" s="36" t="str">
        <f t="shared" si="105"/>
        <v>Наталья</v>
      </c>
      <c r="E411" s="36" t="str">
        <f t="shared" si="102"/>
        <v>Александровна</v>
      </c>
      <c r="F411" s="36" t="str">
        <f t="shared" si="106"/>
        <v>039965897</v>
      </c>
      <c r="G411" s="37">
        <f>VLOOKUP(F411,Покупатели!$F$2:$N$762,2,0)</f>
        <v>42467</v>
      </c>
      <c r="H411" s="36" t="str">
        <f>VLOOKUP(F411,Покупатели!$F$2:$N$762,3,0)</f>
        <v>МВД РК</v>
      </c>
      <c r="I411" s="36">
        <f>VLOOKUP(C411,Покупатели!$C$2:$M$805,7,0)</f>
        <v>711219401561</v>
      </c>
      <c r="J411" s="36" t="str">
        <f ca="1">IFERROR(__xludf.DUMMYFUNCTION("JOIN("" "", VLOOKUP(C411,Покупатели,8,0),VLOOKUP(C411,Покупатели,9,0),VLOOKUP(C411,Покупатели,10,0),VLOOKUP(C411,Покупатели,11,0))"),"Жетысуская область, г. Талдыкорган, п. Отенай, ул. Улытау, д.1")</f>
        <v>Жетысуская область, г. Талдыкорган, п. Отенай, ул. Улытау, д.1</v>
      </c>
      <c r="K411" s="36">
        <f t="shared" si="107"/>
        <v>87714541736</v>
      </c>
      <c r="L411" s="36" t="str">
        <f t="shared" si="108"/>
        <v>MX4000002S0001931</v>
      </c>
      <c r="M411" s="36" t="str">
        <f t="shared" ca="1" si="100"/>
        <v>002-2013E30Q13-OK</v>
      </c>
      <c r="N411" s="36" t="str">
        <f t="shared" si="115"/>
        <v>Прицеп 2,0*1,25 м  (до 750 кг.)</v>
      </c>
      <c r="O411" s="36" t="str">
        <f t="shared" si="109"/>
        <v>1 ось</v>
      </c>
      <c r="P411" s="36">
        <f t="shared" si="110"/>
        <v>2025</v>
      </c>
      <c r="Q411" s="34" t="str">
        <f t="shared" ca="1" si="113"/>
        <v>3150*1700*900</v>
      </c>
      <c r="R411" s="36" t="str">
        <f t="shared" ca="1" si="112"/>
        <v>2000*1250*300</v>
      </c>
      <c r="S411" s="34" t="str">
        <f>VLOOKUP(O411,ОТТС!$A$2:$B$3,2,0)</f>
        <v>ТС KZ Е-KZ.0317.00251 от 28.02.2023</v>
      </c>
      <c r="T411" s="39">
        <v>300000</v>
      </c>
      <c r="U411" s="36" t="str">
        <f t="shared" si="114"/>
        <v>Алматы</v>
      </c>
    </row>
    <row r="412" spans="1:21" ht="13.2">
      <c r="A412" s="34">
        <v>1593</v>
      </c>
      <c r="B412" s="35">
        <f>VLOOKUP(A412,'Реестр договоров'!$A$2:$D$508,2,0)</f>
        <v>45775</v>
      </c>
      <c r="C412" s="36" t="str">
        <f t="shared" si="104"/>
        <v>Ананьин</v>
      </c>
      <c r="D412" s="36" t="str">
        <f t="shared" si="105"/>
        <v>Дмитрий</v>
      </c>
      <c r="E412" s="36" t="str">
        <f t="shared" si="102"/>
        <v>Валентинович</v>
      </c>
      <c r="F412" s="36" t="str">
        <f t="shared" si="106"/>
        <v>053342013</v>
      </c>
      <c r="G412" s="37">
        <f>VLOOKUP(F412,Покупатели!$F$2:$N$762,2,0)</f>
        <v>45071</v>
      </c>
      <c r="H412" s="36" t="str">
        <f>VLOOKUP(F412,Покупатели!$F$2:$N$762,3,0)</f>
        <v>МВД РК</v>
      </c>
      <c r="I412" s="36">
        <f>VLOOKUP(C412,Покупатели!$C$2:$M$805,7,0)</f>
        <v>731102301582</v>
      </c>
      <c r="J412" s="36" t="str">
        <f ca="1">IFERROR(__xludf.DUMMYFUNCTION("JOIN("" "", VLOOKUP(C412,Покупатели,8,0),VLOOKUP(C412,Покупатели,9,0),VLOOKUP(C412,Покупатели,10,0),VLOOKUP(C412,Покупатели,11,0))"),"Алматинская область, Илийский район, п. Байсерке, ул. Халифа Алтай, д.6")</f>
        <v>Алматинская область, Илийский район, п. Байсерке, ул. Халифа Алтай, д.6</v>
      </c>
      <c r="K412" s="36">
        <f t="shared" si="107"/>
        <v>87051392970</v>
      </c>
      <c r="L412" s="36" t="str">
        <f t="shared" si="108"/>
        <v>MX4000002R0001614</v>
      </c>
      <c r="M412" s="36" t="str">
        <f t="shared" ref="M412:M475" ca="1" si="116">VLOOKUP(L412,ПРИЦЕПЫ,11,0)</f>
        <v>002-2513E50Q13-OK</v>
      </c>
      <c r="N412" s="36" t="str">
        <f t="shared" si="115"/>
        <v>Прицеп 2,5*1,25 м  (до 750 кг.)</v>
      </c>
      <c r="O412" s="36" t="str">
        <f t="shared" si="109"/>
        <v>1 ось</v>
      </c>
      <c r="P412" s="36">
        <f t="shared" si="110"/>
        <v>2024</v>
      </c>
      <c r="Q412" s="34" t="str">
        <f t="shared" ca="1" si="113"/>
        <v>3650*1700*1070</v>
      </c>
      <c r="R412" s="36" t="str">
        <f t="shared" ca="1" si="112"/>
        <v>2500*1250*500</v>
      </c>
      <c r="S412" s="34" t="str">
        <f>VLOOKUP(O412,ОТТС!$A$2:$B$3,2,0)</f>
        <v>ТС KZ Е-KZ.0317.00251 от 28.02.2023</v>
      </c>
      <c r="T412" s="39">
        <v>450000</v>
      </c>
      <c r="U412" s="36" t="str">
        <f t="shared" si="114"/>
        <v>Алматы</v>
      </c>
    </row>
    <row r="413" spans="1:21" ht="13.2">
      <c r="A413" s="34">
        <v>1594</v>
      </c>
      <c r="B413" s="35">
        <f>VLOOKUP(A413,'Реестр договоров'!$A$2:$D$508,2,0)</f>
        <v>45775</v>
      </c>
      <c r="C413" s="36" t="str">
        <f t="shared" si="104"/>
        <v>Курманбаев</v>
      </c>
      <c r="D413" s="36" t="str">
        <f t="shared" si="105"/>
        <v>Жаслан</v>
      </c>
      <c r="E413" s="36" t="str">
        <f t="shared" si="102"/>
        <v>Султанбекович</v>
      </c>
      <c r="F413" s="36" t="str">
        <f t="shared" si="106"/>
        <v>054007398</v>
      </c>
      <c r="G413" s="37">
        <f>VLOOKUP(F413,Покупатели!$F$2:$N$762,2,0)</f>
        <v>44869</v>
      </c>
      <c r="H413" s="36" t="str">
        <f>VLOOKUP(F413,Покупатели!$F$2:$N$762,3,0)</f>
        <v>МВД РК</v>
      </c>
      <c r="I413" s="36">
        <f>VLOOKUP(C413,Покупатели!$C$2:$M$805,7,0)</f>
        <v>850404350380</v>
      </c>
      <c r="J413" s="36" t="str">
        <f ca="1">IFERROR(__xludf.DUMMYFUNCTION("JOIN("" "", VLOOKUP(C413,Покупатели,8,0),VLOOKUP(C413,Покупатели,9,0),VLOOKUP(C413,Покупатели,10,0),VLOOKUP(C413,Покупатели,11,0))"),"г.Астана р-н Сарыарка ул.Сокпакбаева д.16")</f>
        <v>г.Астана р-н Сарыарка ул.Сокпакбаева д.16</v>
      </c>
      <c r="K413" s="36">
        <f t="shared" si="107"/>
        <v>87004505465</v>
      </c>
      <c r="L413" s="36" t="str">
        <f t="shared" si="108"/>
        <v>MX4000002R0001903</v>
      </c>
      <c r="M413" s="36" t="str">
        <f t="shared" ca="1" si="116"/>
        <v>002-2513E30Q13-OK</v>
      </c>
      <c r="N413" s="36" t="str">
        <f t="shared" si="115"/>
        <v>Прицеп 2,5*1,25 м  (до 750 кг.)</v>
      </c>
      <c r="O413" s="36" t="str">
        <f t="shared" si="109"/>
        <v>1 ось</v>
      </c>
      <c r="P413" s="36">
        <f t="shared" si="110"/>
        <v>2025</v>
      </c>
      <c r="Q413" s="34" t="str">
        <f t="shared" ca="1" si="113"/>
        <v>3650*1700*900</v>
      </c>
      <c r="R413" s="36" t="str">
        <f t="shared" ca="1" si="112"/>
        <v>2500*1250*300</v>
      </c>
      <c r="S413" s="34" t="str">
        <f>VLOOKUP(O413,ОТТС!$A$2:$B$3,2,0)</f>
        <v>ТС KZ Е-KZ.0317.00251 от 28.02.2023</v>
      </c>
      <c r="T413" s="39">
        <v>420000</v>
      </c>
      <c r="U413" s="36" t="str">
        <f t="shared" si="114"/>
        <v>Астана</v>
      </c>
    </row>
    <row r="414" spans="1:21" ht="13.2">
      <c r="A414" s="34">
        <v>1595</v>
      </c>
      <c r="B414" s="35">
        <f>VLOOKUP(A414,'Реестр договоров'!$A$2:$D$508,2,0)</f>
        <v>45775</v>
      </c>
      <c r="C414" s="36" t="str">
        <f t="shared" si="104"/>
        <v>Есмагамбетов</v>
      </c>
      <c r="D414" s="36" t="str">
        <f t="shared" si="105"/>
        <v>Гали</v>
      </c>
      <c r="E414" s="36" t="str">
        <f t="shared" si="102"/>
        <v>Асылбекович</v>
      </c>
      <c r="F414" s="36" t="str">
        <f t="shared" si="106"/>
        <v>042083994</v>
      </c>
      <c r="G414" s="37">
        <f>VLOOKUP(F414,Покупатели!$F$2:$N$762,2,0)</f>
        <v>42716</v>
      </c>
      <c r="H414" s="36" t="str">
        <f>VLOOKUP(F414,Покупатели!$F$2:$N$762,3,0)</f>
        <v>МВД РК</v>
      </c>
      <c r="I414" s="36">
        <f>VLOOKUP(C414,Покупатели!$C$2:$M$805,7,0)</f>
        <v>740717350038</v>
      </c>
      <c r="J414" s="36" t="str">
        <f ca="1">IFERROR(__xludf.DUMMYFUNCTION("JOIN("" "", VLOOKUP(C414,Покупатели,8,0),VLOOKUP(C414,Покупатели,9,0),VLOOKUP(C414,Покупатели,10,0),VLOOKUP(C414,Покупатели,11,0))"),"Акмолинская область, г. Кокшетау, ул. Елемесова, д.84")</f>
        <v>Акмолинская область, г. Кокшетау, ул. Елемесова, д.84</v>
      </c>
      <c r="K414" s="36">
        <f t="shared" si="107"/>
        <v>87078532574</v>
      </c>
      <c r="L414" s="36" t="str">
        <f t="shared" si="108"/>
        <v>MX4000002S0002118</v>
      </c>
      <c r="M414" s="36" t="str">
        <f t="shared" ca="1" si="116"/>
        <v>002-2513E30Q13-OK</v>
      </c>
      <c r="N414" s="36" t="str">
        <f t="shared" si="115"/>
        <v>Прицеп 2,5*1,25 м  (до 750 кг.)</v>
      </c>
      <c r="O414" s="36" t="str">
        <f t="shared" si="109"/>
        <v>1 ось</v>
      </c>
      <c r="P414" s="36">
        <f t="shared" si="110"/>
        <v>2025</v>
      </c>
      <c r="Q414" s="34" t="str">
        <f t="shared" ca="1" si="113"/>
        <v>3650*1700*900</v>
      </c>
      <c r="R414" s="36" t="str">
        <f t="shared" ca="1" si="112"/>
        <v>2500*1250*300</v>
      </c>
      <c r="S414" s="34" t="str">
        <f>VLOOKUP(O414,ОТТС!$A$2:$B$3,2,0)</f>
        <v>ТС KZ Е-KZ.0317.00251 от 28.02.2023</v>
      </c>
      <c r="T414" s="39">
        <v>360000</v>
      </c>
      <c r="U414" s="36" t="str">
        <f t="shared" si="114"/>
        <v>Кокшетау</v>
      </c>
    </row>
    <row r="415" spans="1:21" ht="13.2">
      <c r="A415" s="34">
        <v>1596</v>
      </c>
      <c r="B415" s="35">
        <f>VLOOKUP(A415,'Реестр договоров'!$A$2:$D$508,2,0)</f>
        <v>45776</v>
      </c>
      <c r="C415" s="36" t="str">
        <f t="shared" si="104"/>
        <v>Питимко</v>
      </c>
      <c r="D415" s="36" t="str">
        <f t="shared" si="105"/>
        <v>Сергей</v>
      </c>
      <c r="E415" s="36" t="str">
        <f t="shared" si="102"/>
        <v>Иванович</v>
      </c>
      <c r="F415" s="36" t="str">
        <f t="shared" si="106"/>
        <v>049840068</v>
      </c>
      <c r="G415" s="37">
        <f>VLOOKUP(F415,Покупатели!$F$2:$N$762,2,0)</f>
        <v>44242</v>
      </c>
      <c r="H415" s="36" t="str">
        <f>VLOOKUP(F415,Покупатели!$F$2:$N$762,3,0)</f>
        <v>МВД РК</v>
      </c>
      <c r="I415" s="36">
        <f>VLOOKUP(C415,Покупатели!$C$2:$M$805,7,0)</f>
        <v>660808300108</v>
      </c>
      <c r="J415" s="36" t="str">
        <f ca="1">IFERROR(__xludf.DUMMYFUNCTION("JOIN("" "", VLOOKUP(C415,Покупатели,8,0),VLOOKUP(C415,Покупатели,9,0),VLOOKUP(C415,Покупатели,10,0),VLOOKUP(C415,Покупатели,11,0))"),"г.Астана р-н Сарыарка ул.Молдагуловой д.13/5, кв.4")</f>
        <v>г.Астана р-н Сарыарка ул.Молдагуловой д.13/5, кв.4</v>
      </c>
      <c r="K415" s="36">
        <f t="shared" si="107"/>
        <v>87013396637</v>
      </c>
      <c r="L415" s="36" t="str">
        <f t="shared" si="108"/>
        <v>MX4000002S0002117</v>
      </c>
      <c r="M415" s="36" t="str">
        <f t="shared" ca="1" si="116"/>
        <v>002-2013E50Q13-OK30</v>
      </c>
      <c r="N415" s="36" t="str">
        <f t="shared" si="115"/>
        <v>Прицеп 2,0*1,25 м  (до 750 кг.)</v>
      </c>
      <c r="O415" s="36" t="str">
        <f t="shared" si="109"/>
        <v>1 ось</v>
      </c>
      <c r="P415" s="36">
        <f t="shared" si="110"/>
        <v>2025</v>
      </c>
      <c r="Q415" s="34" t="str">
        <f t="shared" ca="1" si="113"/>
        <v>3150*1700*1070</v>
      </c>
      <c r="R415" s="36" t="str">
        <f t="shared" ca="1" si="112"/>
        <v>2000*1250*500</v>
      </c>
      <c r="S415" s="34" t="str">
        <f>VLOOKUP(O415,ОТТС!$A$2:$B$3,2,0)</f>
        <v>ТС KZ Е-KZ.0317.00251 от 28.02.2023</v>
      </c>
      <c r="T415" s="39">
        <v>360000</v>
      </c>
      <c r="U415" s="36" t="str">
        <f t="shared" si="114"/>
        <v>Астана</v>
      </c>
    </row>
    <row r="416" spans="1:21" ht="13.2">
      <c r="A416" s="34">
        <v>1597</v>
      </c>
      <c r="B416" s="35">
        <f>VLOOKUP(A416,'Реестр договоров'!$A$2:$D$508,2,0)</f>
        <v>45777</v>
      </c>
      <c r="C416" s="36" t="str">
        <f t="shared" si="104"/>
        <v>Жакуда</v>
      </c>
      <c r="D416" s="36" t="str">
        <f t="shared" si="105"/>
        <v>Мадияр</v>
      </c>
      <c r="E416" s="36" t="str">
        <f t="shared" si="102"/>
        <v>Ерболұлы</v>
      </c>
      <c r="F416" s="36" t="str">
        <f t="shared" si="106"/>
        <v>053956988</v>
      </c>
      <c r="G416" s="37">
        <f>VLOOKUP(F416,Покупатели!$F$2:$N$762,2,0)</f>
        <v>44847</v>
      </c>
      <c r="H416" s="36" t="str">
        <f>VLOOKUP(F416,Покупатели!$F$2:$N$762,3,0)</f>
        <v>ҚР ІІМ</v>
      </c>
      <c r="I416" s="36">
        <f>VLOOKUP(C416,Покупатели!$C$2:$M$805,7,0)</f>
        <v>901207350845</v>
      </c>
      <c r="J416" s="36" t="str">
        <f ca="1">IFERROR(__xludf.DUMMYFUNCTION("JOIN("" "", VLOOKUP(C416,Покупатели,8,0),VLOOKUP(C416,Покупатели,9,0),VLOOKUP(C416,Покупатели,10,0),VLOOKUP(C416,Покупатели,11,0))"),"г.Астана р-н Байконыр ул.Ондирис д.51")</f>
        <v>г.Астана р-н Байконыр ул.Ондирис д.51</v>
      </c>
      <c r="K416" s="36">
        <f t="shared" si="107"/>
        <v>87016065567</v>
      </c>
      <c r="L416" s="36" t="str">
        <f t="shared" si="108"/>
        <v>MX4000002S0002091</v>
      </c>
      <c r="M416" s="36" t="str">
        <f t="shared" ca="1" si="116"/>
        <v>002-2513E50Q13-OK</v>
      </c>
      <c r="N416" s="36" t="str">
        <f t="shared" si="115"/>
        <v>Прицеп 2,5*1,25 м  (до 750 кг.)</v>
      </c>
      <c r="O416" s="36" t="str">
        <f t="shared" si="109"/>
        <v>1 ось</v>
      </c>
      <c r="P416" s="36">
        <f t="shared" si="110"/>
        <v>2025</v>
      </c>
      <c r="Q416" s="34" t="str">
        <f t="shared" ca="1" si="113"/>
        <v>3650*1700*1070</v>
      </c>
      <c r="R416" s="36" t="str">
        <f t="shared" ca="1" si="112"/>
        <v>2500*1250*500</v>
      </c>
      <c r="S416" s="34" t="str">
        <f>VLOOKUP(O416,ОТТС!$A$2:$B$3,2,0)</f>
        <v>ТС KZ Е-KZ.0317.00251 от 28.02.2023</v>
      </c>
      <c r="T416" s="39">
        <v>430000</v>
      </c>
      <c r="U416" s="36" t="str">
        <f t="shared" si="114"/>
        <v>Астана</v>
      </c>
    </row>
    <row r="417" spans="1:21" ht="13.2">
      <c r="A417" s="34">
        <v>1599</v>
      </c>
      <c r="B417" s="35">
        <f>VLOOKUP(A417,'Реестр договоров'!$A$2:$D$508,2,0)</f>
        <v>45777</v>
      </c>
      <c r="C417" s="36" t="str">
        <f t="shared" si="104"/>
        <v>Аманбаев</v>
      </c>
      <c r="D417" s="36" t="str">
        <f t="shared" si="105"/>
        <v>Арман</v>
      </c>
      <c r="E417" s="36" t="str">
        <f t="shared" si="102"/>
        <v>Ерсаинович</v>
      </c>
      <c r="F417" s="36" t="str">
        <f t="shared" si="106"/>
        <v>045311770</v>
      </c>
      <c r="G417" s="37">
        <f>VLOOKUP(F417,Покупатели!$F$2:$N$762,2,0)</f>
        <v>43474</v>
      </c>
      <c r="H417" s="36" t="str">
        <f>VLOOKUP(F417,Покупатели!$F$2:$N$762,3,0)</f>
        <v>МВД РК</v>
      </c>
      <c r="I417" s="36">
        <f>VLOOKUP(C417,Покупатели!$C$2:$M$805,7,0)</f>
        <v>780420302070</v>
      </c>
      <c r="J417" s="36" t="str">
        <f ca="1">IFERROR(__xludf.DUMMYFUNCTION("JOIN("" "", VLOOKUP(C417,Покупатели,8,0),VLOOKUP(C417,Покупатели,9,0),VLOOKUP(C417,Покупатели,10,0),VLOOKUP(C417,Покупатели,11,0))"),"Акмолинская область, г. Астана, Алматы район, Куйши Дина,  д.8, кв 13")</f>
        <v>Акмолинская область, г. Астана, Алматы район, Куйши Дина,  д.8, кв 13</v>
      </c>
      <c r="K417" s="36">
        <f t="shared" si="107"/>
        <v>87018528869</v>
      </c>
      <c r="L417" s="36" t="str">
        <f t="shared" si="108"/>
        <v>MX4000002S0002109</v>
      </c>
      <c r="M417" s="36" t="str">
        <f t="shared" ca="1" si="116"/>
        <v>002-2013E30Q13-OK</v>
      </c>
      <c r="N417" s="36" t="str">
        <f t="shared" si="115"/>
        <v>Прицеп 2,0*1,25 м  (до 750 кг.)</v>
      </c>
      <c r="O417" s="36" t="str">
        <f t="shared" si="109"/>
        <v>1 ось</v>
      </c>
      <c r="P417" s="36">
        <f t="shared" si="110"/>
        <v>2025</v>
      </c>
      <c r="Q417" s="34" t="str">
        <f t="shared" ca="1" si="113"/>
        <v>3150*1700*900</v>
      </c>
      <c r="R417" s="36" t="str">
        <f t="shared" ca="1" si="112"/>
        <v>2000*1250*300</v>
      </c>
      <c r="S417" s="34" t="str">
        <f>VLOOKUP(O417,ОТТС!$A$2:$B$3,2,0)</f>
        <v>ТС KZ Е-KZ.0317.00251 от 28.02.2023</v>
      </c>
      <c r="T417" s="39">
        <v>350000</v>
      </c>
      <c r="U417" s="36" t="str">
        <f t="shared" si="114"/>
        <v>Астана</v>
      </c>
    </row>
    <row r="418" spans="1:21" ht="13.2">
      <c r="A418" s="34">
        <v>1600</v>
      </c>
      <c r="B418" s="35">
        <f>VLOOKUP(A418,'Реестр договоров'!$A$2:$D$508,2,0)</f>
        <v>45781</v>
      </c>
      <c r="C418" s="36" t="str">
        <f t="shared" si="104"/>
        <v>Пшенко</v>
      </c>
      <c r="D418" s="36" t="str">
        <f t="shared" si="105"/>
        <v>Александр</v>
      </c>
      <c r="E418" s="36" t="str">
        <f t="shared" si="102"/>
        <v>Сергеевич</v>
      </c>
      <c r="F418" s="36" t="str">
        <f t="shared" si="106"/>
        <v>041001002</v>
      </c>
      <c r="G418" s="37">
        <f>VLOOKUP(F418,Покупатели!$F$2:$N$762,2,0)</f>
        <v>42467</v>
      </c>
      <c r="H418" s="36" t="str">
        <f>VLOOKUP(F418,Покупатели!$F$2:$N$762,3,0)</f>
        <v>МВД РК</v>
      </c>
      <c r="I418" s="36">
        <f>VLOOKUP(C418,Покупатели!$C$2:$M$805,7,0)</f>
        <v>911124350688</v>
      </c>
      <c r="J418" s="36" t="str">
        <f ca="1">IFERROR(__xludf.DUMMYFUNCTION("JOIN("" "", VLOOKUP(C418,Покупатели,8,0),VLOOKUP(C418,Покупатели,9,0),VLOOKUP(C418,Покупатели,10,0),VLOOKUP(C418,Покупатели,11,0))"),"г.Астана р-н Алматы ул.Кажымукан д.6/1, кв.36")</f>
        <v>г.Астана р-н Алматы ул.Кажымукан д.6/1, кв.36</v>
      </c>
      <c r="K418" s="36">
        <f t="shared" si="107"/>
        <v>87781527410</v>
      </c>
      <c r="L418" s="36" t="str">
        <f t="shared" si="108"/>
        <v>MX4000002S0002116</v>
      </c>
      <c r="M418" s="36" t="str">
        <f t="shared" ca="1" si="116"/>
        <v>002-2013E30Q13-OK30</v>
      </c>
      <c r="N418" s="36" t="str">
        <f t="shared" si="115"/>
        <v>Прицеп 2,0*1,25 м  (до 750 кг.)</v>
      </c>
      <c r="O418" s="36" t="str">
        <f t="shared" si="109"/>
        <v>1 ось</v>
      </c>
      <c r="P418" s="36">
        <f t="shared" si="110"/>
        <v>2025</v>
      </c>
      <c r="Q418" s="34" t="str">
        <f t="shared" ca="1" si="113"/>
        <v>3150*1700*900</v>
      </c>
      <c r="R418" s="36" t="str">
        <f t="shared" ca="1" si="112"/>
        <v>2000*1250*300</v>
      </c>
      <c r="S418" s="34" t="str">
        <f>VLOOKUP(O418,ОТТС!$A$2:$B$3,2,0)</f>
        <v>ТС KZ Е-KZ.0317.00251 от 28.02.2023</v>
      </c>
      <c r="T418" s="39">
        <v>340000</v>
      </c>
      <c r="U418" s="36" t="str">
        <f t="shared" si="114"/>
        <v>Астана</v>
      </c>
    </row>
    <row r="419" spans="1:21" ht="13.2">
      <c r="A419" s="34">
        <v>1601</v>
      </c>
      <c r="B419" s="35">
        <f>VLOOKUP(A419,'Реестр договоров'!$A$2:$D$508,2,0)</f>
        <v>45782</v>
      </c>
      <c r="C419" s="36" t="str">
        <f t="shared" si="104"/>
        <v>Ахванов</v>
      </c>
      <c r="D419" s="36" t="str">
        <f t="shared" si="105"/>
        <v>Ілияс</v>
      </c>
      <c r="E419" s="36" t="str">
        <f t="shared" si="102"/>
        <v>Талғатұлы</v>
      </c>
      <c r="F419" s="36" t="str">
        <f t="shared" si="106"/>
        <v>046518073</v>
      </c>
      <c r="G419" s="37">
        <f>VLOOKUP(F419,Покупатели!$F$2:$N$762,2,0)</f>
        <v>44011</v>
      </c>
      <c r="H419" s="36" t="str">
        <f>VLOOKUP(F419,Покупатели!$F$2:$N$762,3,0)</f>
        <v>ҚР ІІМ</v>
      </c>
      <c r="I419" s="36" t="str">
        <f>VLOOKUP(C419,Покупатели!$C$2:$M$805,7,0)</f>
        <v>040610500511</v>
      </c>
      <c r="J419" s="36" t="str">
        <f ca="1">IFERROR(__xludf.DUMMYFUNCTION("JOIN("" "", VLOOKUP(C419,Покупатели,8,0),VLOOKUP(C419,Покупатели,9,0),VLOOKUP(C419,Покупатели,10,0),VLOOKUP(C419,Покупатели,11,0))"),"Алматинская область, г. Алматы, мкр-н Аккент, д.57, кв 64")</f>
        <v>Алматинская область, г. Алматы, мкр-н Аккент, д.57, кв 64</v>
      </c>
      <c r="K419" s="36">
        <f t="shared" si="107"/>
        <v>87754573372</v>
      </c>
      <c r="L419" s="36" t="str">
        <f t="shared" si="108"/>
        <v>MX4000002S0001918</v>
      </c>
      <c r="M419" s="36" t="str">
        <f t="shared" ca="1" si="116"/>
        <v>002-2013E50Q13-OK</v>
      </c>
      <c r="N419" s="36" t="str">
        <f t="shared" si="115"/>
        <v>Прицеп 2,0*1,25 м  (до 750 кг.)</v>
      </c>
      <c r="O419" s="36" t="str">
        <f t="shared" si="109"/>
        <v>1 ось</v>
      </c>
      <c r="P419" s="36">
        <f t="shared" si="110"/>
        <v>2025</v>
      </c>
      <c r="Q419" s="34" t="str">
        <f t="shared" ca="1" si="113"/>
        <v>3150*1700*1070</v>
      </c>
      <c r="R419" s="36" t="str">
        <f t="shared" ca="1" si="112"/>
        <v>2000*1250*500</v>
      </c>
      <c r="S419" s="34" t="str">
        <f>VLOOKUP(O419,ОТТС!$A$2:$B$3,2,0)</f>
        <v>ТС KZ Е-KZ.0317.00251 от 28.02.2023</v>
      </c>
      <c r="T419" s="39">
        <v>340000</v>
      </c>
      <c r="U419" s="36" t="str">
        <f t="shared" si="114"/>
        <v>Алматы</v>
      </c>
    </row>
    <row r="420" spans="1:21" ht="13.2">
      <c r="A420" s="34">
        <v>1602</v>
      </c>
      <c r="B420" s="35">
        <f>VLOOKUP(A420,'Реестр договоров'!$A$2:$D$508,2,0)</f>
        <v>45782</v>
      </c>
      <c r="C420" s="36" t="str">
        <f t="shared" si="104"/>
        <v>Оскаров</v>
      </c>
      <c r="D420" s="36" t="str">
        <f t="shared" si="105"/>
        <v>Ержан</v>
      </c>
      <c r="E420" s="36" t="str">
        <f t="shared" si="102"/>
        <v>Мерекеулы</v>
      </c>
      <c r="F420" s="36" t="str">
        <f t="shared" si="106"/>
        <v>056823902</v>
      </c>
      <c r="G420" s="37">
        <f>VLOOKUP(F420,Покупатели!$F$2:$N$762,2,0)</f>
        <v>45259</v>
      </c>
      <c r="H420" s="36" t="str">
        <f>VLOOKUP(F420,Покупатели!$F$2:$N$762,3,0)</f>
        <v>МВД РК</v>
      </c>
      <c r="I420" s="36" t="str">
        <f>VLOOKUP(C420,Покупатели!$C$2:$M$805,7,0)</f>
        <v>000110551461</v>
      </c>
      <c r="J420" s="36" t="str">
        <f ca="1">IFERROR(__xludf.DUMMYFUNCTION("JOIN("" "", VLOOKUP(C420,Покупатели,8,0),VLOOKUP(C420,Покупатели,9,0),VLOOKUP(C420,Покупатели,10,0),VLOOKUP(C420,Покупатели,11,0))"),"Акмолинская область, Сандыктауский район, с. Балкашино, ул. Джамбула, д.62")</f>
        <v>Акмолинская область, Сандыктауский район, с. Балкашино, ул. Джамбула, д.62</v>
      </c>
      <c r="K420" s="36">
        <f t="shared" si="107"/>
        <v>87711635092</v>
      </c>
      <c r="L420" s="36" t="str">
        <f t="shared" si="108"/>
        <v>MX4000002S0002120</v>
      </c>
      <c r="M420" s="36" t="str">
        <f t="shared" ca="1" si="116"/>
        <v>002-2013E50Q13-OK30</v>
      </c>
      <c r="N420" s="36" t="str">
        <f t="shared" si="115"/>
        <v>Прицеп 2,0*1,25 м  (до 750 кг.)</v>
      </c>
      <c r="O420" s="36" t="str">
        <f t="shared" si="109"/>
        <v>1 ось</v>
      </c>
      <c r="P420" s="36">
        <f t="shared" si="110"/>
        <v>2025</v>
      </c>
      <c r="Q420" s="34" t="str">
        <f t="shared" ca="1" si="113"/>
        <v>3150*1700*1070</v>
      </c>
      <c r="R420" s="36" t="str">
        <f t="shared" ca="1" si="112"/>
        <v>2000*1250*500</v>
      </c>
      <c r="S420" s="34" t="str">
        <f>VLOOKUP(O420,ОТТС!$A$2:$B$3,2,0)</f>
        <v>ТС KZ Е-KZ.0317.00251 от 28.02.2023</v>
      </c>
      <c r="T420" s="39">
        <v>350000</v>
      </c>
      <c r="U420" s="36" t="str">
        <f t="shared" si="114"/>
        <v>Кокшетау</v>
      </c>
    </row>
    <row r="421" spans="1:21" ht="13.2">
      <c r="A421" s="34">
        <v>1603</v>
      </c>
      <c r="B421" s="35">
        <f>VLOOKUP(A421,'Реестр договоров'!$A$2:$D$508,2,0)</f>
        <v>45782</v>
      </c>
      <c r="C421" s="36" t="str">
        <f t="shared" si="104"/>
        <v>Тайсариев</v>
      </c>
      <c r="D421" s="36" t="str">
        <f t="shared" si="105"/>
        <v>Санжар</v>
      </c>
      <c r="E421" s="36" t="str">
        <f t="shared" si="102"/>
        <v>Жумаевич</v>
      </c>
      <c r="F421" s="36" t="str">
        <f t="shared" si="106"/>
        <v>058444201</v>
      </c>
      <c r="G421" s="37">
        <f>VLOOKUP(F421,Покупатели!$F$2:$N$762,2,0)</f>
        <v>45643</v>
      </c>
      <c r="H421" s="36" t="str">
        <f>VLOOKUP(F421,Покупатели!$F$2:$N$762,3,0)</f>
        <v>МВД РК</v>
      </c>
      <c r="I421" s="36">
        <f>VLOOKUP(C421,Покупатели!$C$2:$M$805,7,0)</f>
        <v>891220301487</v>
      </c>
      <c r="J421" s="36" t="str">
        <f ca="1">IFERROR(__xludf.DUMMYFUNCTION("JOIN("" "", VLOOKUP(C421,Покупатели,8,0),VLOOKUP(C421,Покупатели,9,0),VLOOKUP(C421,Покупатели,10,0),VLOOKUP(C421,Покупатели,11,0))"),"Алматинская область, Енбекшиказахский район, с. Балтабай, ул. Кунаева, д.79")</f>
        <v>Алматинская область, Енбекшиказахский район, с. Балтабай, ул. Кунаева, д.79</v>
      </c>
      <c r="K421" s="36">
        <f t="shared" si="107"/>
        <v>87072207720</v>
      </c>
      <c r="L421" s="36" t="str">
        <f t="shared" si="108"/>
        <v>MX4000002S0001920</v>
      </c>
      <c r="M421" s="36" t="str">
        <f t="shared" ca="1" si="116"/>
        <v>002-2013E30Q13-OK</v>
      </c>
      <c r="N421" s="36" t="str">
        <f t="shared" si="115"/>
        <v>Прицеп 2,0*1,25 м  (до 750 кг.)</v>
      </c>
      <c r="O421" s="36" t="str">
        <f t="shared" si="109"/>
        <v>1 ось</v>
      </c>
      <c r="P421" s="36">
        <f t="shared" si="110"/>
        <v>2025</v>
      </c>
      <c r="Q421" s="34" t="str">
        <f t="shared" ca="1" si="113"/>
        <v>3150*1700*900</v>
      </c>
      <c r="R421" s="36" t="str">
        <f t="shared" ca="1" si="112"/>
        <v>2000*1250*300</v>
      </c>
      <c r="S421" s="34" t="str">
        <f>VLOOKUP(O421,ОТТС!$A$2:$B$3,2,0)</f>
        <v>ТС KZ Е-KZ.0317.00251 от 28.02.2023</v>
      </c>
      <c r="T421" s="39">
        <v>360000</v>
      </c>
      <c r="U421" s="36" t="str">
        <f t="shared" si="114"/>
        <v>Алматы</v>
      </c>
    </row>
    <row r="422" spans="1:21" ht="13.2">
      <c r="A422" s="34">
        <v>1604</v>
      </c>
      <c r="B422" s="35">
        <f>VLOOKUP(A422,'Реестр договоров'!$A$2:$D$508,2,0)</f>
        <v>45782</v>
      </c>
      <c r="C422" s="36" t="str">
        <f t="shared" si="104"/>
        <v>Рысбаев</v>
      </c>
      <c r="D422" s="36" t="str">
        <f t="shared" si="105"/>
        <v>Асет</v>
      </c>
      <c r="E422" s="36" t="str">
        <f t="shared" si="102"/>
        <v>Галымжанович</v>
      </c>
      <c r="F422" s="36" t="str">
        <f t="shared" si="106"/>
        <v>055219221</v>
      </c>
      <c r="G422" s="37">
        <f>VLOOKUP(F422,Покупатели!$F$2:$N$762,2,0)</f>
        <v>45278</v>
      </c>
      <c r="H422" s="36" t="str">
        <f>VLOOKUP(F422,Покупатели!$F$2:$N$762,3,0)</f>
        <v>МВД РК</v>
      </c>
      <c r="I422" s="36">
        <f>VLOOKUP(C422,Покупатели!$C$2:$M$805,7,0)</f>
        <v>891123300451</v>
      </c>
      <c r="J422" s="36" t="str">
        <f ca="1">IFERROR(__xludf.DUMMYFUNCTION("JOIN("" "", VLOOKUP(C422,Покупатели,8,0),VLOOKUP(C422,Покупатели,9,0),VLOOKUP(C422,Покупатели,10,0),VLOOKUP(C422,Покупатели,11,0))"),"Жетысуская область, Панфиловский район, сельский округ Жаскентский, с. Головацкий, Улица Тен Ин Гера, д.23")</f>
        <v>Жетысуская область, Панфиловский район, сельский округ Жаскентский, с. Головацкий, Улица Тен Ин Гера, д.23</v>
      </c>
      <c r="K422" s="36">
        <f t="shared" si="107"/>
        <v>87073444376</v>
      </c>
      <c r="L422" s="36" t="str">
        <f t="shared" si="108"/>
        <v>MX4000002S0001894</v>
      </c>
      <c r="M422" s="36" t="str">
        <f t="shared" ca="1" si="116"/>
        <v>002-2013E50Q13-OK</v>
      </c>
      <c r="N422" s="36" t="str">
        <f t="shared" si="115"/>
        <v>Прицеп 2,0*1,25 м  (до 750 кг.)</v>
      </c>
      <c r="O422" s="36" t="str">
        <f t="shared" si="109"/>
        <v>1 ось</v>
      </c>
      <c r="P422" s="36">
        <f t="shared" si="110"/>
        <v>2025</v>
      </c>
      <c r="Q422" s="34" t="str">
        <f t="shared" ca="1" si="113"/>
        <v>3150*1700*1070</v>
      </c>
      <c r="R422" s="36" t="str">
        <f t="shared" ca="1" si="112"/>
        <v>2000*1250*500</v>
      </c>
      <c r="S422" s="34" t="str">
        <f>VLOOKUP(O422,ОТТС!$A$2:$B$3,2,0)</f>
        <v>ТС KZ Е-KZ.0317.00251 от 28.02.2023</v>
      </c>
      <c r="T422" s="39">
        <v>340000</v>
      </c>
      <c r="U422" s="36" t="str">
        <f t="shared" si="114"/>
        <v>Алматы</v>
      </c>
    </row>
    <row r="423" spans="1:21" ht="13.2">
      <c r="A423" s="34">
        <v>1605</v>
      </c>
      <c r="B423" s="35">
        <f>VLOOKUP(A423,'Реестр договоров'!$A$2:$D$508,2,0)</f>
        <v>45782</v>
      </c>
      <c r="C423" s="36" t="str">
        <f t="shared" si="104"/>
        <v>Боранбай</v>
      </c>
      <c r="D423" s="36" t="str">
        <f t="shared" si="105"/>
        <v>Куаныш</v>
      </c>
      <c r="E423" s="36">
        <f t="shared" ref="E423:E486" si="117">VLOOKUP(C423,Покупатели,3,0)</f>
        <v>0</v>
      </c>
      <c r="F423" s="36" t="str">
        <f t="shared" si="106"/>
        <v>051321326</v>
      </c>
      <c r="G423" s="37">
        <f>VLOOKUP(F423,Покупатели!$F$2:$N$762,2,0)</f>
        <v>44463</v>
      </c>
      <c r="H423" s="36" t="str">
        <f>VLOOKUP(F423,Покупатели!$F$2:$N$762,3,0)</f>
        <v>МВД РК</v>
      </c>
      <c r="I423" s="36">
        <f>VLOOKUP(C423,Покупатели!$C$2:$M$805,7,0)</f>
        <v>831223300414</v>
      </c>
      <c r="J423" s="36" t="str">
        <f ca="1">IFERROR(__xludf.DUMMYFUNCTION("JOIN("" "", VLOOKUP(C423,Покупатели,8,0),VLOOKUP(C423,Покупатели,9,0),VLOOKUP(C423,Покупатели,10,0),VLOOKUP(C423,Покупатели,11,0))"),"г.Астана р-н Байконыр ул.Жубанова д.10а, кв.181")</f>
        <v>г.Астана р-н Байконыр ул.Жубанова д.10а, кв.181</v>
      </c>
      <c r="K423" s="36">
        <f t="shared" si="107"/>
        <v>87027774934</v>
      </c>
      <c r="L423" s="36" t="str">
        <f t="shared" si="108"/>
        <v>MX4000004S0001956</v>
      </c>
      <c r="M423" s="36" t="str">
        <f t="shared" ca="1" si="116"/>
        <v>002-3015E50Q13-OK120</v>
      </c>
      <c r="N423" s="36" t="str">
        <f t="shared" si="115"/>
        <v>Прицеп 3,0*1,5 м  (до 750 кг.)</v>
      </c>
      <c r="O423" s="36" t="str">
        <f t="shared" si="109"/>
        <v>2 оси</v>
      </c>
      <c r="P423" s="36">
        <f t="shared" si="110"/>
        <v>2025</v>
      </c>
      <c r="Q423" s="34" t="s">
        <v>940</v>
      </c>
      <c r="R423" s="36" t="str">
        <f t="shared" ca="1" si="112"/>
        <v>3000*1500*500</v>
      </c>
      <c r="S423" s="34" t="str">
        <f>VLOOKUP(O423,ОТТС!$A$2:$B$3,2,0)</f>
        <v>ТС KZ Е-KZ.0317.00219.П1 от 17.07.2025</v>
      </c>
      <c r="T423" s="39">
        <v>320000</v>
      </c>
      <c r="U423" s="36" t="str">
        <f t="shared" si="114"/>
        <v>Астана</v>
      </c>
    </row>
    <row r="424" spans="1:21" ht="13.2">
      <c r="A424" s="34">
        <v>1606</v>
      </c>
      <c r="B424" s="35">
        <f>VLOOKUP(A424,'Реестр договоров'!$A$2:$D$508,2,0)</f>
        <v>45782</v>
      </c>
      <c r="C424" s="36" t="str">
        <f t="shared" si="104"/>
        <v>Хайролла</v>
      </c>
      <c r="D424" s="36" t="str">
        <f t="shared" si="105"/>
        <v>Адил</v>
      </c>
      <c r="E424" s="36" t="str">
        <f t="shared" si="117"/>
        <v>Муратулы</v>
      </c>
      <c r="F424" s="36" t="str">
        <f t="shared" si="106"/>
        <v>051692072</v>
      </c>
      <c r="G424" s="37">
        <f>VLOOKUP(F424,Покупатели!$F$2:$N$762,2,0)</f>
        <v>44525</v>
      </c>
      <c r="H424" s="36" t="str">
        <f>VLOOKUP(F424,Покупатели!$F$2:$N$762,3,0)</f>
        <v>МВД РК</v>
      </c>
      <c r="I424" s="36">
        <f>VLOOKUP(C424,Покупатели!$C$2:$M$805,7,0)</f>
        <v>861019350516</v>
      </c>
      <c r="J424" s="36" t="str">
        <f ca="1">IFERROR(__xludf.DUMMYFUNCTION("JOIN("" "", VLOOKUP(C424,Покупатели,8,0),VLOOKUP(C424,Покупатели,9,0),VLOOKUP(C424,Покупатели,10,0),VLOOKUP(C424,Покупатели,11,0))"),"СКО,  Уалихановский район, с.Кишкенеколь, ул. Муканова, д.24")</f>
        <v>СКО,  Уалихановский район, с.Кишкенеколь, ул. Муканова, д.24</v>
      </c>
      <c r="K424" s="36">
        <f t="shared" si="107"/>
        <v>87088661363</v>
      </c>
      <c r="L424" s="36" t="str">
        <f t="shared" si="108"/>
        <v>MX4000002S0002113</v>
      </c>
      <c r="M424" s="36" t="str">
        <f t="shared" ca="1" si="116"/>
        <v>002-2013E30Q13-OK</v>
      </c>
      <c r="N424" s="36" t="str">
        <f t="shared" si="115"/>
        <v>Прицеп 2,0*1,25 м  (до 750 кг.)</v>
      </c>
      <c r="O424" s="36" t="str">
        <f t="shared" si="109"/>
        <v>1 ось</v>
      </c>
      <c r="P424" s="36">
        <f t="shared" si="110"/>
        <v>2025</v>
      </c>
      <c r="Q424" s="34" t="str">
        <f t="shared" ref="Q424:Q447" ca="1" si="118">VLOOKUP(M424,матрица,16,0)</f>
        <v>3150*1700*900</v>
      </c>
      <c r="R424" s="36" t="str">
        <f t="shared" ca="1" si="112"/>
        <v>2000*1250*300</v>
      </c>
      <c r="S424" s="34" t="str">
        <f>VLOOKUP(O424,ОТТС!$A$2:$B$3,2,0)</f>
        <v>ТС KZ Е-KZ.0317.00251 от 28.02.2023</v>
      </c>
      <c r="T424" s="39">
        <v>340000</v>
      </c>
      <c r="U424" s="36" t="str">
        <f t="shared" si="114"/>
        <v>Кокшетау</v>
      </c>
    </row>
    <row r="425" spans="1:21" ht="13.2">
      <c r="A425" s="34">
        <v>1607</v>
      </c>
      <c r="B425" s="35">
        <f>VLOOKUP(A425,'Реестр договоров'!$A$2:$D$508,2,0)</f>
        <v>45783</v>
      </c>
      <c r="C425" s="36" t="str">
        <f t="shared" si="104"/>
        <v>Абишев</v>
      </c>
      <c r="D425" s="36" t="str">
        <f t="shared" si="105"/>
        <v>Жылбек</v>
      </c>
      <c r="E425" s="36" t="str">
        <f t="shared" si="117"/>
        <v>Сеилбекович</v>
      </c>
      <c r="F425" s="36" t="str">
        <f t="shared" si="106"/>
        <v>052376236</v>
      </c>
      <c r="G425" s="37">
        <f>VLOOKUP(F425,Покупатели!$F$2:$N$762,2,0)</f>
        <v>44637</v>
      </c>
      <c r="H425" s="36" t="str">
        <f>VLOOKUP(F425,Покупатели!$F$2:$N$762,3,0)</f>
        <v>МВД РК</v>
      </c>
      <c r="I425" s="36">
        <f>VLOOKUP(C425,Покупатели!$C$2:$M$805,7,0)</f>
        <v>870223351196</v>
      </c>
      <c r="J425" s="36" t="str">
        <f ca="1">IFERROR(__xludf.DUMMYFUNCTION("JOIN("" "", VLOOKUP(C425,Покупатели,8,0),VLOOKUP(C425,Покупатели,9,0),VLOOKUP(C425,Покупатели,10,0),VLOOKUP(C425,Покупатели,11,0))"),"СКО, Айыртауский район, с. Даукара, ул. Орымбая, д.30")</f>
        <v>СКО, Айыртауский район, с. Даукара, ул. Орымбая, д.30</v>
      </c>
      <c r="K425" s="36">
        <f t="shared" si="107"/>
        <v>87053018287</v>
      </c>
      <c r="L425" s="36" t="str">
        <f t="shared" si="108"/>
        <v>MX4000002R0001610</v>
      </c>
      <c r="M425" s="36" t="str">
        <f t="shared" ca="1" si="116"/>
        <v>002-2513E50Q13-OK30</v>
      </c>
      <c r="N425" s="36" t="str">
        <f t="shared" si="115"/>
        <v>Прицеп 2,5*1,25 м  (до 750 кг.)</v>
      </c>
      <c r="O425" s="36" t="str">
        <f t="shared" si="109"/>
        <v>1 ось</v>
      </c>
      <c r="P425" s="36">
        <f t="shared" si="110"/>
        <v>2024</v>
      </c>
      <c r="Q425" s="34" t="str">
        <f t="shared" ca="1" si="118"/>
        <v>3650*1700*1070</v>
      </c>
      <c r="R425" s="36" t="str">
        <f t="shared" ca="1" si="112"/>
        <v>2500*1250*500</v>
      </c>
      <c r="S425" s="34" t="str">
        <f>VLOOKUP(O425,ОТТС!$A$2:$B$3,2,0)</f>
        <v>ТС KZ Е-KZ.0317.00251 от 28.02.2023</v>
      </c>
      <c r="T425" s="39">
        <v>390000</v>
      </c>
      <c r="U425" s="36" t="str">
        <f t="shared" si="114"/>
        <v>Кокшетау</v>
      </c>
    </row>
    <row r="426" spans="1:21" ht="13.2">
      <c r="A426" s="34">
        <v>1608</v>
      </c>
      <c r="B426" s="35">
        <f>VLOOKUP(A426,'Реестр договоров'!$A$2:$D$508,2,0)</f>
        <v>45782</v>
      </c>
      <c r="C426" s="36" t="str">
        <f t="shared" si="104"/>
        <v>Батырханов</v>
      </c>
      <c r="D426" s="36" t="str">
        <f t="shared" si="105"/>
        <v>Ерлан</v>
      </c>
      <c r="E426" s="36" t="str">
        <f t="shared" si="117"/>
        <v>Калыбекович</v>
      </c>
      <c r="F426" s="36" t="str">
        <f t="shared" si="106"/>
        <v>044069157</v>
      </c>
      <c r="G426" s="37">
        <f>VLOOKUP(F426,Покупатели!$F$2:$N$762,2,0)</f>
        <v>43511</v>
      </c>
      <c r="H426" s="36" t="str">
        <f>VLOOKUP(F426,Покупатели!$F$2:$N$762,3,0)</f>
        <v>МВД РК</v>
      </c>
      <c r="I426" s="36">
        <f>VLOOKUP(C426,Покупатели!$C$2:$M$805,7,0)</f>
        <v>740315302508</v>
      </c>
      <c r="J426" s="36" t="str">
        <f ca="1">IFERROR(__xludf.DUMMYFUNCTION("JOIN("" "", VLOOKUP(C426,Покупатели,8,0),VLOOKUP(C426,Покупатели,9,0),VLOOKUP(C426,Покупатели,10,0),VLOOKUP(C426,Покупатели,11,0))"),"Алматинская область, г. Алматы, Турксибский р-н, мкр.Алтай, дом 20, кв. 2")</f>
        <v>Алматинская область, г. Алматы, Турксибский р-н, мкр.Алтай, дом 20, кв. 2</v>
      </c>
      <c r="K426" s="36" t="str">
        <f t="shared" si="107"/>
        <v>+7 707 816 3716</v>
      </c>
      <c r="L426" s="36" t="str">
        <f t="shared" si="108"/>
        <v>MX4000002S0001923</v>
      </c>
      <c r="M426" s="36" t="str">
        <f t="shared" ca="1" si="116"/>
        <v>002-2013E30Q13-OK</v>
      </c>
      <c r="N426" s="36" t="str">
        <f t="shared" si="115"/>
        <v>Прицеп 2,0*1,25 м  (до 750 кг.)</v>
      </c>
      <c r="O426" s="36" t="str">
        <f t="shared" si="109"/>
        <v>1 ось</v>
      </c>
      <c r="P426" s="36">
        <f t="shared" si="110"/>
        <v>2025</v>
      </c>
      <c r="Q426" s="34" t="str">
        <f t="shared" ca="1" si="118"/>
        <v>3150*1700*900</v>
      </c>
      <c r="R426" s="36" t="str">
        <f t="shared" ca="1" si="112"/>
        <v>2000*1250*300</v>
      </c>
      <c r="S426" s="34" t="str">
        <f>VLOOKUP(O426,ОТТС!$A$2:$B$3,2,0)</f>
        <v>ТС KZ Е-KZ.0317.00251 от 28.02.2023</v>
      </c>
      <c r="T426" s="39">
        <v>310000</v>
      </c>
      <c r="U426" s="36" t="str">
        <f t="shared" si="114"/>
        <v>Алматы</v>
      </c>
    </row>
    <row r="427" spans="1:21" ht="13.2">
      <c r="A427" s="34">
        <v>1609</v>
      </c>
      <c r="B427" s="35">
        <f>VLOOKUP(A427,'Реестр договоров'!$A$2:$D$508,2,0)</f>
        <v>45783</v>
      </c>
      <c r="C427" s="36" t="str">
        <f t="shared" si="104"/>
        <v>Мажитов</v>
      </c>
      <c r="D427" s="36" t="str">
        <f t="shared" si="105"/>
        <v>Талгат</v>
      </c>
      <c r="E427" s="36" t="str">
        <f t="shared" si="117"/>
        <v>Туребаевич</v>
      </c>
      <c r="F427" s="36" t="str">
        <f t="shared" si="106"/>
        <v>016932582</v>
      </c>
      <c r="G427" s="37">
        <f>VLOOKUP(F427,Покупатели!$F$2:$N$762,2,0)</f>
        <v>38366</v>
      </c>
      <c r="H427" s="36" t="str">
        <f>VLOOKUP(F427,Покупатели!$F$2:$N$762,3,0)</f>
        <v>МЮ РК</v>
      </c>
      <c r="I427" s="36">
        <f>VLOOKUP(C427,Покупатели!$C$2:$M$805,7,0)</f>
        <v>581013300796</v>
      </c>
      <c r="J427" s="36" t="str">
        <f ca="1">IFERROR(__xludf.DUMMYFUNCTION("JOIN("" "", VLOOKUP(C427,Покупатели,8,0),VLOOKUP(C427,Покупатели,9,0),VLOOKUP(C427,Покупатели,10,0),VLOOKUP(C427,Покупатели,11,0))"),"Акмолинская область, г. Щучинск, ул. Казахстанская, д.42")</f>
        <v>Акмолинская область, г. Щучинск, ул. Казахстанская, д.42</v>
      </c>
      <c r="K427" s="36">
        <f t="shared" si="107"/>
        <v>87054236413</v>
      </c>
      <c r="L427" s="36" t="str">
        <f t="shared" si="108"/>
        <v>MX4000002S0002122</v>
      </c>
      <c r="M427" s="36" t="str">
        <f t="shared" ca="1" si="116"/>
        <v>002-2513E50Q13-OK</v>
      </c>
      <c r="N427" s="36" t="str">
        <f t="shared" si="115"/>
        <v>Прицеп 2,5*1,25 м  (до 750 кг.)</v>
      </c>
      <c r="O427" s="36" t="str">
        <f t="shared" si="109"/>
        <v>1 ось</v>
      </c>
      <c r="P427" s="36">
        <f t="shared" si="110"/>
        <v>2025</v>
      </c>
      <c r="Q427" s="34" t="str">
        <f t="shared" ca="1" si="118"/>
        <v>3650*1700*1070</v>
      </c>
      <c r="R427" s="36" t="str">
        <f t="shared" ca="1" si="112"/>
        <v>2500*1250*500</v>
      </c>
      <c r="S427" s="34" t="str">
        <f>VLOOKUP(O427,ОТТС!$A$2:$B$3,2,0)</f>
        <v>ТС KZ Е-KZ.0317.00251 от 28.02.2023</v>
      </c>
      <c r="T427" s="39">
        <v>465000</v>
      </c>
      <c r="U427" s="36" t="str">
        <f t="shared" si="114"/>
        <v>Кокшетау</v>
      </c>
    </row>
    <row r="428" spans="1:21" ht="13.2">
      <c r="A428" s="34">
        <v>1610</v>
      </c>
      <c r="B428" s="35">
        <f>VLOOKUP(A428,'Реестр договоров'!$A$2:$D$508,2,0)</f>
        <v>45783</v>
      </c>
      <c r="C428" s="36" t="str">
        <f t="shared" si="104"/>
        <v>Дюсенаев</v>
      </c>
      <c r="D428" s="36" t="str">
        <f t="shared" si="105"/>
        <v>Куандык</v>
      </c>
      <c r="E428" s="36" t="str">
        <f t="shared" si="117"/>
        <v>Серикович</v>
      </c>
      <c r="F428" s="36" t="str">
        <f t="shared" si="106"/>
        <v>041713282</v>
      </c>
      <c r="G428" s="37">
        <f>VLOOKUP(F428,Покупатели!$F$2:$N$762,2,0)</f>
        <v>42620</v>
      </c>
      <c r="H428" s="36" t="str">
        <f>VLOOKUP(F428,Покупатели!$F$2:$N$762,3,0)</f>
        <v>МВД РК</v>
      </c>
      <c r="I428" s="36">
        <f>VLOOKUP(C428,Покупатели!$C$2:$M$805,7,0)</f>
        <v>911008351080</v>
      </c>
      <c r="J428" s="36" t="str">
        <f ca="1">IFERROR(__xludf.DUMMYFUNCTION("JOIN("" "", VLOOKUP(C428,Покупатели,8,0),VLOOKUP(C428,Покупатели,9,0),VLOOKUP(C428,Покупатели,10,0),VLOOKUP(C428,Покупатели,11,0))"),"Акмолинская область, г. Кокшетау, ул. Шевченко, д.70, кв.2")</f>
        <v>Акмолинская область, г. Кокшетау, ул. Шевченко, д.70, кв.2</v>
      </c>
      <c r="K428" s="36">
        <f t="shared" si="107"/>
        <v>87750280202</v>
      </c>
      <c r="L428" s="36" t="str">
        <f t="shared" si="108"/>
        <v>MX4000002S0002123</v>
      </c>
      <c r="M428" s="36" t="str">
        <f t="shared" ca="1" si="116"/>
        <v>002-2013E50Q13-OK</v>
      </c>
      <c r="N428" s="36" t="str">
        <f t="shared" si="115"/>
        <v>Прицеп 2,0*1,25 м  (до 750 кг.)</v>
      </c>
      <c r="O428" s="36" t="str">
        <f t="shared" si="109"/>
        <v>1 ось</v>
      </c>
      <c r="P428" s="36">
        <f t="shared" si="110"/>
        <v>2025</v>
      </c>
      <c r="Q428" s="34" t="str">
        <f t="shared" ca="1" si="118"/>
        <v>3150*1700*1070</v>
      </c>
      <c r="R428" s="36" t="str">
        <f t="shared" ca="1" si="112"/>
        <v>2000*1250*500</v>
      </c>
      <c r="S428" s="34" t="str">
        <f>VLOOKUP(O428,ОТТС!$A$2:$B$3,2,0)</f>
        <v>ТС KZ Е-KZ.0317.00251 от 28.02.2023</v>
      </c>
      <c r="T428" s="39">
        <v>360000</v>
      </c>
      <c r="U428" s="36" t="str">
        <f t="shared" si="114"/>
        <v>Кокшетау</v>
      </c>
    </row>
    <row r="429" spans="1:21" ht="13.2">
      <c r="A429" s="34">
        <v>1611</v>
      </c>
      <c r="B429" s="35">
        <f>VLOOKUP(A429,'Реестр договоров'!$A$2:$D$508,2,0)</f>
        <v>45784</v>
      </c>
      <c r="C429" s="36" t="str">
        <f t="shared" si="104"/>
        <v>Сланбеков</v>
      </c>
      <c r="D429" s="36" t="str">
        <f t="shared" si="105"/>
        <v>Дастан</v>
      </c>
      <c r="E429" s="36" t="str">
        <f t="shared" si="117"/>
        <v>Рустемович</v>
      </c>
      <c r="F429" s="36" t="str">
        <f t="shared" si="106"/>
        <v>050202478</v>
      </c>
      <c r="G429" s="37">
        <f>VLOOKUP(F429,Покупатели!$F$2:$N$762,2,0)</f>
        <v>44295</v>
      </c>
      <c r="H429" s="36" t="str">
        <f>VLOOKUP(F429,Покупатели!$F$2:$N$762,3,0)</f>
        <v>МВД РК</v>
      </c>
      <c r="I429" s="36">
        <f>VLOOKUP(C429,Покупатели!$C$2:$M$805,7,0)</f>
        <v>841106300422</v>
      </c>
      <c r="J429" s="36" t="str">
        <f ca="1">IFERROR(__xludf.DUMMYFUNCTION("JOIN("" "", VLOOKUP(C429,Покупатели,8,0),VLOOKUP(C429,Покупатели,9,0),VLOOKUP(C429,Покупатели,10,0),VLOOKUP(C429,Покупатели,11,0))"),"г.Астана р-н Нура ул.Казыбек би д.37, кв.140")</f>
        <v>г.Астана р-н Нура ул.Казыбек би д.37, кв.140</v>
      </c>
      <c r="K429" s="36">
        <f t="shared" si="107"/>
        <v>87758324247</v>
      </c>
      <c r="L429" s="36" t="str">
        <f t="shared" si="108"/>
        <v>MX4000002S0002096</v>
      </c>
      <c r="M429" s="36" t="str">
        <f t="shared" ca="1" si="116"/>
        <v>002-2513E50Q13-OK</v>
      </c>
      <c r="N429" s="36" t="str">
        <f t="shared" si="115"/>
        <v>Прицеп 2,5*1,25 м  (до 750 кг.)</v>
      </c>
      <c r="O429" s="36" t="str">
        <f t="shared" si="109"/>
        <v>1 ось</v>
      </c>
      <c r="P429" s="36">
        <f t="shared" si="110"/>
        <v>2025</v>
      </c>
      <c r="Q429" s="34" t="str">
        <f t="shared" ca="1" si="118"/>
        <v>3650*1700*1070</v>
      </c>
      <c r="R429" s="36" t="str">
        <f t="shared" ref="R429:R447" ca="1" si="119">VLOOKUP(M429,матрица,17,0)</f>
        <v>2500*1250*500</v>
      </c>
      <c r="S429" s="34" t="str">
        <f>VLOOKUP(O429,ОТТС!$A$2:$B$3,2,0)</f>
        <v>ТС KZ Е-KZ.0317.00251 от 28.02.2023</v>
      </c>
      <c r="T429" s="39">
        <v>470000</v>
      </c>
      <c r="U429" s="36" t="str">
        <f t="shared" si="114"/>
        <v>Астана</v>
      </c>
    </row>
    <row r="430" spans="1:21" ht="13.2">
      <c r="A430" s="34">
        <v>1612</v>
      </c>
      <c r="B430" s="35">
        <f>VLOOKUP(A430,'Реестр договоров'!$A$2:$D$508,2,0)</f>
        <v>45785</v>
      </c>
      <c r="C430" s="36" t="str">
        <f t="shared" si="104"/>
        <v>Хаджиюпов</v>
      </c>
      <c r="D430" s="36" t="str">
        <f t="shared" si="105"/>
        <v>Руслан</v>
      </c>
      <c r="E430" s="36" t="str">
        <f t="shared" si="117"/>
        <v>Тайржанович</v>
      </c>
      <c r="F430" s="36" t="str">
        <f t="shared" si="106"/>
        <v>049872331</v>
      </c>
      <c r="G430" s="37">
        <f>VLOOKUP(F430,Покупатели!$F$2:$N$762,2,0)</f>
        <v>44575</v>
      </c>
      <c r="H430" s="36" t="str">
        <f>VLOOKUP(F430,Покупатели!$F$2:$N$762,3,0)</f>
        <v>МВД РК</v>
      </c>
      <c r="I430" s="36">
        <f>VLOOKUP(C430,Покупатели!$C$2:$M$805,7,0)</f>
        <v>861222302212</v>
      </c>
      <c r="J430" s="36" t="str">
        <f ca="1">IFERROR(__xludf.DUMMYFUNCTION("JOIN("" "", VLOOKUP(C430,Покупатели,8,0),VLOOKUP(C430,Покупатели,9,0),VLOOKUP(C430,Покупатели,10,0),VLOOKUP(C430,Покупатели,11,0))"),"Жетысу область, пос. Карабулак, ул.Коктал, д.4")</f>
        <v>Жетысу область, пос. Карабулак, ул.Коктал, д.4</v>
      </c>
      <c r="K430" s="36">
        <f t="shared" si="107"/>
        <v>87088318991</v>
      </c>
      <c r="L430" s="36" t="str">
        <f t="shared" si="108"/>
        <v>MX4000002S0001902</v>
      </c>
      <c r="M430" s="36" t="str">
        <f t="shared" ca="1" si="116"/>
        <v>002-2013E50Q13-OK</v>
      </c>
      <c r="N430" s="36" t="str">
        <f t="shared" si="115"/>
        <v>Прицеп 2,0*1,25 м  (до 750 кг.)</v>
      </c>
      <c r="O430" s="36" t="str">
        <f t="shared" si="109"/>
        <v>1 ось</v>
      </c>
      <c r="P430" s="36">
        <f t="shared" si="110"/>
        <v>2025</v>
      </c>
      <c r="Q430" s="34" t="str">
        <f t="shared" ca="1" si="118"/>
        <v>3150*1700*1070</v>
      </c>
      <c r="R430" s="36" t="str">
        <f t="shared" ca="1" si="119"/>
        <v>2000*1250*500</v>
      </c>
      <c r="S430" s="34" t="str">
        <f>VLOOKUP(O430,ОТТС!$A$2:$B$3,2,0)</f>
        <v>ТС KZ Е-KZ.0317.00251 от 28.02.2023</v>
      </c>
      <c r="T430" s="39">
        <v>310000</v>
      </c>
      <c r="U430" s="36" t="str">
        <f t="shared" si="114"/>
        <v>Алматы</v>
      </c>
    </row>
    <row r="431" spans="1:21" ht="13.2">
      <c r="A431" s="34">
        <v>1613</v>
      </c>
      <c r="B431" s="35">
        <f>VLOOKUP(A431,'Реестр договоров'!$A$2:$D$508,2,0)</f>
        <v>45785</v>
      </c>
      <c r="C431" s="36" t="str">
        <f t="shared" si="104"/>
        <v>Калыкбаев</v>
      </c>
      <c r="D431" s="36" t="str">
        <f t="shared" si="105"/>
        <v>Арстан</v>
      </c>
      <c r="E431" s="36" t="str">
        <f t="shared" si="117"/>
        <v>Арыстанович</v>
      </c>
      <c r="F431" s="36" t="str">
        <f t="shared" si="106"/>
        <v>057794476</v>
      </c>
      <c r="G431" s="37">
        <f>VLOOKUP(F431,Покупатели!$F$2:$N$762,2,0)</f>
        <v>45408</v>
      </c>
      <c r="H431" s="36" t="str">
        <f>VLOOKUP(F431,Покупатели!$F$2:$N$762,3,0)</f>
        <v>МВД РК</v>
      </c>
      <c r="I431" s="36">
        <f>VLOOKUP(C431,Покупатели!$C$2:$M$805,7,0)</f>
        <v>860629350109</v>
      </c>
      <c r="J431" s="36" t="str">
        <f ca="1">IFERROR(__xludf.DUMMYFUNCTION("JOIN("" "", VLOOKUP(C431,Покупатели,8,0),VLOOKUP(C431,Покупатели,9,0),VLOOKUP(C431,Покупатели,10,0),VLOOKUP(C431,Покупатели,11,0))"),"Актюбинская обл. г.Актобе пер.Ударный д.16")</f>
        <v>Актюбинская обл. г.Актобе пер.Ударный д.16</v>
      </c>
      <c r="K431" s="36">
        <f t="shared" si="107"/>
        <v>87075377888</v>
      </c>
      <c r="L431" s="36" t="str">
        <f t="shared" si="108"/>
        <v>MX4000002S0002016</v>
      </c>
      <c r="M431" s="36" t="str">
        <f t="shared" ca="1" si="116"/>
        <v>002-2515E30Q13-OK</v>
      </c>
      <c r="N431" s="36" t="str">
        <f t="shared" si="115"/>
        <v>Прицеп 2,5*1,5 м  (до 750 кг.)</v>
      </c>
      <c r="O431" s="36" t="str">
        <f t="shared" si="109"/>
        <v>1 ось</v>
      </c>
      <c r="P431" s="36">
        <f t="shared" si="110"/>
        <v>2025</v>
      </c>
      <c r="Q431" s="34" t="str">
        <f t="shared" ca="1" si="118"/>
        <v>3650*1950*900</v>
      </c>
      <c r="R431" s="36" t="str">
        <f t="shared" ca="1" si="119"/>
        <v>2500*1500*300</v>
      </c>
      <c r="S431" s="34" t="str">
        <f>VLOOKUP(O431,ОТТС!$A$2:$B$3,2,0)</f>
        <v>ТС KZ Е-KZ.0317.00251 от 28.02.2023</v>
      </c>
      <c r="T431" s="39">
        <v>440000</v>
      </c>
      <c r="U431" s="36" t="str">
        <f t="shared" si="114"/>
        <v>Астана</v>
      </c>
    </row>
    <row r="432" spans="1:21" ht="13.2">
      <c r="A432" s="34">
        <v>1614</v>
      </c>
      <c r="B432" s="35">
        <f>VLOOKUP(A432,'Реестр договоров'!$A$2:$D$508,2,0)</f>
        <v>45785</v>
      </c>
      <c r="C432" s="36" t="str">
        <f t="shared" si="104"/>
        <v>Мұқаметжан</v>
      </c>
      <c r="D432" s="36" t="str">
        <f t="shared" si="105"/>
        <v>Айбек</v>
      </c>
      <c r="E432" s="36" t="str">
        <f t="shared" si="117"/>
        <v>Нұрбақытұлы</v>
      </c>
      <c r="F432" s="36" t="str">
        <f t="shared" si="106"/>
        <v>054524693</v>
      </c>
      <c r="G432" s="37">
        <f>VLOOKUP(F432,Покупатели!$F$2:$N$762,2,0)</f>
        <v>45194</v>
      </c>
      <c r="H432" s="36" t="str">
        <f>VLOOKUP(F432,Покупатели!$F$2:$N$762,3,0)</f>
        <v>ҚР ІІМ</v>
      </c>
      <c r="I432" s="36">
        <f>VLOOKUP(C432,Покупатели!$C$2:$M$805,7,0)</f>
        <v>960211300452</v>
      </c>
      <c r="J432" s="36" t="str">
        <f ca="1">IFERROR(__xludf.DUMMYFUNCTION("JOIN("" "", VLOOKUP(C432,Покупатели,8,0),VLOOKUP(C432,Покупатели,9,0),VLOOKUP(C432,Покупатели,10,0),VLOOKUP(C432,Покупатели,11,0))"),"Алматинская область, г.Алматы, Наурызбайский район, ул. Просвещенец, д.43")</f>
        <v>Алматинская область, г.Алматы, Наурызбайский район, ул. Просвещенец, д.43</v>
      </c>
      <c r="K432" s="36">
        <f t="shared" si="107"/>
        <v>87763009900</v>
      </c>
      <c r="L432" s="36" t="str">
        <f t="shared" si="108"/>
        <v>MX4000002S0001900</v>
      </c>
      <c r="M432" s="36" t="str">
        <f t="shared" ca="1" si="116"/>
        <v>002-2013E50Q13-OK</v>
      </c>
      <c r="N432" s="36" t="str">
        <f t="shared" si="115"/>
        <v>Прицеп 2,0*1,25 м  (до 750 кг.)</v>
      </c>
      <c r="O432" s="36" t="str">
        <f t="shared" si="109"/>
        <v>1 ось</v>
      </c>
      <c r="P432" s="36">
        <f t="shared" si="110"/>
        <v>2025</v>
      </c>
      <c r="Q432" s="34" t="str">
        <f t="shared" ca="1" si="118"/>
        <v>3150*1700*1070</v>
      </c>
      <c r="R432" s="36" t="str">
        <f t="shared" ca="1" si="119"/>
        <v>2000*1250*500</v>
      </c>
      <c r="S432" s="34" t="str">
        <f>VLOOKUP(O432,ОТТС!$A$2:$B$3,2,0)</f>
        <v>ТС KZ Е-KZ.0317.00251 от 28.02.2023</v>
      </c>
      <c r="T432" s="39">
        <v>340000</v>
      </c>
      <c r="U432" s="36" t="str">
        <f t="shared" si="114"/>
        <v>Алматы</v>
      </c>
    </row>
    <row r="433" spans="1:21" ht="13.2">
      <c r="A433" s="34">
        <v>1615</v>
      </c>
      <c r="B433" s="35">
        <f>VLOOKUP(A433,'Реестр договоров'!$A$2:$D$508,2,0)</f>
        <v>45787</v>
      </c>
      <c r="C433" s="36" t="str">
        <f t="shared" si="104"/>
        <v>Гурнаков</v>
      </c>
      <c r="D433" s="36" t="str">
        <f t="shared" si="105"/>
        <v>Александр</v>
      </c>
      <c r="E433" s="36" t="str">
        <f t="shared" si="117"/>
        <v>Иванович</v>
      </c>
      <c r="F433" s="36" t="str">
        <f t="shared" si="106"/>
        <v>053434917</v>
      </c>
      <c r="G433" s="37">
        <f>VLOOKUP(F433,Покупатели!$F$2:$N$762,2,0)</f>
        <v>45079</v>
      </c>
      <c r="H433" s="36" t="str">
        <f>VLOOKUP(F433,Покупатели!$F$2:$N$762,3,0)</f>
        <v>МВД РК</v>
      </c>
      <c r="I433" s="36">
        <f>VLOOKUP(C433,Покупатели!$C$2:$M$805,7,0)</f>
        <v>720815301633</v>
      </c>
      <c r="J433" s="36" t="str">
        <f ca="1">IFERROR(__xludf.DUMMYFUNCTION("JOIN("" "", VLOOKUP(C433,Покупатели,8,0),VLOOKUP(C433,Покупатели,9,0),VLOOKUP(C433,Покупатели,10,0),VLOOKUP(C433,Покупатели,11,0))"),"Алматинская область, г. Алматы, ул. Черкасской обороны, д.148/1")</f>
        <v>Алматинская область, г. Алматы, ул. Черкасской обороны, д.148/1</v>
      </c>
      <c r="K433" s="36">
        <f t="shared" si="107"/>
        <v>87057109208</v>
      </c>
      <c r="L433" s="36" t="str">
        <f t="shared" si="108"/>
        <v>MX4000002R0001864</v>
      </c>
      <c r="M433" s="36" t="str">
        <f t="shared" ca="1" si="116"/>
        <v>002-3515E30Q13-OK</v>
      </c>
      <c r="N433" s="36" t="str">
        <f t="shared" si="115"/>
        <v>Прицеп 3,5*1,5 м  (до 750 кг.)</v>
      </c>
      <c r="O433" s="36" t="str">
        <f t="shared" si="109"/>
        <v>1 ось</v>
      </c>
      <c r="P433" s="36">
        <f t="shared" si="110"/>
        <v>2024</v>
      </c>
      <c r="Q433" s="34" t="str">
        <f t="shared" ca="1" si="118"/>
        <v>3800*1950*900</v>
      </c>
      <c r="R433" s="36" t="str">
        <f t="shared" ca="1" si="119"/>
        <v>3500*1500*300</v>
      </c>
      <c r="S433" s="34" t="str">
        <f>VLOOKUP(O433,ОТТС!$A$2:$B$3,2,0)</f>
        <v>ТС KZ Е-KZ.0317.00251 от 28.02.2023</v>
      </c>
      <c r="T433" s="39">
        <v>690000</v>
      </c>
      <c r="U433" s="36" t="str">
        <f t="shared" si="114"/>
        <v>Алматы</v>
      </c>
    </row>
    <row r="434" spans="1:21" ht="13.2">
      <c r="A434" s="34">
        <v>1616</v>
      </c>
      <c r="B434" s="35">
        <f>VLOOKUP(A434,'Реестр договоров'!$A$2:$D$508,2,0)</f>
        <v>45788</v>
      </c>
      <c r="C434" s="36" t="str">
        <f t="shared" si="104"/>
        <v>Паралыс</v>
      </c>
      <c r="D434" s="36" t="str">
        <f t="shared" si="105"/>
        <v>Юрий</v>
      </c>
      <c r="E434" s="36" t="str">
        <f t="shared" si="117"/>
        <v>Дмитриевич</v>
      </c>
      <c r="F434" s="36" t="str">
        <f t="shared" si="106"/>
        <v>053167058</v>
      </c>
      <c r="G434" s="37">
        <f>VLOOKUP(F434,Покупатели!$F$2:$N$762,2,0)</f>
        <v>44734</v>
      </c>
      <c r="H434" s="36" t="str">
        <f>VLOOKUP(F434,Покупатели!$F$2:$N$762,3,0)</f>
        <v>МВД РК</v>
      </c>
      <c r="I434" s="36" t="str">
        <f>VLOOKUP(C434,Покупатели!$C$2:$M$805,7,0)</f>
        <v>080906350888</v>
      </c>
      <c r="J434" s="36" t="str">
        <f ca="1">IFERROR(__xludf.DUMMYFUNCTION("JOIN("" "", VLOOKUP(C434,Покупатели,8,0),VLOOKUP(C434,Покупатели,9,0),VLOOKUP(C434,Покупатели,10,0),VLOOKUP(C434,Покупатели,11,0))"),"Астана р-н Сарыарка ул.Жангильдина д.10, кв.22")</f>
        <v>Астана р-н Сарыарка ул.Жангильдина д.10, кв.22</v>
      </c>
      <c r="K434" s="36">
        <f t="shared" si="107"/>
        <v>87018186041</v>
      </c>
      <c r="L434" s="36" t="str">
        <f t="shared" si="108"/>
        <v>MX4000002R0001935</v>
      </c>
      <c r="M434" s="36" t="str">
        <f t="shared" ca="1" si="116"/>
        <v>002-2513E30Q13-OK</v>
      </c>
      <c r="N434" s="36" t="str">
        <f t="shared" si="115"/>
        <v>Прицеп 2,5*1,25 м  (до 750 кг.)</v>
      </c>
      <c r="O434" s="36" t="str">
        <f t="shared" si="109"/>
        <v>1 ось</v>
      </c>
      <c r="P434" s="36">
        <f t="shared" si="110"/>
        <v>2025</v>
      </c>
      <c r="Q434" s="34" t="str">
        <f t="shared" ca="1" si="118"/>
        <v>3650*1700*900</v>
      </c>
      <c r="R434" s="36" t="str">
        <f t="shared" ca="1" si="119"/>
        <v>2500*1250*300</v>
      </c>
      <c r="S434" s="34" t="str">
        <f>VLOOKUP(O434,ОТТС!$A$2:$B$3,2,0)</f>
        <v>ТС KZ Е-KZ.0317.00251 от 28.02.2023</v>
      </c>
      <c r="T434" s="39">
        <v>420000</v>
      </c>
      <c r="U434" s="36" t="str">
        <f t="shared" si="114"/>
        <v>Астана</v>
      </c>
    </row>
    <row r="435" spans="1:21" ht="13.2">
      <c r="A435" s="34">
        <v>1617</v>
      </c>
      <c r="B435" s="35">
        <f>VLOOKUP(A435,'Реестр договоров'!$A$2:$D$508,2,0)</f>
        <v>45789</v>
      </c>
      <c r="C435" s="36" t="str">
        <f t="shared" si="104"/>
        <v>Байкенов</v>
      </c>
      <c r="D435" s="36" t="str">
        <f t="shared" si="105"/>
        <v>Адиль</v>
      </c>
      <c r="E435" s="36" t="str">
        <f t="shared" si="117"/>
        <v>Алданышевич</v>
      </c>
      <c r="F435" s="36" t="str">
        <f t="shared" si="106"/>
        <v>060322814</v>
      </c>
      <c r="G435" s="37">
        <f>VLOOKUP(F435,Покупатели!$F$2:$N$762,2,0)</f>
        <v>45763</v>
      </c>
      <c r="H435" s="36" t="str">
        <f>VLOOKUP(F435,Покупатели!$F$2:$N$762,3,0)</f>
        <v>МВД РК</v>
      </c>
      <c r="I435" s="36">
        <f>VLOOKUP(C435,Покупатели!$C$2:$M$805,7,0)</f>
        <v>800414301571</v>
      </c>
      <c r="J435" s="36" t="str">
        <f ca="1">IFERROR(__xludf.DUMMYFUNCTION("JOIN("" "", VLOOKUP(C435,Покупатели,8,0),VLOOKUP(C435,Покупатели,9,0),VLOOKUP(C435,Покупатели,10,0),VLOOKUP(C435,Покупатели,11,0))"),"Астана р-н Алматы Юго-Восток, ул.Сутбулак д.10")</f>
        <v>Астана р-н Алматы Юго-Восток, ул.Сутбулак д.10</v>
      </c>
      <c r="K435" s="36">
        <f t="shared" si="107"/>
        <v>87017745251</v>
      </c>
      <c r="L435" s="36" t="str">
        <f t="shared" si="108"/>
        <v>MX4000002S0002090</v>
      </c>
      <c r="M435" s="36" t="str">
        <f t="shared" ca="1" si="116"/>
        <v>002-2513E50Q13-OK</v>
      </c>
      <c r="N435" s="36" t="str">
        <f t="shared" si="115"/>
        <v>Прицеп 2,5*1,25 м  (до 750 кг.)</v>
      </c>
      <c r="O435" s="36" t="str">
        <f t="shared" si="109"/>
        <v>1 ось</v>
      </c>
      <c r="P435" s="36">
        <f t="shared" si="110"/>
        <v>2025</v>
      </c>
      <c r="Q435" s="34" t="str">
        <f t="shared" ca="1" si="118"/>
        <v>3650*1700*1070</v>
      </c>
      <c r="R435" s="36" t="str">
        <f t="shared" ca="1" si="119"/>
        <v>2500*1250*500</v>
      </c>
      <c r="S435" s="34" t="str">
        <f>VLOOKUP(O435,ОТТС!$A$2:$B$3,2,0)</f>
        <v>ТС KZ Е-KZ.0317.00251 от 28.02.2023</v>
      </c>
      <c r="T435" s="39">
        <v>440000</v>
      </c>
      <c r="U435" s="36" t="str">
        <f t="shared" si="114"/>
        <v>Астана</v>
      </c>
    </row>
    <row r="436" spans="1:21" ht="13.2">
      <c r="A436" s="34">
        <v>1618</v>
      </c>
      <c r="B436" s="35">
        <f>VLOOKUP(A436,'Реестр договоров'!$A$2:$D$508,2,0)</f>
        <v>45789</v>
      </c>
      <c r="C436" s="36" t="str">
        <f t="shared" si="104"/>
        <v>Бесчетный</v>
      </c>
      <c r="D436" s="36" t="str">
        <f t="shared" si="105"/>
        <v>Сергей</v>
      </c>
      <c r="E436" s="36" t="str">
        <f t="shared" si="117"/>
        <v>Николаевич</v>
      </c>
      <c r="F436" s="36" t="str">
        <f t="shared" si="106"/>
        <v>039749347</v>
      </c>
      <c r="G436" s="37">
        <f>VLOOKUP(F436,Покупатели!$F$2:$N$762,2,0)</f>
        <v>42411</v>
      </c>
      <c r="H436" s="36" t="str">
        <f>VLOOKUP(F436,Покупатели!$F$2:$N$762,3,0)</f>
        <v>МВД РК</v>
      </c>
      <c r="I436" s="36">
        <f>VLOOKUP(C436,Покупатели!$C$2:$M$805,7,0)</f>
        <v>610710300235</v>
      </c>
      <c r="J436" s="36" t="str">
        <f ca="1">IFERROR(__xludf.DUMMYFUNCTION("JOIN("" "", VLOOKUP(C436,Покупатели,8,0),VLOOKUP(C436,Покупатели,9,0),VLOOKUP(C436,Покупатели,10,0),VLOOKUP(C436,Покупатели,11,0))"),"Алматинская область, Енбекшиказахский район, с. Байтерек, ул. Садовая, д.31")</f>
        <v>Алматинская область, Енбекшиказахский район, с. Байтерек, ул. Садовая, д.31</v>
      </c>
      <c r="K436" s="36">
        <f t="shared" si="107"/>
        <v>87016117375</v>
      </c>
      <c r="L436" s="36" t="str">
        <f t="shared" si="108"/>
        <v>MX4000002S0001919</v>
      </c>
      <c r="M436" s="36" t="str">
        <f t="shared" ca="1" si="116"/>
        <v>002-2013E50Q13-OK</v>
      </c>
      <c r="N436" s="36" t="str">
        <f t="shared" si="115"/>
        <v>Прицеп 2,0*1,25 м  (до 750 кг.)</v>
      </c>
      <c r="O436" s="36" t="str">
        <f t="shared" si="109"/>
        <v>1 ось</v>
      </c>
      <c r="P436" s="36">
        <f t="shared" si="110"/>
        <v>2025</v>
      </c>
      <c r="Q436" s="34" t="str">
        <f t="shared" ca="1" si="118"/>
        <v>3150*1700*1070</v>
      </c>
      <c r="R436" s="36" t="str">
        <f t="shared" ca="1" si="119"/>
        <v>2000*1250*500</v>
      </c>
      <c r="S436" s="34" t="str">
        <f>VLOOKUP(O436,ОТТС!$A$2:$B$3,2,0)</f>
        <v>ТС KZ Е-KZ.0317.00251 от 28.02.2023</v>
      </c>
      <c r="T436" s="39">
        <v>340000</v>
      </c>
      <c r="U436" s="36" t="str">
        <f t="shared" si="114"/>
        <v>Алматы</v>
      </c>
    </row>
    <row r="437" spans="1:21" ht="13.2">
      <c r="A437" s="34">
        <v>1619</v>
      </c>
      <c r="B437" s="35">
        <f>VLOOKUP(A437,'Реестр договоров'!$A$2:$D$508,2,0)</f>
        <v>45789</v>
      </c>
      <c r="C437" s="36" t="str">
        <f t="shared" si="104"/>
        <v>Хасенов1</v>
      </c>
      <c r="D437" s="36" t="str">
        <f t="shared" si="105"/>
        <v>Серик</v>
      </c>
      <c r="E437" s="36" t="str">
        <f t="shared" si="117"/>
        <v>Рашатович</v>
      </c>
      <c r="F437" s="36" t="str">
        <f t="shared" si="106"/>
        <v>059310840</v>
      </c>
      <c r="G437" s="37">
        <f>VLOOKUP(F437,Покупатели!$F$2:$N$762,2,0)</f>
        <v>45607</v>
      </c>
      <c r="H437" s="36" t="str">
        <f>VLOOKUP(F437,Покупатели!$F$2:$N$762,3,0)</f>
        <v>МВД РК</v>
      </c>
      <c r="I437" s="36">
        <f>VLOOKUP(C437,Покупатели!$C$2:$M$805,7,0)</f>
        <v>860403350362</v>
      </c>
      <c r="J437" s="36" t="str">
        <f ca="1">IFERROR(__xludf.DUMMYFUNCTION("JOIN("" "", VLOOKUP(C437,Покупатели,8,0),VLOOKUP(C437,Покупатели,9,0),VLOOKUP(C437,Покупатели,10,0),VLOOKUP(C437,Покупатели,11,0))"),"Акмолинская область, г. Кокшетау, ул. Панфилова, д. 132/4")</f>
        <v>Акмолинская область, г. Кокшетау, ул. Панфилова, д. 132/4</v>
      </c>
      <c r="K437" s="36">
        <f t="shared" si="107"/>
        <v>87783408594</v>
      </c>
      <c r="L437" s="36" t="str">
        <f t="shared" si="108"/>
        <v>MX4000002S0002136</v>
      </c>
      <c r="M437" s="36" t="str">
        <f t="shared" ca="1" si="116"/>
        <v>002-2013E30Q13-OK</v>
      </c>
      <c r="N437" s="36" t="str">
        <f t="shared" si="115"/>
        <v>Прицеп 2,0*1,25 м  (до 750 кг.)</v>
      </c>
      <c r="O437" s="36" t="str">
        <f t="shared" si="109"/>
        <v>1 ось</v>
      </c>
      <c r="P437" s="36">
        <f t="shared" si="110"/>
        <v>2025</v>
      </c>
      <c r="Q437" s="34" t="str">
        <f t="shared" ca="1" si="118"/>
        <v>3150*1700*900</v>
      </c>
      <c r="R437" s="36" t="str">
        <f t="shared" ca="1" si="119"/>
        <v>2000*1250*300</v>
      </c>
      <c r="S437" s="34" t="str">
        <f>VLOOKUP(O437,ОТТС!$A$2:$B$3,2,0)</f>
        <v>ТС KZ Е-KZ.0317.00251 от 28.02.2023</v>
      </c>
      <c r="T437" s="39">
        <v>340000</v>
      </c>
      <c r="U437" s="36" t="str">
        <f t="shared" si="114"/>
        <v>Кокшетау</v>
      </c>
    </row>
    <row r="438" spans="1:21" ht="13.2">
      <c r="A438" s="34">
        <v>1620</v>
      </c>
      <c r="B438" s="35">
        <f>VLOOKUP(A438,'Реестр договоров'!$A$2:$D$508,2,0)</f>
        <v>45789</v>
      </c>
      <c r="C438" s="36" t="str">
        <f t="shared" si="104"/>
        <v>Серікұлы</v>
      </c>
      <c r="D438" s="36" t="str">
        <f t="shared" si="105"/>
        <v>Сұңғат</v>
      </c>
      <c r="E438" s="36">
        <f t="shared" si="117"/>
        <v>0</v>
      </c>
      <c r="F438" s="36" t="str">
        <f t="shared" si="106"/>
        <v>042882078</v>
      </c>
      <c r="G438" s="37">
        <f>VLOOKUP(F438,Покупатели!$F$2:$N$762,2,0)</f>
        <v>42902</v>
      </c>
      <c r="H438" s="36" t="str">
        <f>VLOOKUP(F438,Покупатели!$F$2:$N$762,3,0)</f>
        <v>ҚР ІІМ</v>
      </c>
      <c r="I438" s="36">
        <f>VLOOKUP(C438,Покупатели!$C$2:$M$805,7,0)</f>
        <v>920615350884</v>
      </c>
      <c r="J438" s="36" t="str">
        <f ca="1">IFERROR(__xludf.DUMMYFUNCTION("JOIN("" "", VLOOKUP(C438,Покупатели,8,0),VLOOKUP(C438,Покупатели,9,0),VLOOKUP(C438,Покупатели,10,0),VLOOKUP(C438,Покупатели,11,0))"),"г.Астана р-н Нура ул.Күлтегін д.14, кв.319")</f>
        <v>г.Астана р-н Нура ул.Күлтегін д.14, кв.319</v>
      </c>
      <c r="K438" s="36">
        <f t="shared" si="107"/>
        <v>87055545999</v>
      </c>
      <c r="L438" s="36" t="str">
        <f t="shared" si="108"/>
        <v>MX4000004S0002111</v>
      </c>
      <c r="M438" s="36" t="str">
        <f t="shared" ca="1" si="116"/>
        <v>002-2515E30Q13-OK120</v>
      </c>
      <c r="N438" s="36" t="str">
        <f t="shared" si="115"/>
        <v>Прицеп 2,5*1,5 м  (до 750 кг.)</v>
      </c>
      <c r="O438" s="36" t="str">
        <f t="shared" si="109"/>
        <v>2 оси</v>
      </c>
      <c r="P438" s="36">
        <f t="shared" si="110"/>
        <v>2025</v>
      </c>
      <c r="Q438" s="34" t="str">
        <f t="shared" ca="1" si="118"/>
        <v>3650*1950*900</v>
      </c>
      <c r="R438" s="36" t="str">
        <f t="shared" ca="1" si="119"/>
        <v>2500*1500*300</v>
      </c>
      <c r="S438" s="34" t="str">
        <f>VLOOKUP(O438,ОТТС!$A$2:$B$3,2,0)</f>
        <v>ТС KZ Е-KZ.0317.00219.П1 от 17.07.2025</v>
      </c>
      <c r="T438" s="39">
        <v>690000</v>
      </c>
      <c r="U438" s="36" t="str">
        <f t="shared" si="114"/>
        <v>Астана</v>
      </c>
    </row>
    <row r="439" spans="1:21" ht="13.2">
      <c r="A439" s="34">
        <v>1621</v>
      </c>
      <c r="B439" s="35">
        <f>VLOOKUP(A439,'Реестр договоров'!$A$2:$D$508,2,0)</f>
        <v>45789</v>
      </c>
      <c r="C439" s="36" t="str">
        <f t="shared" si="104"/>
        <v>Маер</v>
      </c>
      <c r="D439" s="36" t="str">
        <f t="shared" si="105"/>
        <v>Борис</v>
      </c>
      <c r="E439" s="36" t="str">
        <f t="shared" si="117"/>
        <v>Владимирович</v>
      </c>
      <c r="F439" s="36" t="str">
        <f t="shared" si="106"/>
        <v>048828682</v>
      </c>
      <c r="G439" s="37">
        <f>VLOOKUP(F439,Покупатели!$F$2:$N$762,2,0)</f>
        <v>44086</v>
      </c>
      <c r="H439" s="36" t="str">
        <f>VLOOKUP(F439,Покупатели!$F$2:$N$762,3,0)</f>
        <v>МВД РК</v>
      </c>
      <c r="I439" s="36">
        <f>VLOOKUP(C439,Покупатели!$C$2:$M$805,7,0)</f>
        <v>850607350479</v>
      </c>
      <c r="J439" s="36" t="str">
        <f ca="1">IFERROR(__xludf.DUMMYFUNCTION("JOIN("" "", VLOOKUP(C439,Покупатели,8,0),VLOOKUP(C439,Покупатели,9,0),VLOOKUP(C439,Покупатели,10,0),VLOOKUP(C439,Покупатели,11,0))"),"г.Астана р-н Алматы ул.Жирентаева д.13, кв.45")</f>
        <v>г.Астана р-н Алматы ул.Жирентаева д.13, кв.45</v>
      </c>
      <c r="K439" s="36">
        <f t="shared" si="107"/>
        <v>87014958435</v>
      </c>
      <c r="L439" s="36" t="str">
        <f t="shared" si="108"/>
        <v>MX4000002S0002104</v>
      </c>
      <c r="M439" s="36" t="str">
        <f t="shared" ca="1" si="116"/>
        <v>002-2013E30Q13-OK30</v>
      </c>
      <c r="N439" s="36" t="str">
        <f t="shared" si="115"/>
        <v>Прицеп 2,0*1,25 м  (до 750 кг.)</v>
      </c>
      <c r="O439" s="36" t="str">
        <f t="shared" si="109"/>
        <v>1 ось</v>
      </c>
      <c r="P439" s="36">
        <f t="shared" si="110"/>
        <v>2025</v>
      </c>
      <c r="Q439" s="34" t="str">
        <f t="shared" ca="1" si="118"/>
        <v>3150*1700*900</v>
      </c>
      <c r="R439" s="36" t="str">
        <f t="shared" ca="1" si="119"/>
        <v>2000*1250*300</v>
      </c>
      <c r="S439" s="34" t="str">
        <f>VLOOKUP(O439,ОТТС!$A$2:$B$3,2,0)</f>
        <v>ТС KZ Е-KZ.0317.00251 от 28.02.2023</v>
      </c>
      <c r="T439" s="39">
        <v>400000</v>
      </c>
      <c r="U439" s="36" t="str">
        <f t="shared" si="114"/>
        <v>Астана</v>
      </c>
    </row>
    <row r="440" spans="1:21" ht="13.2">
      <c r="A440" s="34">
        <v>1622</v>
      </c>
      <c r="B440" s="35">
        <f>VLOOKUP(A440,'Реестр договоров'!$A$2:$D$508,2,0)</f>
        <v>45789</v>
      </c>
      <c r="C440" s="36" t="str">
        <f t="shared" si="104"/>
        <v>Аханов</v>
      </c>
      <c r="D440" s="36" t="str">
        <f t="shared" si="105"/>
        <v>Жандос</v>
      </c>
      <c r="E440" s="36" t="str">
        <f t="shared" si="117"/>
        <v>Аманжолович</v>
      </c>
      <c r="F440" s="36" t="str">
        <f t="shared" si="106"/>
        <v>055421281</v>
      </c>
      <c r="G440" s="37">
        <f>VLOOKUP(F440,Покупатели!$F$2:$N$762,2,0)</f>
        <v>45309</v>
      </c>
      <c r="H440" s="36" t="str">
        <f>VLOOKUP(F440,Покупатели!$F$2:$N$762,3,0)</f>
        <v>МВД РК</v>
      </c>
      <c r="I440" s="36">
        <f>VLOOKUP(C440,Покупатели!$C$2:$M$805,7,0)</f>
        <v>790619301016</v>
      </c>
      <c r="J440" s="36" t="str">
        <f ca="1">IFERROR(__xludf.DUMMYFUNCTION("JOIN("" "", VLOOKUP(C440,Покупатели,8,0),VLOOKUP(C440,Покупатели,9,0),VLOOKUP(C440,Покупатели,10,0),VLOOKUP(C440,Покупатели,11,0))"),"Алматинская область, г. Алматы,  мкр. №9, дом 26, кв. 41")</f>
        <v>Алматинская область, г. Алматы,  мкр. №9, дом 26, кв. 41</v>
      </c>
      <c r="K440" s="36">
        <f t="shared" si="107"/>
        <v>87011674597</v>
      </c>
      <c r="L440" s="36" t="str">
        <f t="shared" si="108"/>
        <v>MX4000002S0001929</v>
      </c>
      <c r="M440" s="36" t="str">
        <f t="shared" ca="1" si="116"/>
        <v>002-2013E50Q13-OK</v>
      </c>
      <c r="N440" s="36" t="str">
        <f t="shared" si="115"/>
        <v>Прицеп 2,0*1,25 м  (до 750 кг.)</v>
      </c>
      <c r="O440" s="36" t="str">
        <f t="shared" si="109"/>
        <v>1 ось</v>
      </c>
      <c r="P440" s="36">
        <f t="shared" si="110"/>
        <v>2025</v>
      </c>
      <c r="Q440" s="34" t="str">
        <f t="shared" ca="1" si="118"/>
        <v>3150*1700*1070</v>
      </c>
      <c r="R440" s="36" t="str">
        <f t="shared" ca="1" si="119"/>
        <v>2000*1250*500</v>
      </c>
      <c r="S440" s="34" t="str">
        <f>VLOOKUP(O440,ОТТС!$A$2:$B$3,2,0)</f>
        <v>ТС KZ Е-KZ.0317.00251 от 28.02.2023</v>
      </c>
      <c r="T440" s="39">
        <v>340000</v>
      </c>
      <c r="U440" s="36" t="str">
        <f t="shared" si="114"/>
        <v>Алматы</v>
      </c>
    </row>
    <row r="441" spans="1:21" ht="13.2">
      <c r="A441" s="34">
        <v>1623</v>
      </c>
      <c r="B441" s="35">
        <f>VLOOKUP(A441,'Реестр договоров'!$A$2:$D$508,2,0)</f>
        <v>45790</v>
      </c>
      <c r="C441" s="36" t="str">
        <f t="shared" si="104"/>
        <v>Попов</v>
      </c>
      <c r="D441" s="36" t="str">
        <f t="shared" si="105"/>
        <v>Даниил</v>
      </c>
      <c r="E441" s="36" t="str">
        <f t="shared" si="117"/>
        <v>Геннадьевич</v>
      </c>
      <c r="F441" s="36" t="str">
        <f t="shared" si="106"/>
        <v>044796146</v>
      </c>
      <c r="G441" s="37">
        <f>VLOOKUP(F441,Покупатели!$F$2:$N$762,2,0)</f>
        <v>43335</v>
      </c>
      <c r="H441" s="36" t="str">
        <f>VLOOKUP(F441,Покупатели!$F$2:$N$762,3,0)</f>
        <v>МВД РК</v>
      </c>
      <c r="I441" s="36" t="str">
        <f>VLOOKUP(C441,Покупатели!$C$2:$M$805,7,0)</f>
        <v>020725551459</v>
      </c>
      <c r="J441" s="36" t="str">
        <f ca="1">IFERROR(__xludf.DUMMYFUNCTION("JOIN("" "", VLOOKUP(C441,Покупатели,8,0),VLOOKUP(C441,Покупатели,9,0),VLOOKUP(C441,Покупатели,10,0),VLOOKUP(C441,Покупатели,11,0))"),"Акмолинская область, г. Кокшетау, ул. Баймуканова, д. 33а, кв.8")</f>
        <v>Акмолинская область, г. Кокшетау, ул. Баймуканова, д. 33а, кв.8</v>
      </c>
      <c r="K441" s="36">
        <f t="shared" si="107"/>
        <v>87777432113</v>
      </c>
      <c r="L441" s="36" t="str">
        <f t="shared" si="108"/>
        <v>MX4000002S0002140</v>
      </c>
      <c r="M441" s="36" t="str">
        <f t="shared" ca="1" si="116"/>
        <v>002-2013E30Q13-OK</v>
      </c>
      <c r="N441" s="36" t="str">
        <f t="shared" si="115"/>
        <v>Прицеп 2,0*1,25 м  (до 750 кг.)</v>
      </c>
      <c r="O441" s="36" t="str">
        <f t="shared" si="109"/>
        <v>1 ось</v>
      </c>
      <c r="P441" s="36">
        <f t="shared" si="110"/>
        <v>2025</v>
      </c>
      <c r="Q441" s="34" t="str">
        <f t="shared" ca="1" si="118"/>
        <v>3150*1700*900</v>
      </c>
      <c r="R441" s="36" t="str">
        <f t="shared" ca="1" si="119"/>
        <v>2000*1250*300</v>
      </c>
      <c r="S441" s="34" t="str">
        <f>VLOOKUP(O441,ОТТС!$A$2:$B$3,2,0)</f>
        <v>ТС KZ Е-KZ.0317.00251 от 28.02.2023</v>
      </c>
      <c r="T441" s="39">
        <v>340000</v>
      </c>
      <c r="U441" s="36" t="str">
        <f t="shared" si="114"/>
        <v>Кокшетау</v>
      </c>
    </row>
    <row r="442" spans="1:21" ht="13.2">
      <c r="A442" s="34">
        <v>1625</v>
      </c>
      <c r="B442" s="35">
        <f>VLOOKUP(A442,'Реестр договоров'!$A$2:$D$508,2,0)</f>
        <v>45790</v>
      </c>
      <c r="C442" s="36" t="str">
        <f t="shared" si="104"/>
        <v>Махамбетова</v>
      </c>
      <c r="D442" s="36" t="str">
        <f t="shared" si="105"/>
        <v>Макпал</v>
      </c>
      <c r="E442" s="36" t="str">
        <f t="shared" si="117"/>
        <v>Алтаевна</v>
      </c>
      <c r="F442" s="36" t="str">
        <f t="shared" si="106"/>
        <v>044040574</v>
      </c>
      <c r="G442" s="37">
        <f>VLOOKUP(F442,Покупатели!$F$2:$N$762,2,0)</f>
        <v>43161</v>
      </c>
      <c r="H442" s="36" t="str">
        <f>VLOOKUP(F442,Покупатели!$F$2:$N$762,3,0)</f>
        <v>МВД РК</v>
      </c>
      <c r="I442" s="36">
        <f>VLOOKUP(C442,Покупатели!$C$2:$M$805,7,0)</f>
        <v>880204400512</v>
      </c>
      <c r="J442" s="36" t="str">
        <f ca="1">IFERROR(__xludf.DUMMYFUNCTION("JOIN("" "", VLOOKUP(C442,Покупатели,8,0),VLOOKUP(C442,Покупатели,9,0),VLOOKUP(C442,Покупатели,10,0),VLOOKUP(C442,Покупатели,11,0))"),"г.Астана р-н Алматы ул.Петрова д.2/1, кв.98")</f>
        <v>г.Астана р-н Алматы ул.Петрова д.2/1, кв.98</v>
      </c>
      <c r="K442" s="36">
        <f t="shared" si="107"/>
        <v>87753147033</v>
      </c>
      <c r="L442" s="36" t="str">
        <f t="shared" si="108"/>
        <v>MX4000002S0002114</v>
      </c>
      <c r="M442" s="36" t="str">
        <f t="shared" ca="1" si="116"/>
        <v>002-2013E50Q13-OK</v>
      </c>
      <c r="N442" s="36" t="str">
        <f t="shared" si="115"/>
        <v>Прицеп 2,0*1,25 м  (до 750 кг.)</v>
      </c>
      <c r="O442" s="36" t="str">
        <f t="shared" si="109"/>
        <v>1 ось</v>
      </c>
      <c r="P442" s="36">
        <f t="shared" si="110"/>
        <v>2025</v>
      </c>
      <c r="Q442" s="34" t="str">
        <f t="shared" ca="1" si="118"/>
        <v>3150*1700*1070</v>
      </c>
      <c r="R442" s="36" t="str">
        <f t="shared" ca="1" si="119"/>
        <v>2000*1250*500</v>
      </c>
      <c r="S442" s="34" t="str">
        <f>VLOOKUP(O442,ОТТС!$A$2:$B$3,2,0)</f>
        <v>ТС KZ Е-KZ.0317.00251 от 28.02.2023</v>
      </c>
      <c r="T442" s="39">
        <v>400000</v>
      </c>
      <c r="U442" s="36" t="str">
        <f t="shared" si="114"/>
        <v>Астана</v>
      </c>
    </row>
    <row r="443" spans="1:21" ht="13.2">
      <c r="A443" s="34">
        <v>1626</v>
      </c>
      <c r="B443" s="35">
        <f>VLOOKUP(A443,'Реестр договоров'!$A$2:$D$508,2,0)</f>
        <v>45791</v>
      </c>
      <c r="C443" s="36" t="str">
        <f t="shared" si="104"/>
        <v>Асанбаев</v>
      </c>
      <c r="D443" s="36" t="str">
        <f t="shared" si="105"/>
        <v>Нурлан</v>
      </c>
      <c r="E443" s="36" t="str">
        <f t="shared" si="117"/>
        <v>Бакирович</v>
      </c>
      <c r="F443" s="36" t="str">
        <f t="shared" si="106"/>
        <v>055936911</v>
      </c>
      <c r="G443" s="37">
        <f>VLOOKUP(F443,Покупатели!$F$2:$N$762,2,0)</f>
        <v>45358</v>
      </c>
      <c r="H443" s="36" t="str">
        <f>VLOOKUP(F443,Покупатели!$F$2:$N$762,3,0)</f>
        <v>МВД РК</v>
      </c>
      <c r="I443" s="36">
        <f>VLOOKUP(C443,Покупатели!$C$2:$M$805,7,0)</f>
        <v>880404000495</v>
      </c>
      <c r="J443" s="36" t="str">
        <f ca="1">IFERROR(__xludf.DUMMYFUNCTION("JOIN("" "", VLOOKUP(C443,Покупатели,8,0),VLOOKUP(C443,Покупатели,9,0),VLOOKUP(C443,Покупатели,10,0),VLOOKUP(C443,Покупатели,11,0))"),"г.Астана р-н Сарыарка ул.Сейфуллина д.22, кв.12")</f>
        <v>г.Астана р-н Сарыарка ул.Сейфуллина д.22, кв.12</v>
      </c>
      <c r="K443" s="36">
        <f t="shared" si="107"/>
        <v>87075553936</v>
      </c>
      <c r="L443" s="36" t="str">
        <f t="shared" si="108"/>
        <v>MX4000002S0002147</v>
      </c>
      <c r="M443" s="36" t="str">
        <f t="shared" ca="1" si="116"/>
        <v>002-2013E30Q13-OK30</v>
      </c>
      <c r="N443" s="36" t="str">
        <f t="shared" si="115"/>
        <v>Прицеп 2,0*1,25 м  (до 750 кг.)</v>
      </c>
      <c r="O443" s="36" t="str">
        <f t="shared" si="109"/>
        <v>1 ось</v>
      </c>
      <c r="P443" s="36">
        <f t="shared" si="110"/>
        <v>2025</v>
      </c>
      <c r="Q443" s="34" t="str">
        <f t="shared" ca="1" si="118"/>
        <v>3150*1700*900</v>
      </c>
      <c r="R443" s="36" t="str">
        <f t="shared" ca="1" si="119"/>
        <v>2000*1250*300</v>
      </c>
      <c r="S443" s="34" t="str">
        <f>VLOOKUP(O443,ОТТС!$A$2:$B$3,2,0)</f>
        <v>ТС KZ Е-KZ.0317.00251 от 28.02.2023</v>
      </c>
      <c r="T443" s="39">
        <v>400000</v>
      </c>
      <c r="U443" s="36" t="str">
        <f t="shared" si="114"/>
        <v>Астана</v>
      </c>
    </row>
    <row r="444" spans="1:21" ht="13.2">
      <c r="A444" s="34">
        <v>1627</v>
      </c>
      <c r="B444" s="35">
        <f>VLOOKUP(A444,'Реестр договоров'!$A$2:$D$508,2,0)</f>
        <v>45791</v>
      </c>
      <c r="C444" s="36" t="str">
        <f t="shared" si="104"/>
        <v>Тоқтамұрат1</v>
      </c>
      <c r="D444" s="36" t="str">
        <f t="shared" si="105"/>
        <v>Құдайберген</v>
      </c>
      <c r="E444" s="36">
        <f t="shared" si="117"/>
        <v>0</v>
      </c>
      <c r="F444" s="36" t="str">
        <f t="shared" si="106"/>
        <v>052405078</v>
      </c>
      <c r="G444" s="37">
        <f>VLOOKUP(F444,Покупатели!$F$2:$N$762,2,0)</f>
        <v>44636</v>
      </c>
      <c r="H444" s="36" t="str">
        <f>VLOOKUP(F444,Покупатели!$F$2:$N$762,3,0)</f>
        <v>ҚР ІІМ</v>
      </c>
      <c r="I444" s="36">
        <f>VLOOKUP(C444,Покупатели!$C$2:$M$805,7,0)</f>
        <v>880123399033</v>
      </c>
      <c r="J444" s="36" t="str">
        <f ca="1">IFERROR(__xludf.DUMMYFUNCTION("JOIN("" "", VLOOKUP(C444,Покупатели,8,0),VLOOKUP(C444,Покупатели,9,0),VLOOKUP(C444,Покупатели,10,0),VLOOKUP(C444,Покупатели,11,0))"),"г.Астана р-н Сарыарка ул.Тлендиева д.50, кв.45")</f>
        <v>г.Астана р-н Сарыарка ул.Тлендиева д.50, кв.45</v>
      </c>
      <c r="K444" s="36">
        <f t="shared" si="107"/>
        <v>87054635565</v>
      </c>
      <c r="L444" s="36" t="str">
        <f t="shared" si="108"/>
        <v>MX4000002S0002141</v>
      </c>
      <c r="M444" s="36" t="str">
        <f t="shared" ca="1" si="116"/>
        <v>002-2013E30Q13-OK30</v>
      </c>
      <c r="N444" s="36" t="str">
        <f t="shared" si="115"/>
        <v>Прицеп 2,0*1,25 м  (до 750 кг.)</v>
      </c>
      <c r="O444" s="36" t="str">
        <f t="shared" si="109"/>
        <v>1 ось</v>
      </c>
      <c r="P444" s="36">
        <f t="shared" si="110"/>
        <v>2025</v>
      </c>
      <c r="Q444" s="34" t="str">
        <f t="shared" ca="1" si="118"/>
        <v>3150*1700*900</v>
      </c>
      <c r="R444" s="36" t="str">
        <f t="shared" ca="1" si="119"/>
        <v>2000*1250*300</v>
      </c>
      <c r="S444" s="34" t="str">
        <f>VLOOKUP(O444,ОТТС!$A$2:$B$3,2,0)</f>
        <v>ТС KZ Е-KZ.0317.00251 от 28.02.2023</v>
      </c>
      <c r="T444" s="39">
        <v>360000</v>
      </c>
      <c r="U444" s="36" t="str">
        <f t="shared" si="114"/>
        <v>Астана</v>
      </c>
    </row>
    <row r="445" spans="1:21" ht="13.2">
      <c r="A445" s="34">
        <v>1628</v>
      </c>
      <c r="B445" s="35">
        <f>VLOOKUP(A445,'Реестр договоров'!$A$2:$D$508,2,0)</f>
        <v>45791</v>
      </c>
      <c r="C445" s="36" t="str">
        <f t="shared" si="104"/>
        <v>Тущанов</v>
      </c>
      <c r="D445" s="36" t="str">
        <f t="shared" si="105"/>
        <v>Құрыш</v>
      </c>
      <c r="E445" s="36" t="str">
        <f t="shared" si="117"/>
        <v>Рақышұлы</v>
      </c>
      <c r="F445" s="36" t="str">
        <f t="shared" si="106"/>
        <v>040108538</v>
      </c>
      <c r="G445" s="37">
        <f>VLOOKUP(F445,Покупатели!$F$2:$N$762,2,0)</f>
        <v>42310</v>
      </c>
      <c r="H445" s="36" t="str">
        <f>VLOOKUP(F445,Покупатели!$F$2:$N$762,3,0)</f>
        <v>ҚР ІІМ</v>
      </c>
      <c r="I445" s="36">
        <f>VLOOKUP(C445,Покупатели!$C$2:$M$805,7,0)</f>
        <v>630117300959</v>
      </c>
      <c r="J445" s="36" t="str">
        <f ca="1">IFERROR(__xludf.DUMMYFUNCTION("JOIN("" "", VLOOKUP(C445,Покупатели,8,0),VLOOKUP(C445,Покупатели,9,0),VLOOKUP(C445,Покупатели,10,0),VLOOKUP(C445,Покупатели,11,0))"),"Карагандинская обл. Нуринский район, с.Нура ул.Б.Момышулы д.4, кв.1")</f>
        <v>Карагандинская обл. Нуринский район, с.Нура ул.Б.Момышулы д.4, кв.1</v>
      </c>
      <c r="K445" s="36">
        <f t="shared" si="107"/>
        <v>87054666733</v>
      </c>
      <c r="L445" s="36" t="str">
        <f t="shared" si="108"/>
        <v>MX4000002S0002145</v>
      </c>
      <c r="M445" s="36" t="str">
        <f t="shared" ca="1" si="116"/>
        <v>002-2013E50Q13-OK60</v>
      </c>
      <c r="N445" s="36" t="str">
        <f t="shared" si="115"/>
        <v>Прицеп 2,0*1,25 м  (до 750 кг.)</v>
      </c>
      <c r="O445" s="36" t="str">
        <f t="shared" si="109"/>
        <v>1 ось</v>
      </c>
      <c r="P445" s="36">
        <f t="shared" si="110"/>
        <v>2025</v>
      </c>
      <c r="Q445" s="34" t="str">
        <f t="shared" ca="1" si="118"/>
        <v>3150*1700*1070</v>
      </c>
      <c r="R445" s="36" t="str">
        <f t="shared" ca="1" si="119"/>
        <v>2000*1250*500</v>
      </c>
      <c r="S445" s="34" t="str">
        <f>VLOOKUP(O445,ОТТС!$A$2:$B$3,2,0)</f>
        <v>ТС KZ Е-KZ.0317.00251 от 28.02.2023</v>
      </c>
      <c r="T445" s="39">
        <v>380000</v>
      </c>
      <c r="U445" s="36" t="str">
        <f t="shared" si="114"/>
        <v>Астана</v>
      </c>
    </row>
    <row r="446" spans="1:21" ht="13.2">
      <c r="A446" s="34">
        <v>1629</v>
      </c>
      <c r="B446" s="35">
        <f>VLOOKUP(A446,'Реестр договоров'!$A$2:$D$508,2,0)</f>
        <v>45791</v>
      </c>
      <c r="C446" s="36" t="str">
        <f t="shared" si="104"/>
        <v>Мадиев</v>
      </c>
      <c r="D446" s="36" t="str">
        <f t="shared" si="105"/>
        <v>Нурлан</v>
      </c>
      <c r="E446" s="36" t="str">
        <f t="shared" si="117"/>
        <v>Уразалинович</v>
      </c>
      <c r="F446" s="36" t="str">
        <f t="shared" si="106"/>
        <v>048664404</v>
      </c>
      <c r="G446" s="37">
        <f>VLOOKUP(F446,Покупатели!$F$2:$N$762,2,0)</f>
        <v>44076</v>
      </c>
      <c r="H446" s="36" t="str">
        <f>VLOOKUP(F446,Покупатели!$F$2:$N$762,3,0)</f>
        <v>МВД РК</v>
      </c>
      <c r="I446" s="36">
        <f>VLOOKUP(C446,Покупатели!$C$2:$M$805,7,0)</f>
        <v>851006351056</v>
      </c>
      <c r="J446" s="36" t="str">
        <f ca="1">IFERROR(__xludf.DUMMYFUNCTION("JOIN("" "", VLOOKUP(C446,Покупатели,8,0),VLOOKUP(C446,Покупатели,9,0),VLOOKUP(C446,Покупатели,10,0),VLOOKUP(C446,Покупатели,11,0))"),"Акмолинская область, с. Красный Яр, ул. Достык ул. Достык, дом 77, кв. 23")</f>
        <v>Акмолинская область, с. Красный Яр, ул. Достык ул. Достык, дом 77, кв. 23</v>
      </c>
      <c r="K446" s="36" t="str">
        <f t="shared" si="107"/>
        <v>+77052997926</v>
      </c>
      <c r="L446" s="36" t="str">
        <f t="shared" si="108"/>
        <v>MX4000002S0002149</v>
      </c>
      <c r="M446" s="36" t="str">
        <f t="shared" ca="1" si="116"/>
        <v>002-2013E30Q13-OK</v>
      </c>
      <c r="N446" s="36" t="str">
        <f t="shared" si="115"/>
        <v>Прицеп 2,0*1,25 м  (до 750 кг.)</v>
      </c>
      <c r="O446" s="36" t="str">
        <f t="shared" si="109"/>
        <v>1 ось</v>
      </c>
      <c r="P446" s="36">
        <f t="shared" si="110"/>
        <v>2025</v>
      </c>
      <c r="Q446" s="34" t="str">
        <f t="shared" ca="1" si="118"/>
        <v>3150*1700*900</v>
      </c>
      <c r="R446" s="36" t="str">
        <f t="shared" ca="1" si="119"/>
        <v>2000*1250*300</v>
      </c>
      <c r="S446" s="34" t="str">
        <f>VLOOKUP(O446,ОТТС!$A$2:$B$3,2,0)</f>
        <v>ТС KZ Е-KZ.0317.00251 от 28.02.2023</v>
      </c>
      <c r="T446" s="39">
        <v>300000</v>
      </c>
      <c r="U446" s="36" t="str">
        <f t="shared" si="114"/>
        <v>Кокшетау</v>
      </c>
    </row>
    <row r="447" spans="1:21" ht="13.2">
      <c r="A447" s="34">
        <v>1630</v>
      </c>
      <c r="B447" s="35">
        <f>VLOOKUP(A447,'Реестр договоров'!$A$2:$D$508,2,0)</f>
        <v>45791</v>
      </c>
      <c r="C447" s="36" t="str">
        <f t="shared" si="104"/>
        <v>Матаев</v>
      </c>
      <c r="D447" s="36" t="str">
        <f t="shared" si="105"/>
        <v>Ерлан</v>
      </c>
      <c r="E447" s="36" t="str">
        <f t="shared" si="117"/>
        <v>Амантаевич</v>
      </c>
      <c r="F447" s="36" t="str">
        <f t="shared" si="106"/>
        <v>054640387</v>
      </c>
      <c r="G447" s="37">
        <f>VLOOKUP(F447,Покупатели!$F$2:$N$762,2,0)</f>
        <v>45208</v>
      </c>
      <c r="H447" s="36" t="str">
        <f>VLOOKUP(F447,Покупатели!$F$2:$N$762,3,0)</f>
        <v>МВД РК</v>
      </c>
      <c r="I447" s="36">
        <f>VLOOKUP(C447,Покупатели!$C$2:$M$805,7,0)</f>
        <v>891225301325</v>
      </c>
      <c r="J447" s="36" t="str">
        <f ca="1">IFERROR(__xludf.DUMMYFUNCTION("JOIN("" "", VLOOKUP(C447,Покупатели,8,0),VLOOKUP(C447,Покупатели,9,0),VLOOKUP(C447,Покупатели,10,0),VLOOKUP(C447,Покупатели,11,0))"),"Алматинская область, Талгарский район, Панфиловский сельский округ, село Жібек жолы улица Бельбулак, дом 11")</f>
        <v>Алматинская область, Талгарский район, Панфиловский сельский округ, село Жібек жолы улица Бельбулак, дом 11</v>
      </c>
      <c r="K447" s="36" t="str">
        <f t="shared" si="107"/>
        <v>+7 700 089 0020</v>
      </c>
      <c r="L447" s="36" t="str">
        <f t="shared" si="108"/>
        <v>MX4000002S0001921</v>
      </c>
      <c r="M447" s="36" t="str">
        <f t="shared" ca="1" si="116"/>
        <v>002-2013E50Q13-OK</v>
      </c>
      <c r="N447" s="36" t="str">
        <f t="shared" si="115"/>
        <v>Прицеп 2,0*1,25 м  (до 750 кг.)</v>
      </c>
      <c r="O447" s="36" t="str">
        <f t="shared" si="109"/>
        <v>1 ось</v>
      </c>
      <c r="P447" s="36">
        <f t="shared" si="110"/>
        <v>2025</v>
      </c>
      <c r="Q447" s="34" t="str">
        <f t="shared" ca="1" si="118"/>
        <v>3150*1700*1070</v>
      </c>
      <c r="R447" s="36" t="str">
        <f t="shared" ca="1" si="119"/>
        <v>2000*1250*500</v>
      </c>
      <c r="S447" s="34" t="str">
        <f>VLOOKUP(O447,ОТТС!$A$2:$B$3,2,0)</f>
        <v>ТС KZ Е-KZ.0317.00251 от 28.02.2023</v>
      </c>
      <c r="T447" s="39">
        <v>340000</v>
      </c>
      <c r="U447" s="36" t="str">
        <f t="shared" si="114"/>
        <v>Алматы</v>
      </c>
    </row>
    <row r="448" spans="1:21" ht="13.2">
      <c r="A448" s="34">
        <v>1632</v>
      </c>
      <c r="B448" s="35">
        <f>VLOOKUP(A448,'Реестр договоров'!$A$2:$D$508,2,0)</f>
        <v>45793</v>
      </c>
      <c r="C448" s="36" t="str">
        <f t="shared" si="104"/>
        <v>Авдгалах</v>
      </c>
      <c r="D448" s="36" t="str">
        <f t="shared" si="105"/>
        <v>Бахытжан</v>
      </c>
      <c r="E448" s="36">
        <f t="shared" si="117"/>
        <v>0</v>
      </c>
      <c r="F448" s="36" t="str">
        <f t="shared" si="106"/>
        <v>042921030</v>
      </c>
      <c r="G448" s="37">
        <f>VLOOKUP(F448,Покупатели!$F$2:$N$762,2,0)</f>
        <v>42909</v>
      </c>
      <c r="H448" s="36" t="str">
        <f>VLOOKUP(F448,Покупатели!$F$2:$N$762,3,0)</f>
        <v>ҚР ІІМ</v>
      </c>
      <c r="I448" s="36">
        <f>VLOOKUP(C448,Покупатели!$C$2:$M$805,7,0)</f>
        <v>780308350359</v>
      </c>
      <c r="J448" s="36" t="str">
        <f ca="1">IFERROR(__xludf.DUMMYFUNCTION("JOIN("" "", VLOOKUP(C448,Покупатели,8,0),VLOOKUP(C448,Покупатели,9,0),VLOOKUP(C448,Покупатели,10,0),VLOOKUP(C448,Покупатели,11,0))"),"Акмолинская обл. Целиноградский р-н ул.Кызылжар д.15")</f>
        <v>Акмолинская обл. Целиноградский р-н ул.Кызылжар д.15</v>
      </c>
      <c r="K448" s="36">
        <f t="shared" si="107"/>
        <v>87761167810</v>
      </c>
      <c r="L448" s="36" t="str">
        <f t="shared" si="108"/>
        <v>MX4000004S0002150</v>
      </c>
      <c r="M448" s="36" t="str">
        <f t="shared" si="116"/>
        <v>004-3515E50Q13-OK</v>
      </c>
      <c r="N448" s="36" t="str">
        <f t="shared" si="115"/>
        <v>Прицеп 3,5*1,5 м  (до 750 кг.)</v>
      </c>
      <c r="O448" s="36" t="str">
        <f t="shared" si="109"/>
        <v>2 оси</v>
      </c>
      <c r="P448" s="36">
        <f t="shared" si="110"/>
        <v>2025</v>
      </c>
      <c r="Q448" s="34" t="s">
        <v>941</v>
      </c>
      <c r="R448" s="34" t="s">
        <v>928</v>
      </c>
      <c r="S448" s="34" t="str">
        <f>VLOOKUP(O448,ОТТС!$A$2:$B$3,2,0)</f>
        <v>ТС KZ Е-KZ.0317.00219.П1 от 17.07.2025</v>
      </c>
      <c r="T448" s="39">
        <v>770000</v>
      </c>
      <c r="U448" s="36" t="str">
        <f t="shared" si="114"/>
        <v>Астана</v>
      </c>
    </row>
    <row r="449" spans="1:21" ht="13.2">
      <c r="A449" s="34">
        <v>1633</v>
      </c>
      <c r="B449" s="35">
        <f>VLOOKUP(A449,'Реестр договоров'!$A$2:$D$508,2,0)</f>
        <v>45794</v>
      </c>
      <c r="C449" s="36" t="str">
        <f t="shared" si="104"/>
        <v>Садуов</v>
      </c>
      <c r="D449" s="36" t="str">
        <f t="shared" si="105"/>
        <v>Талгат</v>
      </c>
      <c r="E449" s="36" t="str">
        <f t="shared" si="117"/>
        <v>Божбанбаевич</v>
      </c>
      <c r="F449" s="36" t="str">
        <f t="shared" si="106"/>
        <v>056996355</v>
      </c>
      <c r="G449" s="37">
        <f>VLOOKUP(F449,Покупатели!$F$2:$N$762,2,0)</f>
        <v>45542</v>
      </c>
      <c r="H449" s="36" t="str">
        <f>VLOOKUP(F449,Покупатели!$F$2:$N$762,3,0)</f>
        <v>МВД РК</v>
      </c>
      <c r="I449" s="36">
        <f>VLOOKUP(C449,Покупатели!$C$2:$M$805,7,0)</f>
        <v>680803300055</v>
      </c>
      <c r="J449" s="36" t="str">
        <f ca="1">IFERROR(__xludf.DUMMYFUNCTION("JOIN("" "", VLOOKUP(C449,Покупатели,8,0),VLOOKUP(C449,Покупатели,9,0),VLOOKUP(C449,Покупатели,10,0),VLOOKUP(C449,Покупатели,11,0))"),"г.Алматы Наурызбайский р-н ул.Болатхан Тайжан д.51")</f>
        <v>г.Алматы Наурызбайский р-н ул.Болатхан Тайжан д.51</v>
      </c>
      <c r="K449" s="36">
        <f t="shared" si="107"/>
        <v>87073754046</v>
      </c>
      <c r="L449" s="36" t="str">
        <f t="shared" si="108"/>
        <v>MX4000002S0001930</v>
      </c>
      <c r="M449" s="36" t="str">
        <f t="shared" ca="1" si="116"/>
        <v>002-2013E50Q13-OK</v>
      </c>
      <c r="N449" s="36" t="str">
        <f t="shared" si="115"/>
        <v>Прицеп 2,0*1,25 м  (до 750 кг.)</v>
      </c>
      <c r="O449" s="36" t="str">
        <f t="shared" si="109"/>
        <v>1 ось</v>
      </c>
      <c r="P449" s="36">
        <f t="shared" si="110"/>
        <v>2025</v>
      </c>
      <c r="Q449" s="34" t="str">
        <f t="shared" ref="Q449:Q461" ca="1" si="120">VLOOKUP(M449,матрица,16,0)</f>
        <v>3150*1700*1070</v>
      </c>
      <c r="R449" s="36" t="str">
        <f t="shared" ref="R449:R461" ca="1" si="121">VLOOKUP(M449,матрица,17,0)</f>
        <v>2000*1250*500</v>
      </c>
      <c r="S449" s="34" t="str">
        <f>VLOOKUP(O449,ОТТС!$A$2:$B$3,2,0)</f>
        <v>ТС KZ Е-KZ.0317.00251 от 28.02.2023</v>
      </c>
      <c r="T449" s="39">
        <v>340000</v>
      </c>
      <c r="U449" s="36" t="str">
        <f t="shared" si="114"/>
        <v>Алматы</v>
      </c>
    </row>
    <row r="450" spans="1:21" ht="13.2">
      <c r="A450" s="34">
        <v>1634</v>
      </c>
      <c r="B450" s="35">
        <f>VLOOKUP(A450,'Реестр договоров'!$A$2:$D$508,2,0)</f>
        <v>45794</v>
      </c>
      <c r="C450" s="36" t="str">
        <f t="shared" ref="C450:C513" si="122">VLOOKUP(A450,Реестр_Договоров,3,0)</f>
        <v>Габченко</v>
      </c>
      <c r="D450" s="36" t="str">
        <f t="shared" ref="D450:D513" si="123">VLOOKUP(C450,Покупатели,2,0)</f>
        <v>Дмитрий</v>
      </c>
      <c r="E450" s="36" t="str">
        <f t="shared" si="117"/>
        <v>Валерьевич</v>
      </c>
      <c r="F450" s="36" t="str">
        <f t="shared" ref="F450:F513" si="124">VLOOKUP(C450,Покупатели,4,0)</f>
        <v>020091950</v>
      </c>
      <c r="G450" s="37">
        <f>VLOOKUP(F450,Покупатели!$F$2:$N$762,2,0)</f>
        <v>39279</v>
      </c>
      <c r="H450" s="36" t="str">
        <f>VLOOKUP(F450,Покупатели!$F$2:$N$762,3,0)</f>
        <v>МВД РК</v>
      </c>
      <c r="I450" s="36">
        <f>VLOOKUP(C450,Покупатели!$C$2:$M$805,7,0)</f>
        <v>820623350103</v>
      </c>
      <c r="J450" s="36" t="str">
        <f ca="1">IFERROR(__xludf.DUMMYFUNCTION("JOIN("" "", VLOOKUP(C450,Покупатели,8,0),VLOOKUP(C450,Покупатели,9,0),VLOOKUP(C450,Покупатели,10,0),VLOOKUP(C450,Покупатели,11,0))"),"Акмолиснкая область, Бурабайский район, с. Катарколь, ул. Карла Макса, дом 64")</f>
        <v>Акмолиснкая область, Бурабайский район, с. Катарколь, ул. Карла Макса, дом 64</v>
      </c>
      <c r="K450" s="36" t="str">
        <f t="shared" ref="K450:K513" si="125">VLOOKUP(C450,Покупатели,12,0)</f>
        <v>+7 705 293 1009</v>
      </c>
      <c r="L450" s="36" t="str">
        <f t="shared" ref="L450:L513" si="126">VLOOKUP(A450,Реестр_Договоров,4,0)</f>
        <v>MX4000002S0002155</v>
      </c>
      <c r="M450" s="36" t="str">
        <f t="shared" ca="1" si="116"/>
        <v>002-2013E30Q13-OK</v>
      </c>
      <c r="N450" s="36" t="str">
        <f t="shared" si="115"/>
        <v>Прицеп 2,0*1,25 м  (до 750 кг.)</v>
      </c>
      <c r="O450" s="36" t="str">
        <f t="shared" ref="O450:O513" si="127">VLOOKUP(L450,ПРИЦЕПЫ,10,0)</f>
        <v>1 ось</v>
      </c>
      <c r="P450" s="36">
        <f t="shared" ref="P450:P513" si="128">YEAR(VLOOKUP(L450,ПРИЦЕПЫ,7,0))</f>
        <v>2025</v>
      </c>
      <c r="Q450" s="34" t="str">
        <f t="shared" ca="1" si="120"/>
        <v>3150*1700*900</v>
      </c>
      <c r="R450" s="36" t="str">
        <f t="shared" ca="1" si="121"/>
        <v>2000*1250*300</v>
      </c>
      <c r="S450" s="34" t="str">
        <f>VLOOKUP(O450,ОТТС!$A$2:$B$3,2,0)</f>
        <v>ТС KZ Е-KZ.0317.00251 от 28.02.2023</v>
      </c>
      <c r="T450" s="39">
        <v>300000</v>
      </c>
      <c r="U450" s="36" t="str">
        <f t="shared" si="114"/>
        <v>Кокшетау</v>
      </c>
    </row>
    <row r="451" spans="1:21" ht="13.2">
      <c r="A451" s="34">
        <v>1635</v>
      </c>
      <c r="B451" s="35">
        <f>VLOOKUP(A451,'Реестр договоров'!$A$2:$D$508,2,0)</f>
        <v>45796</v>
      </c>
      <c r="C451" s="36" t="str">
        <f t="shared" si="122"/>
        <v>Бердиханову 1</v>
      </c>
      <c r="D451" s="36" t="str">
        <f t="shared" si="123"/>
        <v>Полаткалий</v>
      </c>
      <c r="E451" s="36" t="str">
        <f t="shared" si="117"/>
        <v>Нурдаулетович</v>
      </c>
      <c r="F451" s="36" t="str">
        <f t="shared" si="124"/>
        <v>055060113</v>
      </c>
      <c r="G451" s="37">
        <f>VLOOKUP(F451,Покупатели!$F$2:$N$762,2,0)</f>
        <v>45261</v>
      </c>
      <c r="H451" s="36" t="str">
        <f>VLOOKUP(F451,Покупатели!$F$2:$N$762,3,0)</f>
        <v>МВД РК</v>
      </c>
      <c r="I451" s="36">
        <f>VLOOKUP(C451,Покупатели!$C$2:$M$805,7,0)</f>
        <v>810522303061</v>
      </c>
      <c r="J451" s="36" t="str">
        <f ca="1">IFERROR(__xludf.DUMMYFUNCTION("JOIN("" "", VLOOKUP(C451,Покупатели,8,0),VLOOKUP(C451,Покупатели,9,0),VLOOKUP(C451,Покупатели,10,0),VLOOKUP(C451,Покупатели,11,0))"),"Жамбульская область Байзакский район, с.Сарыкемер ул.Орынкулова д.119а")</f>
        <v>Жамбульская область Байзакский район, с.Сарыкемер ул.Орынкулова д.119а</v>
      </c>
      <c r="K451" s="36">
        <f t="shared" si="125"/>
        <v>87087435052</v>
      </c>
      <c r="L451" s="36" t="str">
        <f t="shared" si="126"/>
        <v>MX4000002S0001968</v>
      </c>
      <c r="M451" s="36" t="str">
        <f t="shared" ca="1" si="116"/>
        <v>002-2013E30Q13-OK</v>
      </c>
      <c r="N451" s="36" t="str">
        <f t="shared" si="115"/>
        <v>Прицеп 2,0*1,25 м  (до 750 кг.)</v>
      </c>
      <c r="O451" s="36" t="str">
        <f t="shared" si="127"/>
        <v>1 ось</v>
      </c>
      <c r="P451" s="36">
        <f t="shared" si="128"/>
        <v>2025</v>
      </c>
      <c r="Q451" s="34" t="str">
        <f t="shared" ca="1" si="120"/>
        <v>3150*1700*900</v>
      </c>
      <c r="R451" s="36" t="str">
        <f t="shared" ca="1" si="121"/>
        <v>2000*1250*300</v>
      </c>
      <c r="S451" s="34" t="str">
        <f>VLOOKUP(O451,ОТТС!$A$2:$B$3,2,0)</f>
        <v>ТС KZ Е-KZ.0317.00251 от 28.02.2023</v>
      </c>
      <c r="T451" s="39">
        <v>310000</v>
      </c>
      <c r="U451" s="36" t="str">
        <f t="shared" si="114"/>
        <v>Астана</v>
      </c>
    </row>
    <row r="452" spans="1:21" ht="13.2">
      <c r="A452" s="34">
        <v>1636</v>
      </c>
      <c r="B452" s="35">
        <f>VLOOKUP(A452,'Реестр договоров'!$A$2:$D$508,2,0)</f>
        <v>45796</v>
      </c>
      <c r="C452" s="36" t="str">
        <f t="shared" si="122"/>
        <v>Ашербеков</v>
      </c>
      <c r="D452" s="36" t="str">
        <f t="shared" si="123"/>
        <v>Бауржан</v>
      </c>
      <c r="E452" s="36" t="str">
        <f t="shared" si="117"/>
        <v>Русланович</v>
      </c>
      <c r="F452" s="36" t="str">
        <f t="shared" si="124"/>
        <v>059445580</v>
      </c>
      <c r="G452" s="37">
        <f>VLOOKUP(F452,Покупатели!$F$2:$N$762,2,0)</f>
        <v>45623</v>
      </c>
      <c r="H452" s="36" t="str">
        <f>VLOOKUP(F452,Покупатели!$F$2:$N$762,3,0)</f>
        <v>МВД РК</v>
      </c>
      <c r="I452" s="36">
        <f>VLOOKUP(C452,Покупатели!$C$2:$M$805,7,0)</f>
        <v>981212350252</v>
      </c>
      <c r="J452" s="36" t="str">
        <f ca="1">IFERROR(__xludf.DUMMYFUNCTION("JOIN("" "", VLOOKUP(C452,Покупатели,8,0),VLOOKUP(C452,Покупатели,9,0),VLOOKUP(C452,Покупатели,10,0),VLOOKUP(C452,Покупатели,11,0))"),"СКО, Тайыншинский район, с. Большой Изюм, ул. Целинная, д. 56")</f>
        <v>СКО, Тайыншинский район, с. Большой Изюм, ул. Целинная, д. 56</v>
      </c>
      <c r="K452" s="36">
        <f t="shared" si="125"/>
        <v>87473960653</v>
      </c>
      <c r="L452" s="36" t="str">
        <f t="shared" si="126"/>
        <v>MX4000002S0002158</v>
      </c>
      <c r="M452" s="36" t="str">
        <f t="shared" ca="1" si="116"/>
        <v>002-2013E50Q13-OK</v>
      </c>
      <c r="N452" s="36" t="str">
        <f t="shared" si="115"/>
        <v>Прицеп 2,0*1,25 м  (до 750 кг.)</v>
      </c>
      <c r="O452" s="36" t="str">
        <f t="shared" si="127"/>
        <v>1 ось</v>
      </c>
      <c r="P452" s="36">
        <f t="shared" si="128"/>
        <v>2025</v>
      </c>
      <c r="Q452" s="34" t="str">
        <f t="shared" ca="1" si="120"/>
        <v>3150*1700*1070</v>
      </c>
      <c r="R452" s="36" t="str">
        <f t="shared" ca="1" si="121"/>
        <v>2000*1250*500</v>
      </c>
      <c r="S452" s="34" t="str">
        <f>VLOOKUP(O452,ОТТС!$A$2:$B$3,2,0)</f>
        <v>ТС KZ Е-KZ.0317.00251 от 28.02.2023</v>
      </c>
      <c r="T452" s="39">
        <v>340000</v>
      </c>
      <c r="U452" s="36" t="str">
        <f t="shared" si="114"/>
        <v>Кокшетау</v>
      </c>
    </row>
    <row r="453" spans="1:21" ht="13.2">
      <c r="A453" s="34">
        <v>1637</v>
      </c>
      <c r="B453" s="35">
        <f>VLOOKUP(A453,'Реестр договоров'!$A$2:$D$508,2,0)</f>
        <v>45796</v>
      </c>
      <c r="C453" s="36" t="str">
        <f t="shared" si="122"/>
        <v>Балахан</v>
      </c>
      <c r="D453" s="36" t="str">
        <f t="shared" si="123"/>
        <v>Ерлан</v>
      </c>
      <c r="E453" s="36" t="str">
        <f t="shared" si="117"/>
        <v>Өмірбекұлы</v>
      </c>
      <c r="F453" s="36" t="str">
        <f t="shared" si="124"/>
        <v>045490251</v>
      </c>
      <c r="G453" s="37">
        <f>VLOOKUP(F453,Покупатели!$F$2:$N$762,2,0)</f>
        <v>43818</v>
      </c>
      <c r="H453" s="36" t="str">
        <f>VLOOKUP(F453,Покупатели!$F$2:$N$762,3,0)</f>
        <v>ҚР ІІМ</v>
      </c>
      <c r="I453" s="36">
        <f>VLOOKUP(C453,Покупатели!$C$2:$M$805,7,0)</f>
        <v>921111301571</v>
      </c>
      <c r="J453" s="36" t="str">
        <f ca="1">IFERROR(__xludf.DUMMYFUNCTION("JOIN("" "", VLOOKUP(C453,Покупатели,8,0),VLOOKUP(C453,Покупатели,9,0),VLOOKUP(C453,Покупатели,10,0),VLOOKUP(C453,Покупатели,11,0))"),"Жамбылская область, Сарысуский район, с. Саудакент, ул. Есенбекова,  д.1")</f>
        <v>Жамбылская область, Сарысуский район, с. Саудакент, ул. Есенбекова,  д.1</v>
      </c>
      <c r="K453" s="36">
        <f t="shared" si="125"/>
        <v>87052232757</v>
      </c>
      <c r="L453" s="36" t="str">
        <f t="shared" si="126"/>
        <v>MX4000004S0002133</v>
      </c>
      <c r="M453" s="36" t="str">
        <f t="shared" ca="1" si="116"/>
        <v>002-3015E30Q13-OK120</v>
      </c>
      <c r="N453" s="36" t="str">
        <f t="shared" si="115"/>
        <v>Прицеп 3,0*1,5 м  (до 750 кг.)</v>
      </c>
      <c r="O453" s="36" t="str">
        <f t="shared" si="127"/>
        <v>2 оси</v>
      </c>
      <c r="P453" s="36">
        <f t="shared" si="128"/>
        <v>2025</v>
      </c>
      <c r="Q453" s="34" t="str">
        <f t="shared" ca="1" si="120"/>
        <v>3800*1950*900</v>
      </c>
      <c r="R453" s="36" t="str">
        <f t="shared" ca="1" si="121"/>
        <v>3000*1500*300</v>
      </c>
      <c r="S453" s="34" t="str">
        <f>VLOOKUP(O453,ОТТС!$A$2:$B$3,2,0)</f>
        <v>ТС KZ Е-KZ.0317.00219.П1 от 17.07.2025</v>
      </c>
      <c r="T453" s="39">
        <v>750000</v>
      </c>
      <c r="U453" s="36" t="str">
        <f t="shared" si="114"/>
        <v>Алматы</v>
      </c>
    </row>
    <row r="454" spans="1:21" ht="13.2">
      <c r="A454" s="34">
        <v>1639</v>
      </c>
      <c r="B454" s="35">
        <f>VLOOKUP(A454,'Реестр договоров'!$A$2:$D$508,2,0)</f>
        <v>45796</v>
      </c>
      <c r="C454" s="36" t="str">
        <f t="shared" si="122"/>
        <v>Зарипова</v>
      </c>
      <c r="D454" s="36" t="str">
        <f t="shared" si="123"/>
        <v>Яна</v>
      </c>
      <c r="E454" s="36" t="str">
        <f t="shared" si="117"/>
        <v>Рафаэлевна</v>
      </c>
      <c r="F454" s="36" t="str">
        <f t="shared" si="124"/>
        <v>046979380</v>
      </c>
      <c r="G454" s="37">
        <f>VLOOKUP(F454,Покупатели!$F$2:$N$762,2,0)</f>
        <v>43802</v>
      </c>
      <c r="H454" s="36" t="str">
        <f>VLOOKUP(F454,Покупатели!$F$2:$N$762,3,0)</f>
        <v>МВД РК</v>
      </c>
      <c r="I454" s="36">
        <f>VLOOKUP(C454,Покупатели!$C$2:$M$805,7,0)</f>
        <v>950709001194</v>
      </c>
      <c r="J454" s="36" t="str">
        <f ca="1">IFERROR(__xludf.DUMMYFUNCTION("JOIN("" "", VLOOKUP(C454,Покупатели,8,0),VLOOKUP(C454,Покупатели,9,0),VLOOKUP(C454,Покупатели,10,0),VLOOKUP(C454,Покупатели,11,0))"),"Алматинская область,  г. Алматы, мкр. Кокмайса, дом 32, кв. 7")</f>
        <v>Алматинская область,  г. Алматы, мкр. Кокмайса, дом 32, кв. 7</v>
      </c>
      <c r="K454" s="36">
        <f t="shared" si="125"/>
        <v>87078113123</v>
      </c>
      <c r="L454" s="36" t="str">
        <f t="shared" si="126"/>
        <v>MX4000002R0001627</v>
      </c>
      <c r="M454" s="36" t="str">
        <f t="shared" ca="1" si="116"/>
        <v>002-2513E30Q13-OK</v>
      </c>
      <c r="N454" s="36" t="str">
        <f t="shared" si="115"/>
        <v>Прицеп 2,5*1,25 м  (до 750 кг.)</v>
      </c>
      <c r="O454" s="36" t="str">
        <f t="shared" si="127"/>
        <v>1 ось</v>
      </c>
      <c r="P454" s="36">
        <f t="shared" si="128"/>
        <v>2024</v>
      </c>
      <c r="Q454" s="34" t="str">
        <f t="shared" ca="1" si="120"/>
        <v>3650*1700*900</v>
      </c>
      <c r="R454" s="36" t="str">
        <f t="shared" ca="1" si="121"/>
        <v>2500*1250*300</v>
      </c>
      <c r="S454" s="34" t="str">
        <f>VLOOKUP(O454,ОТТС!$A$2:$B$3,2,0)</f>
        <v>ТС KZ Е-KZ.0317.00251 от 28.02.2023</v>
      </c>
      <c r="T454" s="39">
        <v>360000</v>
      </c>
      <c r="U454" s="36" t="str">
        <f t="shared" si="114"/>
        <v>Алматы</v>
      </c>
    </row>
    <row r="455" spans="1:21" ht="13.2">
      <c r="A455" s="34">
        <v>1640</v>
      </c>
      <c r="B455" s="35">
        <f>VLOOKUP(A455,'Реестр договоров'!$A$2:$D$508,2,0)</f>
        <v>45796</v>
      </c>
      <c r="C455" s="36" t="str">
        <f t="shared" si="122"/>
        <v>Асанов</v>
      </c>
      <c r="D455" s="36" t="str">
        <f t="shared" si="123"/>
        <v>Дастан</v>
      </c>
      <c r="E455" s="36" t="str">
        <f t="shared" si="117"/>
        <v>Аманшылыкович</v>
      </c>
      <c r="F455" s="36" t="str">
        <f t="shared" si="124"/>
        <v>053774412</v>
      </c>
      <c r="G455" s="37">
        <f>VLOOKUP(F455,Покупатели!$F$2:$N$762,2,0)</f>
        <v>44827</v>
      </c>
      <c r="H455" s="36" t="str">
        <f>VLOOKUP(F455,Покупатели!$F$2:$N$762,3,0)</f>
        <v>МВД РК</v>
      </c>
      <c r="I455" s="36">
        <f>VLOOKUP(C455,Покупатели!$C$2:$M$805,7,0)</f>
        <v>871026302368</v>
      </c>
      <c r="J455" s="36" t="str">
        <f ca="1">IFERROR(__xludf.DUMMYFUNCTION("JOIN("" "", VLOOKUP(C455,Покупатели,8,0),VLOOKUP(C455,Покупатели,9,0),VLOOKUP(C455,Покупатели,10,0),VLOOKUP(C455,Покупатели,11,0))"),"г.Астана р-н Алматы Юго-Восток, ул.Каратал д.14")</f>
        <v>г.Астана р-н Алматы Юго-Восток, ул.Каратал д.14</v>
      </c>
      <c r="K455" s="36">
        <f t="shared" si="125"/>
        <v>87023484860</v>
      </c>
      <c r="L455" s="36" t="str">
        <f t="shared" si="126"/>
        <v>MX4000002S0002151</v>
      </c>
      <c r="M455" s="36" t="str">
        <f t="shared" ca="1" si="116"/>
        <v>002-2013E50Q13-OK30</v>
      </c>
      <c r="N455" s="36" t="str">
        <f t="shared" si="115"/>
        <v>Прицеп 2,0*1,25 м  (до 750 кг.)</v>
      </c>
      <c r="O455" s="36" t="str">
        <f t="shared" si="127"/>
        <v>1 ось</v>
      </c>
      <c r="P455" s="36">
        <f t="shared" si="128"/>
        <v>2025</v>
      </c>
      <c r="Q455" s="34" t="str">
        <f t="shared" ca="1" si="120"/>
        <v>3150*1700*1070</v>
      </c>
      <c r="R455" s="36" t="str">
        <f t="shared" ca="1" si="121"/>
        <v>2000*1250*500</v>
      </c>
      <c r="S455" s="34" t="str">
        <f>VLOOKUP(O455,ОТТС!$A$2:$B$3,2,0)</f>
        <v>ТС KZ Е-KZ.0317.00251 от 28.02.2023</v>
      </c>
      <c r="T455" s="39">
        <v>400000</v>
      </c>
      <c r="U455" s="36" t="str">
        <f t="shared" si="114"/>
        <v>Астана</v>
      </c>
    </row>
    <row r="456" spans="1:21" ht="13.2">
      <c r="A456" s="34">
        <v>1641</v>
      </c>
      <c r="B456" s="35">
        <f>VLOOKUP(A456,'Реестр договоров'!$A$2:$D$508,2,0)</f>
        <v>45796</v>
      </c>
      <c r="C456" s="36" t="str">
        <f t="shared" si="122"/>
        <v>Өмірлі</v>
      </c>
      <c r="D456" s="36" t="str">
        <f t="shared" si="123"/>
        <v>Шыңғыс</v>
      </c>
      <c r="E456" s="36" t="str">
        <f t="shared" si="117"/>
        <v>Батырханұлы</v>
      </c>
      <c r="F456" s="36" t="str">
        <f t="shared" si="124"/>
        <v>059349757</v>
      </c>
      <c r="G456" s="37">
        <f>VLOOKUP(F456,Покупатели!$F$2:$N$762,2,0)</f>
        <v>45771</v>
      </c>
      <c r="H456" s="36" t="str">
        <f>VLOOKUP(F456,Покупатели!$F$2:$N$762,3,0)</f>
        <v>ҚР ІІМ</v>
      </c>
      <c r="I456" s="36" t="str">
        <f>VLOOKUP(C456,Покупатели!$C$2:$M$805,7,0)</f>
        <v>020619501941</v>
      </c>
      <c r="J456" s="36" t="str">
        <f ca="1">IFERROR(__xludf.DUMMYFUNCTION("JOIN("" "", VLOOKUP(C456,Покупатели,8,0),VLOOKUP(C456,Покупатели,9,0),VLOOKUP(C456,Покупатели,10,0),VLOOKUP(C456,Покупатели,11,0))"),"г.Алматы, Наурызбайский район, ​Калкаман-2 м-н, ул. Смайылова, д.174/1")</f>
        <v>г.Алматы, Наурызбайский район, ​Калкаман-2 м-н, ул. Смайылова, д.174/1</v>
      </c>
      <c r="K456" s="36">
        <f t="shared" si="125"/>
        <v>87476664518</v>
      </c>
      <c r="L456" s="36" t="str">
        <f t="shared" si="126"/>
        <v>MX4000002S0001963</v>
      </c>
      <c r="M456" s="36" t="str">
        <f t="shared" ca="1" si="116"/>
        <v>002-2013E30Q13-OK</v>
      </c>
      <c r="N456" s="36" t="str">
        <f t="shared" si="115"/>
        <v>Прицеп 2,0*1,25 м  (до 750 кг.)</v>
      </c>
      <c r="O456" s="36" t="str">
        <f t="shared" si="127"/>
        <v>1 ось</v>
      </c>
      <c r="P456" s="36">
        <f t="shared" si="128"/>
        <v>2025</v>
      </c>
      <c r="Q456" s="34" t="str">
        <f t="shared" ca="1" si="120"/>
        <v>3150*1700*900</v>
      </c>
      <c r="R456" s="36" t="str">
        <f t="shared" ca="1" si="121"/>
        <v>2000*1250*300</v>
      </c>
      <c r="S456" s="34" t="str">
        <f>VLOOKUP(O456,ОТТС!$A$2:$B$3,2,0)</f>
        <v>ТС KZ Е-KZ.0317.00251 от 28.02.2023</v>
      </c>
      <c r="T456" s="39">
        <v>360000</v>
      </c>
      <c r="U456" s="36" t="str">
        <f t="shared" si="114"/>
        <v>Алматы</v>
      </c>
    </row>
    <row r="457" spans="1:21" ht="13.2">
      <c r="A457" s="34">
        <v>1642</v>
      </c>
      <c r="B457" s="35">
        <f>VLOOKUP(A457,'Реестр договоров'!$A$2:$D$508,2,0)</f>
        <v>45797</v>
      </c>
      <c r="C457" s="36" t="str">
        <f t="shared" si="122"/>
        <v>Сулейменов 1</v>
      </c>
      <c r="D457" s="36" t="str">
        <f t="shared" si="123"/>
        <v>Бауржан</v>
      </c>
      <c r="E457" s="36" t="str">
        <f t="shared" si="117"/>
        <v>Каирбулатович</v>
      </c>
      <c r="F457" s="36" t="str">
        <f t="shared" si="124"/>
        <v>038981182</v>
      </c>
      <c r="G457" s="37">
        <f>VLOOKUP(F457,Покупатели!$F$2:$N$762,2,0)</f>
        <v>42240</v>
      </c>
      <c r="H457" s="36" t="str">
        <f>VLOOKUP(F457,Покупатели!$F$2:$N$762,3,0)</f>
        <v>МВД РК</v>
      </c>
      <c r="I457" s="36">
        <f>VLOOKUP(C457,Покупатели!$C$2:$M$805,7,0)</f>
        <v>820126350964</v>
      </c>
      <c r="J457" s="36" t="str">
        <f ca="1">IFERROR(__xludf.DUMMYFUNCTION("JOIN("" "", VLOOKUP(C457,Покупатели,8,0),VLOOKUP(C457,Покупатели,9,0),VLOOKUP(C457,Покупатели,10,0),VLOOKUP(C457,Покупатели,11,0))"),"Акмолинская обл. Аршалынский р-н, с.Аршалы ул.Матросова 2")</f>
        <v>Акмолинская обл. Аршалынский р-н, с.Аршалы ул.Матросова 2</v>
      </c>
      <c r="K457" s="36">
        <f t="shared" si="125"/>
        <v>87761612828</v>
      </c>
      <c r="L457" s="36" t="str">
        <f t="shared" si="126"/>
        <v>MX4000002S0002146</v>
      </c>
      <c r="M457" s="36" t="str">
        <f t="shared" ca="1" si="116"/>
        <v>002-2013E50Q13-OK</v>
      </c>
      <c r="N457" s="36" t="str">
        <f t="shared" si="115"/>
        <v>Прицеп 2,0*1,25 м  (до 750 кг.)</v>
      </c>
      <c r="O457" s="36" t="str">
        <f t="shared" si="127"/>
        <v>1 ось</v>
      </c>
      <c r="P457" s="36">
        <f t="shared" si="128"/>
        <v>2025</v>
      </c>
      <c r="Q457" s="34" t="str">
        <f t="shared" ca="1" si="120"/>
        <v>3150*1700*1070</v>
      </c>
      <c r="R457" s="36" t="str">
        <f t="shared" ca="1" si="121"/>
        <v>2000*1250*500</v>
      </c>
      <c r="S457" s="34" t="str">
        <f>VLOOKUP(O457,ОТТС!$A$2:$B$3,2,0)</f>
        <v>ТС KZ Е-KZ.0317.00251 от 28.02.2023</v>
      </c>
      <c r="T457" s="39">
        <v>370000</v>
      </c>
      <c r="U457" s="36" t="str">
        <f t="shared" si="114"/>
        <v>Астана</v>
      </c>
    </row>
    <row r="458" spans="1:21" ht="13.2">
      <c r="A458" s="34">
        <v>1643</v>
      </c>
      <c r="B458" s="35">
        <f>VLOOKUP(A458,'Реестр договоров'!$A$2:$D$508,2,0)</f>
        <v>45797</v>
      </c>
      <c r="C458" s="36" t="str">
        <f t="shared" si="122"/>
        <v>Конюша</v>
      </c>
      <c r="D458" s="36" t="str">
        <f t="shared" si="123"/>
        <v>Олег</v>
      </c>
      <c r="E458" s="36" t="str">
        <f t="shared" si="117"/>
        <v>Леонидович</v>
      </c>
      <c r="F458" s="36" t="str">
        <f t="shared" si="124"/>
        <v>054124846</v>
      </c>
      <c r="G458" s="37">
        <f>VLOOKUP(F458,Покупатели!$F$2:$N$762,2,0)</f>
        <v>44881</v>
      </c>
      <c r="H458" s="36" t="str">
        <f>VLOOKUP(F458,Покупатели!$F$2:$N$762,3,0)</f>
        <v>МВД РК</v>
      </c>
      <c r="I458" s="36">
        <f>VLOOKUP(C458,Покупатели!$C$2:$M$805,7,0)</f>
        <v>771129350040</v>
      </c>
      <c r="J458" s="36" t="str">
        <f ca="1">IFERROR(__xludf.DUMMYFUNCTION("JOIN("" "", VLOOKUP(C458,Покупатели,8,0),VLOOKUP(C458,Покупатели,9,0),VLOOKUP(C458,Покупатели,10,0),VLOOKUP(C458,Покупатели,11,0))"),"СКО, с. Новоишимка, ул. Ишимская, д.31")</f>
        <v>СКО, с. Новоишимка, ул. Ишимская, д.31</v>
      </c>
      <c r="K458" s="36">
        <f t="shared" si="125"/>
        <v>87774176296</v>
      </c>
      <c r="L458" s="36" t="str">
        <f t="shared" si="126"/>
        <v>MX4000002S0002162</v>
      </c>
      <c r="M458" s="36" t="str">
        <f t="shared" ca="1" si="116"/>
        <v>002-2013E50Q13-OK30</v>
      </c>
      <c r="N458" s="36" t="str">
        <f t="shared" si="115"/>
        <v>Прицеп 2,0*1,25 м  (до 750 кг.)</v>
      </c>
      <c r="O458" s="36" t="str">
        <f t="shared" si="127"/>
        <v>1 ось</v>
      </c>
      <c r="P458" s="36">
        <f t="shared" si="128"/>
        <v>2025</v>
      </c>
      <c r="Q458" s="34" t="str">
        <f t="shared" ca="1" si="120"/>
        <v>3150*1700*1070</v>
      </c>
      <c r="R458" s="36" t="str">
        <f t="shared" ca="1" si="121"/>
        <v>2000*1250*500</v>
      </c>
      <c r="S458" s="34" t="str">
        <f>VLOOKUP(O458,ОТТС!$A$2:$B$3,2,0)</f>
        <v>ТС KZ Е-KZ.0317.00251 от 28.02.2023</v>
      </c>
      <c r="T458" s="39">
        <v>350000</v>
      </c>
      <c r="U458" s="36" t="str">
        <f t="shared" si="114"/>
        <v>Кокшетау</v>
      </c>
    </row>
    <row r="459" spans="1:21" ht="13.2">
      <c r="A459" s="34">
        <v>1644</v>
      </c>
      <c r="B459" s="35">
        <f>VLOOKUP(A459,'Реестр договоров'!$A$2:$D$508,2,0)</f>
        <v>45798</v>
      </c>
      <c r="C459" s="36" t="str">
        <f t="shared" si="122"/>
        <v>Туленов</v>
      </c>
      <c r="D459" s="36" t="str">
        <f t="shared" si="123"/>
        <v>Серик</v>
      </c>
      <c r="E459" s="36" t="str">
        <f t="shared" si="117"/>
        <v>Нурмухамбетович</v>
      </c>
      <c r="F459" s="36" t="str">
        <f t="shared" si="124"/>
        <v>059154788</v>
      </c>
      <c r="G459" s="37">
        <f>VLOOKUP(F459,Покупатели!$F$2:$N$762,2,0)</f>
        <v>45574</v>
      </c>
      <c r="H459" s="36" t="str">
        <f>VLOOKUP(F459,Покупатели!$F$2:$N$762,3,0)</f>
        <v>МВД РК</v>
      </c>
      <c r="I459" s="36">
        <f>VLOOKUP(C459,Покупатели!$C$2:$M$805,7,0)</f>
        <v>850427351012</v>
      </c>
      <c r="J459" s="36" t="str">
        <f ca="1">IFERROR(__xludf.DUMMYFUNCTION("JOIN("" "", VLOOKUP(C459,Покупатели,8,0),VLOOKUP(C459,Покупатели,9,0),VLOOKUP(C459,Покупатели,10,0),VLOOKUP(C459,Покупатели,11,0))"),"г.Астана р-н Сарыарка ул.Абая д.53/2 кв.50")</f>
        <v>г.Астана р-н Сарыарка ул.Абая д.53/2 кв.50</v>
      </c>
      <c r="K459" s="36">
        <f t="shared" si="125"/>
        <v>87026120335</v>
      </c>
      <c r="L459" s="36" t="str">
        <f t="shared" si="126"/>
        <v>MX4000002S0002148</v>
      </c>
      <c r="M459" s="36" t="str">
        <f t="shared" ca="1" si="116"/>
        <v>002-2013E50Q13-OK30</v>
      </c>
      <c r="N459" s="36" t="str">
        <f t="shared" si="115"/>
        <v>Прицеп 2,0*1,25 м  (до 750 кг.)</v>
      </c>
      <c r="O459" s="36" t="str">
        <f t="shared" si="127"/>
        <v>1 ось</v>
      </c>
      <c r="P459" s="36">
        <f t="shared" si="128"/>
        <v>2025</v>
      </c>
      <c r="Q459" s="34" t="str">
        <f t="shared" ca="1" si="120"/>
        <v>3150*1700*1070</v>
      </c>
      <c r="R459" s="36" t="str">
        <f t="shared" ca="1" si="121"/>
        <v>2000*1250*500</v>
      </c>
      <c r="S459" s="34" t="str">
        <f>VLOOKUP(O459,ОТТС!$A$2:$B$3,2,0)</f>
        <v>ТС KZ Е-KZ.0317.00251 от 28.02.2023</v>
      </c>
      <c r="T459" s="39">
        <v>330000</v>
      </c>
      <c r="U459" s="36" t="str">
        <f t="shared" si="114"/>
        <v>Астана</v>
      </c>
    </row>
    <row r="460" spans="1:21" ht="13.2">
      <c r="A460" s="34">
        <v>1645</v>
      </c>
      <c r="B460" s="35">
        <f>VLOOKUP(A460,'Реестр договоров'!$A$2:$D$508,2,0)</f>
        <v>45798</v>
      </c>
      <c r="C460" s="36" t="str">
        <f t="shared" si="122"/>
        <v>Акбердин</v>
      </c>
      <c r="D460" s="36" t="str">
        <f t="shared" si="123"/>
        <v>Рафаэль</v>
      </c>
      <c r="E460" s="36" t="str">
        <f t="shared" si="117"/>
        <v>Равильевич</v>
      </c>
      <c r="F460" s="36" t="str">
        <f t="shared" si="124"/>
        <v>056007410</v>
      </c>
      <c r="G460" s="37">
        <f>VLOOKUP(F460,Покупатели!$F$2:$N$762,2,0)</f>
        <v>45147</v>
      </c>
      <c r="H460" s="36" t="str">
        <f>VLOOKUP(F460,Покупатели!$F$2:$N$762,3,0)</f>
        <v>МВД РК</v>
      </c>
      <c r="I460" s="36">
        <f>VLOOKUP(C460,Покупатели!$C$2:$M$805,7,0)</f>
        <v>780819300569</v>
      </c>
      <c r="J460" s="36" t="str">
        <f ca="1">IFERROR(__xludf.DUMMYFUNCTION("JOIN("" "", VLOOKUP(C460,Покупатели,8,0),VLOOKUP(C460,Покупатели,9,0),VLOOKUP(C460,Покупатели,10,0),VLOOKUP(C460,Покупатели,11,0))"),"Акмолинская область, г.Кокшетау,  ул. Сулейменова, д.20, кв 8")</f>
        <v>Акмолинская область, г.Кокшетау,  ул. Сулейменова, д.20, кв 8</v>
      </c>
      <c r="K460" s="36">
        <f t="shared" si="125"/>
        <v>87055402301</v>
      </c>
      <c r="L460" s="36" t="str">
        <f t="shared" si="126"/>
        <v>MX4000002S0002166</v>
      </c>
      <c r="M460" s="36" t="str">
        <f t="shared" ca="1" si="116"/>
        <v>002-2013E50Q13-OK</v>
      </c>
      <c r="N460" s="36" t="str">
        <f t="shared" si="115"/>
        <v>Прицеп 2,0*1,25 м  (до 750 кг.)</v>
      </c>
      <c r="O460" s="36" t="str">
        <f t="shared" si="127"/>
        <v>1 ось</v>
      </c>
      <c r="P460" s="36">
        <f t="shared" si="128"/>
        <v>2025</v>
      </c>
      <c r="Q460" s="34" t="str">
        <f t="shared" ca="1" si="120"/>
        <v>3150*1700*1070</v>
      </c>
      <c r="R460" s="36" t="str">
        <f t="shared" ca="1" si="121"/>
        <v>2000*1250*500</v>
      </c>
      <c r="S460" s="34" t="str">
        <f>VLOOKUP(O460,ОТТС!$A$2:$B$3,2,0)</f>
        <v>ТС KZ Е-KZ.0317.00251 от 28.02.2023</v>
      </c>
      <c r="T460" s="39">
        <v>360000</v>
      </c>
      <c r="U460" s="36" t="str">
        <f t="shared" si="114"/>
        <v>Кокшетау</v>
      </c>
    </row>
    <row r="461" spans="1:21" ht="13.2">
      <c r="A461" s="34">
        <v>1646</v>
      </c>
      <c r="B461" s="35">
        <f>VLOOKUP(A461,'Реестр договоров'!$A$2:$D$508,2,0)</f>
        <v>45798</v>
      </c>
      <c r="C461" s="36" t="str">
        <f t="shared" si="122"/>
        <v>Темирханов</v>
      </c>
      <c r="D461" s="36" t="str">
        <f t="shared" si="123"/>
        <v>Руслан</v>
      </c>
      <c r="E461" s="36" t="str">
        <f t="shared" si="117"/>
        <v>Жанатканович</v>
      </c>
      <c r="F461" s="36" t="str">
        <f t="shared" si="124"/>
        <v>050654694</v>
      </c>
      <c r="G461" s="37">
        <f>VLOOKUP(F461,Покупатели!$F$2:$N$762,2,0)</f>
        <v>44363</v>
      </c>
      <c r="H461" s="36" t="str">
        <f>VLOOKUP(F461,Покупатели!$F$2:$N$762,3,0)</f>
        <v>МВД РК</v>
      </c>
      <c r="I461" s="36">
        <f>VLOOKUP(C461,Покупатели!$C$2:$M$805,7,0)</f>
        <v>810530350740</v>
      </c>
      <c r="J461" s="36" t="str">
        <f ca="1">IFERROR(__xludf.DUMMYFUNCTION("JOIN("" "", VLOOKUP(C461,Покупатели,8,0),VLOOKUP(C461,Покупатели,9,0),VLOOKUP(C461,Покупатели,10,0),VLOOKUP(C461,Покупатели,11,0))"),"Акмолинская область, г. Кокшетау, ул. Акана Серы, д.159, кв.70")</f>
        <v>Акмолинская область, г. Кокшетау, ул. Акана Серы, д.159, кв.70</v>
      </c>
      <c r="K461" s="36">
        <f t="shared" si="125"/>
        <v>87786827997</v>
      </c>
      <c r="L461" s="36" t="str">
        <f t="shared" si="126"/>
        <v>MX4000002S0002164</v>
      </c>
      <c r="M461" s="36" t="str">
        <f t="shared" ca="1" si="116"/>
        <v>002-2013E50Q13-OK60</v>
      </c>
      <c r="N461" s="36" t="str">
        <f t="shared" si="115"/>
        <v>Прицеп 2,0*1,25 м  (до 750 кг.)</v>
      </c>
      <c r="O461" s="36" t="str">
        <f t="shared" si="127"/>
        <v>1 ось</v>
      </c>
      <c r="P461" s="36">
        <f t="shared" si="128"/>
        <v>2025</v>
      </c>
      <c r="Q461" s="34" t="str">
        <f t="shared" ca="1" si="120"/>
        <v>3150*1700*1070</v>
      </c>
      <c r="R461" s="36" t="str">
        <f t="shared" ca="1" si="121"/>
        <v>2000*1250*500</v>
      </c>
      <c r="S461" s="34" t="str">
        <f>VLOOKUP(O461,ОТТС!$A$2:$B$3,2,0)</f>
        <v>ТС KZ Е-KZ.0317.00251 от 28.02.2023</v>
      </c>
      <c r="T461" s="39">
        <v>370000</v>
      </c>
      <c r="U461" s="36" t="str">
        <f t="shared" si="114"/>
        <v>Кокшетау</v>
      </c>
    </row>
    <row r="462" spans="1:21" ht="13.2">
      <c r="A462" s="34">
        <v>1647</v>
      </c>
      <c r="B462" s="35">
        <f>VLOOKUP(A462,'Реестр договоров'!$A$2:$D$508,2,0)</f>
        <v>45798</v>
      </c>
      <c r="C462" s="36" t="str">
        <f t="shared" si="122"/>
        <v>Айкенов</v>
      </c>
      <c r="D462" s="36" t="str">
        <f t="shared" si="123"/>
        <v>Асхат</v>
      </c>
      <c r="E462" s="36" t="str">
        <f t="shared" si="117"/>
        <v>Жанатович</v>
      </c>
      <c r="F462" s="36" t="str">
        <f t="shared" si="124"/>
        <v>059297502</v>
      </c>
      <c r="G462" s="37">
        <f>VLOOKUP(F462,Покупатели!$F$2:$N$762,2,0)</f>
        <v>45597</v>
      </c>
      <c r="H462" s="36" t="str">
        <f>VLOOKUP(F462,Покупатели!$F$2:$N$762,3,0)</f>
        <v>МВД РК</v>
      </c>
      <c r="I462" s="36">
        <f>VLOOKUP(C462,Покупатели!$C$2:$M$805,7,0)</f>
        <v>891118350212</v>
      </c>
      <c r="J462" s="36" t="str">
        <f ca="1">IFERROR(__xludf.DUMMYFUNCTION("JOIN("" "", VLOOKUP(C462,Покупатели,8,0),VLOOKUP(C462,Покупатели,9,0),VLOOKUP(C462,Покупатели,10,0),VLOOKUP(C462,Покупатели,11,0))"),"Карагандинская обл г.Караганда ул.Минина д.56")</f>
        <v>Карагандинская обл г.Караганда ул.Минина д.56</v>
      </c>
      <c r="K462" s="36">
        <f t="shared" si="125"/>
        <v>87004116853</v>
      </c>
      <c r="L462" s="36" t="str">
        <f t="shared" si="126"/>
        <v>MX4000002S0001979</v>
      </c>
      <c r="M462" s="36" t="str">
        <f t="shared" ca="1" si="116"/>
        <v>002-2513E50Q13-OK120</v>
      </c>
      <c r="N462" s="36" t="str">
        <f t="shared" si="115"/>
        <v>Прицеп 2,5*1,25 м  (до 750 кг.)</v>
      </c>
      <c r="O462" s="36" t="str">
        <f t="shared" si="127"/>
        <v>1 ось</v>
      </c>
      <c r="P462" s="36">
        <f t="shared" si="128"/>
        <v>2025</v>
      </c>
      <c r="Q462" s="34" t="s">
        <v>942</v>
      </c>
      <c r="R462" s="34" t="s">
        <v>943</v>
      </c>
      <c r="S462" s="34" t="str">
        <f>VLOOKUP(O462,ОТТС!$A$2:$B$3,2,0)</f>
        <v>ТС KZ Е-KZ.0317.00251 от 28.02.2023</v>
      </c>
      <c r="T462" s="39">
        <v>470000</v>
      </c>
      <c r="U462" s="36" t="str">
        <f t="shared" si="114"/>
        <v>Астана</v>
      </c>
    </row>
    <row r="463" spans="1:21" ht="13.2">
      <c r="A463" s="34">
        <v>1648</v>
      </c>
      <c r="B463" s="35">
        <f>VLOOKUP(A463,'Реестр договоров'!$A$2:$D$508,2,0)</f>
        <v>45799</v>
      </c>
      <c r="C463" s="36" t="str">
        <f t="shared" si="122"/>
        <v>Мошанов</v>
      </c>
      <c r="D463" s="36" t="str">
        <f t="shared" si="123"/>
        <v>Толеген</v>
      </c>
      <c r="E463" s="36" t="str">
        <f t="shared" si="117"/>
        <v>Махатович</v>
      </c>
      <c r="F463" s="36" t="str">
        <f t="shared" si="124"/>
        <v>044205572</v>
      </c>
      <c r="G463" s="37">
        <f>VLOOKUP(F463,Покупатели!$F$2:$N$762,2,0)</f>
        <v>43206</v>
      </c>
      <c r="H463" s="36" t="str">
        <f>VLOOKUP(F463,Покупатели!$F$2:$N$762,3,0)</f>
        <v>МВД РК</v>
      </c>
      <c r="I463" s="36">
        <f>VLOOKUP(C463,Покупатели!$C$2:$M$805,7,0)</f>
        <v>850805301833</v>
      </c>
      <c r="J463" s="36" t="str">
        <f ca="1">IFERROR(__xludf.DUMMYFUNCTION("JOIN("" "", VLOOKUP(C463,Покупатели,8,0),VLOOKUP(C463,Покупатели,9,0),VLOOKUP(C463,Покупатели,10,0),VLOOKUP(C463,Покупатели,11,0))"),"Восточно-Казахстанская обл. г.Усть-Каменогорск ул.Согринская д.71")</f>
        <v>Восточно-Казахстанская обл. г.Усть-Каменогорск ул.Согринская д.71</v>
      </c>
      <c r="K463" s="36">
        <f t="shared" si="125"/>
        <v>87079592686</v>
      </c>
      <c r="L463" s="36" t="str">
        <f t="shared" si="126"/>
        <v>MX4000002S0002159</v>
      </c>
      <c r="M463" s="36" t="str">
        <f t="shared" ca="1" si="116"/>
        <v>002-2013E50Q13-OK30</v>
      </c>
      <c r="N463" s="36" t="str">
        <f t="shared" si="115"/>
        <v>Прицеп 2,0*1,25 м  (до 750 кг.)</v>
      </c>
      <c r="O463" s="36" t="str">
        <f t="shared" si="127"/>
        <v>1 ось</v>
      </c>
      <c r="P463" s="36">
        <f t="shared" si="128"/>
        <v>2025</v>
      </c>
      <c r="Q463" s="34" t="str">
        <f ca="1">VLOOKUP(M463,матрица,16,0)</f>
        <v>3150*1700*1070</v>
      </c>
      <c r="R463" s="36" t="str">
        <f t="shared" ref="R463:R526" ca="1" si="129">VLOOKUP(M463,матрица,17,0)</f>
        <v>2000*1250*500</v>
      </c>
      <c r="S463" s="34" t="str">
        <f>VLOOKUP(O463,ОТТС!$A$2:$B$3,2,0)</f>
        <v>ТС KZ Е-KZ.0317.00251 от 28.02.2023</v>
      </c>
      <c r="T463" s="39">
        <v>360000</v>
      </c>
      <c r="U463" s="36" t="str">
        <f t="shared" si="114"/>
        <v>Астана</v>
      </c>
    </row>
    <row r="464" spans="1:21" ht="13.2">
      <c r="A464" s="34">
        <v>1650</v>
      </c>
      <c r="B464" s="35">
        <f>VLOOKUP(A464,'Реестр договоров'!$A$2:$D$508,2,0)</f>
        <v>45800</v>
      </c>
      <c r="C464" s="36" t="str">
        <f t="shared" si="122"/>
        <v>Аскарова</v>
      </c>
      <c r="D464" s="36" t="str">
        <f t="shared" si="123"/>
        <v>Карлыгаш</v>
      </c>
      <c r="E464" s="36" t="str">
        <f t="shared" si="117"/>
        <v>Токташовна</v>
      </c>
      <c r="F464" s="36" t="str">
        <f t="shared" si="124"/>
        <v>043774218</v>
      </c>
      <c r="G464" s="37">
        <f>VLOOKUP(F464,Покупатели!$F$2:$N$762,2,0)</f>
        <v>43117</v>
      </c>
      <c r="H464" s="36" t="str">
        <f>VLOOKUP(F464,Покупатели!$F$2:$N$762,3,0)</f>
        <v>МВД РК</v>
      </c>
      <c r="I464" s="36">
        <f>VLOOKUP(C464,Покупатели!$C$2:$M$805,7,0)</f>
        <v>740510450287</v>
      </c>
      <c r="J464" s="36" t="str">
        <f ca="1">IFERROR(__xludf.DUMMYFUNCTION("JOIN("" "", VLOOKUP(C464,Покупатели,8,0),VLOOKUP(C464,Покупатели,9,0),VLOOKUP(C464,Покупатели,10,0),VLOOKUP(C464,Покупатели,11,0))"),"Акмолинская обл Аршалынский р-н, с.Жибек жолы мкр.Саяжай д.346")</f>
        <v>Акмолинская обл Аршалынский р-н, с.Жибек жолы мкр.Саяжай д.346</v>
      </c>
      <c r="K464" s="36">
        <f t="shared" si="125"/>
        <v>87053103762</v>
      </c>
      <c r="L464" s="36" t="str">
        <f t="shared" si="126"/>
        <v>MX4000002S0002167</v>
      </c>
      <c r="M464" s="36" t="str">
        <f t="shared" ca="1" si="116"/>
        <v>002-2013E50Q13-OK30</v>
      </c>
      <c r="N464" s="36" t="str">
        <f t="shared" si="115"/>
        <v>Прицеп 2,0*1,25 м  (до 750 кг.)</v>
      </c>
      <c r="O464" s="36" t="str">
        <f t="shared" si="127"/>
        <v>1 ось</v>
      </c>
      <c r="P464" s="36">
        <f t="shared" si="128"/>
        <v>2025</v>
      </c>
      <c r="Q464" s="34" t="s">
        <v>944</v>
      </c>
      <c r="R464" s="36" t="str">
        <f t="shared" ca="1" si="129"/>
        <v>2000*1250*500</v>
      </c>
      <c r="S464" s="34" t="str">
        <f>VLOOKUP(O464,ОТТС!$A$2:$B$3,2,0)</f>
        <v>ТС KZ Е-KZ.0317.00251 от 28.02.2023</v>
      </c>
      <c r="T464" s="39">
        <v>400000</v>
      </c>
      <c r="U464" s="36" t="str">
        <f t="shared" si="114"/>
        <v>Астана</v>
      </c>
    </row>
    <row r="465" spans="1:21" ht="13.2">
      <c r="A465" s="34">
        <v>1651</v>
      </c>
      <c r="B465" s="35">
        <f>VLOOKUP(A465,'Реестр договоров'!$A$2:$D$508,2,0)</f>
        <v>45800</v>
      </c>
      <c r="C465" s="36" t="str">
        <f t="shared" si="122"/>
        <v>Степаненко 1</v>
      </c>
      <c r="D465" s="36" t="str">
        <f t="shared" si="123"/>
        <v>Александра</v>
      </c>
      <c r="E465" s="36" t="str">
        <f t="shared" si="117"/>
        <v>Александровна</v>
      </c>
      <c r="F465" s="36" t="str">
        <f t="shared" si="124"/>
        <v>058796994</v>
      </c>
      <c r="G465" s="37">
        <f>VLOOKUP(F465,Покупатели!$F$2:$N$762,2,0)</f>
        <v>45523</v>
      </c>
      <c r="H465" s="36" t="str">
        <f>VLOOKUP(F465,Покупатели!$F$2:$N$762,3,0)</f>
        <v>МВД РК</v>
      </c>
      <c r="I465" s="36">
        <f>VLOOKUP(C465,Покупатели!$C$2:$M$805,7,0)</f>
        <v>910421450616</v>
      </c>
      <c r="J465" s="36" t="str">
        <f ca="1">IFERROR(__xludf.DUMMYFUNCTION("JOIN("" "", VLOOKUP(C465,Покупатели,8,0),VLOOKUP(C465,Покупатели,9,0),VLOOKUP(C465,Покупатели,10,0),VLOOKUP(C465,Покупатели,11,0))"),"Акмолинская область, г. Кокшетау, ул.Алькея Маргулана, д.29")</f>
        <v>Акмолинская область, г. Кокшетау, ул.Алькея Маргулана, д.29</v>
      </c>
      <c r="K465" s="36">
        <f t="shared" si="125"/>
        <v>87771167016</v>
      </c>
      <c r="L465" s="36" t="str">
        <f t="shared" si="126"/>
        <v>MX4000002S0002170</v>
      </c>
      <c r="M465" s="36" t="str">
        <f t="shared" ca="1" si="116"/>
        <v>002-2513E50Q13-OK60</v>
      </c>
      <c r="N465" s="36" t="str">
        <f t="shared" si="115"/>
        <v>Прицеп 2,5*1,25 м  (до 750 кг.)</v>
      </c>
      <c r="O465" s="36" t="str">
        <f t="shared" si="127"/>
        <v>1 ось</v>
      </c>
      <c r="P465" s="36">
        <f t="shared" si="128"/>
        <v>2025</v>
      </c>
      <c r="Q465" s="34" t="str">
        <f t="shared" ref="Q465:Q528" ca="1" si="130">VLOOKUP(M465,матрица,16,0)</f>
        <v>3650*1700*1070</v>
      </c>
      <c r="R465" s="36" t="str">
        <f t="shared" ca="1" si="129"/>
        <v>2500*1250*500</v>
      </c>
      <c r="S465" s="34" t="str">
        <f>VLOOKUP(O465,ОТТС!$A$2:$B$3,2,0)</f>
        <v>ТС KZ Е-KZ.0317.00251 от 28.02.2023</v>
      </c>
      <c r="T465" s="39">
        <v>440000</v>
      </c>
      <c r="U465" s="36" t="str">
        <f t="shared" si="114"/>
        <v>Кокшетау</v>
      </c>
    </row>
    <row r="466" spans="1:21" ht="13.2">
      <c r="A466" s="34">
        <v>1652</v>
      </c>
      <c r="B466" s="35">
        <f>VLOOKUP(A466,'Реестр договоров'!$A$2:$D$508,2,0)</f>
        <v>45800</v>
      </c>
      <c r="C466" s="36" t="str">
        <f t="shared" si="122"/>
        <v>Мухаметкаримов</v>
      </c>
      <c r="D466" s="36" t="str">
        <f t="shared" si="123"/>
        <v>Самат</v>
      </c>
      <c r="E466" s="36" t="str">
        <f t="shared" si="117"/>
        <v>Зиматович</v>
      </c>
      <c r="F466" s="36" t="str">
        <f t="shared" si="124"/>
        <v>053463954</v>
      </c>
      <c r="G466" s="37">
        <f>VLOOKUP(F466,Покупатели!$F$2:$N$762,2,0)</f>
        <v>44777</v>
      </c>
      <c r="H466" s="36" t="str">
        <f>VLOOKUP(F466,Покупатели!$F$2:$N$762,3,0)</f>
        <v>МВД РК</v>
      </c>
      <c r="I466" s="36">
        <f>VLOOKUP(C466,Покупатели!$C$2:$M$805,7,0)</f>
        <v>890415350204</v>
      </c>
      <c r="J466" s="36" t="str">
        <f ca="1">IFERROR(__xludf.DUMMYFUNCTION("JOIN("" "", VLOOKUP(C466,Покупатели,8,0),VLOOKUP(C466,Покупатели,9,0),VLOOKUP(C466,Покупатели,10,0),VLOOKUP(C466,Покупатели,11,0))"),"Акмолинская область, поселок Аэропорт, д.13, кв.28")</f>
        <v>Акмолинская область, поселок Аэропорт, д.13, кв.28</v>
      </c>
      <c r="K466" s="36">
        <f t="shared" si="125"/>
        <v>87761896889</v>
      </c>
      <c r="L466" s="36" t="str">
        <f t="shared" si="126"/>
        <v>MX4000002S0002171</v>
      </c>
      <c r="M466" s="36" t="str">
        <f t="shared" ca="1" si="116"/>
        <v>002-2013E50Q13-OK30</v>
      </c>
      <c r="N466" s="36" t="str">
        <f t="shared" si="115"/>
        <v>Прицеп 2,0*1,25 м  (до 750 кг.)</v>
      </c>
      <c r="O466" s="36" t="str">
        <f t="shared" si="127"/>
        <v>1 ось</v>
      </c>
      <c r="P466" s="36">
        <f t="shared" si="128"/>
        <v>2025</v>
      </c>
      <c r="Q466" s="34" t="str">
        <f t="shared" ca="1" si="130"/>
        <v>3150*1700*1070</v>
      </c>
      <c r="R466" s="36" t="str">
        <f t="shared" ca="1" si="129"/>
        <v>2000*1250*500</v>
      </c>
      <c r="S466" s="34" t="str">
        <f>VLOOKUP(O466,ОТТС!$A$2:$B$3,2,0)</f>
        <v>ТС KZ Е-KZ.0317.00251 от 28.02.2023</v>
      </c>
      <c r="T466" s="39">
        <v>350000</v>
      </c>
      <c r="U466" s="36" t="str">
        <f t="shared" ref="U466:U529" si="131">VLOOKUP(L466,ПРИЦЕПЫ,9,0)</f>
        <v>Кокшетау</v>
      </c>
    </row>
    <row r="467" spans="1:21" ht="13.2">
      <c r="A467" s="34">
        <v>1653</v>
      </c>
      <c r="B467" s="35">
        <f>VLOOKUP(A467,'Реестр договоров'!$A$2:$D$508,2,0)</f>
        <v>45800</v>
      </c>
      <c r="C467" s="36" t="str">
        <f t="shared" si="122"/>
        <v>Гасанов 1</v>
      </c>
      <c r="D467" s="36" t="str">
        <f t="shared" si="123"/>
        <v>Нураддин</v>
      </c>
      <c r="E467" s="36" t="str">
        <f t="shared" si="117"/>
        <v>Исмаилоглы</v>
      </c>
      <c r="F467" s="36" t="str">
        <f t="shared" si="124"/>
        <v>037529031</v>
      </c>
      <c r="G467" s="37">
        <f>VLOOKUP(F467,Покупатели!$F$2:$N$762,2,0)</f>
        <v>42041</v>
      </c>
      <c r="H467" s="36" t="str">
        <f>VLOOKUP(F467,Покупатели!$F$2:$N$762,3,0)</f>
        <v>МВД РК</v>
      </c>
      <c r="I467" s="36">
        <f>VLOOKUP(C467,Покупатели!$C$2:$M$805,7,0)</f>
        <v>710520303189</v>
      </c>
      <c r="J467" s="36" t="str">
        <f ca="1">IFERROR(__xludf.DUMMYFUNCTION("JOIN("" "", VLOOKUP(C467,Покупатели,8,0),VLOOKUP(C467,Покупатели,9,0),VLOOKUP(C467,Покупатели,10,0),VLOOKUP(C467,Покупатели,11,0))"),"Акмолинская обл Шортандинский р-н, с.Петровка ул.Мусрепова д.14")</f>
        <v>Акмолинская обл Шортандинский р-н, с.Петровка ул.Мусрепова д.14</v>
      </c>
      <c r="K467" s="36">
        <f t="shared" si="125"/>
        <v>87780104675</v>
      </c>
      <c r="L467" s="36" t="str">
        <f t="shared" si="126"/>
        <v>MX4000002S0002169</v>
      </c>
      <c r="M467" s="36" t="str">
        <f t="shared" ca="1" si="116"/>
        <v>002-2013E50Q13-OK30</v>
      </c>
      <c r="N467" s="36" t="str">
        <f t="shared" si="115"/>
        <v>Прицеп 2,0*1,25 м  (до 750 кг.)</v>
      </c>
      <c r="O467" s="36" t="str">
        <f t="shared" si="127"/>
        <v>1 ось</v>
      </c>
      <c r="P467" s="36">
        <f t="shared" si="128"/>
        <v>2025</v>
      </c>
      <c r="Q467" s="34" t="str">
        <f t="shared" ca="1" si="130"/>
        <v>3150*1700*1070</v>
      </c>
      <c r="R467" s="36" t="str">
        <f t="shared" ca="1" si="129"/>
        <v>2000*1250*500</v>
      </c>
      <c r="S467" s="34" t="str">
        <f>VLOOKUP(O467,ОТТС!$A$2:$B$3,2,0)</f>
        <v>ТС KZ Е-KZ.0317.00251 от 28.02.2023</v>
      </c>
      <c r="T467" s="39">
        <v>360000</v>
      </c>
      <c r="U467" s="36" t="str">
        <f t="shared" si="131"/>
        <v>Астана</v>
      </c>
    </row>
    <row r="468" spans="1:21" ht="13.2">
      <c r="A468" s="34">
        <v>1654</v>
      </c>
      <c r="B468" s="35">
        <f>VLOOKUP(A468,'Реестр договоров'!$A$2:$D$508,2,0)</f>
        <v>45801</v>
      </c>
      <c r="C468" s="36" t="str">
        <f t="shared" si="122"/>
        <v>Эргарт</v>
      </c>
      <c r="D468" s="36" t="str">
        <f t="shared" si="123"/>
        <v>Николай</v>
      </c>
      <c r="E468" s="36" t="str">
        <f t="shared" si="117"/>
        <v>Петрович</v>
      </c>
      <c r="F468" s="36" t="str">
        <f t="shared" si="124"/>
        <v>050334024</v>
      </c>
      <c r="G468" s="37">
        <f>VLOOKUP(F468,Покупатели!$F$2:$N$762,2,0)</f>
        <v>44313</v>
      </c>
      <c r="H468" s="36" t="str">
        <f>VLOOKUP(F468,Покупатели!$F$2:$N$762,3,0)</f>
        <v>МВД РК</v>
      </c>
      <c r="I468" s="36">
        <f>VLOOKUP(C468,Покупатели!$C$2:$M$805,7,0)</f>
        <v>820213351033</v>
      </c>
      <c r="J468" s="36" t="str">
        <f ca="1">IFERROR(__xludf.DUMMYFUNCTION("JOIN("" "", VLOOKUP(C468,Покупатели,8,0),VLOOKUP(C468,Покупатели,9,0),VLOOKUP(C468,Покупатели,10,0),VLOOKUP(C468,Покупатели,11,0))"),"Акмолинская обл. Сандыктауский р-н, с.Балкашино ул.Чернова д.76")</f>
        <v>Акмолинская обл. Сандыктауский р-н, с.Балкашино ул.Чернова д.76</v>
      </c>
      <c r="K468" s="36">
        <f t="shared" si="125"/>
        <v>87052990825</v>
      </c>
      <c r="L468" s="36" t="str">
        <f t="shared" si="126"/>
        <v>MX4000002S0002163</v>
      </c>
      <c r="M468" s="36" t="str">
        <f t="shared" ca="1" si="116"/>
        <v>002-2013E50Q13-OK30</v>
      </c>
      <c r="N468" s="36" t="str">
        <f t="shared" si="115"/>
        <v>Прицеп 2,0*1,25 м  (до 750 кг.)</v>
      </c>
      <c r="O468" s="36" t="str">
        <f t="shared" si="127"/>
        <v>1 ось</v>
      </c>
      <c r="P468" s="36">
        <f t="shared" si="128"/>
        <v>2025</v>
      </c>
      <c r="Q468" s="34" t="str">
        <f t="shared" ca="1" si="130"/>
        <v>3150*1700*1070</v>
      </c>
      <c r="R468" s="36" t="str">
        <f t="shared" ca="1" si="129"/>
        <v>2000*1250*500</v>
      </c>
      <c r="S468" s="34" t="str">
        <f>VLOOKUP(O468,ОТТС!$A$2:$B$3,2,0)</f>
        <v>ТС KZ Е-KZ.0317.00251 от 28.02.2023</v>
      </c>
      <c r="T468" s="39">
        <v>360000</v>
      </c>
      <c r="U468" s="36" t="str">
        <f t="shared" si="131"/>
        <v>Астана</v>
      </c>
    </row>
    <row r="469" spans="1:21" ht="13.2">
      <c r="A469" s="34">
        <v>1655</v>
      </c>
      <c r="B469" s="35">
        <f>VLOOKUP(A469,'Реестр договоров'!$A$2:$D$509,2,0)</f>
        <v>45803</v>
      </c>
      <c r="C469" s="36" t="str">
        <f t="shared" si="122"/>
        <v>Колдин</v>
      </c>
      <c r="D469" s="36" t="str">
        <f t="shared" si="123"/>
        <v>Денис</v>
      </c>
      <c r="E469" s="36" t="str">
        <f t="shared" si="117"/>
        <v>Геннадьевич</v>
      </c>
      <c r="F469" s="36" t="str">
        <f t="shared" si="124"/>
        <v>053791477</v>
      </c>
      <c r="G469" s="37">
        <f>VLOOKUP(F469,Покупатели!$F$2:$N$762,2,0)</f>
        <v>45112</v>
      </c>
      <c r="H469" s="36" t="str">
        <f>VLOOKUP(F469,Покупатели!$F$2:$N$762,3,0)</f>
        <v>МВД РК</v>
      </c>
      <c r="I469" s="36">
        <f>VLOOKUP(C469,Покупатели!$C$2:$M$805,7,0)</f>
        <v>880812300363</v>
      </c>
      <c r="J469" s="36" t="str">
        <f ca="1">IFERROR(__xludf.DUMMYFUNCTION("JOIN("" "", VLOOKUP(C469,Покупатели,8,0),VLOOKUP(C469,Покупатели,9,0),VLOOKUP(C469,Покупатели,10,0),VLOOKUP(C469,Покупатели,11,0))"),"Алматинская область, г.Алматы, ул. Ахрименко, д.7/8")</f>
        <v>Алматинская область, г.Алматы, ул. Ахрименко, д.7/8</v>
      </c>
      <c r="K469" s="36">
        <f t="shared" si="125"/>
        <v>87773999983</v>
      </c>
      <c r="L469" s="36" t="str">
        <f t="shared" si="126"/>
        <v>MX4000002S0002128</v>
      </c>
      <c r="M469" s="36" t="str">
        <f t="shared" ca="1" si="116"/>
        <v>002-2513E30Q13-OK</v>
      </c>
      <c r="N469" s="36" t="str">
        <f t="shared" si="115"/>
        <v>Прицеп 2,5*1,25 м  (до 750 кг.)</v>
      </c>
      <c r="O469" s="36" t="str">
        <f t="shared" si="127"/>
        <v>1 ось</v>
      </c>
      <c r="P469" s="36">
        <f t="shared" si="128"/>
        <v>2025</v>
      </c>
      <c r="Q469" s="34" t="str">
        <f t="shared" ca="1" si="130"/>
        <v>3650*1700*900</v>
      </c>
      <c r="R469" s="36" t="str">
        <f t="shared" ca="1" si="129"/>
        <v>2500*1250*300</v>
      </c>
      <c r="S469" s="34" t="str">
        <f>VLOOKUP(O469,ОТТС!$A$2:$B$3,2,0)</f>
        <v>ТС KZ Е-KZ.0317.00251 от 28.02.2023</v>
      </c>
      <c r="T469" s="39">
        <v>380000</v>
      </c>
      <c r="U469" s="36" t="str">
        <f t="shared" si="131"/>
        <v>Алматы</v>
      </c>
    </row>
    <row r="470" spans="1:21" ht="13.2">
      <c r="A470" s="34">
        <v>1656</v>
      </c>
      <c r="B470" s="35">
        <f>VLOOKUP(A470,'Реестр договоров'!$A$2:$D$510,2,0)</f>
        <v>45803</v>
      </c>
      <c r="C470" s="36" t="str">
        <f t="shared" si="122"/>
        <v>Ахметхан</v>
      </c>
      <c r="D470" s="36" t="str">
        <f t="shared" si="123"/>
        <v>Досан</v>
      </c>
      <c r="E470" s="36" t="str">
        <f t="shared" si="117"/>
        <v>Қайроллаұлы</v>
      </c>
      <c r="F470" s="36" t="str">
        <f t="shared" si="124"/>
        <v>047469169</v>
      </c>
      <c r="G470" s="37">
        <f>VLOOKUP(F470,Покупатели!$F$2:$N$762,2,0)</f>
        <v>43878</v>
      </c>
      <c r="H470" s="36" t="str">
        <f>VLOOKUP(F470,Покупатели!$F$2:$N$762,3,0)</f>
        <v>ҚР ІІМ</v>
      </c>
      <c r="I470" s="36">
        <f>VLOOKUP(C470,Покупатели!$C$2:$M$805,7,0)</f>
        <v>931118350361</v>
      </c>
      <c r="J470" s="36" t="str">
        <f ca="1">IFERROR(__xludf.DUMMYFUNCTION("JOIN("" "", VLOOKUP(C470,Покупатели,8,0),VLOOKUP(C470,Покупатели,9,0),VLOOKUP(C470,Покупатели,10,0),VLOOKUP(C470,Покупатели,11,0))"),"Акмолинская область, г. Кокшетау, ул. Шагалалы, д.24")</f>
        <v>Акмолинская область, г. Кокшетау, ул. Шагалалы, д.24</v>
      </c>
      <c r="K470" s="36">
        <f t="shared" si="125"/>
        <v>87478998916</v>
      </c>
      <c r="L470" s="36" t="str">
        <f t="shared" si="126"/>
        <v>MX4000004S0002172</v>
      </c>
      <c r="M470" s="36" t="str">
        <f t="shared" ca="1" si="116"/>
        <v>002-2515E30Q13-OK</v>
      </c>
      <c r="N470" s="36" t="str">
        <f t="shared" si="115"/>
        <v>Прицеп 2,5*1,5 м  (до 750 кг.)</v>
      </c>
      <c r="O470" s="36" t="str">
        <f t="shared" si="127"/>
        <v>2 оси</v>
      </c>
      <c r="P470" s="36">
        <f t="shared" si="128"/>
        <v>2025</v>
      </c>
      <c r="Q470" s="34" t="str">
        <f t="shared" ca="1" si="130"/>
        <v>3650*1950*900</v>
      </c>
      <c r="R470" s="36" t="str">
        <f t="shared" ca="1" si="129"/>
        <v>2500*1500*300</v>
      </c>
      <c r="S470" s="34" t="str">
        <f>VLOOKUP(O470,ОТТС!$A$2:$B$3,2,0)</f>
        <v>ТС KZ Е-KZ.0317.00219.П1 от 17.07.2025</v>
      </c>
      <c r="T470" s="39">
        <v>580000</v>
      </c>
      <c r="U470" s="36" t="str">
        <f t="shared" si="131"/>
        <v>Кокшетау</v>
      </c>
    </row>
    <row r="471" spans="1:21" ht="13.2">
      <c r="A471" s="34">
        <v>1657</v>
      </c>
      <c r="B471" s="35">
        <f>VLOOKUP(A471,'Реестр договоров'!$A$2:$D$996,2,0)</f>
        <v>45803</v>
      </c>
      <c r="C471" s="36" t="str">
        <f t="shared" si="122"/>
        <v>Төлендіұлы</v>
      </c>
      <c r="D471" s="36" t="str">
        <f t="shared" si="123"/>
        <v>Шынғыс</v>
      </c>
      <c r="E471" s="36">
        <f t="shared" si="117"/>
        <v>0</v>
      </c>
      <c r="F471" s="36" t="str">
        <f t="shared" si="124"/>
        <v>051856919</v>
      </c>
      <c r="G471" s="37">
        <f>VLOOKUP(F471,Покупатели!$F$2:$N$762,2,0)</f>
        <v>44844</v>
      </c>
      <c r="H471" s="36" t="str">
        <f>VLOOKUP(F471,Покупатели!$F$2:$N$762,3,0)</f>
        <v>ҚР ІІМ</v>
      </c>
      <c r="I471" s="36">
        <f>VLOOKUP(C471,Покупатели!$C$2:$M$805,7,0)</f>
        <v>921216300138</v>
      </c>
      <c r="J471" s="36" t="str">
        <f ca="1">IFERROR(__xludf.DUMMYFUNCTION("JOIN("" "", VLOOKUP(C471,Покупатели,8,0),VLOOKUP(C471,Покупатели,9,0),VLOOKUP(C471,Покупатели,10,0),VLOOKUP(C471,Покупатели,11,0))"),"Алматинская область, г. Алматы, мкр-н Шанырак-1, ул. 20-июня, д.31")</f>
        <v>Алматинская область, г. Алматы, мкр-н Шанырак-1, ул. 20-июня, д.31</v>
      </c>
      <c r="K471" s="36">
        <f t="shared" si="125"/>
        <v>87079900490</v>
      </c>
      <c r="L471" s="36" t="str">
        <f t="shared" si="126"/>
        <v>MX4000002S0001913</v>
      </c>
      <c r="M471" s="36" t="str">
        <f t="shared" ca="1" si="116"/>
        <v>002-2013E50Q13-OK</v>
      </c>
      <c r="N471" s="36" t="str">
        <f t="shared" si="115"/>
        <v>Прицеп 2,0*1,25 м  (до 750 кг.)</v>
      </c>
      <c r="O471" s="36" t="str">
        <f t="shared" si="127"/>
        <v>1 ось</v>
      </c>
      <c r="P471" s="36">
        <f t="shared" si="128"/>
        <v>2025</v>
      </c>
      <c r="Q471" s="34" t="str">
        <f t="shared" ca="1" si="130"/>
        <v>3150*1700*1070</v>
      </c>
      <c r="R471" s="36" t="str">
        <f t="shared" ca="1" si="129"/>
        <v>2000*1250*500</v>
      </c>
      <c r="S471" s="34" t="str">
        <f>VLOOKUP(O471,ОТТС!$A$2:$B$3,2,0)</f>
        <v>ТС KZ Е-KZ.0317.00251 от 28.02.2023</v>
      </c>
      <c r="T471" s="39">
        <v>340000</v>
      </c>
      <c r="U471" s="36" t="str">
        <f t="shared" si="131"/>
        <v>Алматы</v>
      </c>
    </row>
    <row r="472" spans="1:21" ht="13.2">
      <c r="A472" s="34">
        <v>1658</v>
      </c>
      <c r="B472" s="35">
        <f>VLOOKUP(A472,'Реестр договоров'!$A$2:$D$996,2,0)</f>
        <v>45804</v>
      </c>
      <c r="C472" s="36" t="str">
        <f t="shared" si="122"/>
        <v>Турешев</v>
      </c>
      <c r="D472" s="36" t="str">
        <f t="shared" si="123"/>
        <v>Назарбек</v>
      </c>
      <c r="E472" s="36" t="str">
        <f t="shared" si="117"/>
        <v>Елеусинович</v>
      </c>
      <c r="F472" s="36" t="str">
        <f t="shared" si="124"/>
        <v>047127534</v>
      </c>
      <c r="G472" s="37">
        <f>VLOOKUP(F472,Покупатели!$F$2:$N$762,2,0)</f>
        <v>43825</v>
      </c>
      <c r="H472" s="36" t="str">
        <f>VLOOKUP(F472,Покупатели!$F$2:$N$762,3,0)</f>
        <v>МВД РК</v>
      </c>
      <c r="I472" s="36">
        <f>VLOOKUP(C472,Покупатели!$C$2:$M$805,7,0)</f>
        <v>841116301412</v>
      </c>
      <c r="J472" s="36" t="str">
        <f ca="1">IFERROR(__xludf.DUMMYFUNCTION("JOIN("" "", VLOOKUP(C472,Покупатели,8,0),VLOOKUP(C472,Покупатели,9,0),VLOOKUP(C472,Покупатели,10,0),VLOOKUP(C472,Покупатели,11,0))"),"г.Астана р-н Саоыарка пр-т Тлендиева д.44/1, кв.271")</f>
        <v>г.Астана р-н Саоыарка пр-т Тлендиева д.44/1, кв.271</v>
      </c>
      <c r="K472" s="36">
        <f t="shared" si="125"/>
        <v>87078845098</v>
      </c>
      <c r="L472" s="36" t="str">
        <f t="shared" si="126"/>
        <v>MX4000002S0002160</v>
      </c>
      <c r="M472" s="36" t="str">
        <f t="shared" ca="1" si="116"/>
        <v>002-2513E50Q13-OK</v>
      </c>
      <c r="N472" s="36" t="str">
        <f t="shared" si="115"/>
        <v>Прицеп 2,5*1,25 м  (до 750 кг.)</v>
      </c>
      <c r="O472" s="36" t="str">
        <f t="shared" si="127"/>
        <v>1 ось</v>
      </c>
      <c r="P472" s="36">
        <f t="shared" si="128"/>
        <v>2025</v>
      </c>
      <c r="Q472" s="34" t="str">
        <f t="shared" ca="1" si="130"/>
        <v>3650*1700*1070</v>
      </c>
      <c r="R472" s="36" t="str">
        <f t="shared" ca="1" si="129"/>
        <v>2500*1250*500</v>
      </c>
      <c r="S472" s="34" t="str">
        <f>VLOOKUP(O472,ОТТС!$A$2:$B$3,2,0)</f>
        <v>ТС KZ Е-KZ.0317.00251 от 28.02.2023</v>
      </c>
      <c r="T472" s="39">
        <v>440000</v>
      </c>
      <c r="U472" s="36" t="str">
        <f t="shared" si="131"/>
        <v>Астана</v>
      </c>
    </row>
    <row r="473" spans="1:21" ht="13.2">
      <c r="A473" s="34">
        <v>1659</v>
      </c>
      <c r="B473" s="35">
        <f>VLOOKUP(A473,'Реестр договоров'!$A$2:$D$996,2,0)</f>
        <v>45804</v>
      </c>
      <c r="C473" s="36" t="str">
        <f t="shared" si="122"/>
        <v>Дрожанников</v>
      </c>
      <c r="D473" s="36" t="str">
        <f t="shared" si="123"/>
        <v>Денис</v>
      </c>
      <c r="E473" s="36" t="str">
        <f t="shared" si="117"/>
        <v>Анатольевич</v>
      </c>
      <c r="F473" s="36" t="str">
        <f t="shared" si="124"/>
        <v>046274939</v>
      </c>
      <c r="G473" s="37">
        <f>VLOOKUP(F473,Покупатели!$F$2:$N$762,2,0)</f>
        <v>43985</v>
      </c>
      <c r="H473" s="36" t="str">
        <f>VLOOKUP(F473,Покупатели!$F$2:$N$762,3,0)</f>
        <v>МВД РК</v>
      </c>
      <c r="I473" s="36">
        <f>VLOOKUP(C473,Покупатели!$C$2:$M$805,7,0)</f>
        <v>841111300863</v>
      </c>
      <c r="J473" s="36" t="str">
        <f ca="1">IFERROR(__xludf.DUMMYFUNCTION("JOIN("" "", VLOOKUP(C473,Покупатели,8,0),VLOOKUP(C473,Покупатели,9,0),VLOOKUP(C473,Покупатели,10,0),VLOOKUP(C473,Покупатели,11,0))"),"Алматинская область,  г. Алматы, ул. Таймырская, д. 6, кв. 2")</f>
        <v>Алматинская область,  г. Алматы, ул. Таймырская, д. 6, кв. 2</v>
      </c>
      <c r="K473" s="36">
        <f t="shared" si="125"/>
        <v>87778036400</v>
      </c>
      <c r="L473" s="36" t="str">
        <f t="shared" si="126"/>
        <v>MX4000004S0002106</v>
      </c>
      <c r="M473" s="36" t="str">
        <f t="shared" ca="1" si="116"/>
        <v>002-3515E30Q13-OK</v>
      </c>
      <c r="N473" s="36" t="str">
        <f t="shared" ref="N473:N536" si="132">VLOOKUP(L473,ПРИЦЕПЫ,2,0)</f>
        <v>Прицеп 3,5*1,5 м  (до 750 кг.)</v>
      </c>
      <c r="O473" s="36" t="str">
        <f t="shared" si="127"/>
        <v>2 оси</v>
      </c>
      <c r="P473" s="36">
        <f t="shared" si="128"/>
        <v>2025</v>
      </c>
      <c r="Q473" s="34" t="str">
        <f t="shared" ca="1" si="130"/>
        <v>3800*1950*900</v>
      </c>
      <c r="R473" s="36" t="str">
        <f t="shared" ca="1" si="129"/>
        <v>3500*1500*300</v>
      </c>
      <c r="S473" s="34" t="str">
        <f>VLOOKUP(O473,ОТТС!$A$2:$B$3,2,0)</f>
        <v>ТС KZ Е-KZ.0317.00219.П1 от 17.07.2025</v>
      </c>
      <c r="T473" s="39">
        <v>730000</v>
      </c>
      <c r="U473" s="36" t="str">
        <f t="shared" si="131"/>
        <v>Алматы</v>
      </c>
    </row>
    <row r="474" spans="1:21" ht="13.2">
      <c r="A474" s="34">
        <v>1660</v>
      </c>
      <c r="B474" s="35">
        <f>VLOOKUP(A474,'Реестр договоров'!$A$2:$D$996,2,0)</f>
        <v>45804</v>
      </c>
      <c r="C474" s="36" t="str">
        <f t="shared" si="122"/>
        <v>Абиров</v>
      </c>
      <c r="D474" s="36" t="str">
        <f t="shared" si="123"/>
        <v>Дархан</v>
      </c>
      <c r="E474" s="36" t="str">
        <f t="shared" si="117"/>
        <v>Сиргебаевич</v>
      </c>
      <c r="F474" s="36" t="str">
        <f t="shared" si="124"/>
        <v>054259857</v>
      </c>
      <c r="G474" s="37">
        <f>VLOOKUP(F474,Покупатели!$F$2:$N$762,2,0)</f>
        <v>45159</v>
      </c>
      <c r="H474" s="36" t="str">
        <f>VLOOKUP(F474,Покупатели!$F$2:$N$762,3,0)</f>
        <v>МВД РК</v>
      </c>
      <c r="I474" s="36">
        <f>VLOOKUP(C474,Покупатели!$C$2:$M$805,7,0)</f>
        <v>840609301427</v>
      </c>
      <c r="J474" s="36" t="str">
        <f ca="1">IFERROR(__xludf.DUMMYFUNCTION("JOIN("" "", VLOOKUP(C474,Покупатели,8,0),VLOOKUP(C474,Покупатели,9,0),VLOOKUP(C474,Покупатели,10,0),VLOOKUP(C474,Покупатели,11,0))"),"Жамбылская область, г. Шу, ул. Айши-биби, д. 18а")</f>
        <v>Жамбылская область, г. Шу, ул. Айши-биби, д. 18а</v>
      </c>
      <c r="K474" s="36">
        <f t="shared" si="125"/>
        <v>87026473621</v>
      </c>
      <c r="L474" s="36" t="str">
        <f t="shared" si="126"/>
        <v>MX4000002S0001912</v>
      </c>
      <c r="M474" s="36" t="str">
        <f t="shared" ca="1" si="116"/>
        <v>002-2013E30Q13-OK</v>
      </c>
      <c r="N474" s="36" t="str">
        <f t="shared" si="132"/>
        <v>Прицеп 2,0*1,25 м  (до 750 кг.)</v>
      </c>
      <c r="O474" s="36" t="str">
        <f t="shared" si="127"/>
        <v>1 ось</v>
      </c>
      <c r="P474" s="36">
        <f t="shared" si="128"/>
        <v>2025</v>
      </c>
      <c r="Q474" s="34" t="str">
        <f t="shared" ca="1" si="130"/>
        <v>3150*1700*900</v>
      </c>
      <c r="R474" s="36" t="str">
        <f t="shared" ca="1" si="129"/>
        <v>2000*1250*300</v>
      </c>
      <c r="S474" s="34" t="str">
        <f>VLOOKUP(O474,ОТТС!$A$2:$B$3,2,0)</f>
        <v>ТС KZ Е-KZ.0317.00251 от 28.02.2023</v>
      </c>
      <c r="T474" s="39">
        <v>320000</v>
      </c>
      <c r="U474" s="36" t="str">
        <f t="shared" si="131"/>
        <v>Алматы</v>
      </c>
    </row>
    <row r="475" spans="1:21" ht="13.2">
      <c r="A475" s="34">
        <v>1661</v>
      </c>
      <c r="B475" s="35">
        <f>VLOOKUP(A475,'Реестр договоров'!$A$2:$D$996,2,0)</f>
        <v>45804</v>
      </c>
      <c r="C475" s="36" t="str">
        <f t="shared" si="122"/>
        <v>Коптлеуов</v>
      </c>
      <c r="D475" s="36" t="str">
        <f t="shared" si="123"/>
        <v>Махамбет</v>
      </c>
      <c r="E475" s="36" t="str">
        <f t="shared" si="117"/>
        <v>Ыхласович</v>
      </c>
      <c r="F475" s="36" t="str">
        <f t="shared" si="124"/>
        <v>041098828</v>
      </c>
      <c r="G475" s="37">
        <f>VLOOKUP(F475,Покупатели!$F$2:$N$762,2,0)</f>
        <v>42487</v>
      </c>
      <c r="H475" s="36" t="str">
        <f>VLOOKUP(F475,Покупатели!$F$2:$N$762,3,0)</f>
        <v>МВД РК</v>
      </c>
      <c r="I475" s="36">
        <f>VLOOKUP(C475,Покупатели!$C$2:$M$805,7,0)</f>
        <v>950630300914</v>
      </c>
      <c r="J475" s="36" t="str">
        <f ca="1">IFERROR(__xludf.DUMMYFUNCTION("JOIN("" "", VLOOKUP(C475,Покупатели,8,0),VLOOKUP(C475,Покупатели,9,0),VLOOKUP(C475,Покупатели,10,0),VLOOKUP(C475,Покупатели,11,0))"),"Алматинская область, г. Алатау, ул. Абая, д.9")</f>
        <v>Алматинская область, г. Алатау, ул. Абая, д.9</v>
      </c>
      <c r="K475" s="36">
        <f t="shared" si="125"/>
        <v>87774384601</v>
      </c>
      <c r="L475" s="36" t="str">
        <f t="shared" si="126"/>
        <v>MX4000002S0002125</v>
      </c>
      <c r="M475" s="36" t="str">
        <f t="shared" ca="1" si="116"/>
        <v>002-2513E50Q13-OK</v>
      </c>
      <c r="N475" s="36" t="str">
        <f t="shared" si="132"/>
        <v>Прицеп 2,5*1,25 м  (до 750 кг.)</v>
      </c>
      <c r="O475" s="36" t="str">
        <f t="shared" si="127"/>
        <v>1 ось</v>
      </c>
      <c r="P475" s="36">
        <f t="shared" si="128"/>
        <v>2025</v>
      </c>
      <c r="Q475" s="34" t="str">
        <f t="shared" ca="1" si="130"/>
        <v>3650*1700*1070</v>
      </c>
      <c r="R475" s="36" t="str">
        <f t="shared" ca="1" si="129"/>
        <v>2500*1250*500</v>
      </c>
      <c r="S475" s="34" t="str">
        <f>VLOOKUP(O475,ОТТС!$A$2:$B$3,2,0)</f>
        <v>ТС KZ Е-KZ.0317.00251 от 28.02.2023</v>
      </c>
      <c r="T475" s="39">
        <v>450000</v>
      </c>
      <c r="U475" s="36" t="str">
        <f t="shared" si="131"/>
        <v>Алматы</v>
      </c>
    </row>
    <row r="476" spans="1:21" ht="13.2">
      <c r="A476" s="34">
        <v>1662</v>
      </c>
      <c r="B476" s="35">
        <f>VLOOKUP(A476,'Реестр договоров'!$A$2:$D$996,2,0)</f>
        <v>45804</v>
      </c>
      <c r="C476" s="36" t="str">
        <f t="shared" si="122"/>
        <v>Клеймёнов</v>
      </c>
      <c r="D476" s="36" t="str">
        <f t="shared" si="123"/>
        <v>Алексей</v>
      </c>
      <c r="E476" s="36" t="str">
        <f t="shared" si="117"/>
        <v>Леонидович</v>
      </c>
      <c r="F476" s="36" t="str">
        <f t="shared" si="124"/>
        <v>026970644</v>
      </c>
      <c r="G476" s="37">
        <f>VLOOKUP(F476,Покупатели!$F$2:$N$762,2,0)</f>
        <v>44351</v>
      </c>
      <c r="H476" s="36" t="str">
        <f>VLOOKUP(F476,Покупатели!$F$2:$N$762,3,0)</f>
        <v>МВД РК</v>
      </c>
      <c r="I476" s="36" t="str">
        <f>VLOOKUP(C476,Покупатели!$C$2:$M$805,7,0)</f>
        <v>020217501609</v>
      </c>
      <c r="J476" s="36" t="str">
        <f ca="1">IFERROR(__xludf.DUMMYFUNCTION("JOIN("" "", VLOOKUP(C476,Покупатели,8,0),VLOOKUP(C476,Покупатели,9,0),VLOOKUP(C476,Покупатели,10,0),VLOOKUP(C476,Покупатели,11,0))"),"Алматинская область, Енбекшиказахский район, Жанашарский сельский округ, с. Космос, ул Тауелсиздык, д.49, кв.1")</f>
        <v>Алматинская область, Енбекшиказахский район, Жанашарский сельский округ, с. Космос, ул Тауелсиздык, д.49, кв.1</v>
      </c>
      <c r="K476" s="36">
        <f t="shared" si="125"/>
        <v>87762718319</v>
      </c>
      <c r="L476" s="36" t="str">
        <f t="shared" si="126"/>
        <v>MX4000002S0001964</v>
      </c>
      <c r="M476" s="36" t="str">
        <f t="shared" ref="M476:M539" ca="1" si="133">VLOOKUP(L476,ПРИЦЕПЫ,11,0)</f>
        <v>002-2013E30Q13-OK</v>
      </c>
      <c r="N476" s="36" t="str">
        <f t="shared" si="132"/>
        <v>Прицеп 2,0*1,25 м  (до 750 кг.)</v>
      </c>
      <c r="O476" s="36" t="str">
        <f t="shared" si="127"/>
        <v>1 ось</v>
      </c>
      <c r="P476" s="36">
        <f t="shared" si="128"/>
        <v>2025</v>
      </c>
      <c r="Q476" s="34" t="str">
        <f t="shared" ca="1" si="130"/>
        <v>3150*1700*900</v>
      </c>
      <c r="R476" s="36" t="str">
        <f t="shared" ca="1" si="129"/>
        <v>2000*1250*300</v>
      </c>
      <c r="S476" s="34" t="str">
        <f>VLOOKUP(O476,ОТТС!$A$2:$B$3,2,0)</f>
        <v>ТС KZ Е-KZ.0317.00251 от 28.02.2023</v>
      </c>
      <c r="T476" s="39">
        <v>360000</v>
      </c>
      <c r="U476" s="36" t="str">
        <f t="shared" si="131"/>
        <v>Алматы</v>
      </c>
    </row>
    <row r="477" spans="1:21" ht="13.2">
      <c r="A477" s="34">
        <v>1663</v>
      </c>
      <c r="B477" s="35">
        <f>VLOOKUP(A477,'Реестр договоров'!$A$2:$D$996,2,0)</f>
        <v>45805</v>
      </c>
      <c r="C477" s="36" t="str">
        <f t="shared" si="122"/>
        <v>Нурболат</v>
      </c>
      <c r="D477" s="36" t="str">
        <f t="shared" si="123"/>
        <v>Адильхан</v>
      </c>
      <c r="E477" s="36">
        <f t="shared" si="117"/>
        <v>0</v>
      </c>
      <c r="F477" s="36" t="str">
        <f t="shared" si="124"/>
        <v>056088152</v>
      </c>
      <c r="G477" s="37">
        <f>VLOOKUP(F477,Покупатели!$F$2:$N$762,2,0)</f>
        <v>45155</v>
      </c>
      <c r="H477" s="36" t="str">
        <f>VLOOKUP(F477,Покупатели!$F$2:$N$762,3,0)</f>
        <v>МВД РК</v>
      </c>
      <c r="I477" s="36">
        <f>VLOOKUP(C477,Покупатели!$C$2:$M$805,7,0)</f>
        <v>950427350749</v>
      </c>
      <c r="J477" s="36" t="str">
        <f ca="1">IFERROR(__xludf.DUMMYFUNCTION("JOIN("" "", VLOOKUP(C477,Покупатели,8,0),VLOOKUP(C477,Покупатели,9,0),VLOOKUP(C477,Покупатели,10,0),VLOOKUP(C477,Покупатели,11,0))"),"Акмолинская область, Буландинский район, г. Макинск, ул. Новоселова, д.23")</f>
        <v>Акмолинская область, Буландинский район, г. Макинск, ул. Новоселова, д.23</v>
      </c>
      <c r="K477" s="36">
        <f t="shared" si="125"/>
        <v>87473805895</v>
      </c>
      <c r="L477" s="36" t="str">
        <f t="shared" si="126"/>
        <v>MX4000002S0002173</v>
      </c>
      <c r="M477" s="36" t="str">
        <f t="shared" ca="1" si="133"/>
        <v>002-2513E50Q13-OK</v>
      </c>
      <c r="N477" s="36" t="str">
        <f t="shared" si="132"/>
        <v>Прицеп 2,5*1,25 м  (до 750 кг.)</v>
      </c>
      <c r="O477" s="36" t="str">
        <f t="shared" si="127"/>
        <v>1 ось</v>
      </c>
      <c r="P477" s="36">
        <f t="shared" si="128"/>
        <v>2025</v>
      </c>
      <c r="Q477" s="34" t="str">
        <f t="shared" ca="1" si="130"/>
        <v>3650*1700*1070</v>
      </c>
      <c r="R477" s="36" t="str">
        <f t="shared" ca="1" si="129"/>
        <v>2500*1250*500</v>
      </c>
      <c r="S477" s="34" t="str">
        <f>VLOOKUP(O477,ОТТС!$A$2:$B$3,2,0)</f>
        <v>ТС KZ Е-KZ.0317.00251 от 28.02.2023</v>
      </c>
      <c r="T477" s="39">
        <v>430000</v>
      </c>
      <c r="U477" s="36" t="str">
        <f t="shared" si="131"/>
        <v>Кокшетау</v>
      </c>
    </row>
    <row r="478" spans="1:21" ht="13.2">
      <c r="A478" s="34">
        <v>1665</v>
      </c>
      <c r="B478" s="35">
        <f>VLOOKUP(A478,'Реестр договоров'!$A$2:$D$996,2,0)</f>
        <v>45806</v>
      </c>
      <c r="C478" s="36" t="str">
        <f t="shared" si="122"/>
        <v>Ибрагимов</v>
      </c>
      <c r="D478" s="36" t="str">
        <f t="shared" si="123"/>
        <v>Тимур</v>
      </c>
      <c r="E478" s="36" t="str">
        <f t="shared" si="117"/>
        <v>Рафикович</v>
      </c>
      <c r="F478" s="36" t="str">
        <f t="shared" si="124"/>
        <v>046025556</v>
      </c>
      <c r="G478" s="37">
        <f>VLOOKUP(F478,Покупатели!$F$2:$N$762,2,0)</f>
        <v>43627</v>
      </c>
      <c r="H478" s="36" t="str">
        <f>VLOOKUP(F478,Покупатели!$F$2:$N$762,3,0)</f>
        <v>ҚР ІІМ</v>
      </c>
      <c r="I478" s="36">
        <f>VLOOKUP(C478,Покупатели!$C$2:$M$805,7,0)</f>
        <v>980713350957</v>
      </c>
      <c r="J478" s="36" t="str">
        <f ca="1">IFERROR(__xludf.DUMMYFUNCTION("JOIN("" "", VLOOKUP(C478,Покупатели,8,0),VLOOKUP(C478,Покупатели,9,0),VLOOKUP(C478,Покупатели,10,0),VLOOKUP(C478,Покупатели,11,0))"),"Акмолинская область, г. Кокшетау, ул. Акана Серы, д. 170а, кв 59")</f>
        <v>Акмолинская область, г. Кокшетау, ул. Акана Серы, д. 170а, кв 59</v>
      </c>
      <c r="K478" s="36">
        <f t="shared" si="125"/>
        <v>87769983477</v>
      </c>
      <c r="L478" s="36" t="str">
        <f t="shared" si="126"/>
        <v>MX4000002S0002179</v>
      </c>
      <c r="M478" s="36" t="str">
        <f t="shared" ca="1" si="133"/>
        <v>002-2013E50Q13-OK90</v>
      </c>
      <c r="N478" s="36" t="str">
        <f t="shared" si="132"/>
        <v>Прицеп 2,0*1,25 м  (до 750 кг.)</v>
      </c>
      <c r="O478" s="36" t="str">
        <f t="shared" si="127"/>
        <v>1 ось</v>
      </c>
      <c r="P478" s="36">
        <f t="shared" si="128"/>
        <v>2025</v>
      </c>
      <c r="Q478" s="34" t="str">
        <f t="shared" ca="1" si="130"/>
        <v>3150*1700*1070</v>
      </c>
      <c r="R478" s="36" t="str">
        <f t="shared" ca="1" si="129"/>
        <v>2000*1250*500</v>
      </c>
      <c r="S478" s="34" t="str">
        <f>VLOOKUP(O478,ОТТС!$A$2:$B$3,2,0)</f>
        <v>ТС KZ Е-KZ.0317.00251 от 28.02.2023</v>
      </c>
      <c r="T478" s="39">
        <v>440000</v>
      </c>
      <c r="U478" s="36" t="str">
        <f t="shared" si="131"/>
        <v>Кокшетау</v>
      </c>
    </row>
    <row r="479" spans="1:21" ht="13.2">
      <c r="A479" s="34">
        <v>1666</v>
      </c>
      <c r="B479" s="35">
        <f>VLOOKUP(A479,'Реестр договоров'!$A$2:$D$996,2,0)</f>
        <v>45806</v>
      </c>
      <c r="C479" s="36" t="str">
        <f t="shared" si="122"/>
        <v>Жанаев</v>
      </c>
      <c r="D479" s="36" t="str">
        <f t="shared" si="123"/>
        <v>Асет</v>
      </c>
      <c r="E479" s="36" t="str">
        <f t="shared" si="117"/>
        <v>Дуантаевич</v>
      </c>
      <c r="F479" s="36" t="str">
        <f t="shared" si="124"/>
        <v>056783666</v>
      </c>
      <c r="G479" s="37">
        <f>VLOOKUP(F479,Покупатели!$F$2:$N$762,2,0)</f>
        <v>45261</v>
      </c>
      <c r="H479" s="36" t="str">
        <f>VLOOKUP(F479,Покупатели!$F$2:$N$762,3,0)</f>
        <v>МВД РК</v>
      </c>
      <c r="I479" s="36">
        <f>VLOOKUP(C479,Покупатели!$C$2:$M$805,7,0)</f>
        <v>781128301975</v>
      </c>
      <c r="J479" s="36" t="str">
        <f ca="1">IFERROR(__xludf.DUMMYFUNCTION("JOIN("" "", VLOOKUP(C479,Покупатели,8,0),VLOOKUP(C479,Покупатели,9,0),VLOOKUP(C479,Покупатели,10,0),VLOOKUP(C479,Покупатели,11,0))"),"г.Астана р-н Алматы мкр.Железнодорожный, ул.Актасты д.27")</f>
        <v>г.Астана р-н Алматы мкр.Железнодорожный, ул.Актасты д.27</v>
      </c>
      <c r="K479" s="36">
        <f t="shared" si="125"/>
        <v>87014554843</v>
      </c>
      <c r="L479" s="36" t="str">
        <f t="shared" si="126"/>
        <v>MX4000002S0002142</v>
      </c>
      <c r="M479" s="36" t="str">
        <f t="shared" ca="1" si="133"/>
        <v>002-2013E30Q13-OK</v>
      </c>
      <c r="N479" s="36" t="str">
        <f t="shared" si="132"/>
        <v>Прицеп 2,0*1,25 м  (до 750 кг.)</v>
      </c>
      <c r="O479" s="36" t="str">
        <f t="shared" si="127"/>
        <v>1 ось</v>
      </c>
      <c r="P479" s="36">
        <f t="shared" si="128"/>
        <v>2025</v>
      </c>
      <c r="Q479" s="34" t="str">
        <f t="shared" ca="1" si="130"/>
        <v>3150*1700*900</v>
      </c>
      <c r="R479" s="36" t="str">
        <f t="shared" ca="1" si="129"/>
        <v>2000*1250*300</v>
      </c>
      <c r="S479" s="34" t="str">
        <f>VLOOKUP(O479,ОТТС!$A$2:$B$3,2,0)</f>
        <v>ТС KZ Е-KZ.0317.00251 от 28.02.2023</v>
      </c>
      <c r="T479" s="39">
        <v>340000</v>
      </c>
      <c r="U479" s="36" t="str">
        <f t="shared" si="131"/>
        <v>Астана</v>
      </c>
    </row>
    <row r="480" spans="1:21" ht="13.2">
      <c r="A480" s="34">
        <v>1667</v>
      </c>
      <c r="B480" s="35">
        <f>VLOOKUP(A480,'Реестр договоров'!$A$2:$D$996,2,0)</f>
        <v>45806</v>
      </c>
      <c r="C480" s="36" t="str">
        <f t="shared" si="122"/>
        <v>Нурмаганов</v>
      </c>
      <c r="D480" s="36" t="str">
        <f t="shared" si="123"/>
        <v>Ануар</v>
      </c>
      <c r="E480" s="36" t="str">
        <f t="shared" si="117"/>
        <v>Базарович</v>
      </c>
      <c r="F480" s="36" t="str">
        <f t="shared" si="124"/>
        <v>059529398</v>
      </c>
      <c r="G480" s="37">
        <f>VLOOKUP(F480,Покупатели!$F$2:$N$762,2,0)</f>
        <v>44699</v>
      </c>
      <c r="H480" s="36" t="str">
        <f>VLOOKUP(F480,Покупатели!$F$2:$N$762,3,0)</f>
        <v>МВД РК</v>
      </c>
      <c r="I480" s="36">
        <f>VLOOKUP(C480,Покупатели!$C$2:$M$805,7,0)</f>
        <v>900912350548</v>
      </c>
      <c r="J480" s="36" t="str">
        <f ca="1">IFERROR(__xludf.DUMMYFUNCTION("JOIN("" "", VLOOKUP(C480,Покупатели,8,0),VLOOKUP(C480,Покупатели,9,0),VLOOKUP(C480,Покупатели,10,0),VLOOKUP(C480,Покупатели,11,0))"),"Акмолинская обл. Бурабайский р-н, г.Щучинск мкр.Горный д.5, кв.17")</f>
        <v>Акмолинская обл. Бурабайский р-н, г.Щучинск мкр.Горный д.5, кв.17</v>
      </c>
      <c r="K480" s="36">
        <f t="shared" si="125"/>
        <v>87754578321</v>
      </c>
      <c r="L480" s="36" t="str">
        <f t="shared" si="126"/>
        <v>MX4000002S0002180</v>
      </c>
      <c r="M480" s="36" t="str">
        <f t="shared" ca="1" si="133"/>
        <v>002-2513E50Q13-OK</v>
      </c>
      <c r="N480" s="36" t="str">
        <f t="shared" si="132"/>
        <v>Прицеп 2,5*1,25 м  (до 750 кг.)</v>
      </c>
      <c r="O480" s="36" t="str">
        <f t="shared" si="127"/>
        <v>1 ось</v>
      </c>
      <c r="P480" s="36">
        <f t="shared" si="128"/>
        <v>2025</v>
      </c>
      <c r="Q480" s="34" t="str">
        <f t="shared" ca="1" si="130"/>
        <v>3650*1700*1070</v>
      </c>
      <c r="R480" s="36" t="str">
        <f t="shared" ca="1" si="129"/>
        <v>2500*1250*500</v>
      </c>
      <c r="S480" s="34" t="str">
        <f>VLOOKUP(O480,ОТТС!$A$2:$B$3,2,0)</f>
        <v>ТС KZ Е-KZ.0317.00251 от 28.02.2023</v>
      </c>
      <c r="T480" s="39">
        <v>390000</v>
      </c>
      <c r="U480" s="36" t="str">
        <f t="shared" si="131"/>
        <v>Астана</v>
      </c>
    </row>
    <row r="481" spans="1:21" ht="13.2">
      <c r="A481" s="34">
        <v>1669</v>
      </c>
      <c r="B481" s="35">
        <f>VLOOKUP(A481,'Реестр договоров'!$A$2:$D$996,2,0)</f>
        <v>45807</v>
      </c>
      <c r="C481" s="36" t="str">
        <f t="shared" si="122"/>
        <v>Уразов</v>
      </c>
      <c r="D481" s="36" t="str">
        <f t="shared" si="123"/>
        <v>Рустам</v>
      </c>
      <c r="E481" s="36" t="str">
        <f t="shared" si="117"/>
        <v>Сванкулович</v>
      </c>
      <c r="F481" s="36" t="str">
        <f t="shared" si="124"/>
        <v>047023742</v>
      </c>
      <c r="G481" s="37">
        <f>VLOOKUP(F481,Покупатели!$F$2:$N$762,2,0)</f>
        <v>43805</v>
      </c>
      <c r="H481" s="36" t="str">
        <f>VLOOKUP(F481,Покупатели!$F$2:$N$762,3,0)</f>
        <v>МВД РК</v>
      </c>
      <c r="I481" s="36">
        <f>VLOOKUP(C481,Покупатели!$C$2:$M$805,7,0)</f>
        <v>890920351406</v>
      </c>
      <c r="J481" s="36" t="str">
        <f ca="1">IFERROR(__xludf.DUMMYFUNCTION("JOIN("" "", VLOOKUP(C481,Покупатели,8,0),VLOOKUP(C481,Покупатели,9,0),VLOOKUP(C481,Покупатели,10,0),VLOOKUP(C481,Покупатели,11,0))"),"Акмолинская область, Зерендинский район, с. Донгулагаш, ул. Береке,  д.8")</f>
        <v>Акмолинская область, Зерендинский район, с. Донгулагаш, ул. Береке,  д.8</v>
      </c>
      <c r="K481" s="36">
        <f t="shared" si="125"/>
        <v>87056337908</v>
      </c>
      <c r="L481" s="36" t="str">
        <f t="shared" si="126"/>
        <v>MX4000002S0002181</v>
      </c>
      <c r="M481" s="36" t="str">
        <f t="shared" ca="1" si="133"/>
        <v>002-2013E50Q13-OK30</v>
      </c>
      <c r="N481" s="36" t="str">
        <f t="shared" si="132"/>
        <v>Прицеп 2,0*1,25 м  (до 750 кг.)</v>
      </c>
      <c r="O481" s="36" t="str">
        <f t="shared" si="127"/>
        <v>1 ось</v>
      </c>
      <c r="P481" s="36">
        <f t="shared" si="128"/>
        <v>2025</v>
      </c>
      <c r="Q481" s="34" t="str">
        <f t="shared" ca="1" si="130"/>
        <v>3150*1700*1070</v>
      </c>
      <c r="R481" s="36" t="str">
        <f t="shared" ca="1" si="129"/>
        <v>2000*1250*500</v>
      </c>
      <c r="S481" s="34" t="str">
        <f>VLOOKUP(O481,ОТТС!$A$2:$B$3,2,0)</f>
        <v>ТС KZ Е-KZ.0317.00251 от 28.02.2023</v>
      </c>
      <c r="T481" s="39">
        <v>350000</v>
      </c>
      <c r="U481" s="36" t="str">
        <f t="shared" si="131"/>
        <v>Кокшетау</v>
      </c>
    </row>
    <row r="482" spans="1:21" ht="13.2">
      <c r="A482" s="34">
        <v>1670</v>
      </c>
      <c r="B482" s="35">
        <f>VLOOKUP(A482,'Реестр договоров'!$A$2:$D$996,2,0)</f>
        <v>45807</v>
      </c>
      <c r="C482" s="36" t="str">
        <f t="shared" si="122"/>
        <v>Кабдин</v>
      </c>
      <c r="D482" s="36" t="str">
        <f t="shared" si="123"/>
        <v>Даурен</v>
      </c>
      <c r="E482" s="36" t="str">
        <f t="shared" si="117"/>
        <v>Амангельдиевич</v>
      </c>
      <c r="F482" s="36" t="str">
        <f t="shared" si="124"/>
        <v>043335216</v>
      </c>
      <c r="G482" s="37">
        <f>VLOOKUP(F482,Покупатели!$F$2:$N$762,2,0)</f>
        <v>42999</v>
      </c>
      <c r="H482" s="36" t="str">
        <f>VLOOKUP(F482,Покупатели!$F$2:$N$762,3,0)</f>
        <v>МВД РК</v>
      </c>
      <c r="I482" s="36">
        <f>VLOOKUP(C482,Покупатели!$C$2:$M$805,7,0)</f>
        <v>770529350061</v>
      </c>
      <c r="J482" s="36" t="str">
        <f ca="1">IFERROR(__xludf.DUMMYFUNCTION("JOIN("" "", VLOOKUP(C482,Покупатели,8,0),VLOOKUP(C482,Покупатели,9,0),VLOOKUP(C482,Покупатели,10,0),VLOOKUP(C482,Покупатели,11,0))"),"г.Астана р-н Алматы ул.Тауельсиздик д.29, кв.94")</f>
        <v>г.Астана р-н Алматы ул.Тауельсиздик д.29, кв.94</v>
      </c>
      <c r="K482" s="36">
        <f t="shared" si="125"/>
        <v>87057492049</v>
      </c>
      <c r="L482" s="36" t="str">
        <f t="shared" si="126"/>
        <v>MX4000002S0002168</v>
      </c>
      <c r="M482" s="36" t="str">
        <f t="shared" ca="1" si="133"/>
        <v>002-2013E50Q13-OK30</v>
      </c>
      <c r="N482" s="36" t="str">
        <f t="shared" si="132"/>
        <v>Прицеп 2,0*1,25 м  (до 750 кг.)</v>
      </c>
      <c r="O482" s="36" t="str">
        <f t="shared" si="127"/>
        <v>1 ось</v>
      </c>
      <c r="P482" s="36">
        <f t="shared" si="128"/>
        <v>2025</v>
      </c>
      <c r="Q482" s="34" t="str">
        <f t="shared" ca="1" si="130"/>
        <v>3150*1700*1070</v>
      </c>
      <c r="R482" s="36" t="str">
        <f t="shared" ca="1" si="129"/>
        <v>2000*1250*500</v>
      </c>
      <c r="S482" s="34" t="str">
        <f>VLOOKUP(O482,ОТТС!$A$2:$B$3,2,0)</f>
        <v>ТС KZ Е-KZ.0317.00251 от 28.02.2023</v>
      </c>
      <c r="T482" s="39">
        <v>360000</v>
      </c>
      <c r="U482" s="36" t="str">
        <f t="shared" si="131"/>
        <v>Астана</v>
      </c>
    </row>
    <row r="483" spans="1:21" ht="13.2">
      <c r="A483" s="34">
        <v>1671</v>
      </c>
      <c r="B483" s="35">
        <f>VLOOKUP(A483,'Реестр договоров'!$A$2:$D$996,2,0)</f>
        <v>45807</v>
      </c>
      <c r="C483" s="36" t="str">
        <f t="shared" si="122"/>
        <v>Еңсегенов</v>
      </c>
      <c r="D483" s="36" t="str">
        <f t="shared" si="123"/>
        <v>Қуаныш</v>
      </c>
      <c r="E483" s="36" t="str">
        <f t="shared" si="117"/>
        <v>Еңсегенұлы</v>
      </c>
      <c r="F483" s="36" t="str">
        <f t="shared" si="124"/>
        <v>055424392</v>
      </c>
      <c r="G483" s="37">
        <f>VLOOKUP(F483,Покупатели!$F$2:$N$762,2,0)</f>
        <v>45072</v>
      </c>
      <c r="H483" s="36" t="str">
        <f>VLOOKUP(F483,Покупатели!$F$2:$N$762,3,0)</f>
        <v>ҚР ІІМ</v>
      </c>
      <c r="I483" s="36">
        <f>VLOOKUP(C483,Покупатели!$C$2:$M$805,7,0)</f>
        <v>880228300894</v>
      </c>
      <c r="J483" s="36" t="str">
        <f ca="1">IFERROR(__xludf.DUMMYFUNCTION("JOIN("" "", VLOOKUP(C483,Покупатели,8,0),VLOOKUP(C483,Покупатели,9,0),VLOOKUP(C483,Покупатели,10,0),VLOOKUP(C483,Покупатели,11,0))"),"г.Алматы р-н Алатау ул.Темирказык д.18")</f>
        <v>г.Алматы р-н Алатау ул.Темирказык д.18</v>
      </c>
      <c r="K483" s="36">
        <f t="shared" si="125"/>
        <v>87028984565</v>
      </c>
      <c r="L483" s="36" t="str">
        <f t="shared" si="126"/>
        <v>MX4000002S0002178</v>
      </c>
      <c r="M483" s="36" t="str">
        <f t="shared" ca="1" si="133"/>
        <v>002-2013E50Q13-OK30</v>
      </c>
      <c r="N483" s="36" t="str">
        <f t="shared" si="132"/>
        <v>Прицеп 2,0*1,25 м  (до 750 кг.)</v>
      </c>
      <c r="O483" s="36" t="str">
        <f t="shared" si="127"/>
        <v>1 ось</v>
      </c>
      <c r="P483" s="36">
        <f t="shared" si="128"/>
        <v>2025</v>
      </c>
      <c r="Q483" s="34" t="str">
        <f t="shared" ca="1" si="130"/>
        <v>3150*1700*1070</v>
      </c>
      <c r="R483" s="36" t="str">
        <f t="shared" ca="1" si="129"/>
        <v>2000*1250*500</v>
      </c>
      <c r="S483" s="34" t="str">
        <f>VLOOKUP(O483,ОТТС!$A$2:$B$3,2,0)</f>
        <v>ТС KZ Е-KZ.0317.00251 от 28.02.2023</v>
      </c>
      <c r="T483" s="39">
        <v>360000</v>
      </c>
      <c r="U483" s="36" t="str">
        <f t="shared" si="131"/>
        <v>Астана</v>
      </c>
    </row>
    <row r="484" spans="1:21" ht="13.2">
      <c r="A484" s="34">
        <v>1672</v>
      </c>
      <c r="B484" s="35">
        <f>VLOOKUP(A484,'Реестр договоров'!$A$2:$D$996,2,0)</f>
        <v>45807</v>
      </c>
      <c r="C484" s="36" t="str">
        <f t="shared" si="122"/>
        <v>Заборин</v>
      </c>
      <c r="D484" s="36" t="str">
        <f t="shared" si="123"/>
        <v xml:space="preserve">Михаил </v>
      </c>
      <c r="E484" s="36" t="str">
        <f t="shared" si="117"/>
        <v>Михайлович</v>
      </c>
      <c r="F484" s="36" t="str">
        <f t="shared" si="124"/>
        <v>053898497</v>
      </c>
      <c r="G484" s="37">
        <f>VLOOKUP(F484,Покупатели!$F$2:$N$762,2,0)</f>
        <v>45139</v>
      </c>
      <c r="H484" s="36" t="str">
        <f>VLOOKUP(F484,Покупатели!$F$2:$N$762,3,0)</f>
        <v>МВД РК</v>
      </c>
      <c r="I484" s="36">
        <f>VLOOKUP(C484,Покупатели!$C$2:$M$805,7,0)</f>
        <v>730708302077</v>
      </c>
      <c r="J484" s="36" t="str">
        <f ca="1">IFERROR(__xludf.DUMMYFUNCTION("JOIN("" "", VLOOKUP(C484,Покупатели,8,0),VLOOKUP(C484,Покупатели,9,0),VLOOKUP(C484,Покупатели,10,0),VLOOKUP(C484,Покупатели,11,0))"),"Алматинская область, г. Алматы,  ул. Тимирязева, дом 80, кв. 33")</f>
        <v>Алматинская область, г. Алматы,  ул. Тимирязева, дом 80, кв. 33</v>
      </c>
      <c r="K484" s="36">
        <f t="shared" si="125"/>
        <v>87073000277</v>
      </c>
      <c r="L484" s="36" t="str">
        <f t="shared" si="126"/>
        <v>MX4000002S0001927</v>
      </c>
      <c r="M484" s="36" t="str">
        <f t="shared" ca="1" si="133"/>
        <v>002-2013E50Q13-OK</v>
      </c>
      <c r="N484" s="36" t="str">
        <f t="shared" si="132"/>
        <v>Прицеп 2,0*1,25 м  (до 750 кг.)</v>
      </c>
      <c r="O484" s="36" t="str">
        <f t="shared" si="127"/>
        <v>1 ось</v>
      </c>
      <c r="P484" s="36">
        <f t="shared" si="128"/>
        <v>2025</v>
      </c>
      <c r="Q484" s="34" t="str">
        <f t="shared" ca="1" si="130"/>
        <v>3150*1700*1070</v>
      </c>
      <c r="R484" s="36" t="str">
        <f t="shared" ca="1" si="129"/>
        <v>2000*1250*500</v>
      </c>
      <c r="S484" s="34" t="str">
        <f>VLOOKUP(O484,ОТТС!$A$2:$B$3,2,0)</f>
        <v>ТС KZ Е-KZ.0317.00251 от 28.02.2023</v>
      </c>
      <c r="T484" s="39">
        <v>340000</v>
      </c>
      <c r="U484" s="36" t="str">
        <f t="shared" si="131"/>
        <v>Алматы</v>
      </c>
    </row>
    <row r="485" spans="1:21" ht="13.2">
      <c r="A485" s="34">
        <v>1673</v>
      </c>
      <c r="B485" s="35">
        <f>VLOOKUP(A485,'Реестр договоров'!$A$2:$D$996,2,0)</f>
        <v>45807</v>
      </c>
      <c r="C485" s="36" t="str">
        <f t="shared" si="122"/>
        <v>Голубев</v>
      </c>
      <c r="D485" s="36" t="str">
        <f t="shared" si="123"/>
        <v>Александр</v>
      </c>
      <c r="E485" s="36" t="str">
        <f t="shared" si="117"/>
        <v>Михайлович</v>
      </c>
      <c r="F485" s="36" t="str">
        <f t="shared" si="124"/>
        <v>044034072</v>
      </c>
      <c r="G485" s="37">
        <f>VLOOKUP(F485,Покупатели!$F$2:$N$762,2,0)</f>
        <v>43160</v>
      </c>
      <c r="H485" s="36" t="str">
        <f>VLOOKUP(F485,Покупатели!$F$2:$N$762,3,0)</f>
        <v>МВД РК</v>
      </c>
      <c r="I485" s="36">
        <f>VLOOKUP(C485,Покупатели!$C$2:$M$805,7,0)</f>
        <v>610919399022</v>
      </c>
      <c r="J485" s="36" t="str">
        <f ca="1">IFERROR(__xludf.DUMMYFUNCTION("JOIN("" "", VLOOKUP(C485,Покупатели,8,0),VLOOKUP(C485,Покупатели,9,0),VLOOKUP(C485,Покупатели,10,0),VLOOKUP(C485,Покупатели,11,0))"),"Западно-Казахстанская область, г.Уральск, м-н Затон Чапаева, ул.Джунусова, д.4, кв 10")</f>
        <v>Западно-Казахстанская область, г.Уральск, м-н Затон Чапаева, ул.Джунусова, д.4, кв 10</v>
      </c>
      <c r="K485" s="36">
        <f t="shared" si="125"/>
        <v>87013757428</v>
      </c>
      <c r="L485" s="36" t="str">
        <f t="shared" si="126"/>
        <v>MX4000002S0002174</v>
      </c>
      <c r="M485" s="36" t="str">
        <f t="shared" ca="1" si="133"/>
        <v>002-2013E30Q13-OK</v>
      </c>
      <c r="N485" s="36" t="str">
        <f t="shared" si="132"/>
        <v>Прицеп 2,0*1,25 м  (до 750 кг.)</v>
      </c>
      <c r="O485" s="36" t="str">
        <f t="shared" si="127"/>
        <v>1 ось</v>
      </c>
      <c r="P485" s="36">
        <f t="shared" si="128"/>
        <v>2025</v>
      </c>
      <c r="Q485" s="34" t="str">
        <f t="shared" ca="1" si="130"/>
        <v>3150*1700*900</v>
      </c>
      <c r="R485" s="36" t="str">
        <f t="shared" ca="1" si="129"/>
        <v>2000*1250*300</v>
      </c>
      <c r="S485" s="34" t="str">
        <f>VLOOKUP(O485,ОТТС!$A$2:$B$3,2,0)</f>
        <v>ТС KZ Е-KZ.0317.00251 от 28.02.2023</v>
      </c>
      <c r="T485" s="39">
        <v>300000</v>
      </c>
      <c r="U485" s="36" t="str">
        <f t="shared" si="131"/>
        <v>Кокшетау</v>
      </c>
    </row>
    <row r="486" spans="1:21" ht="13.2">
      <c r="A486" s="34">
        <v>1674</v>
      </c>
      <c r="B486" s="6">
        <v>45810</v>
      </c>
      <c r="C486" s="36" t="str">
        <f t="shared" si="122"/>
        <v>Дуйсембаев</v>
      </c>
      <c r="D486" s="36" t="str">
        <f t="shared" si="123"/>
        <v>Жаксылык</v>
      </c>
      <c r="E486" s="36" t="str">
        <f t="shared" si="117"/>
        <v>Женисович</v>
      </c>
      <c r="F486" s="36" t="str">
        <f t="shared" si="124"/>
        <v>044615502</v>
      </c>
      <c r="G486" s="37">
        <f>VLOOKUP(F486,Покупатели!$F$2:$N$762,2,0)</f>
        <v>43297</v>
      </c>
      <c r="H486" s="36" t="str">
        <f>VLOOKUP(F486,Покупатели!$F$2:$N$762,3,0)</f>
        <v>МВД РК</v>
      </c>
      <c r="I486" s="36">
        <f>VLOOKUP(C486,Покупатели!$C$2:$M$805,7,0)</f>
        <v>740210350458</v>
      </c>
      <c r="J486" s="36" t="str">
        <f ca="1">IFERROR(__xludf.DUMMYFUNCTION("JOIN("" "", VLOOKUP(C486,Покупатели,8,0),VLOOKUP(C486,Покупатели,9,0),VLOOKUP(C486,Покупатели,10,0),VLOOKUP(C486,Покупатели,11,0))"),"Акмолинская область, г. Кокшетау, ул. Жумагали Саина, дом 19, кв. 3")</f>
        <v>Акмолинская область, г. Кокшетау, ул. Жумагали Саина, дом 19, кв. 3</v>
      </c>
      <c r="K486" s="36">
        <f t="shared" si="125"/>
        <v>87057669674</v>
      </c>
      <c r="L486" s="36" t="str">
        <f t="shared" si="126"/>
        <v>MX4000002S0002184</v>
      </c>
      <c r="M486" s="36" t="str">
        <f t="shared" ca="1" si="133"/>
        <v>002-2513E50Q13-OK30</v>
      </c>
      <c r="N486" s="36" t="str">
        <f t="shared" si="132"/>
        <v>Прицеп 2,5*1,25 м  (до 750 кг.)</v>
      </c>
      <c r="O486" s="36" t="str">
        <f t="shared" si="127"/>
        <v>1 ось</v>
      </c>
      <c r="P486" s="36">
        <f t="shared" si="128"/>
        <v>2025</v>
      </c>
      <c r="Q486" s="34" t="str">
        <f t="shared" ca="1" si="130"/>
        <v>3650*1700*1070</v>
      </c>
      <c r="R486" s="36" t="str">
        <f t="shared" ca="1" si="129"/>
        <v>2500*1250*500</v>
      </c>
      <c r="S486" s="34" t="str">
        <f>VLOOKUP(O486,ОТТС!$A$2:$B$3,2,0)</f>
        <v>ТС KZ Е-KZ.0317.00251 от 28.02.2023</v>
      </c>
      <c r="T486" s="39">
        <v>420000</v>
      </c>
      <c r="U486" s="36" t="str">
        <f t="shared" si="131"/>
        <v>Кокшетау</v>
      </c>
    </row>
    <row r="487" spans="1:21" ht="13.2">
      <c r="A487" s="34">
        <v>1675</v>
      </c>
      <c r="B487" s="35">
        <f>VLOOKUP(A487,'Реестр договоров'!$A$2:$D$996,2,0)</f>
        <v>45810</v>
      </c>
      <c r="C487" s="36" t="str">
        <f t="shared" si="122"/>
        <v>Убраимов</v>
      </c>
      <c r="D487" s="36" t="str">
        <f t="shared" si="123"/>
        <v>Медет</v>
      </c>
      <c r="E487" s="36" t="str">
        <f t="shared" ref="E487:E550" si="134">VLOOKUP(C487,Покупатели,3,0)</f>
        <v>Атамкулович</v>
      </c>
      <c r="F487" s="36" t="str">
        <f t="shared" si="124"/>
        <v>054979775</v>
      </c>
      <c r="G487" s="37">
        <f>VLOOKUP(F487,Покупатели!$F$2:$N$762,2,0)</f>
        <v>45251</v>
      </c>
      <c r="H487" s="36" t="str">
        <f>VLOOKUP(F487,Покупатели!$F$2:$N$762,3,0)</f>
        <v>МВД РК</v>
      </c>
      <c r="I487" s="36">
        <f>VLOOKUP(C487,Покупатели!$C$2:$M$805,7,0)</f>
        <v>781123301195</v>
      </c>
      <c r="J487" s="36" t="str">
        <f ca="1">IFERROR(__xludf.DUMMYFUNCTION("JOIN("" "", VLOOKUP(C487,Покупатели,8,0),VLOOKUP(C487,Покупатели,9,0),VLOOKUP(C487,Покупатели,10,0),VLOOKUP(C487,Покупатели,11,0))"),"Алматинская область, г. Алматы, Алатауский район, ул. Маркаколь,  дом 71")</f>
        <v>Алматинская область, г. Алматы, Алатауский район, ул. Маркаколь,  дом 71</v>
      </c>
      <c r="K487" s="36">
        <f t="shared" si="125"/>
        <v>87071130881</v>
      </c>
      <c r="L487" s="36" t="str">
        <f t="shared" si="126"/>
        <v>MX4000004S0002132</v>
      </c>
      <c r="M487" s="36" t="str">
        <f t="shared" ca="1" si="133"/>
        <v>002-3515E30Q13-OK</v>
      </c>
      <c r="N487" s="36" t="str">
        <f t="shared" si="132"/>
        <v>Прицеп 3,5*1,5 м  (до 750 кг.)</v>
      </c>
      <c r="O487" s="36" t="str">
        <f t="shared" si="127"/>
        <v>2 оси</v>
      </c>
      <c r="P487" s="36">
        <f t="shared" si="128"/>
        <v>2025</v>
      </c>
      <c r="Q487" s="34" t="str">
        <f t="shared" ca="1" si="130"/>
        <v>3800*1950*900</v>
      </c>
      <c r="R487" s="36" t="str">
        <f t="shared" ca="1" si="129"/>
        <v>3500*1500*300</v>
      </c>
      <c r="S487" s="34" t="str">
        <f>VLOOKUP(O487,ОТТС!$A$2:$B$3,2,0)</f>
        <v>ТС KZ Е-KZ.0317.00219.П1 от 17.07.2025</v>
      </c>
      <c r="T487" s="39">
        <v>730000</v>
      </c>
      <c r="U487" s="36" t="str">
        <f t="shared" si="131"/>
        <v>Алматы</v>
      </c>
    </row>
    <row r="488" spans="1:21" ht="13.2">
      <c r="A488" s="34">
        <v>1676</v>
      </c>
      <c r="B488" s="6">
        <v>45811</v>
      </c>
      <c r="C488" s="36" t="str">
        <f t="shared" si="122"/>
        <v>Абдиров</v>
      </c>
      <c r="D488" s="36" t="str">
        <f t="shared" si="123"/>
        <v>Сагадат</v>
      </c>
      <c r="E488" s="36" t="str">
        <f t="shared" si="134"/>
        <v>Касымович</v>
      </c>
      <c r="F488" s="36" t="str">
        <f t="shared" si="124"/>
        <v>039027030</v>
      </c>
      <c r="G488" s="37">
        <f>VLOOKUP(F488,Покупатели!$F$2:$N$762,2,0)</f>
        <v>42242</v>
      </c>
      <c r="H488" s="36" t="str">
        <f>VLOOKUP(F488,Покупатели!$F$2:$N$762,3,0)</f>
        <v>МВД РК</v>
      </c>
      <c r="I488" s="36">
        <f>VLOOKUP(C488,Покупатели!$C$2:$M$805,7,0)</f>
        <v>580101351796</v>
      </c>
      <c r="J488" s="36" t="str">
        <f ca="1">IFERROR(__xludf.DUMMYFUNCTION("JOIN("" "", VLOOKUP(C488,Покупатели,8,0),VLOOKUP(C488,Покупатели,9,0),VLOOKUP(C488,Покупатели,10,0),VLOOKUP(C488,Покупатели,11,0))"),"Акмолинская обл. Буландинский р-н, г.Макинск ул.Толе би д.58")</f>
        <v>Акмолинская обл. Буландинский р-н, г.Макинск ул.Толе би д.58</v>
      </c>
      <c r="K488" s="36">
        <f t="shared" si="125"/>
        <v>87016619551</v>
      </c>
      <c r="L488" s="36" t="str">
        <f t="shared" si="126"/>
        <v>MX4000002S0002176</v>
      </c>
      <c r="M488" s="36" t="str">
        <f t="shared" ca="1" si="133"/>
        <v>002-2013E50Q13-OK</v>
      </c>
      <c r="N488" s="36" t="str">
        <f t="shared" si="132"/>
        <v>Прицеп 2,0*1,25 м  (до 750 кг.)</v>
      </c>
      <c r="O488" s="36" t="str">
        <f t="shared" si="127"/>
        <v>1 ось</v>
      </c>
      <c r="P488" s="36">
        <f t="shared" si="128"/>
        <v>2025</v>
      </c>
      <c r="Q488" s="34" t="str">
        <f t="shared" ca="1" si="130"/>
        <v>3150*1700*1070</v>
      </c>
      <c r="R488" s="36" t="str">
        <f t="shared" ca="1" si="129"/>
        <v>2000*1250*500</v>
      </c>
      <c r="S488" s="34" t="str">
        <f>VLOOKUP(O488,ОТТС!$A$2:$B$3,2,0)</f>
        <v>ТС KZ Е-KZ.0317.00251 от 28.02.2023</v>
      </c>
      <c r="T488" s="39">
        <v>400000</v>
      </c>
      <c r="U488" s="36" t="str">
        <f t="shared" si="131"/>
        <v>Астана</v>
      </c>
    </row>
    <row r="489" spans="1:21" ht="13.2">
      <c r="A489" s="34">
        <v>1677</v>
      </c>
      <c r="B489" s="35">
        <f>VLOOKUP(A489,'Реестр договоров'!$A$2:$D$996,2,0)</f>
        <v>45811</v>
      </c>
      <c r="C489" s="36" t="str">
        <f t="shared" si="122"/>
        <v>Бердиханов 2</v>
      </c>
      <c r="D489" s="36" t="str">
        <f t="shared" si="123"/>
        <v>Полаткалий</v>
      </c>
      <c r="E489" s="36" t="str">
        <f t="shared" si="134"/>
        <v>Нурдаулетович</v>
      </c>
      <c r="F489" s="36" t="str">
        <f t="shared" si="124"/>
        <v>055060113</v>
      </c>
      <c r="G489" s="37">
        <f>VLOOKUP(F489,Покупатели!$F$2:$N$762,2,0)</f>
        <v>45261</v>
      </c>
      <c r="H489" s="36" t="str">
        <f>VLOOKUP(F489,Покупатели!$F$2:$N$762,3,0)</f>
        <v>МВД РК</v>
      </c>
      <c r="I489" s="36">
        <f>VLOOKUP(C489,Покупатели!$C$2:$M$805,7,0)</f>
        <v>810522303061</v>
      </c>
      <c r="J489" s="36" t="str">
        <f ca="1">IFERROR(__xludf.DUMMYFUNCTION("JOIN("" "", VLOOKUP(C489,Покупатели,8,0),VLOOKUP(C489,Покупатели,9,0),VLOOKUP(C489,Покупатели,10,0),VLOOKUP(C489,Покупатели,11,0))"),"Жамбульская область Байзакский район, с.Сарыкемер ул.Орынкулова д.119а")</f>
        <v>Жамбульская область Байзакский район, с.Сарыкемер ул.Орынкулова д.119а</v>
      </c>
      <c r="K489" s="36">
        <f t="shared" si="125"/>
        <v>87087435052</v>
      </c>
      <c r="L489" s="36" t="str">
        <f t="shared" si="126"/>
        <v>MX4000002S0001907</v>
      </c>
      <c r="M489" s="36" t="str">
        <f t="shared" ca="1" si="133"/>
        <v>002-2013E30Q13-OK</v>
      </c>
      <c r="N489" s="36" t="str">
        <f t="shared" si="132"/>
        <v>Прицеп 2,0*1,25 м  (до 750 кг.)</v>
      </c>
      <c r="O489" s="36" t="str">
        <f t="shared" si="127"/>
        <v>1 ось</v>
      </c>
      <c r="P489" s="36">
        <f t="shared" si="128"/>
        <v>2025</v>
      </c>
      <c r="Q489" s="34" t="str">
        <f t="shared" ca="1" si="130"/>
        <v>3150*1700*900</v>
      </c>
      <c r="R489" s="36" t="str">
        <f t="shared" ca="1" si="129"/>
        <v>2000*1250*300</v>
      </c>
      <c r="S489" s="34" t="str">
        <f>VLOOKUP(O489,ОТТС!$A$2:$B$3,2,0)</f>
        <v>ТС KZ Е-KZ.0317.00251 от 28.02.2023</v>
      </c>
      <c r="T489" s="39">
        <v>305000</v>
      </c>
      <c r="U489" s="36" t="str">
        <f t="shared" si="131"/>
        <v>Алматы</v>
      </c>
    </row>
    <row r="490" spans="1:21" ht="13.2">
      <c r="A490" s="34">
        <v>1679</v>
      </c>
      <c r="B490" s="35">
        <f>VLOOKUP(A490,'Реестр договоров'!$A$2:$D$996,2,0)</f>
        <v>45811</v>
      </c>
      <c r="C490" s="36" t="str">
        <f t="shared" si="122"/>
        <v>Жуков</v>
      </c>
      <c r="D490" s="36" t="str">
        <f t="shared" si="123"/>
        <v>Игорь</v>
      </c>
      <c r="E490" s="36" t="str">
        <f t="shared" si="134"/>
        <v>Валерьевич</v>
      </c>
      <c r="F490" s="36" t="str">
        <f t="shared" si="124"/>
        <v>059423296</v>
      </c>
      <c r="G490" s="37">
        <f>VLOOKUP(F490,Покупатели!$F$2:$N$762,2,0)</f>
        <v>45621</v>
      </c>
      <c r="H490" s="36" t="str">
        <f>VLOOKUP(F490,Покупатели!$F$2:$N$762,3,0)</f>
        <v>МВД РК</v>
      </c>
      <c r="I490" s="36">
        <f>VLOOKUP(C490,Покупатели!$C$2:$M$805,7,0)</f>
        <v>770318350371</v>
      </c>
      <c r="J490" s="36" t="str">
        <f ca="1">IFERROR(__xludf.DUMMYFUNCTION("JOIN("" "", VLOOKUP(C490,Покупатели,8,0),VLOOKUP(C490,Покупатели,9,0),VLOOKUP(C490,Покупатели,10,0),VLOOKUP(C490,Покупатели,11,0))"),"Акмолинская область, г. Кокшетау, ул. Абая 113, кв.79")</f>
        <v>Акмолинская область, г. Кокшетау, ул. Абая 113, кв.79</v>
      </c>
      <c r="K490" s="36">
        <f t="shared" si="125"/>
        <v>87077227976</v>
      </c>
      <c r="L490" s="36" t="str">
        <f t="shared" si="126"/>
        <v>MX4000002S0002186</v>
      </c>
      <c r="M490" s="36" t="str">
        <f t="shared" ca="1" si="133"/>
        <v>002-2513E30Q13-OK</v>
      </c>
      <c r="N490" s="36" t="str">
        <f t="shared" si="132"/>
        <v>Прицеп 2,5*1,25 м  (до 750 кг.)</v>
      </c>
      <c r="O490" s="36" t="str">
        <f t="shared" si="127"/>
        <v>1 ось</v>
      </c>
      <c r="P490" s="36">
        <f t="shared" si="128"/>
        <v>2025</v>
      </c>
      <c r="Q490" s="34" t="str">
        <f t="shared" ca="1" si="130"/>
        <v>3650*1700*900</v>
      </c>
      <c r="R490" s="36" t="str">
        <f t="shared" ca="1" si="129"/>
        <v>2500*1250*300</v>
      </c>
      <c r="S490" s="34" t="str">
        <f>VLOOKUP(O490,ОТТС!$A$2:$B$3,2,0)</f>
        <v>ТС KZ Е-KZ.0317.00251 от 28.02.2023</v>
      </c>
      <c r="T490" s="39">
        <v>380000</v>
      </c>
      <c r="U490" s="36" t="str">
        <f t="shared" si="131"/>
        <v>Кокшетау</v>
      </c>
    </row>
    <row r="491" spans="1:21" ht="13.2">
      <c r="A491" s="34">
        <v>1680</v>
      </c>
      <c r="B491" s="35">
        <f>VLOOKUP(A491,'Реестр договоров'!$A$2:$D$996,2,0)</f>
        <v>45813</v>
      </c>
      <c r="C491" s="36" t="str">
        <f t="shared" si="122"/>
        <v>Чичеров</v>
      </c>
      <c r="D491" s="36" t="str">
        <f t="shared" si="123"/>
        <v>Виктор</v>
      </c>
      <c r="E491" s="36" t="str">
        <f t="shared" si="134"/>
        <v>Владимирович</v>
      </c>
      <c r="F491" s="36" t="str">
        <f t="shared" si="124"/>
        <v>057128066</v>
      </c>
      <c r="G491" s="37">
        <f>VLOOKUP(F491,Покупатели!$F$2:$N$762,2,0)</f>
        <v>45308</v>
      </c>
      <c r="H491" s="36" t="str">
        <f>VLOOKUP(F491,Покупатели!$F$2:$N$762,3,0)</f>
        <v>МВД РК</v>
      </c>
      <c r="I491" s="36">
        <f>VLOOKUP(C491,Покупатели!$C$2:$M$805,7,0)</f>
        <v>790521300858</v>
      </c>
      <c r="J491" s="36" t="str">
        <f ca="1">IFERROR(__xludf.DUMMYFUNCTION("JOIN("" "", VLOOKUP(C491,Покупатели,8,0),VLOOKUP(C491,Покупатели,9,0),VLOOKUP(C491,Покупатели,10,0),VLOOKUP(C491,Покупатели,11,0))"),"Акмолинская область, с. Красный Яр, ул. Болашак, дом 32")</f>
        <v>Акмолинская область, с. Красный Яр, ул. Болашак, дом 32</v>
      </c>
      <c r="K491" s="36">
        <f t="shared" si="125"/>
        <v>87072694602</v>
      </c>
      <c r="L491" s="36" t="str">
        <f t="shared" si="126"/>
        <v>MX4000002S0002188</v>
      </c>
      <c r="M491" s="36" t="str">
        <f t="shared" ca="1" si="133"/>
        <v>002-2013E30Q13-OK</v>
      </c>
      <c r="N491" s="36" t="str">
        <f t="shared" si="132"/>
        <v>Прицеп 2,0*1,25 м  (до 750 кг.)</v>
      </c>
      <c r="O491" s="36" t="str">
        <f t="shared" si="127"/>
        <v>1 ось</v>
      </c>
      <c r="P491" s="36">
        <f t="shared" si="128"/>
        <v>2025</v>
      </c>
      <c r="Q491" s="34" t="str">
        <f t="shared" ca="1" si="130"/>
        <v>3150*1700*900</v>
      </c>
      <c r="R491" s="36" t="str">
        <f t="shared" ca="1" si="129"/>
        <v>2000*1250*300</v>
      </c>
      <c r="S491" s="34" t="str">
        <f>VLOOKUP(O491,ОТТС!$A$2:$B$3,2,0)</f>
        <v>ТС KZ Е-KZ.0317.00251 от 28.02.2023</v>
      </c>
      <c r="T491" s="39">
        <v>330000</v>
      </c>
      <c r="U491" s="36" t="str">
        <f t="shared" si="131"/>
        <v>Кокшетау</v>
      </c>
    </row>
    <row r="492" spans="1:21" ht="13.2">
      <c r="A492" s="34">
        <v>1681</v>
      </c>
      <c r="B492" s="35">
        <f>VLOOKUP(A492,'Реестр договоров'!$A$2:$D$996,2,0)</f>
        <v>45815</v>
      </c>
      <c r="C492" s="36" t="str">
        <f t="shared" si="122"/>
        <v>Зайцев</v>
      </c>
      <c r="D492" s="36" t="str">
        <f t="shared" si="123"/>
        <v>Александр</v>
      </c>
      <c r="E492" s="36" t="str">
        <f t="shared" si="134"/>
        <v>Александрович</v>
      </c>
      <c r="F492" s="36" t="str">
        <f t="shared" si="124"/>
        <v>058530470</v>
      </c>
      <c r="G492" s="37">
        <f>VLOOKUP(F492,Покупатели!$F$2:$N$762,2,0)</f>
        <v>45484</v>
      </c>
      <c r="H492" s="36" t="str">
        <f>VLOOKUP(F492,Покупатели!$F$2:$N$762,3,0)</f>
        <v>МВД РК</v>
      </c>
      <c r="I492" s="36">
        <f>VLOOKUP(C492,Покупатели!$C$2:$M$805,7,0)</f>
        <v>890926300385</v>
      </c>
      <c r="J492" s="36" t="str">
        <f ca="1">IFERROR(__xludf.DUMMYFUNCTION("JOIN("" "", VLOOKUP(C492,Покупатели,8,0),VLOOKUP(C492,Покупатели,9,0),VLOOKUP(C492,Покупатели,10,0),VLOOKUP(C492,Покупатели,11,0))"),"г.Алматы Турксибский р-н ул.Майлина д.206, кв.8")</f>
        <v>г.Алматы Турксибский р-н ул.Майлина д.206, кв.8</v>
      </c>
      <c r="K492" s="36">
        <f t="shared" si="125"/>
        <v>87012720888</v>
      </c>
      <c r="L492" s="36" t="str">
        <f t="shared" si="126"/>
        <v>MX4000002S0001962</v>
      </c>
      <c r="M492" s="36" t="str">
        <f t="shared" ca="1" si="133"/>
        <v>002-2013E50Q13-OK</v>
      </c>
      <c r="N492" s="36" t="str">
        <f t="shared" si="132"/>
        <v>Прицеп 2,0*1,25 м  (до 750 кг.)</v>
      </c>
      <c r="O492" s="36" t="str">
        <f t="shared" si="127"/>
        <v>1 ось</v>
      </c>
      <c r="P492" s="36">
        <f t="shared" si="128"/>
        <v>2025</v>
      </c>
      <c r="Q492" s="34" t="str">
        <f t="shared" ca="1" si="130"/>
        <v>3150*1700*1070</v>
      </c>
      <c r="R492" s="36" t="str">
        <f t="shared" ca="1" si="129"/>
        <v>2000*1250*500</v>
      </c>
      <c r="S492" s="34" t="str">
        <f>VLOOKUP(O492,ОТТС!$A$2:$B$3,2,0)</f>
        <v>ТС KZ Е-KZ.0317.00251 от 28.02.2023</v>
      </c>
      <c r="T492" s="39">
        <v>360000</v>
      </c>
      <c r="U492" s="36" t="str">
        <f t="shared" si="131"/>
        <v>Алматы</v>
      </c>
    </row>
    <row r="493" spans="1:21" ht="13.2">
      <c r="A493" s="34">
        <v>1682</v>
      </c>
      <c r="B493" s="35">
        <f>VLOOKUP(A493,'Реестр договоров'!$A$2:$D$996,2,0)</f>
        <v>45813</v>
      </c>
      <c r="C493" s="36" t="str">
        <f t="shared" si="122"/>
        <v>Оразалин</v>
      </c>
      <c r="D493" s="36" t="str">
        <f t="shared" si="123"/>
        <v>Жарас</v>
      </c>
      <c r="E493" s="36" t="str">
        <f t="shared" si="134"/>
        <v>Иманмаликович</v>
      </c>
      <c r="F493" s="36" t="str">
        <f t="shared" si="124"/>
        <v>042634018</v>
      </c>
      <c r="G493" s="37">
        <f>VLOOKUP(F493,Покупатели!$F$2:$N$762,2,0)</f>
        <v>42850</v>
      </c>
      <c r="H493" s="36" t="str">
        <f>VLOOKUP(F493,Покупатели!$F$2:$N$762,3,0)</f>
        <v>МВД РК</v>
      </c>
      <c r="I493" s="36">
        <f>VLOOKUP(C493,Покупатели!$C$2:$M$805,7,0)</f>
        <v>880205350805</v>
      </c>
      <c r="J493" s="36" t="str">
        <f ca="1">IFERROR(__xludf.DUMMYFUNCTION("JOIN("" "", VLOOKUP(C493,Покупатели,8,0),VLOOKUP(C493,Покупатели,9,0),VLOOKUP(C493,Покупатели,10,0),VLOOKUP(C493,Покупатели,11,0))"),"Акмолинская область, Потребительский кооператив,  ул. Синегорье, д.140")</f>
        <v>Акмолинская область, Потребительский кооператив,  ул. Синегорье, д.140</v>
      </c>
      <c r="K493" s="36">
        <f t="shared" si="125"/>
        <v>87767345388</v>
      </c>
      <c r="L493" s="36" t="str">
        <f t="shared" si="126"/>
        <v>MX4000002S0002191</v>
      </c>
      <c r="M493" s="36" t="str">
        <f t="shared" ca="1" si="133"/>
        <v>002-2013E30Q13-OK</v>
      </c>
      <c r="N493" s="36" t="str">
        <f t="shared" si="132"/>
        <v>Прицеп 2,0*1,25 м  (до 750 кг.)</v>
      </c>
      <c r="O493" s="36" t="str">
        <f t="shared" si="127"/>
        <v>1 ось</v>
      </c>
      <c r="P493" s="36">
        <f t="shared" si="128"/>
        <v>2025</v>
      </c>
      <c r="Q493" s="34" t="str">
        <f t="shared" ca="1" si="130"/>
        <v>3150*1700*900</v>
      </c>
      <c r="R493" s="36" t="str">
        <f t="shared" ca="1" si="129"/>
        <v>2000*1250*300</v>
      </c>
      <c r="S493" s="34" t="str">
        <f>VLOOKUP(O493,ОТТС!$A$2:$B$3,2,0)</f>
        <v>ТС KZ Е-KZ.0317.00251 от 28.02.2023</v>
      </c>
      <c r="T493" s="39">
        <v>380000</v>
      </c>
      <c r="U493" s="36" t="str">
        <f t="shared" si="131"/>
        <v>Кокшетау</v>
      </c>
    </row>
    <row r="494" spans="1:21" ht="13.2">
      <c r="A494" s="34">
        <v>1683</v>
      </c>
      <c r="B494" s="35">
        <f>VLOOKUP(A494,'Реестр договоров'!$A$2:$D$996,2,0)</f>
        <v>45813</v>
      </c>
      <c r="C494" s="36" t="str">
        <f t="shared" si="122"/>
        <v>Андрющенко</v>
      </c>
      <c r="D494" s="36" t="str">
        <f t="shared" si="123"/>
        <v>Алексей</v>
      </c>
      <c r="E494" s="36" t="str">
        <f t="shared" si="134"/>
        <v>Петрович</v>
      </c>
      <c r="F494" s="36" t="str">
        <f t="shared" si="124"/>
        <v>054895874</v>
      </c>
      <c r="G494" s="37">
        <f>VLOOKUP(F494,Покупатели!$F$2:$N$762,2,0)</f>
        <v>44992</v>
      </c>
      <c r="H494" s="36" t="str">
        <f>VLOOKUP(F494,Покупатели!$F$2:$N$762,3,0)</f>
        <v>МВД РК</v>
      </c>
      <c r="I494" s="36">
        <f>VLOOKUP(C494,Покупатели!$C$2:$M$805,7,0)</f>
        <v>790319301243</v>
      </c>
      <c r="J494" s="36" t="str">
        <f ca="1">IFERROR(__xludf.DUMMYFUNCTION("JOIN("" "", VLOOKUP(C494,Покупатели,8,0),VLOOKUP(C494,Покупатели,9,0),VLOOKUP(C494,Покупатели,10,0),VLOOKUP(C494,Покупатели,11,0))"),"г.Астана р-н Байконур ул.Ташенова д.2/3, кв.55")</f>
        <v>г.Астана р-н Байконур ул.Ташенова д.2/3, кв.55</v>
      </c>
      <c r="K494" s="36">
        <f t="shared" si="125"/>
        <v>87713771717</v>
      </c>
      <c r="L494" s="36" t="str">
        <f t="shared" si="126"/>
        <v>MX4000002S0002182</v>
      </c>
      <c r="M494" s="36" t="str">
        <f t="shared" ca="1" si="133"/>
        <v>002-2013E30Q13-OK</v>
      </c>
      <c r="N494" s="36" t="str">
        <f t="shared" si="132"/>
        <v>Прицеп 2,0*1,25 м  (до 750 кг.)</v>
      </c>
      <c r="O494" s="36" t="str">
        <f t="shared" si="127"/>
        <v>1 ось</v>
      </c>
      <c r="P494" s="36">
        <f t="shared" si="128"/>
        <v>2025</v>
      </c>
      <c r="Q494" s="34" t="str">
        <f t="shared" ca="1" si="130"/>
        <v>3150*1700*900</v>
      </c>
      <c r="R494" s="36" t="str">
        <f t="shared" ca="1" si="129"/>
        <v>2000*1250*300</v>
      </c>
      <c r="S494" s="34" t="str">
        <f>VLOOKUP(O494,ОТТС!$A$2:$B$3,2,0)</f>
        <v>ТС KZ Е-KZ.0317.00251 от 28.02.2023</v>
      </c>
      <c r="T494" s="39">
        <v>390000</v>
      </c>
      <c r="U494" s="36" t="str">
        <f t="shared" si="131"/>
        <v>Астана</v>
      </c>
    </row>
    <row r="495" spans="1:21" ht="13.2">
      <c r="A495" s="34">
        <v>1684</v>
      </c>
      <c r="B495" s="35">
        <f>VLOOKUP(A495,'Реестр договоров'!$A$2:$D$996,2,0)</f>
        <v>45814</v>
      </c>
      <c r="C495" s="36" t="str">
        <f t="shared" si="122"/>
        <v>Жумабеков</v>
      </c>
      <c r="D495" s="36" t="str">
        <f t="shared" si="123"/>
        <v>Айбек</v>
      </c>
      <c r="E495" s="36" t="str">
        <f t="shared" si="134"/>
        <v>Райбекович</v>
      </c>
      <c r="F495" s="36" t="str">
        <f t="shared" si="124"/>
        <v>051979331</v>
      </c>
      <c r="G495" s="37">
        <f>VLOOKUP(F495,Покупатели!$F$2:$N$762,2,0)</f>
        <v>44880</v>
      </c>
      <c r="H495" s="36" t="str">
        <f>VLOOKUP(F495,Покупатели!$F$2:$N$762,3,0)</f>
        <v>МВД РК</v>
      </c>
      <c r="I495" s="36">
        <f>VLOOKUP(C495,Покупатели!$C$2:$M$805,7,0)</f>
        <v>880802302672</v>
      </c>
      <c r="J495" s="36" t="str">
        <f ca="1">IFERROR(__xludf.DUMMYFUNCTION("JOIN("" "", VLOOKUP(C495,Покупатели,8,0),VLOOKUP(C495,Покупатели,9,0),VLOOKUP(C495,Покупатели,10,0),VLOOKUP(C495,Покупатели,11,0))"),"Алматинская обл. Балхашский р-н, с.Баканас ул.Бижанова д.60А")</f>
        <v>Алматинская обл. Балхашский р-н, с.Баканас ул.Бижанова д.60А</v>
      </c>
      <c r="K495" s="36">
        <f t="shared" si="125"/>
        <v>87753888833</v>
      </c>
      <c r="L495" s="36" t="str">
        <f t="shared" si="126"/>
        <v>MX4000002S0001914</v>
      </c>
      <c r="M495" s="36" t="str">
        <f t="shared" ca="1" si="133"/>
        <v>002-2013E50Q13-OK</v>
      </c>
      <c r="N495" s="36" t="str">
        <f t="shared" si="132"/>
        <v>Прицеп 2,0*1,25 м  (до 750 кг.)</v>
      </c>
      <c r="O495" s="36" t="str">
        <f t="shared" si="127"/>
        <v>1 ось</v>
      </c>
      <c r="P495" s="36">
        <f t="shared" si="128"/>
        <v>2025</v>
      </c>
      <c r="Q495" s="34" t="str">
        <f t="shared" ca="1" si="130"/>
        <v>3150*1700*1070</v>
      </c>
      <c r="R495" s="36" t="str">
        <f t="shared" ca="1" si="129"/>
        <v>2000*1250*500</v>
      </c>
      <c r="S495" s="34" t="str">
        <f>VLOOKUP(O495,ОТТС!$A$2:$B$3,2,0)</f>
        <v>ТС KZ Е-KZ.0317.00251 от 28.02.2023</v>
      </c>
      <c r="T495" s="39">
        <v>360000</v>
      </c>
      <c r="U495" s="36" t="str">
        <f t="shared" si="131"/>
        <v>Алматы</v>
      </c>
    </row>
    <row r="496" spans="1:21" ht="13.2">
      <c r="A496" s="34">
        <v>1685</v>
      </c>
      <c r="B496" s="35">
        <f>VLOOKUP(A496,'Реестр договоров'!$A$2:$D$996,2,0)</f>
        <v>45814</v>
      </c>
      <c r="C496" s="36" t="str">
        <f t="shared" si="122"/>
        <v>Катанова</v>
      </c>
      <c r="D496" s="36" t="str">
        <f t="shared" si="123"/>
        <v>Марина</v>
      </c>
      <c r="E496" s="36" t="str">
        <f t="shared" si="134"/>
        <v>Сергеевна</v>
      </c>
      <c r="F496" s="36" t="str">
        <f t="shared" si="124"/>
        <v>057022735</v>
      </c>
      <c r="G496" s="37">
        <f>VLOOKUP(F496,Покупатели!$F$2:$N$762,2,0)</f>
        <v>45471</v>
      </c>
      <c r="H496" s="36" t="str">
        <f>VLOOKUP(F496,Покупатели!$F$2:$N$762,3,0)</f>
        <v>МВД РК</v>
      </c>
      <c r="I496" s="36">
        <f>VLOOKUP(C496,Покупатели!$C$2:$M$805,7,0)</f>
        <v>781014402328</v>
      </c>
      <c r="J496" s="36" t="str">
        <f ca="1">IFERROR(__xludf.DUMMYFUNCTION("JOIN("" "", VLOOKUP(C496,Покупатели,8,0),VLOOKUP(C496,Покупатели,9,0),VLOOKUP(C496,Покупатели,10,0),VLOOKUP(C496,Покупатели,11,0))"),"г.Алматы р-н Ауезова,  мкр. Тастак-1 д.15, кв.68")</f>
        <v>г.Алматы р-н Ауезова,  мкр. Тастак-1 д.15, кв.68</v>
      </c>
      <c r="K496" s="36">
        <f t="shared" si="125"/>
        <v>87078401543</v>
      </c>
      <c r="L496" s="36" t="str">
        <f t="shared" si="126"/>
        <v>MX4000002S0002039</v>
      </c>
      <c r="M496" s="36" t="str">
        <f t="shared" ca="1" si="133"/>
        <v>002-2013E50Q13-OK</v>
      </c>
      <c r="N496" s="36" t="str">
        <f t="shared" si="132"/>
        <v>Прицеп 2,0*1,25 м  (до 750 кг.)</v>
      </c>
      <c r="O496" s="36" t="str">
        <f t="shared" si="127"/>
        <v>1 ось</v>
      </c>
      <c r="P496" s="36">
        <f t="shared" si="128"/>
        <v>2025</v>
      </c>
      <c r="Q496" s="34" t="str">
        <f t="shared" ca="1" si="130"/>
        <v>3150*1700*1070</v>
      </c>
      <c r="R496" s="36" t="str">
        <f t="shared" ca="1" si="129"/>
        <v>2000*1250*500</v>
      </c>
      <c r="S496" s="34" t="str">
        <f>VLOOKUP(O496,ОТТС!$A$2:$B$3,2,0)</f>
        <v>ТС KZ Е-KZ.0317.00251 от 28.02.2023</v>
      </c>
      <c r="T496" s="39">
        <v>420000</v>
      </c>
      <c r="U496" s="36" t="str">
        <f t="shared" si="131"/>
        <v>Алматы</v>
      </c>
    </row>
    <row r="497" spans="1:21" ht="13.2">
      <c r="A497" s="34">
        <v>1687</v>
      </c>
      <c r="B497" s="35">
        <f>VLOOKUP(A497,'Реестр договоров'!$A$2:$D$996,2,0)</f>
        <v>45818</v>
      </c>
      <c r="C497" s="36" t="str">
        <f t="shared" si="122"/>
        <v>Игиликов</v>
      </c>
      <c r="D497" s="36" t="str">
        <f t="shared" si="123"/>
        <v>Сейткерим</v>
      </c>
      <c r="E497" s="36" t="str">
        <f t="shared" si="134"/>
        <v>Сарсенбаевич</v>
      </c>
      <c r="F497" s="36" t="str">
        <f t="shared" si="124"/>
        <v>049843419</v>
      </c>
      <c r="G497" s="37">
        <f>VLOOKUP(F497,Покупатели!$F$2:$N$762,2,0)</f>
        <v>44561</v>
      </c>
      <c r="H497" s="36" t="str">
        <f>VLOOKUP(F497,Покупатели!$F$2:$N$762,3,0)</f>
        <v>МВД РК</v>
      </c>
      <c r="I497" s="36">
        <f>VLOOKUP(C497,Покупатели!$C$2:$M$805,7,0)</f>
        <v>670106301885</v>
      </c>
      <c r="J497" s="36" t="str">
        <f ca="1">IFERROR(__xludf.DUMMYFUNCTION("JOIN("" "", VLOOKUP(C497,Покупатели,8,0),VLOOKUP(C497,Покупатели,9,0),VLOOKUP(C497,Покупатели,10,0),VLOOKUP(C497,Покупатели,11,0))"),"Жетысуская область, г. Талдыкорган, ул. Кожамиярова, д.109")</f>
        <v>Жетысуская область, г. Талдыкорган, ул. Кожамиярова, д.109</v>
      </c>
      <c r="K497" s="36">
        <f t="shared" si="125"/>
        <v>87017579651</v>
      </c>
      <c r="L497" s="36" t="str">
        <f t="shared" si="126"/>
        <v>MX4000002S0001928</v>
      </c>
      <c r="M497" s="36" t="str">
        <f t="shared" ca="1" si="133"/>
        <v>002-2013E30Q13-OK</v>
      </c>
      <c r="N497" s="36" t="str">
        <f t="shared" si="132"/>
        <v>Прицеп 2,0*1,25 м  (до 750 кг.)</v>
      </c>
      <c r="O497" s="36" t="str">
        <f t="shared" si="127"/>
        <v>1 ось</v>
      </c>
      <c r="P497" s="36">
        <f t="shared" si="128"/>
        <v>2025</v>
      </c>
      <c r="Q497" s="34" t="str">
        <f t="shared" ca="1" si="130"/>
        <v>3150*1700*900</v>
      </c>
      <c r="R497" s="36" t="str">
        <f t="shared" ca="1" si="129"/>
        <v>2000*1250*300</v>
      </c>
      <c r="S497" s="34" t="str">
        <f>VLOOKUP(O497,ОТТС!$A$2:$B$3,2,0)</f>
        <v>ТС KZ Е-KZ.0317.00251 от 28.02.2023</v>
      </c>
      <c r="T497" s="39">
        <v>310000</v>
      </c>
      <c r="U497" s="36" t="str">
        <f t="shared" si="131"/>
        <v>Алматы</v>
      </c>
    </row>
    <row r="498" spans="1:21" ht="13.2">
      <c r="A498" s="34">
        <v>1690</v>
      </c>
      <c r="B498" s="35">
        <f>VLOOKUP(A498,'Реестр договоров'!$A$2:$D$996,2,0)</f>
        <v>45818</v>
      </c>
      <c r="C498" s="36" t="str">
        <f t="shared" si="122"/>
        <v>Кемелханов</v>
      </c>
      <c r="D498" s="36" t="str">
        <f t="shared" si="123"/>
        <v>Сағадат</v>
      </c>
      <c r="E498" s="36" t="str">
        <f t="shared" si="134"/>
        <v>Бағдатұлы</v>
      </c>
      <c r="F498" s="36" t="str">
        <f t="shared" si="124"/>
        <v>042819715</v>
      </c>
      <c r="G498" s="37">
        <f>VLOOKUP(F498,Покупатели!$F$2:$N$762,2,0)</f>
        <v>43186</v>
      </c>
      <c r="H498" s="36" t="str">
        <f>VLOOKUP(F498,Покупатели!$F$2:$N$762,3,0)</f>
        <v>ҚР ІІМ</v>
      </c>
      <c r="I498" s="36">
        <f>VLOOKUP(C498,Покупатели!$C$2:$M$805,7,0)</f>
        <v>950423301659</v>
      </c>
      <c r="J498" s="36" t="str">
        <f ca="1">IFERROR(__xludf.DUMMYFUNCTION("JOIN("" "", VLOOKUP(C498,Покупатели,8,0),VLOOKUP(C498,Покупатели,9,0),VLOOKUP(C498,Покупатели,10,0),VLOOKUP(C498,Покупатели,11,0))"),"Алматинская область, г.Алматы, ул. Жунисова, д.10, кв 14")</f>
        <v>Алматинская область, г.Алматы, ул. Жунисова, д.10, кв 14</v>
      </c>
      <c r="K498" s="36">
        <f t="shared" si="125"/>
        <v>87477179590</v>
      </c>
      <c r="L498" s="36" t="str">
        <f t="shared" si="126"/>
        <v>MX4000002S0001917</v>
      </c>
      <c r="M498" s="36" t="str">
        <f t="shared" ca="1" si="133"/>
        <v>002-2013E30Q13-OK</v>
      </c>
      <c r="N498" s="36" t="str">
        <f t="shared" si="132"/>
        <v>Прицеп 2,0*1,25 м  (до 750 кг.)</v>
      </c>
      <c r="O498" s="36" t="str">
        <f t="shared" si="127"/>
        <v>1 ось</v>
      </c>
      <c r="P498" s="36">
        <f t="shared" si="128"/>
        <v>2025</v>
      </c>
      <c r="Q498" s="34" t="str">
        <f t="shared" ca="1" si="130"/>
        <v>3150*1700*900</v>
      </c>
      <c r="R498" s="36" t="str">
        <f t="shared" ca="1" si="129"/>
        <v>2000*1250*300</v>
      </c>
      <c r="S498" s="34" t="str">
        <f>VLOOKUP(O498,ОТТС!$A$2:$B$3,2,0)</f>
        <v>ТС KZ Е-KZ.0317.00251 от 28.02.2023</v>
      </c>
      <c r="T498" s="39">
        <v>320000</v>
      </c>
      <c r="U498" s="36" t="str">
        <f t="shared" si="131"/>
        <v>Алматы</v>
      </c>
    </row>
    <row r="499" spans="1:21" ht="13.2">
      <c r="A499" s="34">
        <v>1691</v>
      </c>
      <c r="B499" s="35">
        <f>VLOOKUP(A499,'Реестр договоров'!$A$2:$D$996,2,0)</f>
        <v>45819</v>
      </c>
      <c r="C499" s="36" t="str">
        <f t="shared" si="122"/>
        <v>Козленко</v>
      </c>
      <c r="D499" s="36" t="str">
        <f t="shared" si="123"/>
        <v>Егор</v>
      </c>
      <c r="E499" s="36" t="str">
        <f t="shared" si="134"/>
        <v>Сергеевич</v>
      </c>
      <c r="F499" s="36" t="str">
        <f t="shared" si="124"/>
        <v>047115406</v>
      </c>
      <c r="G499" s="37">
        <f>VLOOKUP(F499,Покупатели!$F$2:$N$762,2,0)</f>
        <v>43822</v>
      </c>
      <c r="H499" s="36" t="str">
        <f>VLOOKUP(F499,Покупатели!$F$2:$N$762,3,0)</f>
        <v>МВД РК</v>
      </c>
      <c r="I499" s="36">
        <f>VLOOKUP(C499,Покупатели!$C$2:$M$805,7,0)</f>
        <v>851024350819</v>
      </c>
      <c r="J499" s="36" t="str">
        <f ca="1">IFERROR(__xludf.DUMMYFUNCTION("JOIN("" "", VLOOKUP(C499,Покупатели,8,0),VLOOKUP(C499,Покупатели,9,0),VLOOKUP(C499,Покупатели,10,0),VLOOKUP(C499,Покупатели,11,0))"),"Акмолинская область, г.Астана, ул. Пушкина, д.7, кв 25")</f>
        <v>Акмолинская область, г.Астана, ул. Пушкина, д.7, кв 25</v>
      </c>
      <c r="K499" s="36">
        <f t="shared" si="125"/>
        <v>87021331188</v>
      </c>
      <c r="L499" s="36" t="str">
        <f t="shared" si="126"/>
        <v>MX4000002S0002197</v>
      </c>
      <c r="M499" s="36" t="str">
        <f t="shared" ca="1" si="133"/>
        <v>002-3015E50Q13-OK120</v>
      </c>
      <c r="N499" s="36" t="str">
        <f t="shared" si="132"/>
        <v>Прицеп 3,0*1,5 м  (до 750 кг.)</v>
      </c>
      <c r="O499" s="36" t="str">
        <f t="shared" si="127"/>
        <v>1 ось</v>
      </c>
      <c r="P499" s="36">
        <f t="shared" si="128"/>
        <v>2025</v>
      </c>
      <c r="Q499" s="34" t="str">
        <f t="shared" ca="1" si="130"/>
        <v>3800*1950*1200</v>
      </c>
      <c r="R499" s="36" t="str">
        <f t="shared" ca="1" si="129"/>
        <v>3000*1500*500</v>
      </c>
      <c r="S499" s="34" t="str">
        <f>VLOOKUP(O499,ОТТС!$A$2:$B$3,2,0)</f>
        <v>ТС KZ Е-KZ.0317.00251 от 28.02.2023</v>
      </c>
      <c r="T499" s="39">
        <v>700000</v>
      </c>
      <c r="U499" s="36" t="str">
        <f t="shared" si="131"/>
        <v>Кокшетау</v>
      </c>
    </row>
    <row r="500" spans="1:21" ht="13.2">
      <c r="A500" s="34">
        <v>1692</v>
      </c>
      <c r="B500" s="35">
        <f>VLOOKUP(A500,'Реестр договоров'!$A$2:$D$996,2,0)</f>
        <v>45819</v>
      </c>
      <c r="C500" s="36" t="str">
        <f t="shared" si="122"/>
        <v>Бураков</v>
      </c>
      <c r="D500" s="36" t="str">
        <f t="shared" si="123"/>
        <v>Николай</v>
      </c>
      <c r="E500" s="36" t="str">
        <f t="shared" si="134"/>
        <v>Валерьевич</v>
      </c>
      <c r="F500" s="36" t="str">
        <f t="shared" si="124"/>
        <v>058783304</v>
      </c>
      <c r="G500" s="37">
        <f>VLOOKUP(F500,Покупатели!$F$2:$N$762,2,0)</f>
        <v>45519</v>
      </c>
      <c r="H500" s="36" t="str">
        <f>VLOOKUP(F500,Покупатели!$F$2:$N$762,3,0)</f>
        <v>МВД РК</v>
      </c>
      <c r="I500" s="36">
        <f>VLOOKUP(C500,Покупатели!$C$2:$M$805,7,0)</f>
        <v>740227350163</v>
      </c>
      <c r="J500" s="36" t="str">
        <f ca="1">IFERROR(__xludf.DUMMYFUNCTION("JOIN("" "", VLOOKUP(C500,Покупатели,8,0),VLOOKUP(C500,Покупатели,9,0),VLOOKUP(C500,Покупатели,10,0),VLOOKUP(C500,Покупатели,11,0))"),"Акмолинская обл. Шортандинский р-н пос.Дамса ул.Коктем")</f>
        <v>Акмолинская обл. Шортандинский р-н пос.Дамса ул.Коктем</v>
      </c>
      <c r="K500" s="36" t="str">
        <f t="shared" si="125"/>
        <v>д.14/2</v>
      </c>
      <c r="L500" s="36" t="str">
        <f t="shared" si="126"/>
        <v>MX4000002S0002177</v>
      </c>
      <c r="M500" s="36" t="str">
        <f t="shared" ca="1" si="133"/>
        <v>002-2013E50Q13-OK30</v>
      </c>
      <c r="N500" s="36" t="str">
        <f t="shared" si="132"/>
        <v>Прицеп 2,0*1,25 м  (до 750 кг.)</v>
      </c>
      <c r="O500" s="36" t="str">
        <f t="shared" si="127"/>
        <v>1 ось</v>
      </c>
      <c r="P500" s="36">
        <f t="shared" si="128"/>
        <v>2025</v>
      </c>
      <c r="Q500" s="34" t="str">
        <f t="shared" ca="1" si="130"/>
        <v>3150*1700*1070</v>
      </c>
      <c r="R500" s="36" t="str">
        <f t="shared" ca="1" si="129"/>
        <v>2000*1250*500</v>
      </c>
      <c r="S500" s="34" t="str">
        <f>VLOOKUP(O500,ОТТС!$A$2:$B$3,2,0)</f>
        <v>ТС KZ Е-KZ.0317.00251 от 28.02.2023</v>
      </c>
      <c r="T500" s="39">
        <v>1080000</v>
      </c>
      <c r="U500" s="36" t="str">
        <f t="shared" si="131"/>
        <v>Астана</v>
      </c>
    </row>
    <row r="501" spans="1:21" ht="13.2">
      <c r="A501" s="34">
        <v>1693</v>
      </c>
      <c r="B501" s="35">
        <f>VLOOKUP(A501,'Реестр договоров'!$A$2:$D$996,2,0)</f>
        <v>45819</v>
      </c>
      <c r="C501" s="36" t="str">
        <f t="shared" si="122"/>
        <v>Мавлют</v>
      </c>
      <c r="D501" s="36" t="str">
        <f t="shared" si="123"/>
        <v>Нұрбек</v>
      </c>
      <c r="E501" s="36" t="str">
        <f t="shared" si="134"/>
        <v>Самиғұллаұлы</v>
      </c>
      <c r="F501" s="36" t="str">
        <f t="shared" si="124"/>
        <v>049868290</v>
      </c>
      <c r="G501" s="37">
        <f>VLOOKUP(F501,Покупатели!$F$2:$N$762,2,0)</f>
        <v>44244</v>
      </c>
      <c r="H501" s="36" t="str">
        <f>VLOOKUP(F501,Покупатели!$F$2:$N$762,3,0)</f>
        <v>ҚР ІІМ</v>
      </c>
      <c r="I501" s="36">
        <f>VLOOKUP(C501,Покупатели!$C$2:$M$805,7,0)</f>
        <v>760614300322</v>
      </c>
      <c r="J501" s="36" t="str">
        <f ca="1">IFERROR(__xludf.DUMMYFUNCTION("JOIN("" "", VLOOKUP(C501,Покупатели,8,0),VLOOKUP(C501,Покупатели,9,0),VLOOKUP(C501,Покупатели,10,0),VLOOKUP(C501,Покупатели,11,0))"),"Акмолинская область, г.Кокшетау, мкр-н Васильковский, д.35, кв.56")</f>
        <v>Акмолинская область, г.Кокшетау, мкр-н Васильковский, д.35, кв.56</v>
      </c>
      <c r="K501" s="36">
        <f t="shared" si="125"/>
        <v>87013635395</v>
      </c>
      <c r="L501" s="36" t="str">
        <f t="shared" si="126"/>
        <v>MX4000002S0002198</v>
      </c>
      <c r="M501" s="36" t="str">
        <f t="shared" ca="1" si="133"/>
        <v>002-2513E30Q13-OK60</v>
      </c>
      <c r="N501" s="36" t="str">
        <f t="shared" si="132"/>
        <v>Прицеп 2,5*1,25 м  (до 750 кг.)</v>
      </c>
      <c r="O501" s="36" t="str">
        <f t="shared" si="127"/>
        <v>1 ось</v>
      </c>
      <c r="P501" s="36">
        <f t="shared" si="128"/>
        <v>2025</v>
      </c>
      <c r="Q501" s="34" t="str">
        <f t="shared" ca="1" si="130"/>
        <v>3650*1700*900</v>
      </c>
      <c r="R501" s="36" t="str">
        <f t="shared" ca="1" si="129"/>
        <v>2500*1250*300</v>
      </c>
      <c r="S501" s="34" t="str">
        <f>VLOOKUP(O501,ОТТС!$A$2:$B$3,2,0)</f>
        <v>ТС KZ Е-KZ.0317.00251 от 28.02.2023</v>
      </c>
      <c r="T501" s="39">
        <v>450000</v>
      </c>
      <c r="U501" s="36" t="str">
        <f t="shared" si="131"/>
        <v>Кокшетау</v>
      </c>
    </row>
    <row r="502" spans="1:21" ht="13.2">
      <c r="A502" s="34">
        <v>1694</v>
      </c>
      <c r="B502" s="35">
        <f>VLOOKUP(A502,'Реестр договоров'!$A$2:$D$996,2,0)</f>
        <v>45820</v>
      </c>
      <c r="C502" s="36" t="str">
        <f t="shared" si="122"/>
        <v>Мухатаев</v>
      </c>
      <c r="D502" s="36" t="str">
        <f t="shared" si="123"/>
        <v>Арман</v>
      </c>
      <c r="E502" s="36" t="str">
        <f t="shared" si="134"/>
        <v>Диасович</v>
      </c>
      <c r="F502" s="36" t="str">
        <f t="shared" si="124"/>
        <v>057202360</v>
      </c>
      <c r="G502" s="37">
        <f>VLOOKUP(F502,Покупатели!$F$2:$N$762,2,0)</f>
        <v>45320</v>
      </c>
      <c r="H502" s="36" t="str">
        <f>VLOOKUP(F502,Покупатели!$F$2:$N$762,3,0)</f>
        <v>МВД РК</v>
      </c>
      <c r="I502" s="36">
        <f>VLOOKUP(C502,Покупатели!$C$2:$M$805,7,0)</f>
        <v>710304350403</v>
      </c>
      <c r="J502" s="36" t="str">
        <f ca="1">IFERROR(__xludf.DUMMYFUNCTION("JOIN("" "", VLOOKUP(C502,Покупатели,8,0),VLOOKUP(C502,Покупатели,9,0),VLOOKUP(C502,Покупатели,10,0),VLOOKUP(C502,Покупатели,11,0))"),"Акмолинская область, поселок Уркер, ул. Нуркена Абдирова, д.31")</f>
        <v>Акмолинская область, поселок Уркер, ул. Нуркена Абдирова, д.31</v>
      </c>
      <c r="K502" s="36">
        <f t="shared" si="125"/>
        <v>87013763626</v>
      </c>
      <c r="L502" s="36" t="str">
        <f t="shared" si="126"/>
        <v>MX4000002S0002154</v>
      </c>
      <c r="M502" s="36" t="str">
        <f t="shared" ca="1" si="133"/>
        <v>002-2515E50Q13-OK</v>
      </c>
      <c r="N502" s="36" t="str">
        <f t="shared" si="132"/>
        <v>Прицеп 2,5*1,5 м  (до 750 кг.)</v>
      </c>
      <c r="O502" s="36" t="str">
        <f t="shared" si="127"/>
        <v>1 ось</v>
      </c>
      <c r="P502" s="36">
        <f t="shared" si="128"/>
        <v>2025</v>
      </c>
      <c r="Q502" s="34" t="str">
        <f t="shared" ca="1" si="130"/>
        <v>3650*1950*1070</v>
      </c>
      <c r="R502" s="36" t="str">
        <f t="shared" ca="1" si="129"/>
        <v>2500*1500*500</v>
      </c>
      <c r="S502" s="34" t="str">
        <f>VLOOKUP(O502,ОТТС!$A$2:$B$3,2,0)</f>
        <v>ТС KZ Е-KZ.0317.00251 от 28.02.2023</v>
      </c>
      <c r="T502" s="39">
        <v>490000</v>
      </c>
      <c r="U502" s="36" t="str">
        <f t="shared" si="131"/>
        <v>Астана</v>
      </c>
    </row>
    <row r="503" spans="1:21" ht="13.2">
      <c r="A503" s="34">
        <v>1695</v>
      </c>
      <c r="B503" s="35">
        <f>VLOOKUP(A503,'Реестр договоров'!$A$2:$D$996,2,0)</f>
        <v>45821</v>
      </c>
      <c r="C503" s="36" t="str">
        <f t="shared" si="122"/>
        <v>Сулейменов 3</v>
      </c>
      <c r="D503" s="36" t="str">
        <f t="shared" si="123"/>
        <v>Дармен</v>
      </c>
      <c r="E503" s="36" t="str">
        <f t="shared" si="134"/>
        <v>Рахманович</v>
      </c>
      <c r="F503" s="36" t="str">
        <f t="shared" si="124"/>
        <v>047140978</v>
      </c>
      <c r="G503" s="37">
        <f>VLOOKUP(F503,Покупатели!$F$2:$N$762,2,0)</f>
        <v>43835</v>
      </c>
      <c r="H503" s="36" t="str">
        <f>VLOOKUP(F503,Покупатели!$F$2:$N$762,3,0)</f>
        <v>МВД РК</v>
      </c>
      <c r="I503" s="36">
        <f>VLOOKUP(C503,Покупатели!$C$2:$M$805,7,0)</f>
        <v>841010301075</v>
      </c>
      <c r="J503" s="36" t="str">
        <f ca="1">IFERROR(__xludf.DUMMYFUNCTION("JOIN("" "", VLOOKUP(C503,Покупатели,8,0),VLOOKUP(C503,Покупатели,9,0),VLOOKUP(C503,Покупатели,10,0),VLOOKUP(C503,Покупатели,11,0))"),"Акмолинская область, Косшы, ул. Азаттык, д.3а, кв.43")</f>
        <v>Акмолинская область, Косшы, ул. Азаттык, д.3а, кв.43</v>
      </c>
      <c r="K503" s="36">
        <f t="shared" si="125"/>
        <v>87001300806</v>
      </c>
      <c r="L503" s="36" t="str">
        <f t="shared" si="126"/>
        <v>MX4000002S0002185</v>
      </c>
      <c r="M503" s="36" t="str">
        <f t="shared" ca="1" si="133"/>
        <v>002-2013E50Q13-OK30</v>
      </c>
      <c r="N503" s="36" t="str">
        <f t="shared" si="132"/>
        <v>Прицеп 2,0*1,25 м  (до 750 кг.)</v>
      </c>
      <c r="O503" s="36" t="str">
        <f t="shared" si="127"/>
        <v>1 ось</v>
      </c>
      <c r="P503" s="36">
        <f t="shared" si="128"/>
        <v>2025</v>
      </c>
      <c r="Q503" s="34" t="str">
        <f t="shared" ca="1" si="130"/>
        <v>3150*1700*1070</v>
      </c>
      <c r="R503" s="36" t="str">
        <f t="shared" ca="1" si="129"/>
        <v>2000*1250*500</v>
      </c>
      <c r="S503" s="34" t="str">
        <f>VLOOKUP(O503,ОТТС!$A$2:$B$3,2,0)</f>
        <v>ТС KZ Е-KZ.0317.00251 от 28.02.2023</v>
      </c>
      <c r="T503" s="39">
        <v>360000</v>
      </c>
      <c r="U503" s="36" t="str">
        <f t="shared" si="131"/>
        <v>Астана</v>
      </c>
    </row>
    <row r="504" spans="1:21" ht="13.2">
      <c r="A504" s="34">
        <v>1696</v>
      </c>
      <c r="B504" s="35">
        <f>VLOOKUP(A504,'Реестр договоров'!$A$2:$D$996,2,0)</f>
        <v>45824</v>
      </c>
      <c r="C504" s="36" t="str">
        <f t="shared" si="122"/>
        <v>Бердиханов 3</v>
      </c>
      <c r="D504" s="36" t="str">
        <f t="shared" si="123"/>
        <v>Полаткалий</v>
      </c>
      <c r="E504" s="36" t="str">
        <f t="shared" si="134"/>
        <v>Нурдаулетович</v>
      </c>
      <c r="F504" s="36" t="str">
        <f t="shared" si="124"/>
        <v>055060113</v>
      </c>
      <c r="G504" s="37">
        <f>VLOOKUP(F504,Покупатели!$F$2:$N$762,2,0)</f>
        <v>45261</v>
      </c>
      <c r="H504" s="36" t="str">
        <f>VLOOKUP(F504,Покупатели!$F$2:$N$762,3,0)</f>
        <v>МВД РК</v>
      </c>
      <c r="I504" s="36">
        <f>VLOOKUP(C504,Покупатели!$C$2:$M$805,7,0)</f>
        <v>810522303061</v>
      </c>
      <c r="J504" s="36" t="str">
        <f ca="1">IFERROR(__xludf.DUMMYFUNCTION("JOIN("" "", VLOOKUP(C504,Покупатели,8,0),VLOOKUP(C504,Покупатели,9,0),VLOOKUP(C504,Покупатели,10,0),VLOOKUP(C504,Покупатели,11,0))"),"Жамбылская область, Байзакский район, с. Сарыкемер, ул. Орынкулова, д.119 а, 1 переулок")</f>
        <v>Жамбылская область, Байзакский район, с. Сарыкемер, ул. Орынкулова, д.119 а, 1 переулок</v>
      </c>
      <c r="K504" s="36">
        <f t="shared" si="125"/>
        <v>87087435052</v>
      </c>
      <c r="L504" s="36" t="str">
        <f t="shared" si="126"/>
        <v>MX4000002S0002030</v>
      </c>
      <c r="M504" s="36" t="str">
        <f t="shared" ca="1" si="133"/>
        <v>002-2013E30Q13-OK</v>
      </c>
      <c r="N504" s="36" t="str">
        <f t="shared" si="132"/>
        <v>Прицеп 2,0*1,25 м  (до 750 кг.)</v>
      </c>
      <c r="O504" s="36" t="str">
        <f t="shared" si="127"/>
        <v>1 ось</v>
      </c>
      <c r="P504" s="36">
        <f t="shared" si="128"/>
        <v>2025</v>
      </c>
      <c r="Q504" s="34" t="str">
        <f t="shared" ca="1" si="130"/>
        <v>3150*1700*900</v>
      </c>
      <c r="R504" s="36" t="str">
        <f t="shared" ca="1" si="129"/>
        <v>2000*1250*300</v>
      </c>
      <c r="S504" s="34" t="str">
        <f>VLOOKUP(O504,ОТТС!$A$2:$B$3,2,0)</f>
        <v>ТС KZ Е-KZ.0317.00251 от 28.02.2023</v>
      </c>
      <c r="T504" s="39">
        <v>325000</v>
      </c>
      <c r="U504" s="36" t="str">
        <f t="shared" si="131"/>
        <v>Алматы</v>
      </c>
    </row>
    <row r="505" spans="1:21" ht="13.2">
      <c r="A505" s="34">
        <v>1697</v>
      </c>
      <c r="B505" s="35">
        <f>VLOOKUP(A505,'Реестр договоров'!$A$2:$D$996,2,0)</f>
        <v>45824</v>
      </c>
      <c r="C505" s="36" t="str">
        <f t="shared" si="122"/>
        <v>Литвиненко</v>
      </c>
      <c r="D505" s="36" t="str">
        <f t="shared" si="123"/>
        <v>Сергей</v>
      </c>
      <c r="E505" s="36" t="str">
        <f t="shared" si="134"/>
        <v>Александрович</v>
      </c>
      <c r="F505" s="36" t="str">
        <f t="shared" si="124"/>
        <v>056629360</v>
      </c>
      <c r="G505" s="37">
        <f>VLOOKUP(F505,Покупатели!$F$2:$N$762,2,0)</f>
        <v>45229</v>
      </c>
      <c r="H505" s="36" t="str">
        <f>VLOOKUP(F505,Покупатели!$F$2:$N$762,3,0)</f>
        <v>МВД РК</v>
      </c>
      <c r="I505" s="36">
        <f>VLOOKUP(C505,Покупатели!$C$2:$M$805,7,0)</f>
        <v>970715350064</v>
      </c>
      <c r="J505" s="36" t="str">
        <f ca="1">IFERROR(__xludf.DUMMYFUNCTION("JOIN("" "", VLOOKUP(C505,Покупатели,8,0),VLOOKUP(C505,Покупатели,9,0),VLOOKUP(C505,Покупатели,10,0),VLOOKUP(C505,Покупатели,11,0))"),"г.Астана р-н Есиль, мкр.Чубары ул.Тайбекова д.53")</f>
        <v>г.Астана р-н Есиль, мкр.Чубары ул.Тайбекова д.53</v>
      </c>
      <c r="K505" s="36">
        <f t="shared" si="125"/>
        <v>87758200306</v>
      </c>
      <c r="L505" s="36" t="str">
        <f t="shared" si="126"/>
        <v>MX4000002S0002175</v>
      </c>
      <c r="M505" s="36" t="str">
        <f t="shared" ca="1" si="133"/>
        <v>002-2013E30Q13-OK</v>
      </c>
      <c r="N505" s="36" t="str">
        <f t="shared" si="132"/>
        <v>Прицеп 2,0*1,25 м  (до 750 кг.)</v>
      </c>
      <c r="O505" s="36" t="str">
        <f t="shared" si="127"/>
        <v>1 ось</v>
      </c>
      <c r="P505" s="36">
        <f t="shared" si="128"/>
        <v>2025</v>
      </c>
      <c r="Q505" s="34" t="str">
        <f t="shared" ca="1" si="130"/>
        <v>3150*1700*900</v>
      </c>
      <c r="R505" s="36" t="str">
        <f t="shared" ca="1" si="129"/>
        <v>2000*1250*300</v>
      </c>
      <c r="S505" s="34" t="str">
        <f>VLOOKUP(O505,ОТТС!$A$2:$B$3,2,0)</f>
        <v>ТС KZ Е-KZ.0317.00251 от 28.02.2023</v>
      </c>
      <c r="T505" s="39">
        <v>450000</v>
      </c>
      <c r="U505" s="36" t="str">
        <f t="shared" si="131"/>
        <v>Астана</v>
      </c>
    </row>
    <row r="506" spans="1:21" ht="13.2">
      <c r="A506" s="34">
        <v>1699</v>
      </c>
      <c r="B506" s="35">
        <f>VLOOKUP(A506,'Реестр договоров'!$A$2:$D$996,2,0)</f>
        <v>45824</v>
      </c>
      <c r="C506" s="36" t="str">
        <f t="shared" si="122"/>
        <v>Шакиров 1</v>
      </c>
      <c r="D506" s="36" t="str">
        <f t="shared" si="123"/>
        <v>Али</v>
      </c>
      <c r="E506" s="36" t="str">
        <f t="shared" si="134"/>
        <v>Алибекович</v>
      </c>
      <c r="F506" s="36" t="str">
        <f t="shared" si="124"/>
        <v>056902640</v>
      </c>
      <c r="G506" s="37">
        <f>VLOOKUP(F506,Покупатели!$F$2:$N$762,2,0)</f>
        <v>45273</v>
      </c>
      <c r="H506" s="36" t="str">
        <f>VLOOKUP(F506,Покупатели!$F$2:$N$762,3,0)</f>
        <v>МВД РК</v>
      </c>
      <c r="I506" s="36">
        <f>VLOOKUP(C506,Покупатели!$C$2:$M$805,7,0)</f>
        <v>911118351287</v>
      </c>
      <c r="J506" s="36" t="str">
        <f ca="1">IFERROR(__xludf.DUMMYFUNCTION("JOIN("" "", VLOOKUP(C506,Покупатели,8,0),VLOOKUP(C506,Покупатели,9,0),VLOOKUP(C506,Покупатели,10,0),VLOOKUP(C506,Покупатели,11,0))"),"Акмолинская область, г. Кокшетау, ул. Габдуллина, д.48, кв.60")</f>
        <v>Акмолинская область, г. Кокшетау, ул. Габдуллина, д.48, кв.60</v>
      </c>
      <c r="K506" s="36">
        <f t="shared" si="125"/>
        <v>87023540600</v>
      </c>
      <c r="L506" s="36" t="str">
        <f t="shared" si="126"/>
        <v>MX4000002S0002190</v>
      </c>
      <c r="M506" s="36" t="str">
        <f t="shared" ca="1" si="133"/>
        <v>002-2013E50Q13-OK</v>
      </c>
      <c r="N506" s="36" t="str">
        <f t="shared" si="132"/>
        <v>Прицеп 2,0*1,25 м  (до 750 кг.)</v>
      </c>
      <c r="O506" s="36" t="str">
        <f t="shared" si="127"/>
        <v>1 ось</v>
      </c>
      <c r="P506" s="36">
        <f t="shared" si="128"/>
        <v>2025</v>
      </c>
      <c r="Q506" s="34" t="str">
        <f t="shared" ca="1" si="130"/>
        <v>3150*1700*1070</v>
      </c>
      <c r="R506" s="36" t="str">
        <f t="shared" ca="1" si="129"/>
        <v>2000*1250*500</v>
      </c>
      <c r="S506" s="34" t="str">
        <f>VLOOKUP(O506,ОТТС!$A$2:$B$3,2,0)</f>
        <v>ТС KZ Е-KZ.0317.00251 от 28.02.2023</v>
      </c>
      <c r="T506" s="39">
        <v>350000</v>
      </c>
      <c r="U506" s="36" t="str">
        <f t="shared" si="131"/>
        <v>Кокшетау</v>
      </c>
    </row>
    <row r="507" spans="1:21" ht="13.2">
      <c r="A507" s="34">
        <v>1700</v>
      </c>
      <c r="B507" s="35">
        <f>VLOOKUP(A507,'Реестр договоров'!$A$2:$D$996,2,0)</f>
        <v>45825</v>
      </c>
      <c r="C507" s="36" t="str">
        <f t="shared" si="122"/>
        <v>Степаненко</v>
      </c>
      <c r="D507" s="36" t="str">
        <f t="shared" si="123"/>
        <v>Александра</v>
      </c>
      <c r="E507" s="36" t="str">
        <f t="shared" si="134"/>
        <v>Александровна</v>
      </c>
      <c r="F507" s="36" t="str">
        <f t="shared" si="124"/>
        <v>058796994</v>
      </c>
      <c r="G507" s="37">
        <f>VLOOKUP(F507,Покупатели!$F$2:$N$762,2,0)</f>
        <v>45523</v>
      </c>
      <c r="H507" s="36" t="str">
        <f>VLOOKUP(F507,Покупатели!$F$2:$N$762,3,0)</f>
        <v>МВД РК</v>
      </c>
      <c r="I507" s="36">
        <f>VLOOKUP(C507,Покупатели!$C$2:$M$805,7,0)</f>
        <v>910421450616</v>
      </c>
      <c r="J507" s="36" t="str">
        <f ca="1">IFERROR(__xludf.DUMMYFUNCTION("JOIN("" "", VLOOKUP(C507,Покупатели,8,0),VLOOKUP(C507,Покупатели,9,0),VLOOKUP(C507,Покупатели,10,0),VLOOKUP(C507,Покупатели,11,0))"),"Акмолинская область, г. Кокшетау, ул. Улытау, д.19")</f>
        <v>Акмолинская область, г. Кокшетау, ул. Улытау, д.19</v>
      </c>
      <c r="K507" s="36">
        <f t="shared" si="125"/>
        <v>87771167016</v>
      </c>
      <c r="L507" s="36" t="str">
        <f t="shared" si="126"/>
        <v>MX4000002S0002206</v>
      </c>
      <c r="M507" s="36" t="str">
        <f t="shared" ca="1" si="133"/>
        <v>002-2513E50Q13-OK60</v>
      </c>
      <c r="N507" s="36" t="str">
        <f t="shared" si="132"/>
        <v>Прицеп 2,5*1,25 м  (до 750 кг.)</v>
      </c>
      <c r="O507" s="36" t="str">
        <f t="shared" si="127"/>
        <v>1 ось</v>
      </c>
      <c r="P507" s="36">
        <f t="shared" si="128"/>
        <v>2025</v>
      </c>
      <c r="Q507" s="34" t="str">
        <f t="shared" ca="1" si="130"/>
        <v>3650*1700*1070</v>
      </c>
      <c r="R507" s="36" t="str">
        <f t="shared" ca="1" si="129"/>
        <v>2500*1250*500</v>
      </c>
      <c r="S507" s="34" t="str">
        <f>VLOOKUP(O507,ОТТС!$A$2:$B$3,2,0)</f>
        <v>ТС KZ Е-KZ.0317.00251 от 28.02.2023</v>
      </c>
      <c r="T507" s="39">
        <v>460000</v>
      </c>
      <c r="U507" s="36" t="str">
        <f t="shared" si="131"/>
        <v>Кокшетау</v>
      </c>
    </row>
    <row r="508" spans="1:21" ht="13.2">
      <c r="A508" s="34">
        <v>1701</v>
      </c>
      <c r="B508" s="35">
        <f>VLOOKUP(A508,'Реестр договоров'!$A$2:$D$996,2,0)</f>
        <v>45826</v>
      </c>
      <c r="C508" s="36" t="str">
        <f t="shared" si="122"/>
        <v>Абдыгалиев</v>
      </c>
      <c r="D508" s="36" t="str">
        <f t="shared" si="123"/>
        <v>Нуржан</v>
      </c>
      <c r="E508" s="36" t="str">
        <f t="shared" si="134"/>
        <v>Танинбергенович</v>
      </c>
      <c r="F508" s="36" t="str">
        <f t="shared" si="124"/>
        <v>054633197</v>
      </c>
      <c r="G508" s="37">
        <f>VLOOKUP(F508,Покупатели!$F$2:$N$762,2,0)</f>
        <v>45205</v>
      </c>
      <c r="H508" s="36" t="str">
        <f>VLOOKUP(F508,Покупатели!$F$2:$N$762,3,0)</f>
        <v>МВД РК</v>
      </c>
      <c r="I508" s="36">
        <f>VLOOKUP(C508,Покупатели!$C$2:$M$805,7,0)</f>
        <v>870619300808</v>
      </c>
      <c r="J508" s="36" t="str">
        <f ca="1">IFERROR(__xludf.DUMMYFUNCTION("JOIN("" "", VLOOKUP(C508,Покупатели,8,0),VLOOKUP(C508,Покупатели,9,0),VLOOKUP(C508,Покупатели,10,0),VLOOKUP(C508,Покупатели,11,0))"),"Область Жетісу, Каратальский район, сельский округ Байшегир, с. Алмалы, ул. Тілеуғұл Батыр, д.46")</f>
        <v>Область Жетісу, Каратальский район, сельский округ Байшегир, с. Алмалы, ул. Тілеуғұл Батыр, д.46</v>
      </c>
      <c r="K508" s="36">
        <f t="shared" si="125"/>
        <v>87054046187</v>
      </c>
      <c r="L508" s="36" t="str">
        <f t="shared" si="126"/>
        <v>MX4000002S0001932</v>
      </c>
      <c r="M508" s="36" t="str">
        <f t="shared" ca="1" si="133"/>
        <v>002-2013E50Q13-OK</v>
      </c>
      <c r="N508" s="36" t="str">
        <f t="shared" si="132"/>
        <v>Прицеп 2,0*1,25 м  (до 750 кг.)</v>
      </c>
      <c r="O508" s="36" t="str">
        <f t="shared" si="127"/>
        <v>1 ось</v>
      </c>
      <c r="P508" s="36">
        <f t="shared" si="128"/>
        <v>2025</v>
      </c>
      <c r="Q508" s="34" t="str">
        <f t="shared" ca="1" si="130"/>
        <v>3150*1700*1070</v>
      </c>
      <c r="R508" s="36" t="str">
        <f t="shared" ca="1" si="129"/>
        <v>2000*1250*500</v>
      </c>
      <c r="S508" s="34" t="str">
        <f>VLOOKUP(O508,ОТТС!$A$2:$B$3,2,0)</f>
        <v>ТС KZ Е-KZ.0317.00251 от 28.02.2023</v>
      </c>
      <c r="T508" s="39">
        <v>360000</v>
      </c>
      <c r="U508" s="36" t="str">
        <f t="shared" si="131"/>
        <v>Алматы</v>
      </c>
    </row>
    <row r="509" spans="1:21" ht="13.2">
      <c r="A509" s="34">
        <v>1702</v>
      </c>
      <c r="B509" s="35">
        <f>VLOOKUP(A509,'Реестр договоров'!$A$2:$D$996,2,0)</f>
        <v>45826</v>
      </c>
      <c r="C509" s="36" t="str">
        <f t="shared" si="122"/>
        <v>Азиев</v>
      </c>
      <c r="D509" s="36" t="str">
        <f t="shared" si="123"/>
        <v>Агали</v>
      </c>
      <c r="E509" s="36" t="str">
        <f t="shared" si="134"/>
        <v>Гулалиевич</v>
      </c>
      <c r="F509" s="36" t="str">
        <f t="shared" si="124"/>
        <v>021333806</v>
      </c>
      <c r="G509" s="37">
        <f>VLOOKUP(F509,Покупатели!$F$2:$N$762,2,0)</f>
        <v>39318</v>
      </c>
      <c r="H509" s="36" t="str">
        <f>VLOOKUP(F509,Покупатели!$F$2:$N$762,3,0)</f>
        <v>МЮ РК</v>
      </c>
      <c r="I509" s="36">
        <f>VLOOKUP(C509,Покупатели!$C$2:$M$805,7,0)</f>
        <v>820111302299</v>
      </c>
      <c r="J509" s="36" t="str">
        <f ca="1">IFERROR(__xludf.DUMMYFUNCTION("JOIN("" "", VLOOKUP(C509,Покупатели,8,0),VLOOKUP(C509,Покупатели,9,0),VLOOKUP(C509,Покупатели,10,0),VLOOKUP(C509,Покупатели,11,0))"),"Алматинская область, Енбекшиказахский район, с. Карасай, ул. Титова, д.12")</f>
        <v>Алматинская область, Енбекшиказахский район, с. Карасай, ул. Титова, д.12</v>
      </c>
      <c r="K509" s="36">
        <f t="shared" si="125"/>
        <v>87769855582</v>
      </c>
      <c r="L509" s="36" t="str">
        <f t="shared" si="126"/>
        <v>MX4000002S0002110</v>
      </c>
      <c r="M509" s="36" t="str">
        <f t="shared" ca="1" si="133"/>
        <v>002-2513E50Q13-OK</v>
      </c>
      <c r="N509" s="36" t="str">
        <f t="shared" si="132"/>
        <v>Прицеп 2,5*1,25 м  (до 750 кг.)</v>
      </c>
      <c r="O509" s="36" t="str">
        <f t="shared" si="127"/>
        <v>1 ось</v>
      </c>
      <c r="P509" s="36">
        <f t="shared" si="128"/>
        <v>2025</v>
      </c>
      <c r="Q509" s="34" t="str">
        <f t="shared" ca="1" si="130"/>
        <v>3650*1700*1070</v>
      </c>
      <c r="R509" s="36" t="str">
        <f t="shared" ca="1" si="129"/>
        <v>2500*1250*500</v>
      </c>
      <c r="S509" s="34" t="str">
        <f>VLOOKUP(O509,ОТТС!$A$2:$B$3,2,0)</f>
        <v>ТС KZ Е-KZ.0317.00251 от 28.02.2023</v>
      </c>
      <c r="T509" s="39">
        <v>410000</v>
      </c>
      <c r="U509" s="36" t="str">
        <f t="shared" si="131"/>
        <v>Алматы</v>
      </c>
    </row>
    <row r="510" spans="1:21" ht="13.2">
      <c r="A510" s="34">
        <v>1703</v>
      </c>
      <c r="B510" s="35">
        <f>VLOOKUP(A510,'Реестр договоров'!$A$2:$D$996,2,0)</f>
        <v>45827</v>
      </c>
      <c r="C510" s="36" t="str">
        <f t="shared" si="122"/>
        <v>Бойко</v>
      </c>
      <c r="D510" s="36" t="str">
        <f t="shared" si="123"/>
        <v>Илья</v>
      </c>
      <c r="E510" s="36" t="str">
        <f t="shared" si="134"/>
        <v>Сергеевич</v>
      </c>
      <c r="F510" s="36" t="str">
        <f t="shared" si="124"/>
        <v>050373166</v>
      </c>
      <c r="G510" s="37">
        <f>VLOOKUP(F510,Покупатели!$F$2:$N$762,2,0)</f>
        <v>44321</v>
      </c>
      <c r="H510" s="36" t="str">
        <f>VLOOKUP(F510,Покупатели!$F$2:$N$762,3,0)</f>
        <v>МВД РК</v>
      </c>
      <c r="I510" s="36">
        <f>VLOOKUP(C510,Покупатели!$C$2:$M$805,7,0)</f>
        <v>760729300833</v>
      </c>
      <c r="J510" s="36" t="str">
        <f ca="1">IFERROR(__xludf.DUMMYFUNCTION("JOIN("" "", VLOOKUP(C510,Покупатели,8,0),VLOOKUP(C510,Покупатели,9,0),VLOOKUP(C510,Покупатели,10,0),VLOOKUP(C510,Покупатели,11,0))"),"Акмолинская область, г.Степногорск, мкр-н 4,  д.33, кв 34")</f>
        <v>Акмолинская область, г.Степногорск, мкр-н 4,  д.33, кв 34</v>
      </c>
      <c r="K510" s="36">
        <f t="shared" si="125"/>
        <v>87712474584</v>
      </c>
      <c r="L510" s="36" t="str">
        <f t="shared" si="126"/>
        <v>MX4000002S0002199</v>
      </c>
      <c r="M510" s="36" t="str">
        <f t="shared" ca="1" si="133"/>
        <v>002-2013E30Q13-OK30</v>
      </c>
      <c r="N510" s="36" t="str">
        <f t="shared" si="132"/>
        <v>Прицеп 2,0*1,25 м  (до 750 кг.)</v>
      </c>
      <c r="O510" s="36" t="str">
        <f t="shared" si="127"/>
        <v>1 ось</v>
      </c>
      <c r="P510" s="36">
        <f t="shared" si="128"/>
        <v>2025</v>
      </c>
      <c r="Q510" s="34" t="str">
        <f t="shared" ca="1" si="130"/>
        <v>3150*1700*900</v>
      </c>
      <c r="R510" s="36" t="str">
        <f t="shared" ca="1" si="129"/>
        <v>2000*1250*300</v>
      </c>
      <c r="S510" s="34" t="str">
        <f>VLOOKUP(O510,ОТТС!$A$2:$B$3,2,0)</f>
        <v>ТС KZ Е-KZ.0317.00251 от 28.02.2023</v>
      </c>
      <c r="T510" s="39">
        <v>360000</v>
      </c>
      <c r="U510" s="36" t="str">
        <f t="shared" si="131"/>
        <v>Кокшетау</v>
      </c>
    </row>
    <row r="511" spans="1:21" ht="13.2">
      <c r="A511" s="34">
        <v>1705</v>
      </c>
      <c r="B511" s="35">
        <f>VLOOKUP(A511,'Реестр договоров'!$A$2:$D$996,2,0)</f>
        <v>45828</v>
      </c>
      <c r="C511" s="36" t="str">
        <f t="shared" si="122"/>
        <v>Марченко</v>
      </c>
      <c r="D511" s="36" t="str">
        <f t="shared" si="123"/>
        <v>Марина</v>
      </c>
      <c r="E511" s="36" t="str">
        <f t="shared" si="134"/>
        <v>Анатольевна</v>
      </c>
      <c r="F511" s="36" t="str">
        <f t="shared" si="124"/>
        <v>050180714</v>
      </c>
      <c r="G511" s="37">
        <f>VLOOKUP(F511,Покупатели!$F$2:$N$762,2,0)</f>
        <v>44293</v>
      </c>
      <c r="H511" s="36" t="str">
        <f>VLOOKUP(F511,Покупатели!$F$2:$N$762,3,0)</f>
        <v>МВД РК</v>
      </c>
      <c r="I511" s="36">
        <f>VLOOKUP(C511,Покупатели!$C$2:$M$805,7,0)</f>
        <v>860208450448</v>
      </c>
      <c r="J511" s="36" t="str">
        <f ca="1">IFERROR(__xludf.DUMMYFUNCTION("JOIN("" "", VLOOKUP(C511,Покупатели,8,0),VLOOKUP(C511,Покупатели,9,0),VLOOKUP(C511,Покупатели,10,0),VLOOKUP(C511,Покупатели,11,0))"),"Акмолинская область, г.Кокшетау, ул. Ауельбекова, д.175, кв.12")</f>
        <v>Акмолинская область, г.Кокшетау, ул. Ауельбекова, д.175, кв.12</v>
      </c>
      <c r="K511" s="36">
        <f t="shared" si="125"/>
        <v>87056333880</v>
      </c>
      <c r="L511" s="36" t="str">
        <f t="shared" si="126"/>
        <v>MX4000002S0002209</v>
      </c>
      <c r="M511" s="36" t="str">
        <f t="shared" ca="1" si="133"/>
        <v>002-2513E50Q13-OK90</v>
      </c>
      <c r="N511" s="36" t="str">
        <f t="shared" si="132"/>
        <v>Прицеп 2,5*1,25 м  (до 750 кг.)</v>
      </c>
      <c r="O511" s="36" t="str">
        <f t="shared" si="127"/>
        <v>1 ось</v>
      </c>
      <c r="P511" s="36">
        <f t="shared" si="128"/>
        <v>2025</v>
      </c>
      <c r="Q511" s="34" t="str">
        <f t="shared" ca="1" si="130"/>
        <v>3650*1700*1070</v>
      </c>
      <c r="R511" s="36" t="str">
        <f t="shared" ca="1" si="129"/>
        <v>2500*1250*500</v>
      </c>
      <c r="S511" s="34" t="str">
        <f>VLOOKUP(O511,ОТТС!$A$2:$B$3,2,0)</f>
        <v>ТС KZ Е-KZ.0317.00251 от 28.02.2023</v>
      </c>
      <c r="T511" s="39">
        <v>540000</v>
      </c>
      <c r="U511" s="36" t="str">
        <f t="shared" si="131"/>
        <v>Кокшетау</v>
      </c>
    </row>
    <row r="512" spans="1:21" ht="13.2">
      <c r="A512" s="34">
        <v>1706</v>
      </c>
      <c r="B512" s="35">
        <f>VLOOKUP(A512,'Реестр договоров'!$A$2:$D$996,2,0)</f>
        <v>45829</v>
      </c>
      <c r="C512" s="36" t="str">
        <f t="shared" si="122"/>
        <v>Аббасов</v>
      </c>
      <c r="D512" s="36" t="str">
        <f t="shared" si="123"/>
        <v>Нуржан</v>
      </c>
      <c r="E512" s="36" t="str">
        <f t="shared" si="134"/>
        <v>Омарханович</v>
      </c>
      <c r="F512" s="36" t="str">
        <f t="shared" si="124"/>
        <v>045324361</v>
      </c>
      <c r="G512" s="37">
        <f>VLOOKUP(F512,Покупатели!$F$2:$N$762,2,0)</f>
        <v>43783</v>
      </c>
      <c r="H512" s="36" t="str">
        <f>VLOOKUP(F512,Покупатели!$F$2:$N$762,3,0)</f>
        <v>МВД РК</v>
      </c>
      <c r="I512" s="36">
        <f>VLOOKUP(C512,Покупатели!$C$2:$M$805,7,0)</f>
        <v>860716302215</v>
      </c>
      <c r="J512" s="36" t="str">
        <f ca="1">IFERROR(__xludf.DUMMYFUNCTION("JOIN("" "", VLOOKUP(C512,Покупатели,8,0),VLOOKUP(C512,Покупатели,9,0),VLOOKUP(C512,Покупатели,10,0),VLOOKUP(C512,Покупатели,11,0))"),"Абайская область, Урджарский район, с.Урджар, ул. Джамбула, д.8")</f>
        <v>Абайская область, Урджарский район, с.Урджар, ул. Джамбула, д.8</v>
      </c>
      <c r="K512" s="36">
        <f t="shared" si="125"/>
        <v>87781589737</v>
      </c>
      <c r="L512" s="36" t="str">
        <f t="shared" si="126"/>
        <v>MX4000002S0001909</v>
      </c>
      <c r="M512" s="36" t="str">
        <f t="shared" ca="1" si="133"/>
        <v>002-2013E50Q13-OK</v>
      </c>
      <c r="N512" s="36" t="str">
        <f t="shared" si="132"/>
        <v>Прицеп 2,0*1,25 м  (до 750 кг.)</v>
      </c>
      <c r="O512" s="36" t="str">
        <f t="shared" si="127"/>
        <v>1 ось</v>
      </c>
      <c r="P512" s="36">
        <f t="shared" si="128"/>
        <v>2025</v>
      </c>
      <c r="Q512" s="34" t="str">
        <f t="shared" ca="1" si="130"/>
        <v>3150*1700*1070</v>
      </c>
      <c r="R512" s="36" t="str">
        <f t="shared" ca="1" si="129"/>
        <v>2000*1250*500</v>
      </c>
      <c r="S512" s="34" t="str">
        <f>VLOOKUP(O512,ОТТС!$A$2:$B$3,2,0)</f>
        <v>ТС KZ Е-KZ.0317.00251 от 28.02.2023</v>
      </c>
      <c r="T512" s="39">
        <v>420000</v>
      </c>
      <c r="U512" s="36" t="str">
        <f t="shared" si="131"/>
        <v>Алматы</v>
      </c>
    </row>
    <row r="513" spans="1:21" ht="13.2">
      <c r="A513" s="34">
        <v>1707</v>
      </c>
      <c r="B513" s="35">
        <f>VLOOKUP(A513,'Реестр договоров'!$A$2:$D$996,2,0)</f>
        <v>45829</v>
      </c>
      <c r="C513" s="36" t="str">
        <f t="shared" si="122"/>
        <v>Жусупов</v>
      </c>
      <c r="D513" s="36" t="str">
        <f t="shared" si="123"/>
        <v>Казбек</v>
      </c>
      <c r="E513" s="36" t="str">
        <f t="shared" si="134"/>
        <v>Саркенович</v>
      </c>
      <c r="F513" s="36" t="str">
        <f t="shared" si="124"/>
        <v>054385240</v>
      </c>
      <c r="G513" s="37">
        <f>VLOOKUP(F513,Покупатели!$F$2:$N$762,2,0)</f>
        <v>44921</v>
      </c>
      <c r="H513" s="36" t="str">
        <f>VLOOKUP(F513,Покупатели!$F$2:$N$762,3,0)</f>
        <v>МВД РК</v>
      </c>
      <c r="I513" s="36">
        <f>VLOOKUP(C513,Покупатели!$C$2:$M$805,7,0)</f>
        <v>710211350011</v>
      </c>
      <c r="J513" s="36" t="str">
        <f ca="1">IFERROR(__xludf.DUMMYFUNCTION("JOIN("" "", VLOOKUP(C513,Покупатели,8,0),VLOOKUP(C513,Покупатели,9,0),VLOOKUP(C513,Покупатели,10,0),VLOOKUP(C513,Покупатели,11,0))"),"Акмолинская обл. Аккольский р-н, г.Акколь, ул.Жана ел д.5")</f>
        <v>Акмолинская обл. Аккольский р-н, г.Акколь, ул.Жана ел д.5</v>
      </c>
      <c r="K513" s="36">
        <f t="shared" si="125"/>
        <v>87051517099</v>
      </c>
      <c r="L513" s="36" t="str">
        <f t="shared" si="126"/>
        <v>MX4000002S0002200</v>
      </c>
      <c r="M513" s="36" t="str">
        <f t="shared" ca="1" si="133"/>
        <v>002-2513E50Q13-OK</v>
      </c>
      <c r="N513" s="36" t="str">
        <f t="shared" si="132"/>
        <v>Прицеп 2,5*1,25 м  (до 750 кг.)</v>
      </c>
      <c r="O513" s="36" t="str">
        <f t="shared" si="127"/>
        <v>1 ось</v>
      </c>
      <c r="P513" s="36">
        <f t="shared" si="128"/>
        <v>2025</v>
      </c>
      <c r="Q513" s="34" t="str">
        <f t="shared" ca="1" si="130"/>
        <v>3650*1700*1070</v>
      </c>
      <c r="R513" s="36" t="str">
        <f t="shared" ca="1" si="129"/>
        <v>2500*1250*500</v>
      </c>
      <c r="S513" s="34" t="str">
        <f>VLOOKUP(O513,ОТТС!$A$2:$B$3,2,0)</f>
        <v>ТС KZ Е-KZ.0317.00251 от 28.02.2023</v>
      </c>
      <c r="T513" s="39">
        <v>410000</v>
      </c>
      <c r="U513" s="36" t="str">
        <f t="shared" si="131"/>
        <v>Астана</v>
      </c>
    </row>
    <row r="514" spans="1:21" ht="13.2">
      <c r="A514" s="34">
        <v>1708</v>
      </c>
      <c r="B514" s="35">
        <f>VLOOKUP(A514,'Реестр договоров'!$A$2:$D$996,2,0)</f>
        <v>45829</v>
      </c>
      <c r="C514" s="36" t="str">
        <f t="shared" ref="C514:C577" si="135">VLOOKUP(A514,Реестр_Договоров,3,0)</f>
        <v>Полонская</v>
      </c>
      <c r="D514" s="36" t="str">
        <f t="shared" ref="D514:D577" si="136">VLOOKUP(C514,Покупатели,2,0)</f>
        <v>Татьяна</v>
      </c>
      <c r="E514" s="36" t="str">
        <f t="shared" si="134"/>
        <v>Викторовна</v>
      </c>
      <c r="F514" s="36" t="str">
        <f t="shared" ref="F514:F577" si="137">VLOOKUP(C514,Покупатели,4,0)</f>
        <v>047386286</v>
      </c>
      <c r="G514" s="37">
        <f>VLOOKUP(F514,Покупатели!$F$2:$N$762,2,0)</f>
        <v>43866</v>
      </c>
      <c r="H514" s="36" t="str">
        <f>VLOOKUP(F514,Покупатели!$F$2:$N$762,3,0)</f>
        <v>МВД РК</v>
      </c>
      <c r="I514" s="36">
        <f>VLOOKUP(C514,Покупатели!$C$2:$M$805,7,0)</f>
        <v>830314451165</v>
      </c>
      <c r="J514" s="36" t="str">
        <f ca="1">IFERROR(__xludf.DUMMYFUNCTION("JOIN("" "", VLOOKUP(C514,Покупатели,8,0),VLOOKUP(C514,Покупатели,9,0),VLOOKUP(C514,Покупатели,10,0),VLOOKUP(C514,Покупатели,11,0))"),"г.Астана р-н Сарыарка ул.Республики д.76/1, кв.16")</f>
        <v>г.Астана р-н Сарыарка ул.Республики д.76/1, кв.16</v>
      </c>
      <c r="K514" s="36">
        <f t="shared" ref="K514:K577" si="138">VLOOKUP(C514,Покупатели,12,0)</f>
        <v>87771189446</v>
      </c>
      <c r="L514" s="36" t="str">
        <f t="shared" ref="L514:L577" si="139">VLOOKUP(A514,Реестр_Договоров,4,0)</f>
        <v>MX4000002S0002208</v>
      </c>
      <c r="M514" s="36" t="str">
        <f t="shared" ca="1" si="133"/>
        <v>002-2513E50Q13-OK60</v>
      </c>
      <c r="N514" s="36" t="str">
        <f t="shared" si="132"/>
        <v>Прицеп 2,5*1,25 м  (до 750 кг.)</v>
      </c>
      <c r="O514" s="36" t="str">
        <f t="shared" ref="O514:O577" si="140">VLOOKUP(L514,ПРИЦЕПЫ,10,0)</f>
        <v>1 ось</v>
      </c>
      <c r="P514" s="36">
        <f t="shared" ref="P514:P577" si="141">YEAR(VLOOKUP(L514,ПРИЦЕПЫ,7,0))</f>
        <v>2025</v>
      </c>
      <c r="Q514" s="34" t="str">
        <f t="shared" ca="1" si="130"/>
        <v>3650*1700*1070</v>
      </c>
      <c r="R514" s="36" t="str">
        <f t="shared" ca="1" si="129"/>
        <v>2500*1250*500</v>
      </c>
      <c r="S514" s="34" t="str">
        <f>VLOOKUP(O514,ОТТС!$A$2:$B$3,2,0)</f>
        <v>ТС KZ Е-KZ.0317.00251 от 28.02.2023</v>
      </c>
      <c r="T514" s="39">
        <v>455000</v>
      </c>
      <c r="U514" s="36" t="str">
        <f t="shared" si="131"/>
        <v>Астана</v>
      </c>
    </row>
    <row r="515" spans="1:21" ht="13.2">
      <c r="A515" s="34">
        <v>1709</v>
      </c>
      <c r="B515" s="35">
        <f>VLOOKUP(A515,'Реестр договоров'!$A$2:$D$996,2,0)</f>
        <v>45830</v>
      </c>
      <c r="C515" s="36" t="str">
        <f t="shared" si="135"/>
        <v>Баубеков</v>
      </c>
      <c r="D515" s="36" t="str">
        <f t="shared" si="136"/>
        <v>Кайрат</v>
      </c>
      <c r="E515" s="36" t="str">
        <f t="shared" si="134"/>
        <v>Аманжолович</v>
      </c>
      <c r="F515" s="36" t="str">
        <f t="shared" si="137"/>
        <v>053737360</v>
      </c>
      <c r="G515" s="37">
        <f>VLOOKUP(F515,Покупатели!$F$2:$N$762,2,0)</f>
        <v>44823</v>
      </c>
      <c r="H515" s="36" t="str">
        <f>VLOOKUP(F515,Покупатели!$F$2:$N$762,3,0)</f>
        <v>МВД РК</v>
      </c>
      <c r="I515" s="36">
        <f>VLOOKUP(C515,Покупатели!$C$2:$M$805,7,0)</f>
        <v>710304300398</v>
      </c>
      <c r="J515" s="36" t="str">
        <f ca="1">IFERROR(__xludf.DUMMYFUNCTION("JOIN("" "", VLOOKUP(C515,Покупатели,8,0),VLOOKUP(C515,Покупатели,9,0),VLOOKUP(C515,Покупатели,10,0),VLOOKUP(C515,Покупатели,11,0))"),"Астана р-н Есиль пр-т.Аль-Фараби  д.22, кв.56")</f>
        <v>Астана р-н Есиль пр-т.Аль-Фараби  д.22, кв.56</v>
      </c>
      <c r="K515" s="36">
        <f t="shared" si="138"/>
        <v>87052953145</v>
      </c>
      <c r="L515" s="36" t="str">
        <f t="shared" si="139"/>
        <v>MX4000002S0002205</v>
      </c>
      <c r="M515" s="36" t="str">
        <f t="shared" ca="1" si="133"/>
        <v>002-2013E50Q13-OK</v>
      </c>
      <c r="N515" s="36" t="str">
        <f t="shared" si="132"/>
        <v>Прицеп 2,0*1,25 м  (до 750 кг.)</v>
      </c>
      <c r="O515" s="36" t="str">
        <f t="shared" si="140"/>
        <v>1 ось</v>
      </c>
      <c r="P515" s="36">
        <f t="shared" si="141"/>
        <v>2025</v>
      </c>
      <c r="Q515" s="34" t="str">
        <f t="shared" ca="1" si="130"/>
        <v>3150*1700*1070</v>
      </c>
      <c r="R515" s="36" t="str">
        <f t="shared" ca="1" si="129"/>
        <v>2000*1250*500</v>
      </c>
      <c r="S515" s="34" t="str">
        <f>VLOOKUP(O515,ОТТС!$A$2:$B$3,2,0)</f>
        <v>ТС KZ Е-KZ.0317.00251 от 28.02.2023</v>
      </c>
      <c r="T515" s="39">
        <v>360000</v>
      </c>
      <c r="U515" s="36" t="str">
        <f t="shared" si="131"/>
        <v>Астана</v>
      </c>
    </row>
    <row r="516" spans="1:21" ht="13.2">
      <c r="A516" s="34">
        <v>1710</v>
      </c>
      <c r="B516" s="35">
        <f>VLOOKUP(A516,'Реестр договоров'!$A$2:$D$996,2,0)</f>
        <v>45830</v>
      </c>
      <c r="C516" s="36" t="str">
        <f t="shared" si="135"/>
        <v>Айтмагамбетов</v>
      </c>
      <c r="D516" s="36" t="str">
        <f t="shared" si="136"/>
        <v>Марат</v>
      </c>
      <c r="E516" s="36" t="str">
        <f t="shared" si="134"/>
        <v>Сагинтаевич</v>
      </c>
      <c r="F516" s="36" t="str">
        <f t="shared" si="137"/>
        <v>042297210</v>
      </c>
      <c r="G516" s="37">
        <f>VLOOKUP(F516,Покупатели!$F$2:$N$762,2,0)</f>
        <v>42772</v>
      </c>
      <c r="H516" s="36" t="str">
        <f>VLOOKUP(F516,Покупатели!$F$2:$N$762,3,0)</f>
        <v>МВД РК</v>
      </c>
      <c r="I516" s="36">
        <f>VLOOKUP(C516,Покупатели!$C$2:$M$805,7,0)</f>
        <v>870131351186</v>
      </c>
      <c r="J516" s="36" t="str">
        <f ca="1">IFERROR(__xludf.DUMMYFUNCTION("JOIN("" "", VLOOKUP(C516,Покупатели,8,0),VLOOKUP(C516,Покупатели,9,0),VLOOKUP(C516,Покупатели,10,0),VLOOKUP(C516,Покупатели,11,0))"),"Астана р-н Байконур ул. Акшагыл д.10/4")</f>
        <v>Астана р-н Байконур ул. Акшагыл д.10/4</v>
      </c>
      <c r="K516" s="36">
        <f t="shared" si="138"/>
        <v>87083413749</v>
      </c>
      <c r="L516" s="36" t="str">
        <f t="shared" si="139"/>
        <v>MX4000002S0002183</v>
      </c>
      <c r="M516" s="36" t="str">
        <f t="shared" ca="1" si="133"/>
        <v>002-2013E30Q13-OK</v>
      </c>
      <c r="N516" s="36" t="str">
        <f t="shared" si="132"/>
        <v>Прицеп 2,0*1,25 м  (до 750 кг.)</v>
      </c>
      <c r="O516" s="36" t="str">
        <f t="shared" si="140"/>
        <v>1 ось</v>
      </c>
      <c r="P516" s="36">
        <f t="shared" si="141"/>
        <v>2025</v>
      </c>
      <c r="Q516" s="34" t="str">
        <f t="shared" ca="1" si="130"/>
        <v>3150*1700*900</v>
      </c>
      <c r="R516" s="36" t="str">
        <f t="shared" ca="1" si="129"/>
        <v>2000*1250*300</v>
      </c>
      <c r="S516" s="34" t="str">
        <f>VLOOKUP(O516,ОТТС!$A$2:$B$3,2,0)</f>
        <v>ТС KZ Е-KZ.0317.00251 от 28.02.2023</v>
      </c>
      <c r="T516" s="39">
        <v>370000</v>
      </c>
      <c r="U516" s="36" t="str">
        <f t="shared" si="131"/>
        <v>Астана</v>
      </c>
    </row>
    <row r="517" spans="1:21" ht="13.2">
      <c r="A517" s="34">
        <v>1711</v>
      </c>
      <c r="B517" s="35">
        <f>VLOOKUP(A517,'Реестр договоров'!$A$2:$D$996,2,0)</f>
        <v>45831</v>
      </c>
      <c r="C517" s="36" t="str">
        <f t="shared" si="135"/>
        <v>Теминский</v>
      </c>
      <c r="D517" s="36" t="str">
        <f t="shared" si="136"/>
        <v>Максим</v>
      </c>
      <c r="E517" s="36" t="str">
        <f t="shared" si="134"/>
        <v>Анатольевич</v>
      </c>
      <c r="F517" s="36" t="str">
        <f t="shared" si="137"/>
        <v>044528390</v>
      </c>
      <c r="G517" s="37">
        <f>VLOOKUP(F517,Покупатели!$F$2:$N$762,2,0)</f>
        <v>43277</v>
      </c>
      <c r="H517" s="36" t="str">
        <f>VLOOKUP(F517,Покупатели!$F$2:$N$762,3,0)</f>
        <v>МВД РК</v>
      </c>
      <c r="I517" s="36" t="str">
        <f>VLOOKUP(C517,Покупатели!$C$2:$M$805,7,0)</f>
        <v>020530550084</v>
      </c>
      <c r="J517" s="36" t="str">
        <f ca="1">IFERROR(__xludf.DUMMYFUNCTION("JOIN("" "", VLOOKUP(C517,Покупатели,8,0),VLOOKUP(C517,Покупатели,9,0),VLOOKUP(C517,Покупатели,10,0),VLOOKUP(C517,Покупатели,11,0))"),"Акмолинская область, г. Кокшетау, ул. Абая,  д.61, кв.4")</f>
        <v>Акмолинская область, г. Кокшетау, ул. Абая,  д.61, кв.4</v>
      </c>
      <c r="K517" s="36">
        <f t="shared" si="138"/>
        <v>87789069871</v>
      </c>
      <c r="L517" s="36" t="str">
        <f t="shared" si="139"/>
        <v>MX4000002S0002207</v>
      </c>
      <c r="M517" s="36" t="str">
        <f t="shared" ca="1" si="133"/>
        <v>002-2013E50Q13-OK</v>
      </c>
      <c r="N517" s="36" t="str">
        <f t="shared" si="132"/>
        <v>Прицеп 2,0*1,25 м  (до 750 кг.)</v>
      </c>
      <c r="O517" s="36" t="str">
        <f t="shared" si="140"/>
        <v>1 ось</v>
      </c>
      <c r="P517" s="36">
        <f t="shared" si="141"/>
        <v>2025</v>
      </c>
      <c r="Q517" s="34" t="str">
        <f t="shared" ca="1" si="130"/>
        <v>3150*1700*1070</v>
      </c>
      <c r="R517" s="36" t="str">
        <f t="shared" ca="1" si="129"/>
        <v>2000*1250*500</v>
      </c>
      <c r="S517" s="34" t="str">
        <f>VLOOKUP(O517,ОТТС!$A$2:$B$3,2,0)</f>
        <v>ТС KZ Е-KZ.0317.00251 от 28.02.2023</v>
      </c>
      <c r="T517" s="39">
        <v>400000</v>
      </c>
      <c r="U517" s="36" t="str">
        <f t="shared" si="131"/>
        <v>Кокшетау</v>
      </c>
    </row>
    <row r="518" spans="1:21" ht="13.2">
      <c r="A518" s="34">
        <v>1713</v>
      </c>
      <c r="B518" s="35">
        <f>VLOOKUP(A518,'Реестр договоров'!$A$2:$D$996,2,0)</f>
        <v>45831</v>
      </c>
      <c r="C518" s="36" t="str">
        <f t="shared" si="135"/>
        <v>Туруспеков</v>
      </c>
      <c r="D518" s="36" t="str">
        <f t="shared" si="136"/>
        <v>Аскар</v>
      </c>
      <c r="E518" s="36" t="str">
        <f t="shared" si="134"/>
        <v>Ануарбекович</v>
      </c>
      <c r="F518" s="36" t="str">
        <f t="shared" si="137"/>
        <v>049697622</v>
      </c>
      <c r="G518" s="37">
        <f>VLOOKUP(F518,Покупатели!$F$2:$N$762,2,0)</f>
        <v>44221</v>
      </c>
      <c r="H518" s="36" t="str">
        <f>VLOOKUP(F518,Покупатели!$F$2:$N$762,3,0)</f>
        <v>МВД РК</v>
      </c>
      <c r="I518" s="36">
        <f>VLOOKUP(C518,Покупатели!$C$2:$M$805,7,0)</f>
        <v>850925350745</v>
      </c>
      <c r="J518" s="36" t="str">
        <f ca="1">IFERROR(__xludf.DUMMYFUNCTION("JOIN("" "", VLOOKUP(C518,Покупатели,8,0),VLOOKUP(C518,Покупатели,9,0),VLOOKUP(C518,Покупатели,10,0),VLOOKUP(C518,Покупатели,11,0))"),"г.Астан р-н Байконур ул.Майтобе д.13")</f>
        <v>г.Астан р-н Байконур ул.Майтобе д.13</v>
      </c>
      <c r="K518" s="36">
        <f t="shared" si="138"/>
        <v>87770400666</v>
      </c>
      <c r="L518" s="36" t="str">
        <f t="shared" si="139"/>
        <v>MX4000002R0001726</v>
      </c>
      <c r="M518" s="36" t="str">
        <f t="shared" ca="1" si="133"/>
        <v>002-2515E50Q15-OK</v>
      </c>
      <c r="N518" s="36" t="str">
        <f t="shared" si="132"/>
        <v>Прицеп 2,5*1,5 м  (до 750 кг.)</v>
      </c>
      <c r="O518" s="36" t="str">
        <f t="shared" si="140"/>
        <v>1 ось</v>
      </c>
      <c r="P518" s="36">
        <f t="shared" si="141"/>
        <v>2024</v>
      </c>
      <c r="Q518" s="34" t="str">
        <f t="shared" ca="1" si="130"/>
        <v>3650*1950*1070</v>
      </c>
      <c r="R518" s="36" t="str">
        <f t="shared" ca="1" si="129"/>
        <v>2500*1500*500</v>
      </c>
      <c r="S518" s="34" t="str">
        <f>VLOOKUP(O518,ОТТС!$A$2:$B$3,2,0)</f>
        <v>ТС KZ Е-KZ.0317.00251 от 28.02.2023</v>
      </c>
      <c r="T518" s="39">
        <v>555000</v>
      </c>
      <c r="U518" s="36" t="str">
        <f t="shared" si="131"/>
        <v>Астана</v>
      </c>
    </row>
    <row r="519" spans="1:21" ht="13.2">
      <c r="A519" s="34">
        <v>1714</v>
      </c>
      <c r="B519" s="35">
        <f>VLOOKUP(A519,'Реестр договоров'!$A$2:$D$996,2,0)</f>
        <v>45831</v>
      </c>
      <c r="C519" s="36" t="str">
        <f t="shared" si="135"/>
        <v>Сарсенбаев</v>
      </c>
      <c r="D519" s="36" t="str">
        <f t="shared" si="136"/>
        <v>Толеген</v>
      </c>
      <c r="E519" s="36" t="str">
        <f t="shared" si="134"/>
        <v>Сембаевич</v>
      </c>
      <c r="F519" s="36" t="str">
        <f t="shared" si="137"/>
        <v>021088668</v>
      </c>
      <c r="G519" s="37">
        <f>VLOOKUP(F519,Покупатели!$F$2:$N$762,2,0)</f>
        <v>39266</v>
      </c>
      <c r="H519" s="36" t="str">
        <f>VLOOKUP(F519,Покупатели!$F$2:$N$762,3,0)</f>
        <v>МЮ РК</v>
      </c>
      <c r="I519" s="36">
        <f>VLOOKUP(C519,Покупатели!$C$2:$M$805,7,0)</f>
        <v>620612302111</v>
      </c>
      <c r="J519" s="36" t="str">
        <f ca="1">IFERROR(__xludf.DUMMYFUNCTION("JOIN("" "", VLOOKUP(C519,Покупатели,8,0),VLOOKUP(C519,Покупатели,9,0),VLOOKUP(C519,Покупатели,10,0),VLOOKUP(C519,Покупатели,11,0))"),"г. Алматы, Бостандыкский район, поселок Кокшокы, мкр. Кок-Шокы,  д.1, кв. 4")</f>
        <v>г. Алматы, Бостандыкский район, поселок Кокшокы, мкр. Кок-Шокы,  д.1, кв. 4</v>
      </c>
      <c r="K519" s="36">
        <f t="shared" si="138"/>
        <v>87071212623</v>
      </c>
      <c r="L519" s="36" t="str">
        <f t="shared" si="139"/>
        <v>MX4000002S0001969</v>
      </c>
      <c r="M519" s="36" t="str">
        <f t="shared" ca="1" si="133"/>
        <v>002-2013E50Q13</v>
      </c>
      <c r="N519" s="36" t="str">
        <f t="shared" si="132"/>
        <v>Прицеп 2,0*1,25 м  (до 750 кг.)</v>
      </c>
      <c r="O519" s="36" t="str">
        <f t="shared" si="140"/>
        <v>1 ось</v>
      </c>
      <c r="P519" s="36">
        <f t="shared" si="141"/>
        <v>2025</v>
      </c>
      <c r="Q519" s="34" t="str">
        <f t="shared" ca="1" si="130"/>
        <v>3150*1700*1070</v>
      </c>
      <c r="R519" s="36" t="str">
        <f t="shared" ca="1" si="129"/>
        <v>2000*1250*500</v>
      </c>
      <c r="S519" s="34" t="str">
        <f>VLOOKUP(O519,ОТТС!$A$2:$B$3,2,0)</f>
        <v>ТС KZ Е-KZ.0317.00251 от 28.02.2023</v>
      </c>
      <c r="T519" s="39">
        <v>350000</v>
      </c>
      <c r="U519" s="36" t="str">
        <f t="shared" si="131"/>
        <v>Алматы</v>
      </c>
    </row>
    <row r="520" spans="1:21" ht="13.2">
      <c r="A520" s="34">
        <v>1715</v>
      </c>
      <c r="B520" s="35">
        <f>VLOOKUP(A520,'Реестр договоров'!$A$2:$D$996,2,0)</f>
        <v>45831</v>
      </c>
      <c r="C520" s="36" t="str">
        <f t="shared" si="135"/>
        <v>Магжанов</v>
      </c>
      <c r="D520" s="36" t="str">
        <f t="shared" si="136"/>
        <v>Амир</v>
      </c>
      <c r="E520" s="36" t="str">
        <f t="shared" si="134"/>
        <v>Ербулатович</v>
      </c>
      <c r="F520" s="36" t="str">
        <f t="shared" si="137"/>
        <v>049140288</v>
      </c>
      <c r="G520" s="37">
        <f>VLOOKUP(F520,Покупатели!$F$2:$N$762,2,0)</f>
        <v>44134</v>
      </c>
      <c r="H520" s="36" t="str">
        <f>VLOOKUP(F520,Покупатели!$F$2:$N$762,3,0)</f>
        <v>МВД РК</v>
      </c>
      <c r="I520" s="36">
        <f>VLOOKUP(C520,Покупатели!$C$2:$M$805,7,0)</f>
        <v>940819351726</v>
      </c>
      <c r="J520" s="36" t="str">
        <f ca="1">IFERROR(__xludf.DUMMYFUNCTION("JOIN("" "", VLOOKUP(C520,Покупатели,8,0),VLOOKUP(C520,Покупатели,9,0),VLOOKUP(C520,Покупатели,10,0),VLOOKUP(C520,Покупатели,11,0))"),"Акмолинская область, г. Кокшетау, ул.Иконникова,  д.11, кв 2")</f>
        <v>Акмолинская область, г. Кокшетау, ул.Иконникова,  д.11, кв 2</v>
      </c>
      <c r="K520" s="36">
        <f t="shared" si="138"/>
        <v>87058204178</v>
      </c>
      <c r="L520" s="36" t="str">
        <f t="shared" si="139"/>
        <v>MX4000002S0002202</v>
      </c>
      <c r="M520" s="36" t="str">
        <f t="shared" ca="1" si="133"/>
        <v>002-2013E50Q13-OK</v>
      </c>
      <c r="N520" s="36" t="str">
        <f t="shared" si="132"/>
        <v>Прицеп 2,0*1,25 м  (до 750 кг.)</v>
      </c>
      <c r="O520" s="36" t="str">
        <f t="shared" si="140"/>
        <v>1 ось</v>
      </c>
      <c r="P520" s="36">
        <f t="shared" si="141"/>
        <v>2025</v>
      </c>
      <c r="Q520" s="34" t="str">
        <f t="shared" ca="1" si="130"/>
        <v>3150*1700*1070</v>
      </c>
      <c r="R520" s="36" t="str">
        <f t="shared" ca="1" si="129"/>
        <v>2000*1250*500</v>
      </c>
      <c r="S520" s="34" t="str">
        <f>VLOOKUP(O520,ОТТС!$A$2:$B$3,2,0)</f>
        <v>ТС KZ Е-KZ.0317.00251 от 28.02.2023</v>
      </c>
      <c r="T520" s="39">
        <v>400000</v>
      </c>
      <c r="U520" s="36" t="str">
        <f t="shared" si="131"/>
        <v>Кокшетау</v>
      </c>
    </row>
    <row r="521" spans="1:21" ht="13.2">
      <c r="A521" s="34">
        <v>1716</v>
      </c>
      <c r="B521" s="35">
        <f>VLOOKUP(A521,'Реестр договоров'!$A$2:$D$996,2,0)</f>
        <v>45831</v>
      </c>
      <c r="C521" s="36" t="str">
        <f t="shared" si="135"/>
        <v>Гафнер</v>
      </c>
      <c r="D521" s="36" t="str">
        <f t="shared" si="136"/>
        <v>Владимир</v>
      </c>
      <c r="E521" s="36" t="str">
        <f t="shared" si="134"/>
        <v>Куртович</v>
      </c>
      <c r="F521" s="36" t="str">
        <f t="shared" si="137"/>
        <v>043368932</v>
      </c>
      <c r="G521" s="37" t="str">
        <f>VLOOKUP(F521,Покупатели!$F$2:$N$762,2,0)</f>
        <v>9/28/0217</v>
      </c>
      <c r="H521" s="36" t="str">
        <f>VLOOKUP(F521,Покупатели!$F$2:$N$762,3,0)</f>
        <v>МВД РК</v>
      </c>
      <c r="I521" s="36">
        <f>VLOOKUP(C521,Покупатели!$C$2:$M$805,7,0)</f>
        <v>800926301664</v>
      </c>
      <c r="J521" s="36" t="str">
        <f ca="1">IFERROR(__xludf.DUMMYFUNCTION("JOIN("" "", VLOOKUP(C521,Покупатели,8,0),VLOOKUP(C521,Покупатели,9,0),VLOOKUP(C521,Покупатели,10,0),VLOOKUP(C521,Покупатели,11,0))"),"г.Астана р-н Байконыр п-к Коктамыр д.2")</f>
        <v>г.Астана р-н Байконыр п-к Коктамыр д.2</v>
      </c>
      <c r="K521" s="36">
        <f t="shared" si="138"/>
        <v>87780013747</v>
      </c>
      <c r="L521" s="36" t="str">
        <f t="shared" si="139"/>
        <v>MX4000002S0002215</v>
      </c>
      <c r="M521" s="36" t="str">
        <f t="shared" ca="1" si="133"/>
        <v>002-2013E50Q13-OK</v>
      </c>
      <c r="N521" s="36" t="str">
        <f t="shared" si="132"/>
        <v>Прицеп 2,0*1,25 м  (до 750 кг.)</v>
      </c>
      <c r="O521" s="36" t="str">
        <f t="shared" si="140"/>
        <v>1 ось</v>
      </c>
      <c r="P521" s="36">
        <f t="shared" si="141"/>
        <v>2025</v>
      </c>
      <c r="Q521" s="34" t="str">
        <f t="shared" ca="1" si="130"/>
        <v>3150*1700*1070</v>
      </c>
      <c r="R521" s="36" t="str">
        <f t="shared" ca="1" si="129"/>
        <v>2000*1250*500</v>
      </c>
      <c r="S521" s="34" t="str">
        <f>VLOOKUP(O521,ОТТС!$A$2:$B$3,2,0)</f>
        <v>ТС KZ Е-KZ.0317.00251 от 28.02.2023</v>
      </c>
      <c r="T521" s="39">
        <v>450000</v>
      </c>
      <c r="U521" s="36" t="str">
        <f t="shared" si="131"/>
        <v>Астана</v>
      </c>
    </row>
    <row r="522" spans="1:21" ht="13.2">
      <c r="A522" s="34">
        <v>1717</v>
      </c>
      <c r="B522" s="35">
        <f>VLOOKUP(A522,'Реестр договоров'!$A$2:$D$996,2,0)</f>
        <v>45831</v>
      </c>
      <c r="C522" s="36" t="str">
        <f t="shared" si="135"/>
        <v>Тоқатов</v>
      </c>
      <c r="D522" s="36" t="str">
        <f t="shared" si="136"/>
        <v>Жомарт</v>
      </c>
      <c r="E522" s="36" t="str">
        <f t="shared" si="134"/>
        <v>Серікбайұлы</v>
      </c>
      <c r="F522" s="36" t="str">
        <f t="shared" si="137"/>
        <v>060360778</v>
      </c>
      <c r="G522" s="37">
        <f>VLOOKUP(F522,Покупатели!$F$2:$N$762,2,0)</f>
        <v>45768</v>
      </c>
      <c r="H522" s="36" t="str">
        <f>VLOOKUP(F522,Покупатели!$F$2:$N$762,3,0)</f>
        <v>ҚР ІІМ</v>
      </c>
      <c r="I522" s="36">
        <f>VLOOKUP(C522,Покупатели!$C$2:$M$805,7,0)</f>
        <v>700523300694</v>
      </c>
      <c r="J522" s="36" t="str">
        <f ca="1">IFERROR(__xludf.DUMMYFUNCTION("JOIN("" "", VLOOKUP(C522,Покупатели,8,0),VLOOKUP(C522,Покупатели,9,0),VLOOKUP(C522,Покупатели,10,0),VLOOKUP(C522,Покупатели,11,0))"),"Акмолинская обл. Целиноградский р-н, с.Караоткель ул.Тауелсиздик  д.29")</f>
        <v>Акмолинская обл. Целиноградский р-н, с.Караоткель ул.Тауелсиздик  д.29</v>
      </c>
      <c r="K522" s="36">
        <f t="shared" si="138"/>
        <v>87021069313</v>
      </c>
      <c r="L522" s="36" t="str">
        <f t="shared" si="139"/>
        <v>MX4000002S0002204</v>
      </c>
      <c r="M522" s="36" t="str">
        <f t="shared" ca="1" si="133"/>
        <v>002-2013E50Q13-OK</v>
      </c>
      <c r="N522" s="36" t="str">
        <f t="shared" si="132"/>
        <v>Прицеп 2,0*1,25 м  (до 750 кг.)</v>
      </c>
      <c r="O522" s="36" t="str">
        <f t="shared" si="140"/>
        <v>1 ось</v>
      </c>
      <c r="P522" s="36">
        <f t="shared" si="141"/>
        <v>2025</v>
      </c>
      <c r="Q522" s="34" t="str">
        <f t="shared" ca="1" si="130"/>
        <v>3150*1700*1070</v>
      </c>
      <c r="R522" s="36" t="str">
        <f t="shared" ca="1" si="129"/>
        <v>2000*1250*500</v>
      </c>
      <c r="S522" s="34" t="str">
        <f>VLOOKUP(O522,ОТТС!$A$2:$B$3,2,0)</f>
        <v>ТС KZ Е-KZ.0317.00251 от 28.02.2023</v>
      </c>
      <c r="T522" s="39">
        <v>360000</v>
      </c>
      <c r="U522" s="36" t="str">
        <f t="shared" si="131"/>
        <v>Астана</v>
      </c>
    </row>
    <row r="523" spans="1:21" ht="13.2">
      <c r="A523" s="34">
        <v>1718</v>
      </c>
      <c r="B523" s="35">
        <f>VLOOKUP(A523,'Реестр договоров'!$A$2:$D$996,2,0)</f>
        <v>45831</v>
      </c>
      <c r="C523" s="36" t="str">
        <f t="shared" si="135"/>
        <v>Джамалиев</v>
      </c>
      <c r="D523" s="36" t="str">
        <f t="shared" si="136"/>
        <v>Даулет</v>
      </c>
      <c r="E523" s="36" t="str">
        <f t="shared" si="134"/>
        <v>Рашиденович</v>
      </c>
      <c r="F523" s="36" t="str">
        <f t="shared" si="137"/>
        <v>047261216</v>
      </c>
      <c r="G523" s="37">
        <f>VLOOKUP(F523,Покупатели!$F$2:$N$762,2,0)</f>
        <v>43846</v>
      </c>
      <c r="H523" s="36" t="str">
        <f>VLOOKUP(F523,Покупатели!$F$2:$N$762,3,0)</f>
        <v>МВД РК</v>
      </c>
      <c r="I523" s="36">
        <f>VLOOKUP(C523,Покупатели!$C$2:$M$805,7,0)</f>
        <v>861125350780</v>
      </c>
      <c r="J523" s="36" t="str">
        <f ca="1">IFERROR(__xludf.DUMMYFUNCTION("JOIN("" "", VLOOKUP(C523,Покупатели,8,0),VLOOKUP(C523,Покупатели,9,0),VLOOKUP(C523,Покупатели,10,0),VLOOKUP(C523,Покупатели,11,0))"),"г.Астана р-н Сарыарка ул.Московская д.8/1")</f>
        <v>г.Астана р-н Сарыарка ул.Московская д.8/1</v>
      </c>
      <c r="K523" s="36">
        <f t="shared" si="138"/>
        <v>87013404142</v>
      </c>
      <c r="L523" s="36" t="str">
        <f t="shared" si="139"/>
        <v>MX4000002S0002212</v>
      </c>
      <c r="M523" s="36" t="str">
        <f t="shared" ca="1" si="133"/>
        <v>002-2513E50Q13-OK</v>
      </c>
      <c r="N523" s="36" t="str">
        <f t="shared" si="132"/>
        <v>Прицеп 2,5*1,25 м  (до 750 кг.)</v>
      </c>
      <c r="O523" s="36" t="str">
        <f t="shared" si="140"/>
        <v>1 ось</v>
      </c>
      <c r="P523" s="36">
        <f t="shared" si="141"/>
        <v>2025</v>
      </c>
      <c r="Q523" s="34" t="str">
        <f t="shared" ca="1" si="130"/>
        <v>3650*1700*1070</v>
      </c>
      <c r="R523" s="36" t="str">
        <f t="shared" ca="1" si="129"/>
        <v>2500*1250*500</v>
      </c>
      <c r="S523" s="34" t="str">
        <f>VLOOKUP(O523,ОТТС!$A$2:$B$3,2,0)</f>
        <v>ТС KZ Е-KZ.0317.00251 от 28.02.2023</v>
      </c>
      <c r="T523" s="39">
        <v>470000</v>
      </c>
      <c r="U523" s="36" t="str">
        <f t="shared" si="131"/>
        <v>Астана</v>
      </c>
    </row>
    <row r="524" spans="1:21" ht="13.2">
      <c r="A524" s="34">
        <v>1719</v>
      </c>
      <c r="B524" s="35">
        <f>VLOOKUP(A524,'Реестр договоров'!$A$2:$D$996,2,0)</f>
        <v>45831</v>
      </c>
      <c r="C524" s="36" t="str">
        <f t="shared" si="135"/>
        <v>Мадалиев</v>
      </c>
      <c r="D524" s="36" t="str">
        <f t="shared" si="136"/>
        <v>Нуржан</v>
      </c>
      <c r="E524" s="36" t="str">
        <f t="shared" si="134"/>
        <v>Шакайдарович</v>
      </c>
      <c r="F524" s="36" t="str">
        <f t="shared" si="137"/>
        <v>050194136</v>
      </c>
      <c r="G524" s="37">
        <f>VLOOKUP(F524,Покупатели!$F$2:$N$762,2,0)</f>
        <v>44294</v>
      </c>
      <c r="H524" s="36" t="str">
        <f>VLOOKUP(F524,Покупатели!$F$2:$N$762,3,0)</f>
        <v>МВД РК</v>
      </c>
      <c r="I524" s="36">
        <f>VLOOKUP(C524,Покупатели!$C$2:$M$805,7,0)</f>
        <v>790808300808</v>
      </c>
      <c r="J524" s="36" t="str">
        <f ca="1">IFERROR(__xludf.DUMMYFUNCTION("JOIN("" "", VLOOKUP(C524,Покупатели,8,0),VLOOKUP(C524,Покупатели,9,0),VLOOKUP(C524,Покупатели,10,0),VLOOKUP(C524,Покупатели,11,0))"),"г.Астана р-н Алматы Ул.Мустафина д.21/1")</f>
        <v>г.Астана р-н Алматы Ул.Мустафина д.21/1</v>
      </c>
      <c r="K524" s="36">
        <f t="shared" si="138"/>
        <v>87019337367</v>
      </c>
      <c r="L524" s="36" t="str">
        <f t="shared" si="139"/>
        <v>MX4000004S0002196</v>
      </c>
      <c r="M524" s="36" t="str">
        <f t="shared" ca="1" si="133"/>
        <v>002-2515E50Q13-OK</v>
      </c>
      <c r="N524" s="36" t="str">
        <f t="shared" si="132"/>
        <v>Прицеп 2,5*1,5 м  (до 750 кг.)</v>
      </c>
      <c r="O524" s="36" t="str">
        <f t="shared" si="140"/>
        <v>2 оси</v>
      </c>
      <c r="P524" s="36">
        <f t="shared" si="141"/>
        <v>2025</v>
      </c>
      <c r="Q524" s="34" t="str">
        <f t="shared" ca="1" si="130"/>
        <v>3650*1950*1070</v>
      </c>
      <c r="R524" s="36" t="str">
        <f t="shared" ca="1" si="129"/>
        <v>2500*1500*500</v>
      </c>
      <c r="S524" s="34" t="str">
        <f>VLOOKUP(O524,ОТТС!$A$2:$B$3,2,0)</f>
        <v>ТС KZ Е-KZ.0317.00219.П1 от 17.07.2025</v>
      </c>
      <c r="T524" s="39">
        <v>760000</v>
      </c>
      <c r="U524" s="36" t="str">
        <f t="shared" si="131"/>
        <v>Астана</v>
      </c>
    </row>
    <row r="525" spans="1:21" ht="13.2">
      <c r="A525" s="34">
        <v>1720</v>
      </c>
      <c r="B525" s="35">
        <f>VLOOKUP(A525,'Реестр договоров'!$A$2:$D$996,2,0)</f>
        <v>45832</v>
      </c>
      <c r="C525" s="36" t="str">
        <f t="shared" si="135"/>
        <v>Даутов</v>
      </c>
      <c r="D525" s="36" t="str">
        <f t="shared" si="136"/>
        <v>Шамиль</v>
      </c>
      <c r="E525" s="36" t="str">
        <f t="shared" si="134"/>
        <v>Заитович</v>
      </c>
      <c r="F525" s="36" t="str">
        <f t="shared" si="137"/>
        <v>043485483</v>
      </c>
      <c r="G525" s="37">
        <f>VLOOKUP(F525,Покупатели!$F$2:$N$762,2,0)</f>
        <v>43360</v>
      </c>
      <c r="H525" s="36" t="str">
        <f>VLOOKUP(F525,Покупатели!$F$2:$N$762,3,0)</f>
        <v>МВД РК</v>
      </c>
      <c r="I525" s="36">
        <f>VLOOKUP(C525,Покупатели!$C$2:$M$805,7,0)</f>
        <v>910102301805</v>
      </c>
      <c r="J525" s="36" t="str">
        <f ca="1">IFERROR(__xludf.DUMMYFUNCTION("JOIN("" "", VLOOKUP(C525,Покупатели,8,0),VLOOKUP(C525,Покупатели,9,0),VLOOKUP(C525,Покупатели,10,0),VLOOKUP(C525,Покупатели,11,0))"),"Алматинская область, г. Алматы, ул. Брюллова,  д.24")</f>
        <v>Алматинская область, г. Алматы, ул. Брюллова,  д.24</v>
      </c>
      <c r="K525" s="36">
        <f t="shared" si="138"/>
        <v>87022522512</v>
      </c>
      <c r="L525" s="36" t="str">
        <f t="shared" si="139"/>
        <v>MX4000002S0002134</v>
      </c>
      <c r="M525" s="36" t="str">
        <f t="shared" ca="1" si="133"/>
        <v>002-3015E50Q13-OK</v>
      </c>
      <c r="N525" s="36" t="str">
        <f t="shared" si="132"/>
        <v>Прицеп 3,0*1,5 м  (до 750 кг.)</v>
      </c>
      <c r="O525" s="36" t="str">
        <f t="shared" si="140"/>
        <v>1 ось</v>
      </c>
      <c r="P525" s="36">
        <f t="shared" si="141"/>
        <v>2025</v>
      </c>
      <c r="Q525" s="34" t="str">
        <f t="shared" ca="1" si="130"/>
        <v>3800*1950*1200</v>
      </c>
      <c r="R525" s="36" t="str">
        <f t="shared" ca="1" si="129"/>
        <v>3000*1500*500</v>
      </c>
      <c r="S525" s="34" t="str">
        <f>VLOOKUP(O525,ОТТС!$A$2:$B$3,2,0)</f>
        <v>ТС KZ Е-KZ.0317.00251 от 28.02.2023</v>
      </c>
      <c r="T525" s="39">
        <v>580000</v>
      </c>
      <c r="U525" s="36" t="str">
        <f t="shared" si="131"/>
        <v>Алматы</v>
      </c>
    </row>
    <row r="526" spans="1:21" ht="13.2">
      <c r="A526" s="34">
        <v>1721</v>
      </c>
      <c r="B526" s="35">
        <f>VLOOKUP(A526,'Реестр договоров'!$A$2:$D$996,2,0)</f>
        <v>45832</v>
      </c>
      <c r="C526" s="36" t="str">
        <f t="shared" si="135"/>
        <v>Жумукаев</v>
      </c>
      <c r="D526" s="36" t="str">
        <f t="shared" si="136"/>
        <v>Думан</v>
      </c>
      <c r="E526" s="36" t="str">
        <f t="shared" si="134"/>
        <v>Амангельдыевич</v>
      </c>
      <c r="F526" s="36" t="str">
        <f t="shared" si="137"/>
        <v>057996502</v>
      </c>
      <c r="G526" s="37">
        <f>VLOOKUP(F526,Покупатели!$F$2:$N$762,2,0)</f>
        <v>45428</v>
      </c>
      <c r="H526" s="36" t="str">
        <f>VLOOKUP(F526,Покупатели!$F$2:$N$762,3,0)</f>
        <v>МВД РК</v>
      </c>
      <c r="I526" s="36">
        <f>VLOOKUP(C526,Покупатели!$C$2:$M$805,7,0)</f>
        <v>830115351042</v>
      </c>
      <c r="J526" s="36" t="str">
        <f ca="1">IFERROR(__xludf.DUMMYFUNCTION("JOIN("" "", VLOOKUP(C526,Покупатели,8,0),VLOOKUP(C526,Покупатели,9,0),VLOOKUP(C526,Покупатели,10,0),VLOOKUP(C526,Покупатели,11,0))"),"Акмолинская область, Зерендинский район, с. Еленовка, ул. Целинная, д.59")</f>
        <v>Акмолинская область, Зерендинский район, с. Еленовка, ул. Целинная, д.59</v>
      </c>
      <c r="K526" s="36">
        <f t="shared" si="138"/>
        <v>87021266809</v>
      </c>
      <c r="L526" s="36" t="str">
        <f t="shared" si="139"/>
        <v>MX4000002S0002216</v>
      </c>
      <c r="M526" s="36" t="str">
        <f t="shared" ca="1" si="133"/>
        <v>002-2513E30Q13-OK</v>
      </c>
      <c r="N526" s="36" t="str">
        <f t="shared" si="132"/>
        <v>Прицеп 2,5*1,25 м  (до 750 кг.)</v>
      </c>
      <c r="O526" s="36" t="str">
        <f t="shared" si="140"/>
        <v>1 ось</v>
      </c>
      <c r="P526" s="36">
        <f t="shared" si="141"/>
        <v>2025</v>
      </c>
      <c r="Q526" s="34" t="str">
        <f t="shared" ca="1" si="130"/>
        <v>3650*1700*900</v>
      </c>
      <c r="R526" s="36" t="str">
        <f t="shared" ca="1" si="129"/>
        <v>2500*1250*300</v>
      </c>
      <c r="S526" s="34" t="str">
        <f>VLOOKUP(O526,ОТТС!$A$2:$B$3,2,0)</f>
        <v>ТС KZ Е-KZ.0317.00251 от 28.02.2023</v>
      </c>
      <c r="T526" s="39">
        <v>380000</v>
      </c>
      <c r="U526" s="36" t="str">
        <f t="shared" si="131"/>
        <v>Кокшетау</v>
      </c>
    </row>
    <row r="527" spans="1:21" ht="13.2">
      <c r="A527" s="34">
        <v>1723</v>
      </c>
      <c r="B527" s="35">
        <f>VLOOKUP(A527,'Реестр договоров'!$A$2:$D$996,2,0)</f>
        <v>45832</v>
      </c>
      <c r="C527" s="36" t="str">
        <f t="shared" si="135"/>
        <v>Ефременюк</v>
      </c>
      <c r="D527" s="36" t="str">
        <f t="shared" si="136"/>
        <v>Аркадий</v>
      </c>
      <c r="E527" s="36" t="str">
        <f t="shared" si="134"/>
        <v>Ростиславович</v>
      </c>
      <c r="F527" s="36" t="str">
        <f t="shared" si="137"/>
        <v>044040722</v>
      </c>
      <c r="G527" s="37">
        <f>VLOOKUP(F527,Покупатели!$F$2:$N$762,2,0)</f>
        <v>43161</v>
      </c>
      <c r="H527" s="36" t="str">
        <f>VLOOKUP(F527,Покупатели!$F$2:$N$762,3,0)</f>
        <v>МВД РК</v>
      </c>
      <c r="I527" s="36">
        <f>VLOOKUP(C527,Покупатели!$C$2:$M$805,7,0)</f>
        <v>730323300454</v>
      </c>
      <c r="J527" s="36" t="str">
        <f ca="1">IFERROR(__xludf.DUMMYFUNCTION("JOIN("" "", VLOOKUP(C527,Покупатели,8,0),VLOOKUP(C527,Покупатели,9,0),VLOOKUP(C527,Покупатели,10,0),VLOOKUP(C527,Покупатели,11,0))"),"Астана р-н Байконыр ул.Мураделли д.1а, кв.1")</f>
        <v>Астана р-н Байконыр ул.Мураделли д.1а, кв.1</v>
      </c>
      <c r="K527" s="36">
        <f t="shared" si="138"/>
        <v>87012702408</v>
      </c>
      <c r="L527" s="36" t="str">
        <f t="shared" si="139"/>
        <v>MX4000002S0002214</v>
      </c>
      <c r="M527" s="36" t="str">
        <f t="shared" ca="1" si="133"/>
        <v>002-2513E50Q13-OK</v>
      </c>
      <c r="N527" s="36" t="str">
        <f t="shared" si="132"/>
        <v>Прицеп 2,5*1,25 м  (до 750 кг.)</v>
      </c>
      <c r="O527" s="36" t="str">
        <f t="shared" si="140"/>
        <v>1 ось</v>
      </c>
      <c r="P527" s="36">
        <f t="shared" si="141"/>
        <v>2025</v>
      </c>
      <c r="Q527" s="34" t="str">
        <f t="shared" ca="1" si="130"/>
        <v>3650*1700*1070</v>
      </c>
      <c r="R527" s="36" t="str">
        <f t="shared" ref="R527:R590" ca="1" si="142">VLOOKUP(M527,матрица,17,0)</f>
        <v>2500*1250*500</v>
      </c>
      <c r="S527" s="34" t="str">
        <f>VLOOKUP(O527,ОТТС!$A$2:$B$3,2,0)</f>
        <v>ТС KZ Е-KZ.0317.00251 от 28.02.2023</v>
      </c>
      <c r="T527" s="39">
        <v>180000</v>
      </c>
      <c r="U527" s="36" t="str">
        <f t="shared" si="131"/>
        <v>Астана</v>
      </c>
    </row>
    <row r="528" spans="1:21" ht="13.2">
      <c r="A528" s="34">
        <v>1724</v>
      </c>
      <c r="B528" s="35">
        <f>VLOOKUP(A528,'Реестр договоров'!$A$2:$D$996,2,0)</f>
        <v>45833</v>
      </c>
      <c r="C528" s="36" t="str">
        <f t="shared" si="135"/>
        <v>Таракбаев</v>
      </c>
      <c r="D528" s="36" t="str">
        <f t="shared" si="136"/>
        <v>Асхат</v>
      </c>
      <c r="E528" s="36" t="str">
        <f t="shared" si="134"/>
        <v>Жаркинбаевич</v>
      </c>
      <c r="F528" s="36" t="str">
        <f t="shared" si="137"/>
        <v>050157693</v>
      </c>
      <c r="G528" s="37">
        <f>VLOOKUP(F528,Покупатели!$F$2:$N$762,2,0)</f>
        <v>44613</v>
      </c>
      <c r="H528" s="36" t="str">
        <f>VLOOKUP(F528,Покупатели!$F$2:$N$762,3,0)</f>
        <v>МВД РК</v>
      </c>
      <c r="I528" s="36">
        <f>VLOOKUP(C528,Покупатели!$C$2:$M$805,7,0)</f>
        <v>831226300391</v>
      </c>
      <c r="J528" s="36" t="str">
        <f ca="1">IFERROR(__xludf.DUMMYFUNCTION("JOIN("" "", VLOOKUP(C528,Покупатели,8,0),VLOOKUP(C528,Покупатели,9,0),VLOOKUP(C528,Покупатели,10,0),VLOOKUP(C528,Покупатели,11,0))"),"Алматинская область, район Талгарский, сельский округ Бесагашский, село Бесагаш, улица Қасым Қайсенов, дом №22")</f>
        <v>Алматинская область, район Талгарский, сельский округ Бесагашский, село Бесагаш, улица Қасым Қайсенов, дом №22</v>
      </c>
      <c r="K528" s="36">
        <f t="shared" si="138"/>
        <v>87073212199</v>
      </c>
      <c r="L528" s="36" t="str">
        <f t="shared" si="139"/>
        <v>MX4000002S0002130</v>
      </c>
      <c r="M528" s="36" t="str">
        <f t="shared" ca="1" si="133"/>
        <v>002-2513E50Q13-OK</v>
      </c>
      <c r="N528" s="36" t="str">
        <f t="shared" si="132"/>
        <v>Прицеп 2,5*1,25 м  (до 750 кг.)</v>
      </c>
      <c r="O528" s="36" t="str">
        <f t="shared" si="140"/>
        <v>1 ось</v>
      </c>
      <c r="P528" s="36">
        <f t="shared" si="141"/>
        <v>2025</v>
      </c>
      <c r="Q528" s="34" t="str">
        <f t="shared" ca="1" si="130"/>
        <v>3650*1700*1070</v>
      </c>
      <c r="R528" s="36" t="str">
        <f t="shared" ca="1" si="142"/>
        <v>2500*1250*500</v>
      </c>
      <c r="S528" s="34" t="str">
        <f>VLOOKUP(O528,ОТТС!$A$2:$B$3,2,0)</f>
        <v>ТС KZ Е-KZ.0317.00251 от 28.02.2023</v>
      </c>
      <c r="T528" s="39">
        <v>480000</v>
      </c>
      <c r="U528" s="36" t="str">
        <f t="shared" si="131"/>
        <v>Алматы</v>
      </c>
    </row>
    <row r="529" spans="1:21" ht="13.2">
      <c r="A529" s="34">
        <v>1725</v>
      </c>
      <c r="B529" s="35">
        <f>VLOOKUP(A529,'Реестр договоров'!$A$2:$D$996,2,0)</f>
        <v>45833</v>
      </c>
      <c r="C529" s="36" t="str">
        <f t="shared" si="135"/>
        <v>Жунусов</v>
      </c>
      <c r="D529" s="36" t="str">
        <f t="shared" si="136"/>
        <v>Ерназ</v>
      </c>
      <c r="E529" s="36" t="str">
        <f t="shared" si="134"/>
        <v>Ерикович</v>
      </c>
      <c r="F529" s="36" t="str">
        <f t="shared" si="137"/>
        <v>056757008</v>
      </c>
      <c r="G529" s="37">
        <f>VLOOKUP(F529,Покупатели!$F$2:$N$762,2,0)</f>
        <v>45254</v>
      </c>
      <c r="H529" s="36" t="str">
        <f>VLOOKUP(F529,Покупатели!$F$2:$N$762,3,0)</f>
        <v>МВД РК</v>
      </c>
      <c r="I529" s="36">
        <f>VLOOKUP(C529,Покупатели!$C$2:$M$805,7,0)</f>
        <v>920827350565</v>
      </c>
      <c r="J529" s="36" t="str">
        <f ca="1">IFERROR(__xludf.DUMMYFUNCTION("JOIN("" "", VLOOKUP(C529,Покупатели,8,0),VLOOKUP(C529,Покупатели,9,0),VLOOKUP(C529,Покупатели,10,0),VLOOKUP(C529,Покупатели,11,0))"),"г.Астана р-н Сарыарка ул.Женис д.59, кв.60")</f>
        <v>г.Астана р-н Сарыарка ул.Женис д.59, кв.60</v>
      </c>
      <c r="K529" s="36">
        <f t="shared" si="138"/>
        <v>87770284008</v>
      </c>
      <c r="L529" s="36" t="str">
        <f t="shared" si="139"/>
        <v>MX4000002S0002217</v>
      </c>
      <c r="M529" s="36" t="str">
        <f t="shared" ca="1" si="133"/>
        <v>002-2013E30Q13-OK60</v>
      </c>
      <c r="N529" s="36" t="str">
        <f t="shared" si="132"/>
        <v>Прицеп 2,0*1,25 м  (до 750 кг.)</v>
      </c>
      <c r="O529" s="36" t="str">
        <f t="shared" si="140"/>
        <v>1 ось</v>
      </c>
      <c r="P529" s="36">
        <f t="shared" si="141"/>
        <v>2025</v>
      </c>
      <c r="Q529" s="34" t="str">
        <f t="shared" ref="Q529:Q592" ca="1" si="143">VLOOKUP(M529,матрица,16,0)</f>
        <v>3150*1700*900</v>
      </c>
      <c r="R529" s="36" t="str">
        <f t="shared" ca="1" si="142"/>
        <v>2000*1250*300</v>
      </c>
      <c r="S529" s="34" t="str">
        <f>VLOOKUP(O529,ОТТС!$A$2:$B$3,2,0)</f>
        <v>ТС KZ Е-KZ.0317.00251 от 28.02.2023</v>
      </c>
      <c r="T529" s="39">
        <v>440000</v>
      </c>
      <c r="U529" s="36" t="str">
        <f t="shared" si="131"/>
        <v>Астана</v>
      </c>
    </row>
    <row r="530" spans="1:21" ht="13.2">
      <c r="A530" s="34">
        <v>1726</v>
      </c>
      <c r="B530" s="35">
        <f>VLOOKUP(A530,'Реестр договоров'!$A$2:$D$996,2,0)</f>
        <v>45833</v>
      </c>
      <c r="C530" s="36" t="str">
        <f t="shared" si="135"/>
        <v>Ахматов</v>
      </c>
      <c r="D530" s="36" t="str">
        <f t="shared" si="136"/>
        <v>Эсенбек</v>
      </c>
      <c r="E530" s="36" t="str">
        <f t="shared" si="134"/>
        <v>Талайбекович</v>
      </c>
      <c r="F530" s="36" t="str">
        <f t="shared" si="137"/>
        <v>050763949</v>
      </c>
      <c r="G530" s="37">
        <f>VLOOKUP(F530,Покупатели!$F$2:$N$762,2,0)</f>
        <v>44699</v>
      </c>
      <c r="H530" s="36" t="str">
        <f>VLOOKUP(F530,Покупатели!$F$2:$N$762,3,0)</f>
        <v>МВД РК</v>
      </c>
      <c r="I530" s="36">
        <f>VLOOKUP(C530,Покупатели!$C$2:$M$805,7,0)</f>
        <v>901227050062</v>
      </c>
      <c r="J530" s="36" t="str">
        <f ca="1">IFERROR(__xludf.DUMMYFUNCTION("JOIN("" "", VLOOKUP(C530,Покупатели,8,0),VLOOKUP(C530,Покупатели,9,0),VLOOKUP(C530,Покупатели,10,0),VLOOKUP(C530,Покупатели,11,0))"),"Жамбылская область, Кордайский район, с. Кордай, ул. Шарами Жылыбаева, дом 28 Б.")</f>
        <v>Жамбылская область, Кордайский район, с. Кордай, ул. Шарами Жылыбаева, дом 28 Б.</v>
      </c>
      <c r="K530" s="36">
        <f t="shared" si="138"/>
        <v>87006776680</v>
      </c>
      <c r="L530" s="36" t="str">
        <f t="shared" si="139"/>
        <v>MX4000002S0002031</v>
      </c>
      <c r="M530" s="36" t="str">
        <f t="shared" ca="1" si="133"/>
        <v>002-2013E50Q13-OK</v>
      </c>
      <c r="N530" s="36" t="str">
        <f t="shared" si="132"/>
        <v>Прицеп 2,0*1,25 м  (до 750 кг.)</v>
      </c>
      <c r="O530" s="36" t="str">
        <f t="shared" si="140"/>
        <v>1 ось</v>
      </c>
      <c r="P530" s="36">
        <f t="shared" si="141"/>
        <v>2025</v>
      </c>
      <c r="Q530" s="34" t="str">
        <f t="shared" ca="1" si="143"/>
        <v>3150*1700*1070</v>
      </c>
      <c r="R530" s="36" t="str">
        <f t="shared" ca="1" si="142"/>
        <v>2000*1250*500</v>
      </c>
      <c r="S530" s="34" t="str">
        <f>VLOOKUP(O530,ОТТС!$A$2:$B$3,2,0)</f>
        <v>ТС KZ Е-KZ.0317.00251 от 28.02.2023</v>
      </c>
      <c r="T530" s="39">
        <v>360000</v>
      </c>
      <c r="U530" s="36" t="str">
        <f t="shared" ref="U530:U593" si="144">VLOOKUP(L530,ПРИЦЕПЫ,9,0)</f>
        <v>Алматы</v>
      </c>
    </row>
    <row r="531" spans="1:21" ht="13.2">
      <c r="A531" s="34">
        <v>1727</v>
      </c>
      <c r="B531" s="35">
        <f>VLOOKUP(A531,'Реестр договоров'!$A$2:$D$996,2,0)</f>
        <v>45839</v>
      </c>
      <c r="C531" s="36" t="str">
        <f t="shared" si="135"/>
        <v>Кунанбаев</v>
      </c>
      <c r="D531" s="36" t="str">
        <f t="shared" si="136"/>
        <v>Мейрам</v>
      </c>
      <c r="E531" s="36" t="str">
        <f t="shared" si="134"/>
        <v>Калиахметович</v>
      </c>
      <c r="F531" s="36" t="str">
        <f t="shared" si="137"/>
        <v>041395965</v>
      </c>
      <c r="G531" s="37">
        <f>VLOOKUP(F531,Покупатели!$F$2:$N$762,2,0)</f>
        <v>42828</v>
      </c>
      <c r="H531" s="36" t="str">
        <f>VLOOKUP(F531,Покупатели!$F$2:$N$762,3,0)</f>
        <v>МВД РК</v>
      </c>
      <c r="I531" s="36">
        <f>VLOOKUP(C531,Покупатели!$C$2:$M$805,7,0)</f>
        <v>811107302664</v>
      </c>
      <c r="J531" s="36" t="str">
        <f ca="1">IFERROR(__xludf.DUMMYFUNCTION("JOIN("" "", VLOOKUP(C531,Покупатели,8,0),VLOOKUP(C531,Покупатели,9,0),VLOOKUP(C531,Покупатели,10,0),VLOOKUP(C531,Покупатели,11,0))"),"Жетысуская область, Кербулакский район, с. Сарыозек, ул. Гоголя, д.9")</f>
        <v>Жетысуская область, Кербулакский район, с. Сарыозек, ул. Гоголя, д.9</v>
      </c>
      <c r="K531" s="36">
        <f t="shared" si="138"/>
        <v>87751002281</v>
      </c>
      <c r="L531" s="36" t="str">
        <f t="shared" si="139"/>
        <v>MX4000002S0001908</v>
      </c>
      <c r="M531" s="36" t="str">
        <f t="shared" ca="1" si="133"/>
        <v>002-2013E30Q13-OK</v>
      </c>
      <c r="N531" s="36" t="str">
        <f t="shared" si="132"/>
        <v>Прицеп 2,0*1,25 м  (до 750 кг.)</v>
      </c>
      <c r="O531" s="36" t="str">
        <f t="shared" si="140"/>
        <v>1 ось</v>
      </c>
      <c r="P531" s="36">
        <f t="shared" si="141"/>
        <v>2025</v>
      </c>
      <c r="Q531" s="34" t="str">
        <f t="shared" ca="1" si="143"/>
        <v>3150*1700*900</v>
      </c>
      <c r="R531" s="36" t="str">
        <f t="shared" ca="1" si="142"/>
        <v>2000*1250*300</v>
      </c>
      <c r="S531" s="34" t="str">
        <f>VLOOKUP(O531,ОТТС!$A$2:$B$3,2,0)</f>
        <v>ТС KZ Е-KZ.0317.00251 от 28.02.2023</v>
      </c>
      <c r="T531" s="39">
        <v>330000</v>
      </c>
      <c r="U531" s="36" t="str">
        <f t="shared" si="144"/>
        <v>Алматы</v>
      </c>
    </row>
    <row r="532" spans="1:21" ht="13.2">
      <c r="A532" s="34">
        <v>1728</v>
      </c>
      <c r="B532" s="35">
        <f>VLOOKUP(A532,'Реестр договоров'!$A$2:$D$996,2,0)</f>
        <v>45839</v>
      </c>
      <c r="C532" s="36" t="str">
        <f t="shared" si="135"/>
        <v>Тлеулесов</v>
      </c>
      <c r="D532" s="36" t="str">
        <f t="shared" si="136"/>
        <v>Рахимтай</v>
      </c>
      <c r="E532" s="36" t="str">
        <f t="shared" si="134"/>
        <v>Боранбекович</v>
      </c>
      <c r="F532" s="36" t="str">
        <f t="shared" si="137"/>
        <v>039381594</v>
      </c>
      <c r="G532" s="37">
        <f>VLOOKUP(F532,Покупатели!$F$2:$N$762,2,0)</f>
        <v>42262</v>
      </c>
      <c r="H532" s="36" t="str">
        <f>VLOOKUP(F532,Покупатели!$F$2:$N$762,3,0)</f>
        <v>МВД РК</v>
      </c>
      <c r="I532" s="36">
        <f>VLOOKUP(C532,Покупатели!$C$2:$M$805,7,0)</f>
        <v>710722301001</v>
      </c>
      <c r="J532" s="36" t="str">
        <f ca="1">IFERROR(__xludf.DUMMYFUNCTION("JOIN("" "", VLOOKUP(C532,Покупатели,8,0),VLOOKUP(C532,Покупатели,9,0),VLOOKUP(C532,Покупатели,10,0),VLOOKUP(C532,Покупатели,11,0))"),"г.Астана р-н Байконыр пер.Киевский д.5а")</f>
        <v>г.Астана р-н Байконыр пер.Киевский д.5а</v>
      </c>
      <c r="K532" s="36">
        <f t="shared" si="138"/>
        <v>87015230923</v>
      </c>
      <c r="L532" s="36" t="str">
        <f t="shared" si="139"/>
        <v>MX4000002S0002201</v>
      </c>
      <c r="M532" s="36" t="str">
        <f t="shared" ca="1" si="133"/>
        <v>002-2513E30Q13-OK</v>
      </c>
      <c r="N532" s="36" t="str">
        <f t="shared" si="132"/>
        <v>Прицеп 2,5*1,25 м  (до 750 кг.)</v>
      </c>
      <c r="O532" s="36" t="str">
        <f t="shared" si="140"/>
        <v>1 ось</v>
      </c>
      <c r="P532" s="36">
        <f t="shared" si="141"/>
        <v>2025</v>
      </c>
      <c r="Q532" s="34" t="str">
        <f t="shared" ca="1" si="143"/>
        <v>3650*1700*900</v>
      </c>
      <c r="R532" s="36" t="str">
        <f t="shared" ca="1" si="142"/>
        <v>2500*1250*300</v>
      </c>
      <c r="S532" s="34" t="str">
        <f>VLOOKUP(O532,ОТТС!$A$2:$B$3,2,0)</f>
        <v>ТС KZ Е-KZ.0317.00251 от 28.02.2023</v>
      </c>
      <c r="T532" s="39">
        <v>390000</v>
      </c>
      <c r="U532" s="36" t="str">
        <f t="shared" si="144"/>
        <v>Астана</v>
      </c>
    </row>
    <row r="533" spans="1:21" ht="13.2">
      <c r="A533" s="34">
        <v>1729</v>
      </c>
      <c r="B533" s="35">
        <f>VLOOKUP(A533,'Реестр договоров'!$A$2:$D$996,2,0)</f>
        <v>45839</v>
      </c>
      <c r="C533" s="36" t="str">
        <f t="shared" si="135"/>
        <v>Топалов</v>
      </c>
      <c r="D533" s="36" t="str">
        <f t="shared" si="136"/>
        <v>Алексей</v>
      </c>
      <c r="E533" s="36" t="str">
        <f t="shared" si="134"/>
        <v>Владимирович</v>
      </c>
      <c r="F533" s="36" t="str">
        <f t="shared" si="137"/>
        <v>043752351</v>
      </c>
      <c r="G533" s="37">
        <f>VLOOKUP(F533,Покупатели!$F$2:$N$762,2,0)</f>
        <v>43434</v>
      </c>
      <c r="H533" s="36" t="str">
        <f>VLOOKUP(F533,Покупатели!$F$2:$N$762,3,0)</f>
        <v>МВД РК</v>
      </c>
      <c r="I533" s="36">
        <f>VLOOKUP(C533,Покупатели!$C$2:$M$805,7,0)</f>
        <v>780518302330</v>
      </c>
      <c r="J533" s="36" t="str">
        <f ca="1">IFERROR(__xludf.DUMMYFUNCTION("JOIN("" "", VLOOKUP(C533,Покупатели,8,0),VLOOKUP(C533,Покупатели,9,0),VLOOKUP(C533,Покупатели,10,0),VLOOKUP(C533,Покупатели,11,0))"),"г.Алматы, Турксибский район,  ул. Тринева, д.138, кв.1")</f>
        <v>г.Алматы, Турксибский район,  ул. Тринева, д.138, кв.1</v>
      </c>
      <c r="K533" s="36">
        <f t="shared" si="138"/>
        <v>87077677678</v>
      </c>
      <c r="L533" s="36" t="str">
        <f t="shared" si="139"/>
        <v>MX4000002S0002035</v>
      </c>
      <c r="M533" s="36" t="str">
        <f t="shared" ca="1" si="133"/>
        <v>002-2013E50Q13-OK</v>
      </c>
      <c r="N533" s="36" t="str">
        <f t="shared" si="132"/>
        <v>Прицеп 2,0*1,25 м  (до 750 кг.)</v>
      </c>
      <c r="O533" s="36" t="str">
        <f t="shared" si="140"/>
        <v>1 ось</v>
      </c>
      <c r="P533" s="36">
        <f t="shared" si="141"/>
        <v>2025</v>
      </c>
      <c r="Q533" s="34" t="str">
        <f t="shared" ca="1" si="143"/>
        <v>3150*1700*1070</v>
      </c>
      <c r="R533" s="36" t="str">
        <f t="shared" ca="1" si="142"/>
        <v>2000*1250*500</v>
      </c>
      <c r="S533" s="34" t="str">
        <f>VLOOKUP(O533,ОТТС!$A$2:$B$3,2,0)</f>
        <v>ТС KZ Е-KZ.0317.00251 от 28.02.2023</v>
      </c>
      <c r="T533" s="39">
        <v>360000</v>
      </c>
      <c r="U533" s="36" t="str">
        <f t="shared" si="144"/>
        <v>Алматы</v>
      </c>
    </row>
    <row r="534" spans="1:21" ht="13.2">
      <c r="A534" s="34">
        <v>1730</v>
      </c>
      <c r="B534" s="35">
        <f>VLOOKUP(A534,'Реестр договоров'!$A$2:$D$996,2,0)</f>
        <v>45839</v>
      </c>
      <c r="C534" s="36" t="str">
        <f t="shared" si="135"/>
        <v>Бердиханов 4</v>
      </c>
      <c r="D534" s="36" t="str">
        <f t="shared" si="136"/>
        <v>Полаткалий</v>
      </c>
      <c r="E534" s="36" t="str">
        <f t="shared" si="134"/>
        <v>Нурдаулетович</v>
      </c>
      <c r="F534" s="36" t="str">
        <f t="shared" si="137"/>
        <v>055060113</v>
      </c>
      <c r="G534" s="37">
        <f>VLOOKUP(F534,Покупатели!$F$2:$N$762,2,0)</f>
        <v>45261</v>
      </c>
      <c r="H534" s="36" t="str">
        <f>VLOOKUP(F534,Покупатели!$F$2:$N$762,3,0)</f>
        <v>МВД РК</v>
      </c>
      <c r="I534" s="36">
        <f>VLOOKUP(C534,Покупатели!$C$2:$M$805,7,0)</f>
        <v>810522303061</v>
      </c>
      <c r="J534" s="36" t="str">
        <f ca="1">IFERROR(__xludf.DUMMYFUNCTION("JOIN("" "", VLOOKUP(C534,Покупатели,8,0),VLOOKUP(C534,Покупатели,9,0),VLOOKUP(C534,Покупатели,10,0),VLOOKUP(C534,Покупатели,11,0))"),"Жамбылская область, Байзакский район, с. Сарыкемер, ул. Орынкулова, д.119а, 1 переулок")</f>
        <v>Жамбылская область, Байзакский район, с. Сарыкемер, ул. Орынкулова, д.119а, 1 переулок</v>
      </c>
      <c r="K534" s="36">
        <f t="shared" si="138"/>
        <v>87087435052</v>
      </c>
      <c r="L534" s="36" t="str">
        <f t="shared" si="139"/>
        <v>MX4000002S0002036</v>
      </c>
      <c r="M534" s="36" t="str">
        <f t="shared" ca="1" si="133"/>
        <v>002-2013E30Q13-OK</v>
      </c>
      <c r="N534" s="36" t="str">
        <f t="shared" si="132"/>
        <v>Прицеп 2,0*1,25 м  (до 750 кг.)</v>
      </c>
      <c r="O534" s="36" t="str">
        <f t="shared" si="140"/>
        <v>1 ось</v>
      </c>
      <c r="P534" s="36">
        <f t="shared" si="141"/>
        <v>2025</v>
      </c>
      <c r="Q534" s="34" t="str">
        <f t="shared" ca="1" si="143"/>
        <v>3150*1700*900</v>
      </c>
      <c r="R534" s="36" t="str">
        <f t="shared" ca="1" si="142"/>
        <v>2000*1250*300</v>
      </c>
      <c r="S534" s="34" t="str">
        <f>VLOOKUP(O534,ОТТС!$A$2:$B$3,2,0)</f>
        <v>ТС KZ Е-KZ.0317.00251 от 28.02.2023</v>
      </c>
      <c r="T534" s="39">
        <v>325000</v>
      </c>
      <c r="U534" s="36" t="str">
        <f t="shared" si="144"/>
        <v>Алматы</v>
      </c>
    </row>
    <row r="535" spans="1:21" ht="13.2">
      <c r="A535" s="34">
        <v>1731</v>
      </c>
      <c r="B535" s="35">
        <f>VLOOKUP(A535,'Реестр договоров'!$A$2:$D$996,2,0)</f>
        <v>45840</v>
      </c>
      <c r="C535" s="36" t="str">
        <f t="shared" si="135"/>
        <v>Шарипов</v>
      </c>
      <c r="D535" s="36" t="str">
        <f t="shared" si="136"/>
        <v>Нуралы</v>
      </c>
      <c r="E535" s="36" t="str">
        <f t="shared" si="134"/>
        <v>Мерекеевич</v>
      </c>
      <c r="F535" s="36" t="str">
        <f t="shared" si="137"/>
        <v>059162274</v>
      </c>
      <c r="G535" s="37">
        <f>VLOOKUP(F535,Покупатели!$F$2:$N$762,2,0)</f>
        <v>45580</v>
      </c>
      <c r="H535" s="36" t="str">
        <f>VLOOKUP(F535,Покупатели!$F$2:$N$762,3,0)</f>
        <v>МВД РК</v>
      </c>
      <c r="I535" s="36">
        <f>VLOOKUP(C535,Покупатели!$C$2:$M$805,7,0)</f>
        <v>910716350792</v>
      </c>
      <c r="J535" s="36" t="str">
        <f ca="1">IFERROR(__xludf.DUMMYFUNCTION("JOIN("" "", VLOOKUP(C535,Покупатели,8,0),VLOOKUP(C535,Покупатели,9,0),VLOOKUP(C535,Покупатели,10,0),VLOOKUP(C535,Покупатели,11,0))"),"г.Астана р-н Сарыарка ул.Жамбыла д.8, кв.62")</f>
        <v>г.Астана р-н Сарыарка ул.Жамбыла д.8, кв.62</v>
      </c>
      <c r="K535" s="36">
        <f t="shared" si="138"/>
        <v>87759050294</v>
      </c>
      <c r="L535" s="36" t="str">
        <f t="shared" si="139"/>
        <v>MX4000002S0002223</v>
      </c>
      <c r="M535" s="36" t="str">
        <f t="shared" ca="1" si="133"/>
        <v>002-2513E50Q13-OK90</v>
      </c>
      <c r="N535" s="36" t="str">
        <f t="shared" si="132"/>
        <v>Прицеп 2,5*1,25 м  (до 750 кг.)</v>
      </c>
      <c r="O535" s="36" t="str">
        <f t="shared" si="140"/>
        <v>1 ось</v>
      </c>
      <c r="P535" s="36">
        <f t="shared" si="141"/>
        <v>2025</v>
      </c>
      <c r="Q535" s="34" t="str">
        <f t="shared" ca="1" si="143"/>
        <v>3650*1700*1070</v>
      </c>
      <c r="R535" s="36" t="str">
        <f t="shared" ca="1" si="142"/>
        <v>2500*1250*500</v>
      </c>
      <c r="S535" s="34" t="str">
        <f>VLOOKUP(O535,ОТТС!$A$2:$B$3,2,0)</f>
        <v>ТС KZ Е-KZ.0317.00251 от 28.02.2023</v>
      </c>
      <c r="T535" s="39">
        <v>510000</v>
      </c>
      <c r="U535" s="36" t="str">
        <f t="shared" si="144"/>
        <v>Астана</v>
      </c>
    </row>
    <row r="536" spans="1:21" ht="13.2">
      <c r="A536" s="34">
        <v>1732</v>
      </c>
      <c r="B536" s="35">
        <f>VLOOKUP(A536,'Реестр договоров'!$A$2:$D$996,2,0)</f>
        <v>45840</v>
      </c>
      <c r="C536" s="36" t="str">
        <f t="shared" si="135"/>
        <v>Вятчанин</v>
      </c>
      <c r="D536" s="36" t="str">
        <f t="shared" si="136"/>
        <v>Владимир</v>
      </c>
      <c r="E536" s="36" t="str">
        <f t="shared" si="134"/>
        <v>Филаретович</v>
      </c>
      <c r="F536" s="36" t="str">
        <f t="shared" si="137"/>
        <v>054427040</v>
      </c>
      <c r="G536" s="37">
        <f>VLOOKUP(F536,Покупатели!$F$2:$N$762,2,0)</f>
        <v>44935</v>
      </c>
      <c r="H536" s="36" t="str">
        <f>VLOOKUP(F536,Покупатели!$F$2:$N$762,3,0)</f>
        <v>МВД РК</v>
      </c>
      <c r="I536" s="36">
        <f>VLOOKUP(C536,Покупатели!$C$2:$M$805,7,0)</f>
        <v>671104350082</v>
      </c>
      <c r="J536" s="36" t="str">
        <f ca="1">IFERROR(__xludf.DUMMYFUNCTION("JOIN("" "", VLOOKUP(C536,Покупатели,8,0),VLOOKUP(C536,Покупатели,9,0),VLOOKUP(C536,Покупатели,10,0),VLOOKUP(C536,Покупатели,11,0))"),"Акмолинская область, Буландинский район, г. Макинск, ул. 2-я Станционная, д.9")</f>
        <v>Акмолинская область, Буландинский район, г. Макинск, ул. 2-я Станционная, д.9</v>
      </c>
      <c r="K536" s="36">
        <f t="shared" si="138"/>
        <v>87057545167</v>
      </c>
      <c r="L536" s="36" t="str">
        <f t="shared" si="139"/>
        <v>MX4000002S0002219</v>
      </c>
      <c r="M536" s="36" t="str">
        <f t="shared" ca="1" si="133"/>
        <v>002-2013E30Q13-OK</v>
      </c>
      <c r="N536" s="36" t="str">
        <f t="shared" si="132"/>
        <v>Прицеп 2,0*1,25 м  (до 750 кг.)</v>
      </c>
      <c r="O536" s="36" t="str">
        <f t="shared" si="140"/>
        <v>1 ось</v>
      </c>
      <c r="P536" s="36">
        <f t="shared" si="141"/>
        <v>2025</v>
      </c>
      <c r="Q536" s="34" t="str">
        <f t="shared" ca="1" si="143"/>
        <v>3150*1700*900</v>
      </c>
      <c r="R536" s="36" t="str">
        <f t="shared" ca="1" si="142"/>
        <v>2000*1250*300</v>
      </c>
      <c r="S536" s="34" t="str">
        <f>VLOOKUP(O536,ОТТС!$A$2:$B$3,2,0)</f>
        <v>ТС KZ Е-KZ.0317.00251 от 28.02.2023</v>
      </c>
      <c r="T536" s="39">
        <v>380000</v>
      </c>
      <c r="U536" s="36" t="str">
        <f t="shared" si="144"/>
        <v>Кокшетау</v>
      </c>
    </row>
    <row r="537" spans="1:21" ht="13.2">
      <c r="A537" s="34">
        <v>1734</v>
      </c>
      <c r="B537" s="35">
        <f>VLOOKUP(A537,'Реестр договоров'!$A$2:$D$996,2,0)</f>
        <v>45841</v>
      </c>
      <c r="C537" s="36" t="str">
        <f t="shared" si="135"/>
        <v>Шевченко</v>
      </c>
      <c r="D537" s="36" t="str">
        <f t="shared" si="136"/>
        <v>Степан</v>
      </c>
      <c r="E537" s="36" t="str">
        <f t="shared" si="134"/>
        <v>Владимирович</v>
      </c>
      <c r="F537" s="36" t="str">
        <f t="shared" si="137"/>
        <v>056405836</v>
      </c>
      <c r="G537" s="37">
        <f>VLOOKUP(F537,Покупатели!$F$2:$N$762,2,0)</f>
        <v>45191</v>
      </c>
      <c r="H537" s="36" t="str">
        <f>VLOOKUP(F537,Покупатели!$F$2:$N$762,3,0)</f>
        <v>МВД РК</v>
      </c>
      <c r="I537" s="36">
        <f>VLOOKUP(C537,Покупатели!$C$2:$M$805,7,0)</f>
        <v>741020300421</v>
      </c>
      <c r="J537" s="36" t="str">
        <f ca="1">IFERROR(__xludf.DUMMYFUNCTION("JOIN("" "", VLOOKUP(C537,Покупатели,8,0),VLOOKUP(C537,Покупатели,9,0),VLOOKUP(C537,Покупатели,10,0),VLOOKUP(C537,Покупатели,11,0))"),"Карагандинская обл. Нуринский р-н, с.Шахтерское ул.Школьная д.21/1")</f>
        <v>Карагандинская обл. Нуринский р-н, с.Шахтерское ул.Школьная д.21/1</v>
      </c>
      <c r="K537" s="36">
        <f t="shared" si="138"/>
        <v>87770484860</v>
      </c>
      <c r="L537" s="36" t="str">
        <f t="shared" si="139"/>
        <v>MX4000002S0002213</v>
      </c>
      <c r="M537" s="36" t="str">
        <f t="shared" ca="1" si="133"/>
        <v>002-2513E50Q13-OK</v>
      </c>
      <c r="N537" s="36" t="str">
        <f t="shared" ref="N537:N600" si="145">VLOOKUP(L537,ПРИЦЕПЫ,2,0)</f>
        <v>Прицеп 2,5*1,25 м  (до 750 кг.)</v>
      </c>
      <c r="O537" s="36" t="str">
        <f t="shared" si="140"/>
        <v>1 ось</v>
      </c>
      <c r="P537" s="36">
        <f t="shared" si="141"/>
        <v>2025</v>
      </c>
      <c r="Q537" s="34" t="str">
        <f t="shared" ca="1" si="143"/>
        <v>3650*1700*1070</v>
      </c>
      <c r="R537" s="36" t="str">
        <f t="shared" ca="1" si="142"/>
        <v>2500*1250*500</v>
      </c>
      <c r="S537" s="34" t="str">
        <f>VLOOKUP(O537,ОТТС!$A$2:$B$3,2,0)</f>
        <v>ТС KZ Е-KZ.0317.00251 от 28.02.2023</v>
      </c>
      <c r="T537" s="39">
        <v>470000</v>
      </c>
      <c r="U537" s="36" t="str">
        <f t="shared" si="144"/>
        <v>Астана</v>
      </c>
    </row>
    <row r="538" spans="1:21" ht="13.2">
      <c r="A538" s="34">
        <v>1735</v>
      </c>
      <c r="B538" s="35">
        <f>VLOOKUP(A538,'Реестр договоров'!$A$2:$D$996,2,0)</f>
        <v>45842</v>
      </c>
      <c r="C538" s="36" t="str">
        <f t="shared" si="135"/>
        <v>Сыздыков 1</v>
      </c>
      <c r="D538" s="36" t="str">
        <f t="shared" si="136"/>
        <v>Ербол</v>
      </c>
      <c r="E538" s="36" t="str">
        <f t="shared" si="134"/>
        <v>Ибраевич</v>
      </c>
      <c r="F538" s="36" t="str">
        <f t="shared" si="137"/>
        <v>057180276</v>
      </c>
      <c r="G538" s="37">
        <f>VLOOKUP(F538,Покупатели!$F$2:$N$762,2,0)</f>
        <v>45308</v>
      </c>
      <c r="H538" s="36" t="str">
        <f>VLOOKUP(F538,Покупатели!$F$2:$N$762,3,0)</f>
        <v>МВД РК</v>
      </c>
      <c r="I538" s="36">
        <f>VLOOKUP(C538,Покупатели!$C$2:$M$805,7,0)</f>
        <v>691222350206</v>
      </c>
      <c r="J538" s="36" t="str">
        <f ca="1">IFERROR(__xludf.DUMMYFUNCTION("JOIN("" "", VLOOKUP(C538,Покупатели,8,0),VLOOKUP(C538,Покупатели,9,0),VLOOKUP(C538,Покупатели,10,0),VLOOKUP(C538,Покупатели,11,0))"),"СКО, Акжарский район, с. Бостандык, ул. Рамазанова, д.2, кв.1")</f>
        <v>СКО, Акжарский район, с. Бостандык, ул. Рамазанова, д.2, кв.1</v>
      </c>
      <c r="K538" s="36">
        <f t="shared" si="138"/>
        <v>87056564629</v>
      </c>
      <c r="L538" s="36" t="str">
        <f t="shared" si="139"/>
        <v>MX4000002S0002218</v>
      </c>
      <c r="M538" s="36" t="str">
        <f t="shared" ca="1" si="133"/>
        <v>002-2013E50Q13-OK</v>
      </c>
      <c r="N538" s="36" t="str">
        <f t="shared" si="145"/>
        <v>Прицеп 2,0*1,25 м  (до 750 кг.)</v>
      </c>
      <c r="O538" s="36" t="str">
        <f t="shared" si="140"/>
        <v>1 ось</v>
      </c>
      <c r="P538" s="36">
        <f t="shared" si="141"/>
        <v>2025</v>
      </c>
      <c r="Q538" s="34" t="str">
        <f t="shared" ca="1" si="143"/>
        <v>3150*1700*1070</v>
      </c>
      <c r="R538" s="36" t="str">
        <f t="shared" ca="1" si="142"/>
        <v>2000*1250*500</v>
      </c>
      <c r="S538" s="34" t="str">
        <f>VLOOKUP(O538,ОТТС!$A$2:$B$3,2,0)</f>
        <v>ТС KZ Е-KZ.0317.00251 от 28.02.2023</v>
      </c>
      <c r="T538" s="39">
        <v>350000</v>
      </c>
      <c r="U538" s="36" t="str">
        <f t="shared" si="144"/>
        <v>Кокшетау</v>
      </c>
    </row>
    <row r="539" spans="1:21" ht="13.2">
      <c r="A539" s="34">
        <v>1736</v>
      </c>
      <c r="B539" s="35">
        <f>VLOOKUP(A539,'Реестр договоров'!$A$2:$D$996,2,0)</f>
        <v>45842</v>
      </c>
      <c r="C539" s="36" t="str">
        <f t="shared" si="135"/>
        <v>Ульмаханов</v>
      </c>
      <c r="D539" s="36" t="str">
        <f t="shared" si="136"/>
        <v>Ардак</v>
      </c>
      <c r="E539" s="36" t="str">
        <f t="shared" si="134"/>
        <v>Фазылович</v>
      </c>
      <c r="F539" s="36" t="str">
        <f t="shared" si="137"/>
        <v>045195103</v>
      </c>
      <c r="G539" s="37">
        <f>VLOOKUP(F539,Покупатели!$F$2:$N$762,2,0)</f>
        <v>43760</v>
      </c>
      <c r="H539" s="36" t="str">
        <f>VLOOKUP(F539,Покупатели!$F$2:$N$762,3,0)</f>
        <v>МВД РК</v>
      </c>
      <c r="I539" s="36">
        <f>VLOOKUP(C539,Покупатели!$C$2:$M$805,7,0)</f>
        <v>831226302506</v>
      </c>
      <c r="J539" s="36" t="str">
        <f ca="1">IFERROR(__xludf.DUMMYFUNCTION("JOIN("" "", VLOOKUP(C539,Покупатели,8,0),VLOOKUP(C539,Покупатели,9,0),VLOOKUP(C539,Покупатели,10,0),VLOOKUP(C539,Покупатели,11,0))"),"Туркестанская область, г. Туркестан, ул. Жамбула, д.76")</f>
        <v>Туркестанская область, г. Туркестан, ул. Жамбула, д.76</v>
      </c>
      <c r="K539" s="36">
        <f t="shared" si="138"/>
        <v>87776969477</v>
      </c>
      <c r="L539" s="36" t="str">
        <f t="shared" si="139"/>
        <v>MX4000002S0001922</v>
      </c>
      <c r="M539" s="36" t="str">
        <f t="shared" ca="1" si="133"/>
        <v>002-2013E50Q13-OK</v>
      </c>
      <c r="N539" s="36" t="str">
        <f t="shared" si="145"/>
        <v>Прицеп 2,0*1,25 м  (до 750 кг.)</v>
      </c>
      <c r="O539" s="36" t="str">
        <f t="shared" si="140"/>
        <v>1 ось</v>
      </c>
      <c r="P539" s="36">
        <f t="shared" si="141"/>
        <v>2025</v>
      </c>
      <c r="Q539" s="34" t="str">
        <f t="shared" ca="1" si="143"/>
        <v>3150*1700*1070</v>
      </c>
      <c r="R539" s="36" t="str">
        <f t="shared" ca="1" si="142"/>
        <v>2000*1250*500</v>
      </c>
      <c r="S539" s="34" t="str">
        <f>VLOOKUP(O539,ОТТС!$A$2:$B$3,2,0)</f>
        <v>ТС KZ Е-KZ.0317.00251 от 28.02.2023</v>
      </c>
      <c r="T539" s="39">
        <v>420000</v>
      </c>
      <c r="U539" s="36" t="str">
        <f t="shared" si="144"/>
        <v>Алматы</v>
      </c>
    </row>
    <row r="540" spans="1:21" ht="13.2">
      <c r="A540" s="34">
        <v>1737</v>
      </c>
      <c r="B540" s="35">
        <f>VLOOKUP(A540,'Реестр договоров'!$A$2:$D$996,2,0)</f>
        <v>45843</v>
      </c>
      <c r="C540" s="36" t="str">
        <f t="shared" si="135"/>
        <v>Танкеев</v>
      </c>
      <c r="D540" s="36" t="str">
        <f t="shared" si="136"/>
        <v>Имангалей</v>
      </c>
      <c r="E540" s="36" t="str">
        <f t="shared" si="134"/>
        <v>Кудейбергенович</v>
      </c>
      <c r="F540" s="36" t="str">
        <f t="shared" si="137"/>
        <v>055731592</v>
      </c>
      <c r="G540" s="37">
        <f>VLOOKUP(F540,Покупатели!$F$2:$N$762,2,0)</f>
        <v>45104</v>
      </c>
      <c r="H540" s="36" t="str">
        <f>VLOOKUP(F540,Покупатели!$F$2:$N$762,3,0)</f>
        <v>МВД РК</v>
      </c>
      <c r="I540" s="36">
        <f>VLOOKUP(C540,Покупатели!$C$2:$M$805,7,0)</f>
        <v>580525350278</v>
      </c>
      <c r="J540" s="36" t="str">
        <f ca="1">IFERROR(__xludf.DUMMYFUNCTION("JOIN("" "", VLOOKUP(C540,Покупатели,8,0),VLOOKUP(C540,Покупатели,9,0),VLOOKUP(C540,Покупатели,10,0),VLOOKUP(C540,Покупатели,11,0))"),"Акмолинская обл г.Акколь ул.Школьная д.67")</f>
        <v>Акмолинская обл г.Акколь ул.Школьная д.67</v>
      </c>
      <c r="K540" s="36">
        <f t="shared" si="138"/>
        <v>87783024789</v>
      </c>
      <c r="L540" s="36" t="str">
        <f t="shared" si="139"/>
        <v>MX4000002S0002221</v>
      </c>
      <c r="M540" s="36" t="str">
        <f t="shared" ref="M540:M603" ca="1" si="146">VLOOKUP(L540,ПРИЦЕПЫ,11,0)</f>
        <v>002-2013E50Q13-OK</v>
      </c>
      <c r="N540" s="36" t="str">
        <f t="shared" si="145"/>
        <v>Прицеп 2,0*1,25 м  (до 750 кг.)</v>
      </c>
      <c r="O540" s="36" t="str">
        <f t="shared" si="140"/>
        <v>1 ось</v>
      </c>
      <c r="P540" s="36">
        <f t="shared" si="141"/>
        <v>2025</v>
      </c>
      <c r="Q540" s="34" t="str">
        <f t="shared" ca="1" si="143"/>
        <v>3150*1700*1070</v>
      </c>
      <c r="R540" s="36" t="str">
        <f t="shared" ca="1" si="142"/>
        <v>2000*1250*500</v>
      </c>
      <c r="S540" s="34" t="str">
        <f>VLOOKUP(O540,ОТТС!$A$2:$B$3,2,0)</f>
        <v>ТС KZ Е-KZ.0317.00251 от 28.02.2023</v>
      </c>
      <c r="T540" s="39">
        <v>360000</v>
      </c>
      <c r="U540" s="36" t="str">
        <f t="shared" si="144"/>
        <v>Астана</v>
      </c>
    </row>
    <row r="541" spans="1:21" ht="13.2">
      <c r="A541" s="34">
        <v>1738</v>
      </c>
      <c r="B541" s="35">
        <f>VLOOKUP(A541,'Реестр договоров'!$A$2:$D$996,2,0)</f>
        <v>45846</v>
      </c>
      <c r="C541" s="36" t="str">
        <f t="shared" si="135"/>
        <v>Полукаров</v>
      </c>
      <c r="D541" s="36" t="str">
        <f t="shared" si="136"/>
        <v>Виктор</v>
      </c>
      <c r="E541" s="36" t="str">
        <f t="shared" si="134"/>
        <v>Валерьевич</v>
      </c>
      <c r="F541" s="36" t="str">
        <f t="shared" si="137"/>
        <v>052069334</v>
      </c>
      <c r="G541" s="37">
        <f>VLOOKUP(F541,Покупатели!$F$2:$N$762,2,0)</f>
        <v>44587</v>
      </c>
      <c r="H541" s="36" t="str">
        <f>VLOOKUP(F541,Покупатели!$F$2:$N$762,3,0)</f>
        <v>МВД РК</v>
      </c>
      <c r="I541" s="36">
        <f>VLOOKUP(C541,Покупатели!$C$2:$M$805,7,0)</f>
        <v>880227351107</v>
      </c>
      <c r="J541" s="36" t="str">
        <f ca="1">IFERROR(__xludf.DUMMYFUNCTION("JOIN("" "", VLOOKUP(C541,Покупатели,8,0),VLOOKUP(C541,Покупатели,9,0),VLOOKUP(C541,Покупатели,10,0),VLOOKUP(C541,Покупатели,11,0))"),"Акмолинская область, с. Красный Яр, ул. Заречная. д.1")</f>
        <v>Акмолинская область, с. Красный Яр, ул. Заречная. д.1</v>
      </c>
      <c r="K541" s="36">
        <f t="shared" si="138"/>
        <v>87779553606</v>
      </c>
      <c r="L541" s="36" t="str">
        <f t="shared" si="139"/>
        <v>MX4000002S0002225</v>
      </c>
      <c r="M541" s="36" t="str">
        <f t="shared" ca="1" si="146"/>
        <v>002-2513E50Q13-OK</v>
      </c>
      <c r="N541" s="36" t="str">
        <f t="shared" si="145"/>
        <v>Прицеп 2,5*1,25 м  (до 750 кг.)</v>
      </c>
      <c r="O541" s="36" t="str">
        <f t="shared" si="140"/>
        <v>1 ось</v>
      </c>
      <c r="P541" s="36">
        <f t="shared" si="141"/>
        <v>2025</v>
      </c>
      <c r="Q541" s="34" t="str">
        <f t="shared" ca="1" si="143"/>
        <v>3650*1700*1070</v>
      </c>
      <c r="R541" s="36" t="str">
        <f t="shared" ca="1" si="142"/>
        <v>2500*1250*500</v>
      </c>
      <c r="S541" s="34" t="str">
        <f>VLOOKUP(O541,ОТТС!$A$2:$B$3,2,0)</f>
        <v>ТС KZ Е-KZ.0317.00251 от 28.02.2023</v>
      </c>
      <c r="T541" s="39">
        <v>400000</v>
      </c>
      <c r="U541" s="36" t="str">
        <f t="shared" si="144"/>
        <v>Кокшетау</v>
      </c>
    </row>
    <row r="542" spans="1:21" ht="13.2">
      <c r="A542" s="34">
        <v>1739</v>
      </c>
      <c r="B542" s="35">
        <f>VLOOKUP(A542,'Реестр договоров'!$A$2:$D$996,2,0)</f>
        <v>45848</v>
      </c>
      <c r="C542" s="36" t="str">
        <f t="shared" si="135"/>
        <v>Ауган</v>
      </c>
      <c r="D542" s="36" t="str">
        <f t="shared" si="136"/>
        <v>Саметай</v>
      </c>
      <c r="E542" s="36">
        <f t="shared" si="134"/>
        <v>0</v>
      </c>
      <c r="F542" s="36" t="str">
        <f t="shared" si="137"/>
        <v>044657245</v>
      </c>
      <c r="G542" s="37">
        <f>VLOOKUP(F542,Покупатели!$F$2:$N$762,2,0)</f>
        <v>43648</v>
      </c>
      <c r="H542" s="36" t="str">
        <f>VLOOKUP(F542,Покупатели!$F$2:$N$762,3,0)</f>
        <v>МВД РК</v>
      </c>
      <c r="I542" s="36">
        <f>VLOOKUP(C542,Покупатели!$C$2:$M$805,7,0)</f>
        <v>740815302992</v>
      </c>
      <c r="J542" s="36" t="str">
        <f ca="1">IFERROR(__xludf.DUMMYFUNCTION("JOIN("" "", VLOOKUP(C542,Покупатели,8,0),VLOOKUP(C542,Покупатели,9,0),VLOOKUP(C542,Покупатели,10,0),VLOOKUP(C542,Покупатели,11,0))"),"Алматинская область, Жамбылский район, с. Айдарлы, ул. Жандос,  д.28")</f>
        <v>Алматинская область, Жамбылский район, с. Айдарлы, ул. Жандос,  д.28</v>
      </c>
      <c r="K542" s="36">
        <f t="shared" si="138"/>
        <v>87718530316</v>
      </c>
      <c r="L542" s="36" t="str">
        <f t="shared" si="139"/>
        <v>MX4000002S0002032</v>
      </c>
      <c r="M542" s="36" t="str">
        <f t="shared" ca="1" si="146"/>
        <v>002-2013E50Q13-OK</v>
      </c>
      <c r="N542" s="36" t="str">
        <f t="shared" si="145"/>
        <v>Прицеп 2,0*1,25 м  (до 750 кг.)</v>
      </c>
      <c r="O542" s="36" t="str">
        <f t="shared" si="140"/>
        <v>1 ось</v>
      </c>
      <c r="P542" s="36">
        <f t="shared" si="141"/>
        <v>2025</v>
      </c>
      <c r="Q542" s="34" t="str">
        <f t="shared" ca="1" si="143"/>
        <v>3150*1700*1070</v>
      </c>
      <c r="R542" s="36" t="str">
        <f t="shared" ca="1" si="142"/>
        <v>2000*1250*500</v>
      </c>
      <c r="S542" s="34" t="str">
        <f>VLOOKUP(O542,ОТТС!$A$2:$B$3,2,0)</f>
        <v>ТС KZ Е-KZ.0317.00251 от 28.02.2023</v>
      </c>
      <c r="T542" s="39">
        <v>360000</v>
      </c>
      <c r="U542" s="36" t="str">
        <f t="shared" si="144"/>
        <v>Алматы</v>
      </c>
    </row>
    <row r="543" spans="1:21" ht="13.2">
      <c r="A543" s="34">
        <v>1740</v>
      </c>
      <c r="B543" s="35">
        <f>VLOOKUP(A543,'Реестр договоров'!$A$2:$D$996,2,0)</f>
        <v>45848</v>
      </c>
      <c r="C543" s="36" t="str">
        <f t="shared" si="135"/>
        <v>Логинов</v>
      </c>
      <c r="D543" s="36" t="str">
        <f t="shared" si="136"/>
        <v>Иван</v>
      </c>
      <c r="E543" s="36" t="str">
        <f t="shared" si="134"/>
        <v>Геннадьевич</v>
      </c>
      <c r="F543" s="36" t="str">
        <f t="shared" si="137"/>
        <v>039158337</v>
      </c>
      <c r="G543" s="37">
        <f>VLOOKUP(F543,Покупатели!$F$2:$N$762,2,0)</f>
        <v>42313</v>
      </c>
      <c r="H543" s="36" t="str">
        <f>VLOOKUP(F543,Покупатели!$F$2:$N$762,3,0)</f>
        <v>МВД РК</v>
      </c>
      <c r="I543" s="36">
        <f>VLOOKUP(C543,Покупатели!$C$2:$M$805,7,0)</f>
        <v>860616301808</v>
      </c>
      <c r="J543" s="36" t="str">
        <f ca="1">IFERROR(__xludf.DUMMYFUNCTION("JOIN("" "", VLOOKUP(C543,Покупатели,8,0),VLOOKUP(C543,Покупатели,9,0),VLOOKUP(C543,Покупатели,10,0),VLOOKUP(C543,Покупатели,11,0))"),"Область Жетысу, Кербулакский район, с. Когалы, ул. Курмангазы, д.13")</f>
        <v>Область Жетысу, Кербулакский район, с. Когалы, ул. Курмангазы, д.13</v>
      </c>
      <c r="K543" s="36">
        <f t="shared" si="138"/>
        <v>87775830999</v>
      </c>
      <c r="L543" s="36" t="str">
        <f t="shared" si="139"/>
        <v>MX4000002S0001995</v>
      </c>
      <c r="M543" s="36" t="str">
        <f t="shared" ca="1" si="146"/>
        <v>002-2013E50Q13-OK</v>
      </c>
      <c r="N543" s="36" t="str">
        <f t="shared" si="145"/>
        <v>Прицеп 2,0*1,25 м  (до 750 кг.)</v>
      </c>
      <c r="O543" s="36" t="str">
        <f t="shared" si="140"/>
        <v>1 ось</v>
      </c>
      <c r="P543" s="36">
        <f t="shared" si="141"/>
        <v>2025</v>
      </c>
      <c r="Q543" s="34" t="str">
        <f t="shared" ca="1" si="143"/>
        <v>3150*1700*1070</v>
      </c>
      <c r="R543" s="36" t="str">
        <f t="shared" ca="1" si="142"/>
        <v>2000*1250*500</v>
      </c>
      <c r="S543" s="34" t="str">
        <f>VLOOKUP(O543,ОТТС!$A$2:$B$3,2,0)</f>
        <v>ТС KZ Е-KZ.0317.00251 от 28.02.2023</v>
      </c>
      <c r="T543" s="39">
        <v>360000</v>
      </c>
      <c r="U543" s="36" t="str">
        <f t="shared" si="144"/>
        <v>Алматы</v>
      </c>
    </row>
    <row r="544" spans="1:21" ht="13.2">
      <c r="A544" s="34">
        <v>1741</v>
      </c>
      <c r="B544" s="35">
        <f>VLOOKUP(A544,'Реестр договоров'!$A$2:$D$996,2,0)</f>
        <v>45849</v>
      </c>
      <c r="C544" s="36" t="str">
        <f t="shared" si="135"/>
        <v>Куттугожин</v>
      </c>
      <c r="D544" s="36" t="str">
        <f t="shared" si="136"/>
        <v>Ораз</v>
      </c>
      <c r="E544" s="36" t="str">
        <f t="shared" si="134"/>
        <v>Сапарович</v>
      </c>
      <c r="F544" s="36" t="str">
        <f t="shared" si="137"/>
        <v>051958152</v>
      </c>
      <c r="G544" s="37">
        <f>VLOOKUP(F544,Покупатели!$F$2:$N$762,2,0)</f>
        <v>44575</v>
      </c>
      <c r="H544" s="36" t="str">
        <f>VLOOKUP(F544,Покупатели!$F$2:$N$762,3,0)</f>
        <v>МВД РК</v>
      </c>
      <c r="I544" s="36">
        <f>VLOOKUP(C544,Покупатели!$C$2:$M$805,7,0)</f>
        <v>661213350231</v>
      </c>
      <c r="J544" s="36" t="str">
        <f ca="1">IFERROR(__xludf.DUMMYFUNCTION("JOIN("" "", VLOOKUP(C544,Покупатели,8,0),VLOOKUP(C544,Покупатели,9,0),VLOOKUP(C544,Покупатели,10,0),VLOOKUP(C544,Покупатели,11,0))"),"Акмолинская область, г.Кокшетау, мкр-н Бирлик, ул.Коныратская, д.40")</f>
        <v>Акмолинская область, г.Кокшетау, мкр-н Бирлик, ул.Коныратская, д.40</v>
      </c>
      <c r="K544" s="36">
        <f t="shared" si="138"/>
        <v>87780662784</v>
      </c>
      <c r="L544" s="36" t="str">
        <f t="shared" si="139"/>
        <v>MX4000002S0002228</v>
      </c>
      <c r="M544" s="36" t="str">
        <f t="shared" ca="1" si="146"/>
        <v>002-2013E30Q13</v>
      </c>
      <c r="N544" s="36" t="str">
        <f t="shared" si="145"/>
        <v>Прицеп 2,0*1,25 м  (до 750 кг.)</v>
      </c>
      <c r="O544" s="36" t="str">
        <f t="shared" si="140"/>
        <v>1 ось</v>
      </c>
      <c r="P544" s="36">
        <f t="shared" si="141"/>
        <v>2025</v>
      </c>
      <c r="Q544" s="34" t="str">
        <f t="shared" ca="1" si="143"/>
        <v>3150*1700*900</v>
      </c>
      <c r="R544" s="36" t="str">
        <f t="shared" ca="1" si="142"/>
        <v>2000*1250*300</v>
      </c>
      <c r="S544" s="34" t="str">
        <f>VLOOKUP(O544,ОТТС!$A$2:$B$3,2,0)</f>
        <v>ТС KZ Е-KZ.0317.00251 от 28.02.2023</v>
      </c>
      <c r="T544" s="39">
        <v>320000</v>
      </c>
      <c r="U544" s="36" t="str">
        <f t="shared" si="144"/>
        <v>Кокшетау</v>
      </c>
    </row>
    <row r="545" spans="1:21" ht="13.2">
      <c r="A545" s="34">
        <v>1742</v>
      </c>
      <c r="B545" s="35">
        <f>VLOOKUP(A545,'Реестр договоров'!$A$2:$D$996,2,0)</f>
        <v>45849</v>
      </c>
      <c r="C545" s="36" t="str">
        <f t="shared" si="135"/>
        <v>Тен</v>
      </c>
      <c r="D545" s="36" t="str">
        <f t="shared" si="136"/>
        <v>Юрий</v>
      </c>
      <c r="E545" s="36" t="str">
        <f t="shared" si="134"/>
        <v>Валентинович</v>
      </c>
      <c r="F545" s="36" t="str">
        <f t="shared" si="137"/>
        <v>046427605</v>
      </c>
      <c r="G545" s="37">
        <f>VLOOKUP(F545,Покупатели!$F$2:$N$762,2,0)</f>
        <v>43999</v>
      </c>
      <c r="H545" s="36" t="str">
        <f>VLOOKUP(F545,Покупатели!$F$2:$N$762,3,0)</f>
        <v>МВД РК</v>
      </c>
      <c r="I545" s="36">
        <f>VLOOKUP(C545,Покупатели!$C$2:$M$805,7,0)</f>
        <v>650528300640</v>
      </c>
      <c r="J545" s="36" t="str">
        <f ca="1">IFERROR(__xludf.DUMMYFUNCTION("JOIN("" "", VLOOKUP(C545,Покупатели,8,0),VLOOKUP(C545,Покупатели,9,0),VLOOKUP(C545,Покупатели,10,0),VLOOKUP(C545,Покупатели,11,0))"),"Каратальский район, г. Уштобе, ул. Комарова, д.3, кв 9")</f>
        <v>Каратальский район, г. Уштобе, ул. Комарова, д.3, кв 9</v>
      </c>
      <c r="K545" s="36">
        <f t="shared" si="138"/>
        <v>87772445111</v>
      </c>
      <c r="L545" s="36" t="str">
        <f t="shared" si="139"/>
        <v>MX4000002S0002034</v>
      </c>
      <c r="M545" s="36" t="str">
        <f t="shared" ca="1" si="146"/>
        <v>002-2013E50Q13-OK</v>
      </c>
      <c r="N545" s="36" t="str">
        <f t="shared" si="145"/>
        <v>Прицеп 2,0*1,25 м  (до 750 кг.)</v>
      </c>
      <c r="O545" s="36" t="str">
        <f t="shared" si="140"/>
        <v>1 ось</v>
      </c>
      <c r="P545" s="36">
        <f t="shared" si="141"/>
        <v>2025</v>
      </c>
      <c r="Q545" s="34" t="str">
        <f t="shared" ca="1" si="143"/>
        <v>3150*1700*1070</v>
      </c>
      <c r="R545" s="36" t="str">
        <f t="shared" ca="1" si="142"/>
        <v>2000*1250*500</v>
      </c>
      <c r="S545" s="34" t="str">
        <f>VLOOKUP(O545,ОТТС!$A$2:$B$3,2,0)</f>
        <v>ТС KZ Е-KZ.0317.00251 от 28.02.2023</v>
      </c>
      <c r="T545" s="39">
        <v>350000</v>
      </c>
      <c r="U545" s="36" t="str">
        <f t="shared" si="144"/>
        <v>Алматы</v>
      </c>
    </row>
    <row r="546" spans="1:21" ht="13.2">
      <c r="A546" s="34">
        <v>1744</v>
      </c>
      <c r="B546" s="35">
        <f>VLOOKUP(A546,'Реестр договоров'!$A$2:$D$996,2,0)</f>
        <v>45852</v>
      </c>
      <c r="C546" s="36" t="str">
        <f t="shared" si="135"/>
        <v>Кузнецов</v>
      </c>
      <c r="D546" s="36" t="str">
        <f t="shared" si="136"/>
        <v>Николай</v>
      </c>
      <c r="E546" s="36" t="str">
        <f t="shared" si="134"/>
        <v>Николаевич</v>
      </c>
      <c r="F546" s="36" t="str">
        <f t="shared" si="137"/>
        <v>058955408</v>
      </c>
      <c r="G546" s="37">
        <f>VLOOKUP(F546,Покупатели!$F$2:$N$762,2,0)</f>
        <v>45541</v>
      </c>
      <c r="H546" s="36" t="str">
        <f>VLOOKUP(F546,Покупатели!$F$2:$N$762,3,0)</f>
        <v>МВД РК</v>
      </c>
      <c r="I546" s="36">
        <f>VLOOKUP(C546,Покупатели!$C$2:$M$805,7,0)</f>
        <v>900228350609</v>
      </c>
      <c r="J546" s="36" t="str">
        <f ca="1">IFERROR(__xludf.DUMMYFUNCTION("JOIN("" "", VLOOKUP(C546,Покупатели,8,0),VLOOKUP(C546,Покупатели,9,0),VLOOKUP(C546,Покупатели,10,0),VLOOKUP(C546,Покупатели,11,0))"),"г.Астана р-н Байконур ул.Жаханша Досмухамедулы д.12, кв.312")</f>
        <v>г.Астана р-н Байконур ул.Жаханша Досмухамедулы д.12, кв.312</v>
      </c>
      <c r="K546" s="36">
        <f t="shared" si="138"/>
        <v>87022275177</v>
      </c>
      <c r="L546" s="36" t="str">
        <f t="shared" si="139"/>
        <v>MX4000002S0002229</v>
      </c>
      <c r="M546" s="36" t="str">
        <f t="shared" ca="1" si="146"/>
        <v>002-2513E50Q13-OK</v>
      </c>
      <c r="N546" s="36" t="str">
        <f t="shared" si="145"/>
        <v>Прицеп 2,5*1,25 м  (до 750 кг.)</v>
      </c>
      <c r="O546" s="36" t="str">
        <f t="shared" si="140"/>
        <v>1 ось</v>
      </c>
      <c r="P546" s="36">
        <f t="shared" si="141"/>
        <v>2025</v>
      </c>
      <c r="Q546" s="34" t="str">
        <f t="shared" ca="1" si="143"/>
        <v>3650*1700*1070</v>
      </c>
      <c r="R546" s="36" t="str">
        <f t="shared" ca="1" si="142"/>
        <v>2500*1250*500</v>
      </c>
      <c r="S546" s="34" t="str">
        <f>VLOOKUP(O546,ОТТС!$A$2:$B$3,2,0)</f>
        <v>ТС KZ Е-KZ.0317.00251 от 28.02.2023</v>
      </c>
      <c r="T546" s="39">
        <v>410000</v>
      </c>
      <c r="U546" s="36" t="str">
        <f t="shared" si="144"/>
        <v>Астана</v>
      </c>
    </row>
    <row r="547" spans="1:21" ht="13.2">
      <c r="A547" s="34">
        <v>1745</v>
      </c>
      <c r="B547" s="35">
        <f>VLOOKUP(A547,'Реестр договоров'!$A$2:$D$996,2,0)</f>
        <v>45852</v>
      </c>
      <c r="C547" s="36" t="str">
        <f t="shared" si="135"/>
        <v>Семёнов</v>
      </c>
      <c r="D547" s="36" t="str">
        <f t="shared" si="136"/>
        <v>Вячеслав</v>
      </c>
      <c r="E547" s="36" t="str">
        <f t="shared" si="134"/>
        <v>Валентинович</v>
      </c>
      <c r="F547" s="36" t="str">
        <f t="shared" si="137"/>
        <v>054634969</v>
      </c>
      <c r="G547" s="37">
        <f>VLOOKUP(F547,Покупатели!$F$2:$N$762,2,0)</f>
        <v>45205</v>
      </c>
      <c r="H547" s="36" t="str">
        <f>VLOOKUP(F547,Покупатели!$F$2:$N$762,3,0)</f>
        <v>МВД РК</v>
      </c>
      <c r="I547" s="36">
        <f>VLOOKUP(C547,Покупатели!$C$2:$M$805,7,0)</f>
        <v>680822300089</v>
      </c>
      <c r="J547" s="36" t="str">
        <f ca="1">IFERROR(__xludf.DUMMYFUNCTION("JOIN("" "", VLOOKUP(C547,Покупатели,8,0),VLOOKUP(C547,Покупатели,9,0),VLOOKUP(C547,Покупатели,10,0),VLOOKUP(C547,Покупатели,11,0))"),"Алматинская область, Илийский район, с.Отеген-Батыр, ул. Абая, д.5, кв.3")</f>
        <v>Алматинская область, Илийский район, с.Отеген-Батыр, ул. Абая, д.5, кв.3</v>
      </c>
      <c r="K547" s="36">
        <f t="shared" si="138"/>
        <v>87479834703</v>
      </c>
      <c r="L547" s="36" t="str">
        <f t="shared" si="139"/>
        <v>MX4000002S0002033</v>
      </c>
      <c r="M547" s="36" t="str">
        <f t="shared" ca="1" si="146"/>
        <v>002-2013E50Q13-OK</v>
      </c>
      <c r="N547" s="36" t="str">
        <f t="shared" si="145"/>
        <v>Прицеп 2,0*1,25 м  (до 750 кг.)</v>
      </c>
      <c r="O547" s="36" t="str">
        <f t="shared" si="140"/>
        <v>1 ось</v>
      </c>
      <c r="P547" s="36">
        <f t="shared" si="141"/>
        <v>2025</v>
      </c>
      <c r="Q547" s="34" t="str">
        <f t="shared" ca="1" si="143"/>
        <v>3150*1700*1070</v>
      </c>
      <c r="R547" s="36" t="str">
        <f t="shared" ca="1" si="142"/>
        <v>2000*1250*500</v>
      </c>
      <c r="S547" s="34" t="str">
        <f>VLOOKUP(O547,ОТТС!$A$2:$B$3,2,0)</f>
        <v>ТС KZ Е-KZ.0317.00251 от 28.02.2023</v>
      </c>
      <c r="T547" s="39">
        <v>420000</v>
      </c>
      <c r="U547" s="36" t="str">
        <f t="shared" si="144"/>
        <v>Алматы</v>
      </c>
    </row>
    <row r="548" spans="1:21" ht="13.2">
      <c r="A548" s="34">
        <v>1746</v>
      </c>
      <c r="B548" s="35">
        <f>VLOOKUP(A548,'Реестр договоров'!$A$2:$D$996,2,0)</f>
        <v>45853</v>
      </c>
      <c r="C548" s="36" t="str">
        <f t="shared" si="135"/>
        <v>Сатанова</v>
      </c>
      <c r="D548" s="36" t="str">
        <f t="shared" si="136"/>
        <v>Сандыгуль</v>
      </c>
      <c r="E548" s="36" t="str">
        <f t="shared" si="134"/>
        <v>Имантаевна</v>
      </c>
      <c r="F548" s="36">
        <f t="shared" si="137"/>
        <v>52436710</v>
      </c>
      <c r="G548" s="37">
        <f>VLOOKUP(F548,Покупатели!$F$2:$N$762,2,0)</f>
        <v>44648</v>
      </c>
      <c r="H548" s="36" t="str">
        <f>VLOOKUP(F548,Покупатели!$F$2:$N$762,3,0)</f>
        <v>МВД РК</v>
      </c>
      <c r="I548" s="36">
        <f>VLOOKUP(C548,Покупатели!$C$2:$M$805,7,0)</f>
        <v>670217450249</v>
      </c>
      <c r="J548" s="36" t="str">
        <f ca="1">IFERROR(__xludf.DUMMYFUNCTION("JOIN("" "", VLOOKUP(C548,Покупатели,8,0),VLOOKUP(C548,Покупатели,9,0),VLOOKUP(C548,Покупатели,10,0),VLOOKUP(C548,Покупатели,11,0))"),"Карагндинская обл. Нуринский р-н, с.К. Мунбаева ул.Бейбитшилик д.54")</f>
        <v>Карагндинская обл. Нуринский р-н, с.К. Мунбаева ул.Бейбитшилик д.54</v>
      </c>
      <c r="K548" s="36">
        <f t="shared" si="138"/>
        <v>87059821160</v>
      </c>
      <c r="L548" s="36" t="str">
        <f t="shared" si="139"/>
        <v>MX4000002S0002236</v>
      </c>
      <c r="M548" s="36" t="str">
        <f t="shared" ca="1" si="146"/>
        <v>002-2013E50Q13-OK30</v>
      </c>
      <c r="N548" s="36" t="str">
        <f t="shared" si="145"/>
        <v>Прицеп 2,0*1,25 м  (до 750 кг.)</v>
      </c>
      <c r="O548" s="36" t="str">
        <f t="shared" si="140"/>
        <v>1 ось</v>
      </c>
      <c r="P548" s="36">
        <f t="shared" si="141"/>
        <v>2025</v>
      </c>
      <c r="Q548" s="34" t="str">
        <f t="shared" ca="1" si="143"/>
        <v>3150*1700*1070</v>
      </c>
      <c r="R548" s="36" t="str">
        <f t="shared" ca="1" si="142"/>
        <v>2000*1250*500</v>
      </c>
      <c r="S548" s="34" t="str">
        <f>VLOOKUP(O548,ОТТС!$A$2:$B$3,2,0)</f>
        <v>ТС KZ Е-KZ.0317.00251 от 28.02.2023</v>
      </c>
      <c r="T548" s="39">
        <v>440000</v>
      </c>
      <c r="U548" s="36" t="str">
        <f t="shared" si="144"/>
        <v>Астана</v>
      </c>
    </row>
    <row r="549" spans="1:21" ht="13.2">
      <c r="A549" s="34">
        <v>1747</v>
      </c>
      <c r="B549" s="35">
        <f>VLOOKUP(A549,'Реестр договоров'!$A$2:$D$996,2,0)</f>
        <v>45853</v>
      </c>
      <c r="C549" s="36" t="str">
        <f t="shared" si="135"/>
        <v>Оздоев</v>
      </c>
      <c r="D549" s="36" t="str">
        <f t="shared" si="136"/>
        <v>Чингизхан</v>
      </c>
      <c r="E549" s="36" t="str">
        <f t="shared" si="134"/>
        <v>Исрапилович</v>
      </c>
      <c r="F549" s="36" t="str">
        <f t="shared" si="137"/>
        <v>045585298</v>
      </c>
      <c r="G549" s="37">
        <f>VLOOKUP(F549,Покупатели!$F$2:$N$762,2,0)</f>
        <v>43531</v>
      </c>
      <c r="H549" s="36" t="str">
        <f>VLOOKUP(F549,Покупатели!$F$2:$N$762,3,0)</f>
        <v>МВД РК</v>
      </c>
      <c r="I549" s="36">
        <f>VLOOKUP(C549,Покупатели!$C$2:$M$805,7,0)</f>
        <v>800715301171</v>
      </c>
      <c r="J549" s="36" t="str">
        <f ca="1">IFERROR(__xludf.DUMMYFUNCTION("JOIN("" "", VLOOKUP(C549,Покупатели,8,0),VLOOKUP(C549,Покупатели,9,0),VLOOKUP(C549,Покупатели,10,0),VLOOKUP(C549,Покупатели,11,0))"),"г.Астана р-н Сарыарка Тлендиева д.157")</f>
        <v>г.Астана р-н Сарыарка Тлендиева д.157</v>
      </c>
      <c r="K549" s="36">
        <f t="shared" si="138"/>
        <v>87777775006</v>
      </c>
      <c r="L549" s="36" t="str">
        <f t="shared" si="139"/>
        <v>MX4000002S0002226</v>
      </c>
      <c r="M549" s="36" t="str">
        <f t="shared" ca="1" si="146"/>
        <v>002-2013E30Q13-OK</v>
      </c>
      <c r="N549" s="36" t="str">
        <f t="shared" si="145"/>
        <v>Прицеп 2,0*1,25 м  (до 750 кг.)</v>
      </c>
      <c r="O549" s="36" t="str">
        <f t="shared" si="140"/>
        <v>1 ось</v>
      </c>
      <c r="P549" s="36">
        <f t="shared" si="141"/>
        <v>2025</v>
      </c>
      <c r="Q549" s="34" t="str">
        <f t="shared" ca="1" si="143"/>
        <v>3150*1700*900</v>
      </c>
      <c r="R549" s="36" t="str">
        <f t="shared" ca="1" si="142"/>
        <v>2000*1250*300</v>
      </c>
      <c r="S549" s="34" t="str">
        <f>VLOOKUP(O549,ОТТС!$A$2:$B$3,2,0)</f>
        <v>ТС KZ Е-KZ.0317.00251 от 28.02.2023</v>
      </c>
      <c r="T549" s="39">
        <v>410000</v>
      </c>
      <c r="U549" s="36" t="str">
        <f t="shared" si="144"/>
        <v>Астана</v>
      </c>
    </row>
    <row r="550" spans="1:21" ht="13.2">
      <c r="A550" s="34">
        <v>1748</v>
      </c>
      <c r="B550" s="35">
        <f>VLOOKUP(A550,'Реестр договоров'!$A$2:$D$996,2,0)</f>
        <v>45854</v>
      </c>
      <c r="C550" s="36" t="str">
        <f t="shared" si="135"/>
        <v>Герасев 1</v>
      </c>
      <c r="D550" s="36" t="str">
        <f t="shared" si="136"/>
        <v>Андрей</v>
      </c>
      <c r="E550" s="36" t="str">
        <f t="shared" si="134"/>
        <v>Анатольевич</v>
      </c>
      <c r="F550" s="36" t="str">
        <f t="shared" si="137"/>
        <v>049442244</v>
      </c>
      <c r="G550" s="37">
        <f>VLOOKUP(F550,Покупатели!$F$2:$N$762,2,0)</f>
        <v>44180</v>
      </c>
      <c r="H550" s="36" t="str">
        <f>VLOOKUP(F550,Покупатели!$F$2:$N$762,3,0)</f>
        <v>МВД РК</v>
      </c>
      <c r="I550" s="36">
        <f>VLOOKUP(C550,Покупатели!$C$2:$M$805,7,0)</f>
        <v>710412300840</v>
      </c>
      <c r="J550" s="36" t="str">
        <f ca="1">IFERROR(__xludf.DUMMYFUNCTION("JOIN("" "", VLOOKUP(C550,Покупатели,8,0),VLOOKUP(C550,Покупатели,9,0),VLOOKUP(C550,Покупатели,10,0),VLOOKUP(C550,Покупатели,11,0))"),"Акмолинская область,  Буландынский район, г. Макинск,  ул. Сейфулина, д. 149, кв.8")</f>
        <v>Акмолинская область,  Буландынский район, г. Макинск,  ул. Сейфулина, д. 149, кв.8</v>
      </c>
      <c r="K550" s="36">
        <f t="shared" si="138"/>
        <v>8777032912</v>
      </c>
      <c r="L550" s="36" t="str">
        <f t="shared" si="139"/>
        <v>MX4000002S0002235</v>
      </c>
      <c r="M550" s="36" t="str">
        <f t="shared" ca="1" si="146"/>
        <v>002-2513E50Q13-OK90</v>
      </c>
      <c r="N550" s="36" t="str">
        <f t="shared" si="145"/>
        <v>Прицеп 2,5*1,25 м  (до 750 кг.)</v>
      </c>
      <c r="O550" s="36" t="str">
        <f t="shared" si="140"/>
        <v>1 ось</v>
      </c>
      <c r="P550" s="36">
        <f t="shared" si="141"/>
        <v>2025</v>
      </c>
      <c r="Q550" s="34" t="str">
        <f t="shared" ca="1" si="143"/>
        <v>3650*1700*1070</v>
      </c>
      <c r="R550" s="36" t="str">
        <f t="shared" ca="1" si="142"/>
        <v>2500*1250*500</v>
      </c>
      <c r="S550" s="34" t="str">
        <f>VLOOKUP(O550,ОТТС!$A$2:$B$3,2,0)</f>
        <v>ТС KZ Е-KZ.0317.00251 от 28.02.2023</v>
      </c>
      <c r="T550" s="39">
        <v>470000</v>
      </c>
      <c r="U550" s="36" t="str">
        <f t="shared" si="144"/>
        <v>Кокшетау</v>
      </c>
    </row>
    <row r="551" spans="1:21" ht="13.2">
      <c r="A551" s="34">
        <v>1749</v>
      </c>
      <c r="B551" s="35">
        <f>VLOOKUP(A551,'Реестр договоров'!$A$2:$D$996,2,0)</f>
        <v>45855</v>
      </c>
      <c r="C551" s="36" t="str">
        <f t="shared" si="135"/>
        <v>Бодров</v>
      </c>
      <c r="D551" s="36" t="str">
        <f t="shared" si="136"/>
        <v>Николай</v>
      </c>
      <c r="E551" s="36" t="str">
        <f t="shared" ref="E551:E614" si="147">VLOOKUP(C551,Покупатели,3,0)</f>
        <v>Вячеславович</v>
      </c>
      <c r="F551" s="36" t="str">
        <f t="shared" si="137"/>
        <v>055317748</v>
      </c>
      <c r="G551" s="37">
        <f>VLOOKUP(F551,Покупатели!$F$2:$N$762,2,0)</f>
        <v>45062</v>
      </c>
      <c r="H551" s="36" t="str">
        <f>VLOOKUP(F551,Покупатели!$F$2:$N$762,3,0)</f>
        <v>МВД РК</v>
      </c>
      <c r="I551" s="36">
        <f>VLOOKUP(C551,Покупатели!$C$2:$M$805,7,0)</f>
        <v>801116302582</v>
      </c>
      <c r="J551" s="36" t="str">
        <f ca="1">IFERROR(__xludf.DUMMYFUNCTION("JOIN("" "", VLOOKUP(C551,Покупатели,8,0),VLOOKUP(C551,Покупатели,9,0),VLOOKUP(C551,Покупатели,10,0),VLOOKUP(C551,Покупатели,11,0))"),"г.Астана р-н Сарыарка ул.Абая д.40а, кв.3")</f>
        <v>г.Астана р-н Сарыарка ул.Абая д.40а, кв.3</v>
      </c>
      <c r="K551" s="36">
        <f t="shared" si="138"/>
        <v>87770348056</v>
      </c>
      <c r="L551" s="36" t="str">
        <f t="shared" si="139"/>
        <v>MX4000002S0002234</v>
      </c>
      <c r="M551" s="36" t="str">
        <f t="shared" ca="1" si="146"/>
        <v>002-2013E50Q13-OK</v>
      </c>
      <c r="N551" s="36" t="str">
        <f t="shared" si="145"/>
        <v>Прицеп 2,0*1,25 м  (до 750 кг.)</v>
      </c>
      <c r="O551" s="36" t="str">
        <f t="shared" si="140"/>
        <v>1 ось</v>
      </c>
      <c r="P551" s="36">
        <f t="shared" si="141"/>
        <v>2025</v>
      </c>
      <c r="Q551" s="34" t="str">
        <f t="shared" ca="1" si="143"/>
        <v>3150*1700*1070</v>
      </c>
      <c r="R551" s="36" t="str">
        <f t="shared" ca="1" si="142"/>
        <v>2000*1250*500</v>
      </c>
      <c r="S551" s="34" t="str">
        <f>VLOOKUP(O551,ОТТС!$A$2:$B$3,2,0)</f>
        <v>ТС KZ Е-KZ.0317.00251 от 28.02.2023</v>
      </c>
      <c r="T551" s="39">
        <v>410000</v>
      </c>
      <c r="U551" s="36" t="str">
        <f t="shared" si="144"/>
        <v>Астана</v>
      </c>
    </row>
    <row r="552" spans="1:21" ht="13.2">
      <c r="A552" s="34">
        <v>1750</v>
      </c>
      <c r="B552" s="35">
        <f>VLOOKUP(A552,'Реестр договоров'!$A$2:$D$996,2,0)</f>
        <v>45855</v>
      </c>
      <c r="C552" s="36" t="str">
        <f t="shared" si="135"/>
        <v>Абильмажинов</v>
      </c>
      <c r="D552" s="36" t="str">
        <f t="shared" si="136"/>
        <v>Мамыржан</v>
      </c>
      <c r="E552" s="36" t="str">
        <f t="shared" si="147"/>
        <v>Калиянурович</v>
      </c>
      <c r="F552" s="36" t="str">
        <f t="shared" si="137"/>
        <v>055911861</v>
      </c>
      <c r="G552" s="37">
        <f>VLOOKUP(F552,Покупатели!$F$2:$N$762,2,0)</f>
        <v>45364</v>
      </c>
      <c r="H552" s="36" t="str">
        <f>VLOOKUP(F552,Покупатели!$F$2:$N$762,3,0)</f>
        <v>МВД РК</v>
      </c>
      <c r="I552" s="36">
        <f>VLOOKUP(C552,Покупатели!$C$2:$M$805,7,0)</f>
        <v>570413301546</v>
      </c>
      <c r="J552" s="36" t="str">
        <f ca="1">IFERROR(__xludf.DUMMYFUNCTION("JOIN("" "", VLOOKUP(C552,Покупатели,8,0),VLOOKUP(C552,Покупатели,9,0),VLOOKUP(C552,Покупатели,10,0),VLOOKUP(C552,Покупатели,11,0))"),"г. Алматы, мкр-н Жетысу 2, д.64, кв.79")</f>
        <v>г. Алматы, мкр-н Жетысу 2, д.64, кв.79</v>
      </c>
      <c r="K552" s="36">
        <f t="shared" si="138"/>
        <v>87086265553</v>
      </c>
      <c r="L552" s="36" t="str">
        <f t="shared" si="139"/>
        <v>MX4000002S0001991</v>
      </c>
      <c r="M552" s="36" t="str">
        <f t="shared" ca="1" si="146"/>
        <v>002-2013E50Q13-OK</v>
      </c>
      <c r="N552" s="36" t="str">
        <f t="shared" si="145"/>
        <v>Прицеп 2,0*1,25 м  (до 750 кг.)</v>
      </c>
      <c r="O552" s="36" t="str">
        <f t="shared" si="140"/>
        <v>1 ось</v>
      </c>
      <c r="P552" s="36">
        <f t="shared" si="141"/>
        <v>2025</v>
      </c>
      <c r="Q552" s="34" t="str">
        <f t="shared" ca="1" si="143"/>
        <v>3150*1700*1070</v>
      </c>
      <c r="R552" s="36" t="str">
        <f t="shared" ca="1" si="142"/>
        <v>2000*1250*500</v>
      </c>
      <c r="S552" s="34" t="str">
        <f>VLOOKUP(O552,ОТТС!$A$2:$B$3,2,0)</f>
        <v>ТС KZ Е-KZ.0317.00251 от 28.02.2023</v>
      </c>
      <c r="T552" s="39">
        <v>420000</v>
      </c>
      <c r="U552" s="36" t="str">
        <f t="shared" si="144"/>
        <v>Алматы</v>
      </c>
    </row>
    <row r="553" spans="1:21" ht="13.2">
      <c r="A553" s="34">
        <v>1751</v>
      </c>
      <c r="B553" s="35">
        <f>VLOOKUP(A553,'Реестр договоров'!$A$2:$D$996,2,0)</f>
        <v>45855</v>
      </c>
      <c r="C553" s="36" t="str">
        <f t="shared" si="135"/>
        <v>Гасанов</v>
      </c>
      <c r="D553" s="36" t="str">
        <f t="shared" si="136"/>
        <v>Есимхан</v>
      </c>
      <c r="E553" s="36" t="str">
        <f t="shared" si="147"/>
        <v>Исрафилович</v>
      </c>
      <c r="F553" s="36" t="str">
        <f t="shared" si="137"/>
        <v>046123733</v>
      </c>
      <c r="G553" s="37">
        <f>VLOOKUP(F553,Покупатели!$F$2:$N$762,2,0)</f>
        <v>43969</v>
      </c>
      <c r="H553" s="36" t="str">
        <f>VLOOKUP(F553,Покупатели!$F$2:$N$762,3,0)</f>
        <v>МВД РК</v>
      </c>
      <c r="I553" s="36">
        <f>VLOOKUP(C553,Покупатели!$C$2:$M$805,7,0)</f>
        <v>690312301501</v>
      </c>
      <c r="J553" s="36" t="str">
        <f ca="1">IFERROR(__xludf.DUMMYFUNCTION("JOIN("" "", VLOOKUP(C553,Покупатели,8,0),VLOOKUP(C553,Покупатели,9,0),VLOOKUP(C553,Покупатели,10,0),VLOOKUP(C553,Покупатели,11,0))"),"Алматинская область, Карасайский район, с.Жанатурмыс, ул. Ашимбаева, д.3а")</f>
        <v>Алматинская область, Карасайский район, с.Жанатурмыс, ул. Ашимбаева, д.3а</v>
      </c>
      <c r="K553" s="36">
        <f t="shared" si="138"/>
        <v>87054500707</v>
      </c>
      <c r="L553" s="36" t="str">
        <f t="shared" si="139"/>
        <v>MX4000002S0002137</v>
      </c>
      <c r="M553" s="36" t="str">
        <f t="shared" ca="1" si="146"/>
        <v>002-2515E30Q13-OK</v>
      </c>
      <c r="N553" s="36" t="str">
        <f t="shared" si="145"/>
        <v>Прицеп 2,5*1,5 м  (до 750 кг.)</v>
      </c>
      <c r="O553" s="36" t="str">
        <f t="shared" si="140"/>
        <v>1 ось</v>
      </c>
      <c r="P553" s="36">
        <f t="shared" si="141"/>
        <v>2025</v>
      </c>
      <c r="Q553" s="34" t="str">
        <f t="shared" ca="1" si="143"/>
        <v>3650*1950*900</v>
      </c>
      <c r="R553" s="36" t="str">
        <f t="shared" ca="1" si="142"/>
        <v>2500*1500*300</v>
      </c>
      <c r="S553" s="34" t="str">
        <f>VLOOKUP(O553,ОТТС!$A$2:$B$3,2,0)</f>
        <v>ТС KZ Е-KZ.0317.00251 от 28.02.2023</v>
      </c>
      <c r="T553" s="39">
        <v>450000</v>
      </c>
      <c r="U553" s="36" t="str">
        <f t="shared" si="144"/>
        <v>Алматы</v>
      </c>
    </row>
    <row r="554" spans="1:21" ht="13.2">
      <c r="A554" s="34">
        <v>1752</v>
      </c>
      <c r="B554" s="35">
        <f>VLOOKUP(A554,'Реестр договоров'!$A$2:$D$996,2,0)</f>
        <v>45855</v>
      </c>
      <c r="C554" s="36" t="str">
        <f t="shared" si="135"/>
        <v>Пилипенко</v>
      </c>
      <c r="D554" s="36" t="str">
        <f t="shared" si="136"/>
        <v>Александр</v>
      </c>
      <c r="E554" s="36" t="str">
        <f t="shared" si="147"/>
        <v>Викторович</v>
      </c>
      <c r="F554" s="36" t="str">
        <f t="shared" si="137"/>
        <v>060039464</v>
      </c>
      <c r="G554" s="37">
        <f>VLOOKUP(F554,Покупатели!$F$2:$N$762,2,0)</f>
        <v>45723</v>
      </c>
      <c r="H554" s="36" t="str">
        <f>VLOOKUP(F554,Покупатели!$F$2:$N$762,3,0)</f>
        <v>МВД РК</v>
      </c>
      <c r="I554" s="36">
        <f>VLOOKUP(C554,Покупатели!$C$2:$M$805,7,0)</f>
        <v>700513350011</v>
      </c>
      <c r="J554" s="36" t="str">
        <f ca="1">IFERROR(__xludf.DUMMYFUNCTION("JOIN("" "", VLOOKUP(C554,Покупатели,8,0),VLOOKUP(C554,Покупатели,9,0),VLOOKUP(C554,Покупатели,10,0),VLOOKUP(C554,Покупатели,11,0))"),"г.Астана р-н Алматы ул.Кудайбердыулы д.25/2, кв.30")</f>
        <v>г.Астана р-н Алматы ул.Кудайбердыулы д.25/2, кв.30</v>
      </c>
      <c r="K554" s="36">
        <f t="shared" si="138"/>
        <v>87013994685</v>
      </c>
      <c r="L554" s="36" t="str">
        <f t="shared" si="139"/>
        <v>MX4000002S0002227</v>
      </c>
      <c r="M554" s="36" t="str">
        <f t="shared" ca="1" si="146"/>
        <v>002-2013E50Q13-OK30</v>
      </c>
      <c r="N554" s="36" t="str">
        <f t="shared" si="145"/>
        <v>Прицеп 2,0*1,25 м  (до 750 кг.)</v>
      </c>
      <c r="O554" s="36" t="str">
        <f t="shared" si="140"/>
        <v>1 ось</v>
      </c>
      <c r="P554" s="36">
        <f t="shared" si="141"/>
        <v>2025</v>
      </c>
      <c r="Q554" s="34" t="str">
        <f t="shared" ca="1" si="143"/>
        <v>3150*1700*1070</v>
      </c>
      <c r="R554" s="36" t="str">
        <f t="shared" ca="1" si="142"/>
        <v>2000*1250*500</v>
      </c>
      <c r="S554" s="34" t="str">
        <f>VLOOKUP(O554,ОТТС!$A$2:$B$3,2,0)</f>
        <v>ТС KZ Е-KZ.0317.00251 от 28.02.2023</v>
      </c>
      <c r="T554" s="39">
        <v>390000</v>
      </c>
      <c r="U554" s="36" t="str">
        <f t="shared" si="144"/>
        <v>Астана</v>
      </c>
    </row>
    <row r="555" spans="1:21" ht="13.2">
      <c r="A555" s="34">
        <v>1753</v>
      </c>
      <c r="B555" s="35">
        <f>VLOOKUP(A555,'Реестр договоров'!$A$2:$D$996,2,0)</f>
        <v>45855</v>
      </c>
      <c r="C555" s="36" t="str">
        <f t="shared" si="135"/>
        <v>Умирбеков</v>
      </c>
      <c r="D555" s="36" t="str">
        <f t="shared" si="136"/>
        <v>Бауыржан</v>
      </c>
      <c r="E555" s="36" t="str">
        <f t="shared" si="147"/>
        <v>Бахытович</v>
      </c>
      <c r="F555" s="36" t="str">
        <f t="shared" si="137"/>
        <v>060609004</v>
      </c>
      <c r="G555" s="37">
        <f>VLOOKUP(F555,Покупатели!$F$2:$N$762,2,0)</f>
        <v>45805</v>
      </c>
      <c r="H555" s="36" t="str">
        <f>VLOOKUP(F555,Покупатели!$F$2:$N$762,3,0)</f>
        <v>МВД РК</v>
      </c>
      <c r="I555" s="36">
        <f>VLOOKUP(C555,Покупатели!$C$2:$M$805,7,0)</f>
        <v>820829300652</v>
      </c>
      <c r="J555" s="36" t="str">
        <f ca="1">IFERROR(__xludf.DUMMYFUNCTION("JOIN("" "", VLOOKUP(C555,Покупатели,8,0),VLOOKUP(C555,Покупатели,9,0),VLOOKUP(C555,Покупатели,10,0),VLOOKUP(C555,Покупатели,11,0))"),"г.Астана р-н Сарайшык ул.А.Храпатый д.21/1, кв. 23")</f>
        <v>г.Астана р-н Сарайшык ул.А.Храпатый д.21/1, кв. 23</v>
      </c>
      <c r="K555" s="36">
        <f t="shared" si="138"/>
        <v>87021093575</v>
      </c>
      <c r="L555" s="36" t="str">
        <f t="shared" si="139"/>
        <v>MX4000002S0002189</v>
      </c>
      <c r="M555" s="36" t="str">
        <f t="shared" ca="1" si="146"/>
        <v>002-2513E30Q13-OK60</v>
      </c>
      <c r="N555" s="36" t="str">
        <f t="shared" si="145"/>
        <v>Прицеп 2,5*1,25 м  (до 750 кг.)</v>
      </c>
      <c r="O555" s="36" t="str">
        <f t="shared" si="140"/>
        <v>1 ось</v>
      </c>
      <c r="P555" s="36">
        <f t="shared" si="141"/>
        <v>2025</v>
      </c>
      <c r="Q555" s="34" t="str">
        <f t="shared" ca="1" si="143"/>
        <v>3650*1700*900</v>
      </c>
      <c r="R555" s="36" t="str">
        <f t="shared" ca="1" si="142"/>
        <v>2500*1250*300</v>
      </c>
      <c r="S555" s="34" t="str">
        <f>VLOOKUP(O555,ОТТС!$A$2:$B$3,2,0)</f>
        <v>ТС KZ Е-KZ.0317.00251 от 28.02.2023</v>
      </c>
      <c r="T555" s="39">
        <v>450000</v>
      </c>
      <c r="U555" s="36" t="str">
        <f t="shared" si="144"/>
        <v>Астана</v>
      </c>
    </row>
    <row r="556" spans="1:21" ht="13.2">
      <c r="A556" s="34">
        <v>1755</v>
      </c>
      <c r="B556" s="35">
        <f>VLOOKUP(A556,'Реестр договоров'!$A$2:$D$996,2,0)</f>
        <v>45855</v>
      </c>
      <c r="C556" s="36" t="str">
        <f t="shared" si="135"/>
        <v>Крутовцев</v>
      </c>
      <c r="D556" s="36" t="str">
        <f t="shared" si="136"/>
        <v>Валерий</v>
      </c>
      <c r="E556" s="36" t="str">
        <f t="shared" si="147"/>
        <v>Борисович</v>
      </c>
      <c r="F556" s="36" t="str">
        <f t="shared" si="137"/>
        <v>058818590</v>
      </c>
      <c r="G556" s="37">
        <f>VLOOKUP(F556,Покупатели!$F$2:$N$762,2,0)</f>
        <v>45526</v>
      </c>
      <c r="H556" s="36" t="str">
        <f>VLOOKUP(F556,Покупатели!$F$2:$N$762,3,0)</f>
        <v>МВД РК</v>
      </c>
      <c r="I556" s="36">
        <f>VLOOKUP(C556,Покупатели!$C$2:$M$805,7,0)</f>
        <v>690909300608</v>
      </c>
      <c r="J556" s="36" t="str">
        <f ca="1">IFERROR(__xludf.DUMMYFUNCTION("JOIN("" "", VLOOKUP(C556,Покупатели,8,0),VLOOKUP(C556,Покупатели,9,0),VLOOKUP(C556,Покупатели,10,0),VLOOKUP(C556,Покупатели,11,0))"),"г.Астана р-н Байконур ул.Агадырь д.25")</f>
        <v>г.Астана р-н Байконур ул.Агадырь д.25</v>
      </c>
      <c r="K556" s="36">
        <f t="shared" si="138"/>
        <v>87005111520</v>
      </c>
      <c r="L556" s="36" t="str">
        <f t="shared" si="139"/>
        <v>MX4000002S0002222</v>
      </c>
      <c r="M556" s="36" t="str">
        <f t="shared" ca="1" si="146"/>
        <v>002-2513E50Q13-OK90</v>
      </c>
      <c r="N556" s="36" t="str">
        <f t="shared" si="145"/>
        <v>Прицеп 2,5*1,25 м  (до 750 кг.)</v>
      </c>
      <c r="O556" s="36" t="str">
        <f t="shared" si="140"/>
        <v>1 ось</v>
      </c>
      <c r="P556" s="36">
        <f t="shared" si="141"/>
        <v>2025</v>
      </c>
      <c r="Q556" s="34" t="str">
        <f t="shared" ca="1" si="143"/>
        <v>3650*1700*1070</v>
      </c>
      <c r="R556" s="36" t="str">
        <f t="shared" ca="1" si="142"/>
        <v>2500*1250*500</v>
      </c>
      <c r="S556" s="34" t="str">
        <f>VLOOKUP(O556,ОТТС!$A$2:$B$3,2,0)</f>
        <v>ТС KZ Е-KZ.0317.00251 от 28.02.2023</v>
      </c>
      <c r="T556" s="39">
        <v>470000</v>
      </c>
      <c r="U556" s="36" t="str">
        <f t="shared" si="144"/>
        <v>Астана</v>
      </c>
    </row>
    <row r="557" spans="1:21" ht="13.2">
      <c r="A557" s="34">
        <v>1756</v>
      </c>
      <c r="B557" s="35">
        <f>VLOOKUP(A557,'Реестр договоров'!$A$2:$D$996,2,0)</f>
        <v>45856</v>
      </c>
      <c r="C557" s="36" t="str">
        <f t="shared" si="135"/>
        <v>Копбаев 1</v>
      </c>
      <c r="D557" s="36" t="str">
        <f t="shared" si="136"/>
        <v>Жанабек</v>
      </c>
      <c r="E557" s="36" t="str">
        <f t="shared" si="147"/>
        <v>Пернебаевич</v>
      </c>
      <c r="F557" s="36" t="str">
        <f t="shared" si="137"/>
        <v>059345573</v>
      </c>
      <c r="G557" s="37">
        <f>VLOOKUP(F557,Покупатели!$F$2:$N$762,2,0)</f>
        <v>45758</v>
      </c>
      <c r="H557" s="36" t="str">
        <f>VLOOKUP(F557,Покупатели!$F$2:$N$762,3,0)</f>
        <v>МВД РК</v>
      </c>
      <c r="I557" s="36">
        <f>VLOOKUP(C557,Покупатели!$C$2:$M$805,7,0)</f>
        <v>781126303509</v>
      </c>
      <c r="J557" s="36" t="str">
        <f ca="1">IFERROR(__xludf.DUMMYFUNCTION("JOIN("" "", VLOOKUP(C557,Покупатели,8,0),VLOOKUP(C557,Покупатели,9,0),VLOOKUP(C557,Покупатели,10,0),VLOOKUP(C557,Покупатели,11,0))"),"Жамбылская область, Байзакский район, с.Жетыбай, ул. Толе би, д.1Б")</f>
        <v>Жамбылская область, Байзакский район, с.Жетыбай, ул. Толе би, д.1Б</v>
      </c>
      <c r="K557" s="36">
        <f t="shared" si="138"/>
        <v>87072453304</v>
      </c>
      <c r="L557" s="36" t="str">
        <f t="shared" si="139"/>
        <v>MX4000002S0001990</v>
      </c>
      <c r="M557" s="36" t="str">
        <f t="shared" ca="1" si="146"/>
        <v>002-2013E50Q13-OK</v>
      </c>
      <c r="N557" s="36" t="str">
        <f t="shared" si="145"/>
        <v>Прицеп 2,0*1,25 м  (до 750 кг.)</v>
      </c>
      <c r="O557" s="36" t="str">
        <f t="shared" si="140"/>
        <v>1 ось</v>
      </c>
      <c r="P557" s="36">
        <f t="shared" si="141"/>
        <v>2025</v>
      </c>
      <c r="Q557" s="34" t="str">
        <f t="shared" ca="1" si="143"/>
        <v>3150*1700*1070</v>
      </c>
      <c r="R557" s="36" t="str">
        <f t="shared" ca="1" si="142"/>
        <v>2000*1250*500</v>
      </c>
      <c r="S557" s="34" t="str">
        <f>VLOOKUP(O557,ОТТС!$A$2:$B$3,2,0)</f>
        <v>ТС KZ Е-KZ.0317.00251 от 28.02.2023</v>
      </c>
      <c r="T557" s="39">
        <v>360000</v>
      </c>
      <c r="U557" s="36" t="str">
        <f t="shared" si="144"/>
        <v>Алматы</v>
      </c>
    </row>
    <row r="558" spans="1:21" ht="13.2">
      <c r="A558" s="34">
        <v>1757</v>
      </c>
      <c r="B558" s="35">
        <f>VLOOKUP(A558,'Реестр договоров'!$A$2:$D$996,2,0)</f>
        <v>45856</v>
      </c>
      <c r="C558" s="36" t="str">
        <f t="shared" si="135"/>
        <v>Бердиханов5</v>
      </c>
      <c r="D558" s="36" t="str">
        <f t="shared" si="136"/>
        <v>Полаткалий</v>
      </c>
      <c r="E558" s="36" t="str">
        <f t="shared" si="147"/>
        <v>Нурдаулетович</v>
      </c>
      <c r="F558" s="36" t="str">
        <f t="shared" si="137"/>
        <v>055060113</v>
      </c>
      <c r="G558" s="37">
        <f>VLOOKUP(F558,Покупатели!$F$2:$N$762,2,0)</f>
        <v>45261</v>
      </c>
      <c r="H558" s="36" t="str">
        <f>VLOOKUP(F558,Покупатели!$F$2:$N$762,3,0)</f>
        <v>МВД РК</v>
      </c>
      <c r="I558" s="36">
        <f>VLOOKUP(C558,Покупатели!$C$2:$M$805,7,0)</f>
        <v>810522303061</v>
      </c>
      <c r="J558" s="36" t="str">
        <f ca="1">IFERROR(__xludf.DUMMYFUNCTION("JOIN("" "", VLOOKUP(C558,Покупатели,8,0),VLOOKUP(C558,Покупатели,9,0),VLOOKUP(C558,Покупатели,10,0),VLOOKUP(C558,Покупатели,11,0))"),"Жамбылская область, Байзакский район, с. Сарыкемер, ул. Орынкулова, д.119а, 1 переулок")</f>
        <v>Жамбылская область, Байзакский район, с. Сарыкемер, ул. Орынкулова, д.119а, 1 переулок</v>
      </c>
      <c r="K558" s="36">
        <f t="shared" si="138"/>
        <v>87087435052</v>
      </c>
      <c r="L558" s="36" t="str">
        <f t="shared" si="139"/>
        <v>MX4000002S0001989</v>
      </c>
      <c r="M558" s="36" t="str">
        <f t="shared" ca="1" si="146"/>
        <v>002-2013E30Q13-OK</v>
      </c>
      <c r="N558" s="36" t="str">
        <f t="shared" si="145"/>
        <v>Прицеп 2,0*1,25 м  (до 750 кг.)</v>
      </c>
      <c r="O558" s="36" t="str">
        <f t="shared" si="140"/>
        <v>1 ось</v>
      </c>
      <c r="P558" s="36">
        <f t="shared" si="141"/>
        <v>2025</v>
      </c>
      <c r="Q558" s="34" t="str">
        <f t="shared" ca="1" si="143"/>
        <v>3150*1700*900</v>
      </c>
      <c r="R558" s="36" t="str">
        <f t="shared" ca="1" si="142"/>
        <v>2000*1250*300</v>
      </c>
      <c r="S558" s="34" t="str">
        <f>VLOOKUP(O558,ОТТС!$A$2:$B$3,2,0)</f>
        <v>ТС KZ Е-KZ.0317.00251 от 28.02.2023</v>
      </c>
      <c r="T558" s="39">
        <v>325000</v>
      </c>
      <c r="U558" s="36" t="str">
        <f t="shared" si="144"/>
        <v>Алматы</v>
      </c>
    </row>
    <row r="559" spans="1:21" ht="13.2">
      <c r="A559" s="34">
        <v>1758</v>
      </c>
      <c r="B559" s="35">
        <f>VLOOKUP(A559,'Реестр договоров'!$A$2:$D$996,2,0)</f>
        <v>45881</v>
      </c>
      <c r="C559" s="36" t="str">
        <f t="shared" si="135"/>
        <v>Сулейменов</v>
      </c>
      <c r="D559" s="36" t="str">
        <f t="shared" si="136"/>
        <v>Раким</v>
      </c>
      <c r="E559" s="36" t="str">
        <f t="shared" si="147"/>
        <v>Муталлапович</v>
      </c>
      <c r="F559" s="36" t="str">
        <f t="shared" si="137"/>
        <v>057007228</v>
      </c>
      <c r="G559" s="37">
        <f>VLOOKUP(F559,Покупатели!$F$2:$N$762,2,0)</f>
        <v>45295</v>
      </c>
      <c r="H559" s="36" t="str">
        <f>VLOOKUP(F559,Покупатели!$F$2:$N$762,3,0)</f>
        <v>МВД РК</v>
      </c>
      <c r="I559" s="36">
        <f>VLOOKUP(C559,Покупатели!$C$2:$M$805,7,0)</f>
        <v>650830350370</v>
      </c>
      <c r="J559" s="36" t="str">
        <f ca="1">IFERROR(__xludf.DUMMYFUNCTION("JOIN("" "", VLOOKUP(C559,Покупатели,8,0),VLOOKUP(C559,Покупатели,9,0),VLOOKUP(C559,Покупатели,10,0),VLOOKUP(C559,Покупатели,11,0))"),"Акмолинская область, г. Кокшетау, мкр-н Шанхай, ул. Маяковского, д.80")</f>
        <v>Акмолинская область, г. Кокшетау, мкр-н Шанхай, ул. Маяковского, д.80</v>
      </c>
      <c r="K559" s="36">
        <f t="shared" si="138"/>
        <v>87051200218</v>
      </c>
      <c r="L559" s="36" t="str">
        <f t="shared" si="139"/>
        <v>MX4000004S0002241</v>
      </c>
      <c r="M559" s="36" t="str">
        <f t="shared" ca="1" si="146"/>
        <v>002-2515E30Q13-OK</v>
      </c>
      <c r="N559" s="36" t="str">
        <f t="shared" si="145"/>
        <v>Прицеп 2,5*1,5 м  (до 750 кг.)</v>
      </c>
      <c r="O559" s="36" t="str">
        <f t="shared" si="140"/>
        <v>2 оси</v>
      </c>
      <c r="P559" s="36">
        <f t="shared" si="141"/>
        <v>2025</v>
      </c>
      <c r="Q559" s="34" t="str">
        <f t="shared" ca="1" si="143"/>
        <v>3650*1950*900</v>
      </c>
      <c r="R559" s="36" t="str">
        <f t="shared" ca="1" si="142"/>
        <v>2500*1500*300</v>
      </c>
      <c r="S559" s="34" t="str">
        <f>VLOOKUP(O559,ОТТС!$A$2:$B$3,2,0)</f>
        <v>ТС KZ Е-KZ.0317.00219.П1 от 17.07.2025</v>
      </c>
      <c r="T559" s="39">
        <v>730000</v>
      </c>
      <c r="U559" s="36" t="str">
        <f t="shared" si="144"/>
        <v>Кокшетау</v>
      </c>
    </row>
    <row r="560" spans="1:21" ht="13.2">
      <c r="A560" s="34">
        <v>1759</v>
      </c>
      <c r="B560" s="35">
        <f>VLOOKUP(A560,'Реестр договоров'!$A$2:$D$996,2,0)</f>
        <v>45859</v>
      </c>
      <c r="C560" s="36" t="str">
        <f t="shared" si="135"/>
        <v>Иващенко 1</v>
      </c>
      <c r="D560" s="36" t="str">
        <f t="shared" si="136"/>
        <v>Владимир</v>
      </c>
      <c r="E560" s="36" t="str">
        <f t="shared" si="147"/>
        <v>Георгиевич</v>
      </c>
      <c r="F560" s="36" t="str">
        <f t="shared" si="137"/>
        <v>020894905</v>
      </c>
      <c r="G560" s="37">
        <f>VLOOKUP(F560,Покупатели!$F$2:$N$762,2,0)</f>
        <v>39260</v>
      </c>
      <c r="H560" s="36" t="str">
        <f>VLOOKUP(F560,Покупатели!$F$2:$N$762,3,0)</f>
        <v>МЮ РК</v>
      </c>
      <c r="I560" s="36">
        <f>VLOOKUP(C560,Покупатели!$C$2:$M$805,7,0)</f>
        <v>611211350300</v>
      </c>
      <c r="J560" s="36" t="str">
        <f ca="1">IFERROR(__xludf.DUMMYFUNCTION("JOIN("" "", VLOOKUP(C560,Покупатели,8,0),VLOOKUP(C560,Покупатели,9,0),VLOOKUP(C560,Покупатели,10,0),VLOOKUP(C560,Покупатели,11,0))"),"Акмолинская обл. Целиноградский р-н, пос Айралы ул.Наурыз д.5")</f>
        <v>Акмолинская обл. Целиноградский р-н, пос Айралы ул.Наурыз д.5</v>
      </c>
      <c r="K560" s="36">
        <f t="shared" si="138"/>
        <v>87711493013</v>
      </c>
      <c r="L560" s="36" t="str">
        <f t="shared" si="139"/>
        <v>MX4000002S0001947</v>
      </c>
      <c r="M560" s="36" t="str">
        <f t="shared" ca="1" si="146"/>
        <v>002-2013E30Q13-OK</v>
      </c>
      <c r="N560" s="36" t="str">
        <f t="shared" si="145"/>
        <v>Прицеп 2,0*1,25 м  (до 750 кг.)</v>
      </c>
      <c r="O560" s="36" t="str">
        <f t="shared" si="140"/>
        <v>1 ось</v>
      </c>
      <c r="P560" s="36">
        <f t="shared" si="141"/>
        <v>2025</v>
      </c>
      <c r="Q560" s="34" t="str">
        <f t="shared" ca="1" si="143"/>
        <v>3150*1700*900</v>
      </c>
      <c r="R560" s="36" t="str">
        <f t="shared" ca="1" si="142"/>
        <v>2000*1250*300</v>
      </c>
      <c r="S560" s="34" t="str">
        <f>VLOOKUP(O560,ОТТС!$A$2:$B$3,2,0)</f>
        <v>ТС KZ Е-KZ.0317.00251 от 28.02.2023</v>
      </c>
      <c r="T560" s="39">
        <v>360000</v>
      </c>
      <c r="U560" s="36" t="str">
        <f t="shared" si="144"/>
        <v>Астана</v>
      </c>
    </row>
    <row r="561" spans="1:21" ht="13.2">
      <c r="A561" s="34">
        <v>1760</v>
      </c>
      <c r="B561" s="35">
        <f>VLOOKUP(A561,'Реестр договоров'!$A$2:$D$996,2,0)</f>
        <v>45859</v>
      </c>
      <c r="C561" s="36" t="str">
        <f t="shared" si="135"/>
        <v>Канафин</v>
      </c>
      <c r="D561" s="36" t="str">
        <f t="shared" si="136"/>
        <v>Самат</v>
      </c>
      <c r="E561" s="36" t="str">
        <f t="shared" si="147"/>
        <v>Сабырович</v>
      </c>
      <c r="F561" s="36" t="str">
        <f t="shared" si="137"/>
        <v>021634683</v>
      </c>
      <c r="G561" s="37">
        <f>VLOOKUP(F561,Покупатели!$F$2:$N$762,2,0)</f>
        <v>39592</v>
      </c>
      <c r="H561" s="36" t="str">
        <f>VLOOKUP(F561,Покупатели!$F$2:$N$762,3,0)</f>
        <v>МЮ РК</v>
      </c>
      <c r="I561" s="36">
        <f>VLOOKUP(C561,Покупатели!$C$2:$M$805,7,0)</f>
        <v>830305351481</v>
      </c>
      <c r="J561" s="36" t="str">
        <f ca="1">IFERROR(__xludf.DUMMYFUNCTION("JOIN("" "", VLOOKUP(C561,Покупатели,8,0),VLOOKUP(C561,Покупатели,9,0),VLOOKUP(C561,Покупатели,10,0),VLOOKUP(C561,Покупатели,11,0))"),"Акмолинская обл. г.Ерементау ул.Валиханова д.47, кв.12")</f>
        <v>Акмолинская обл. г.Ерементау ул.Валиханова д.47, кв.12</v>
      </c>
      <c r="K561" s="36">
        <f t="shared" si="138"/>
        <v>87771000883</v>
      </c>
      <c r="L561" s="36" t="str">
        <f t="shared" si="139"/>
        <v>MX4000002S0002231</v>
      </c>
      <c r="M561" s="36" t="str">
        <f t="shared" ca="1" si="146"/>
        <v>002-2013E50Q13-OK</v>
      </c>
      <c r="N561" s="36" t="str">
        <f t="shared" si="145"/>
        <v>Прицеп 2,0*1,25 м  (до 750 кг.)</v>
      </c>
      <c r="O561" s="36" t="str">
        <f t="shared" si="140"/>
        <v>1 ось</v>
      </c>
      <c r="P561" s="36">
        <f t="shared" si="141"/>
        <v>2025</v>
      </c>
      <c r="Q561" s="34" t="str">
        <f t="shared" ca="1" si="143"/>
        <v>3150*1700*1070</v>
      </c>
      <c r="R561" s="36" t="str">
        <f t="shared" ca="1" si="142"/>
        <v>2000*1250*500</v>
      </c>
      <c r="S561" s="34" t="str">
        <f>VLOOKUP(O561,ОТТС!$A$2:$B$3,2,0)</f>
        <v>ТС KZ Е-KZ.0317.00251 от 28.02.2023</v>
      </c>
      <c r="T561" s="39">
        <v>390000</v>
      </c>
      <c r="U561" s="36" t="str">
        <f t="shared" si="144"/>
        <v>Астана</v>
      </c>
    </row>
    <row r="562" spans="1:21" ht="13.2">
      <c r="A562" s="34">
        <v>1761</v>
      </c>
      <c r="B562" s="35">
        <f>VLOOKUP(A562,'Реестр договоров'!$A$2:$D$996,2,0)</f>
        <v>45862</v>
      </c>
      <c r="C562" s="36" t="str">
        <f t="shared" si="135"/>
        <v>Әбдіғаппаров</v>
      </c>
      <c r="D562" s="36" t="str">
        <f t="shared" si="136"/>
        <v>Айдос</v>
      </c>
      <c r="E562" s="36" t="str">
        <f t="shared" si="147"/>
        <v>Әбжаппарұлы</v>
      </c>
      <c r="F562" s="36" t="str">
        <f t="shared" si="137"/>
        <v>053265567</v>
      </c>
      <c r="G562" s="37">
        <f>VLOOKUP(F562,Покупатели!$F$2:$N$762,2,0)</f>
        <v>45058</v>
      </c>
      <c r="H562" s="36" t="str">
        <f>VLOOKUP(F562,Покупатели!$F$2:$N$762,3,0)</f>
        <v>ҚР ІІМ</v>
      </c>
      <c r="I562" s="36">
        <f>VLOOKUP(C562,Покупатели!$C$2:$M$805,7,0)</f>
        <v>790427303019</v>
      </c>
      <c r="J562" s="36" t="str">
        <f ca="1">IFERROR(__xludf.DUMMYFUNCTION("JOIN("" "", VLOOKUP(C562,Покупатели,8,0),VLOOKUP(C562,Покупатели,9,0),VLOOKUP(C562,Покупатели,10,0),VLOOKUP(C562,Покупатели,11,0))"),"Алматинская область,  Карасайский район, с.Кемертоган, 117 квартал, ул. Қорқыт ата, д.2")</f>
        <v>Алматинская область,  Карасайский район, с.Кемертоган, 117 квартал, ул. Қорқыт ата, д.2</v>
      </c>
      <c r="K562" s="36">
        <f t="shared" si="138"/>
        <v>87015853525</v>
      </c>
      <c r="L562" s="36" t="str">
        <f t="shared" si="139"/>
        <v>MX4000002S0002037</v>
      </c>
      <c r="M562" s="36" t="str">
        <f t="shared" ca="1" si="146"/>
        <v>002-2013E30Q13-OK</v>
      </c>
      <c r="N562" s="36" t="str">
        <f t="shared" si="145"/>
        <v>Прицеп 2,0*1,25 м  (до 750 кг.)</v>
      </c>
      <c r="O562" s="36" t="str">
        <f t="shared" si="140"/>
        <v>1 ось</v>
      </c>
      <c r="P562" s="36">
        <f t="shared" si="141"/>
        <v>2025</v>
      </c>
      <c r="Q562" s="34" t="str">
        <f t="shared" ca="1" si="143"/>
        <v>3150*1700*900</v>
      </c>
      <c r="R562" s="36" t="str">
        <f t="shared" ca="1" si="142"/>
        <v>2000*1250*300</v>
      </c>
      <c r="S562" s="34" t="str">
        <f>VLOOKUP(O562,ОТТС!$A$2:$B$3,2,0)</f>
        <v>ТС KZ Е-KZ.0317.00251 от 28.02.2023</v>
      </c>
      <c r="T562" s="39">
        <v>340000</v>
      </c>
      <c r="U562" s="36" t="str">
        <f t="shared" si="144"/>
        <v>Алматы</v>
      </c>
    </row>
    <row r="563" spans="1:21" ht="13.2">
      <c r="A563" s="34">
        <v>1762</v>
      </c>
      <c r="B563" s="35">
        <f>VLOOKUP(A563,'Реестр договоров'!$A$2:$D$996,2,0)</f>
        <v>45862</v>
      </c>
      <c r="C563" s="36" t="str">
        <f t="shared" si="135"/>
        <v>Згуровец</v>
      </c>
      <c r="D563" s="36" t="str">
        <f t="shared" si="136"/>
        <v>Денис</v>
      </c>
      <c r="E563" s="36" t="str">
        <f t="shared" si="147"/>
        <v>Алексеевич</v>
      </c>
      <c r="F563" s="36" t="str">
        <f t="shared" si="137"/>
        <v>051025592</v>
      </c>
      <c r="G563" s="37">
        <f>VLOOKUP(F563,Покупатели!$F$2:$N$762,2,0)</f>
        <v>44418</v>
      </c>
      <c r="H563" s="36" t="str">
        <f>VLOOKUP(F563,Покупатели!$F$2:$N$762,3,0)</f>
        <v>МВД РК</v>
      </c>
      <c r="I563" s="36">
        <f>VLOOKUP(C563,Покупатели!$C$2:$M$805,7,0)</f>
        <v>860621350556</v>
      </c>
      <c r="J563" s="36" t="str">
        <f ca="1">IFERROR(__xludf.DUMMYFUNCTION("JOIN("" "", VLOOKUP(C563,Покупатели,8,0),VLOOKUP(C563,Покупатели,9,0),VLOOKUP(C563,Покупатели,10,0),VLOOKUP(C563,Покупатели,11,0))"),"г.Астана р-н Байконур ул. Кусжолы д.8/3")</f>
        <v>г.Астана р-н Байконур ул. Кусжолы д.8/3</v>
      </c>
      <c r="K563" s="36">
        <f t="shared" si="138"/>
        <v>87013258589</v>
      </c>
      <c r="L563" s="36" t="str">
        <f t="shared" si="139"/>
        <v>MX4000002S0002244</v>
      </c>
      <c r="M563" s="36" t="str">
        <f t="shared" ca="1" si="146"/>
        <v>002-2513E50Q13-OK</v>
      </c>
      <c r="N563" s="36" t="str">
        <f t="shared" si="145"/>
        <v>Прицеп 2,5*1,25 м  (до 750 кг.)</v>
      </c>
      <c r="O563" s="36" t="str">
        <f t="shared" si="140"/>
        <v>1 ось</v>
      </c>
      <c r="P563" s="36">
        <f t="shared" si="141"/>
        <v>2025</v>
      </c>
      <c r="Q563" s="34" t="str">
        <f t="shared" ca="1" si="143"/>
        <v>3650*1700*1070</v>
      </c>
      <c r="R563" s="36" t="str">
        <f t="shared" ca="1" si="142"/>
        <v>2500*1250*500</v>
      </c>
      <c r="S563" s="34" t="str">
        <f>VLOOKUP(O563,ОТТС!$A$2:$B$3,2,0)</f>
        <v>ТС KZ Е-KZ.0317.00251 от 28.02.2023</v>
      </c>
      <c r="T563" s="39">
        <v>470000</v>
      </c>
      <c r="U563" s="36" t="str">
        <f t="shared" si="144"/>
        <v>Астана</v>
      </c>
    </row>
    <row r="564" spans="1:21" ht="13.2">
      <c r="A564" s="34">
        <v>1765</v>
      </c>
      <c r="B564" s="35">
        <f>VLOOKUP(A564,'Реестр договоров'!$A$2:$D$996,2,0)</f>
        <v>45869</v>
      </c>
      <c r="C564" s="36" t="str">
        <f t="shared" si="135"/>
        <v>Чернова</v>
      </c>
      <c r="D564" s="36" t="str">
        <f t="shared" si="136"/>
        <v>Анастасия</v>
      </c>
      <c r="E564" s="36" t="str">
        <f t="shared" si="147"/>
        <v>Сергеевна</v>
      </c>
      <c r="F564" s="36" t="str">
        <f t="shared" si="137"/>
        <v>051583797</v>
      </c>
      <c r="G564" s="37">
        <f>VLOOKUP(F564,Покупатели!$F$2:$N$762,2,0)</f>
        <v>44799</v>
      </c>
      <c r="H564" s="36" t="str">
        <f>VLOOKUP(F564,Покупатели!$F$2:$N$762,3,0)</f>
        <v>МВД РК</v>
      </c>
      <c r="I564" s="36">
        <f>VLOOKUP(C564,Покупатели!$C$2:$M$805,7,0)</f>
        <v>881209401253</v>
      </c>
      <c r="J564" s="36" t="str">
        <f ca="1">IFERROR(__xludf.DUMMYFUNCTION("JOIN("" "", VLOOKUP(C564,Покупатели,8,0),VLOOKUP(C564,Покупатели,9,0),VLOOKUP(C564,Покупатели,10,0),VLOOKUP(C564,Покупатели,11,0))"),"Алматы р-н Медеу ул.Байконурская  д.72, кв.5")</f>
        <v>Алматы р-н Медеу ул.Байконурская  д.72, кв.5</v>
      </c>
      <c r="K564" s="36">
        <f t="shared" si="138"/>
        <v>87012245224</v>
      </c>
      <c r="L564" s="36" t="str">
        <f t="shared" si="139"/>
        <v>MX4000002S0002062</v>
      </c>
      <c r="M564" s="36" t="str">
        <f t="shared" ca="1" si="146"/>
        <v>002-2013E50Q13-OK</v>
      </c>
      <c r="N564" s="36" t="str">
        <f t="shared" si="145"/>
        <v>Прицеп 2,0*1,25 м  (до 750 кг.)</v>
      </c>
      <c r="O564" s="36" t="str">
        <f t="shared" si="140"/>
        <v>1 ось</v>
      </c>
      <c r="P564" s="36">
        <f t="shared" si="141"/>
        <v>2025</v>
      </c>
      <c r="Q564" s="34" t="str">
        <f t="shared" ca="1" si="143"/>
        <v>3150*1700*1070</v>
      </c>
      <c r="R564" s="36" t="str">
        <f t="shared" ca="1" si="142"/>
        <v>2000*1250*500</v>
      </c>
      <c r="S564" s="34" t="str">
        <f>VLOOKUP(O564,ОТТС!$A$2:$B$3,2,0)</f>
        <v>ТС KZ Е-KZ.0317.00251 от 28.02.2023</v>
      </c>
      <c r="T564" s="39">
        <v>600000</v>
      </c>
      <c r="U564" s="36" t="str">
        <f t="shared" si="144"/>
        <v>Алматы</v>
      </c>
    </row>
    <row r="565" spans="1:21" ht="13.2">
      <c r="A565" s="34">
        <v>1766</v>
      </c>
      <c r="B565" s="35">
        <f>VLOOKUP(A565,'Реестр договоров'!$A$2:$D$996,2,0)</f>
        <v>45871</v>
      </c>
      <c r="C565" s="36" t="str">
        <f t="shared" si="135"/>
        <v>Дукен</v>
      </c>
      <c r="D565" s="36" t="str">
        <f t="shared" si="136"/>
        <v>Мунарбек</v>
      </c>
      <c r="E565" s="36">
        <f t="shared" si="147"/>
        <v>0</v>
      </c>
      <c r="F565" s="36" t="str">
        <f t="shared" si="137"/>
        <v>058353452</v>
      </c>
      <c r="G565" s="37">
        <f>VLOOKUP(F565,Покупатели!$F$2:$N$762,2,0)</f>
        <v>45464</v>
      </c>
      <c r="H565" s="36" t="str">
        <f>VLOOKUP(F565,Покупатели!$F$2:$N$762,3,0)</f>
        <v>МВД РК</v>
      </c>
      <c r="I565" s="36">
        <f>VLOOKUP(C565,Покупатели!$C$2:$M$805,7,0)</f>
        <v>740726350601</v>
      </c>
      <c r="J565" s="36" t="str">
        <f ca="1">IFERROR(__xludf.DUMMYFUNCTION("JOIN("" "", VLOOKUP(C565,Покупатели,8,0),VLOOKUP(C565,Покупатели,9,0),VLOOKUP(C565,Покупатели,10,0),VLOOKUP(C565,Покупатели,11,0))"),"Акмолинская обл. Аккольский р-н, с.Жалгыз карагай ул.Сейфуллина д.3")</f>
        <v>Акмолинская обл. Аккольский р-н, с.Жалгыз карагай ул.Сейфуллина д.3</v>
      </c>
      <c r="K565" s="36">
        <f t="shared" si="138"/>
        <v>87781584988</v>
      </c>
      <c r="L565" s="36" t="str">
        <f t="shared" si="139"/>
        <v>MX4000002S0002249</v>
      </c>
      <c r="M565" s="36" t="str">
        <f t="shared" ca="1" si="146"/>
        <v>002-2013E50Q13-OK</v>
      </c>
      <c r="N565" s="36" t="str">
        <f t="shared" si="145"/>
        <v>Прицеп 2,0*1,25 м  (до 750 кг.)</v>
      </c>
      <c r="O565" s="36" t="str">
        <f t="shared" si="140"/>
        <v>1 ось</v>
      </c>
      <c r="P565" s="36">
        <f t="shared" si="141"/>
        <v>2025</v>
      </c>
      <c r="Q565" s="34" t="str">
        <f t="shared" ca="1" si="143"/>
        <v>3150*1700*1070</v>
      </c>
      <c r="R565" s="36" t="str">
        <f t="shared" ca="1" si="142"/>
        <v>2000*1250*500</v>
      </c>
      <c r="S565" s="34" t="str">
        <f>VLOOKUP(O565,ОТТС!$A$2:$B$3,2,0)</f>
        <v>ТС KZ Е-KZ.0317.00251 от 28.02.2023</v>
      </c>
      <c r="T565" s="39">
        <f>195000+215000</f>
        <v>410000</v>
      </c>
      <c r="U565" s="36" t="str">
        <f t="shared" si="144"/>
        <v>Астана</v>
      </c>
    </row>
    <row r="566" spans="1:21" ht="13.2">
      <c r="A566" s="34">
        <v>1767</v>
      </c>
      <c r="B566" s="35">
        <f>VLOOKUP(A566,'Реестр договоров'!$A$2:$D$996,2,0)</f>
        <v>45874</v>
      </c>
      <c r="C566" s="36" t="str">
        <f t="shared" si="135"/>
        <v>Ильясов</v>
      </c>
      <c r="D566" s="36" t="str">
        <f t="shared" si="136"/>
        <v>Жанайдар</v>
      </c>
      <c r="E566" s="36" t="str">
        <f t="shared" si="147"/>
        <v>Калкаманулы</v>
      </c>
      <c r="F566" s="36" t="str">
        <f t="shared" si="137"/>
        <v>051865698</v>
      </c>
      <c r="G566" s="37">
        <f>VLOOKUP(F566,Покупатели!$F$2:$N$762,2,0)</f>
        <v>44541</v>
      </c>
      <c r="H566" s="36" t="str">
        <f>VLOOKUP(F566,Покупатели!$F$2:$N$762,3,0)</f>
        <v>МВД РК</v>
      </c>
      <c r="I566" s="36">
        <f>VLOOKUP(C566,Покупатели!$C$2:$M$805,7,0)</f>
        <v>830619350699</v>
      </c>
      <c r="J566" s="36" t="str">
        <f ca="1">IFERROR(__xludf.DUMMYFUNCTION("JOIN("" "", VLOOKUP(C566,Покупатели,8,0),VLOOKUP(C566,Покупатели,9,0),VLOOKUP(C566,Покупатели,10,0),VLOOKUP(C566,Покупатели,11,0))"),"г.Астана р-н Сарыарка ул.Берел д.12, кв.2")</f>
        <v>г.Астана р-н Сарыарка ул.Берел д.12, кв.2</v>
      </c>
      <c r="K566" s="36">
        <f t="shared" si="138"/>
        <v>87784349031</v>
      </c>
      <c r="L566" s="36" t="str">
        <f t="shared" si="139"/>
        <v>MX4000002S0002245</v>
      </c>
      <c r="M566" s="36" t="str">
        <f t="shared" ca="1" si="146"/>
        <v>002-2513E50Q13-OK</v>
      </c>
      <c r="N566" s="36" t="str">
        <f t="shared" si="145"/>
        <v>Прицеп 2,5*1,25 м  (до 750 кг.)</v>
      </c>
      <c r="O566" s="36" t="str">
        <f t="shared" si="140"/>
        <v>1 ось</v>
      </c>
      <c r="P566" s="36">
        <f t="shared" si="141"/>
        <v>2025</v>
      </c>
      <c r="Q566" s="34" t="str">
        <f t="shared" ca="1" si="143"/>
        <v>3650*1700*1070</v>
      </c>
      <c r="R566" s="36" t="str">
        <f t="shared" ca="1" si="142"/>
        <v>2500*1250*500</v>
      </c>
      <c r="S566" s="34" t="str">
        <f>VLOOKUP(O566,ОТТС!$A$2:$B$3,2,0)</f>
        <v>ТС KZ Е-KZ.0317.00251 от 28.02.2023</v>
      </c>
      <c r="T566" s="39">
        <v>450000</v>
      </c>
      <c r="U566" s="36" t="str">
        <f t="shared" si="144"/>
        <v>Астана</v>
      </c>
    </row>
    <row r="567" spans="1:21" ht="13.2">
      <c r="A567" s="34">
        <v>1768</v>
      </c>
      <c r="B567" s="35">
        <f>VLOOKUP(A567,'Реестр договоров'!$A$2:$D$996,2,0)</f>
        <v>45874</v>
      </c>
      <c r="C567" s="36" t="str">
        <f t="shared" si="135"/>
        <v>Поздеев</v>
      </c>
      <c r="D567" s="36" t="str">
        <f t="shared" si="136"/>
        <v>Сергей</v>
      </c>
      <c r="E567" s="36" t="str">
        <f t="shared" si="147"/>
        <v>Павлович</v>
      </c>
      <c r="F567" s="36" t="str">
        <f t="shared" si="137"/>
        <v>047502735</v>
      </c>
      <c r="G567" s="37">
        <f>VLOOKUP(F567,Покупатели!$F$2:$N$762,2,0)</f>
        <v>44175</v>
      </c>
      <c r="H567" s="36" t="str">
        <f>VLOOKUP(F567,Покупатели!$F$2:$N$762,3,0)</f>
        <v>МВД РК</v>
      </c>
      <c r="I567" s="36">
        <f>VLOOKUP(C567,Покупатели!$C$2:$M$805,7,0)</f>
        <v>851207301200</v>
      </c>
      <c r="J567" s="36" t="str">
        <f ca="1">IFERROR(__xludf.DUMMYFUNCTION("JOIN("" "", VLOOKUP(C567,Покупатели,8,0),VLOOKUP(C567,Покупатели,9,0),VLOOKUP(C567,Покупатели,10,0),VLOOKUP(C567,Покупатели,11,0))"),"г.Алматы р-н Медеуский ул.Урозбаева д.6")</f>
        <v>г.Алматы р-н Медеуский ул.Урозбаева д.6</v>
      </c>
      <c r="K567" s="36">
        <f t="shared" si="138"/>
        <v>87472803332</v>
      </c>
      <c r="L567" s="36" t="str">
        <f t="shared" si="139"/>
        <v>MX4000002S0001942</v>
      </c>
      <c r="M567" s="36" t="str">
        <f t="shared" ca="1" si="146"/>
        <v>002-2513E50Q13-OK</v>
      </c>
      <c r="N567" s="36" t="str">
        <f t="shared" si="145"/>
        <v>Прицеп 2,5*1,25 м  (до 750 кг.)</v>
      </c>
      <c r="O567" s="36" t="str">
        <f t="shared" si="140"/>
        <v>1 ось</v>
      </c>
      <c r="P567" s="36">
        <f t="shared" si="141"/>
        <v>2025</v>
      </c>
      <c r="Q567" s="34" t="str">
        <f t="shared" ca="1" si="143"/>
        <v>3650*1700*1070</v>
      </c>
      <c r="R567" s="36" t="str">
        <f t="shared" ca="1" si="142"/>
        <v>2500*1250*500</v>
      </c>
      <c r="S567" s="34" t="str">
        <f>VLOOKUP(O567,ОТТС!$A$2:$B$3,2,0)</f>
        <v>ТС KZ Е-KZ.0317.00251 от 28.02.2023</v>
      </c>
      <c r="T567" s="39">
        <v>420000</v>
      </c>
      <c r="U567" s="36" t="str">
        <f t="shared" si="144"/>
        <v>Алматы</v>
      </c>
    </row>
    <row r="568" spans="1:21" ht="13.2">
      <c r="A568" s="34">
        <v>1769</v>
      </c>
      <c r="B568" s="35">
        <f>VLOOKUP(A568,'Реестр договоров'!$A$2:$D$996,2,0)</f>
        <v>45874</v>
      </c>
      <c r="C568" s="36" t="str">
        <f t="shared" si="135"/>
        <v>Жукенов</v>
      </c>
      <c r="D568" s="36" t="str">
        <f t="shared" si="136"/>
        <v>Мурат</v>
      </c>
      <c r="E568" s="36" t="str">
        <f t="shared" si="147"/>
        <v>Абушахманович</v>
      </c>
      <c r="F568" s="36" t="str">
        <f t="shared" si="137"/>
        <v>051795924</v>
      </c>
      <c r="G568" s="37">
        <f>VLOOKUP(F568,Покупатели!$F$2:$N$762,2,0)</f>
        <v>44540</v>
      </c>
      <c r="H568" s="36" t="str">
        <f>VLOOKUP(F568,Покупатели!$F$2:$N$762,3,0)</f>
        <v>МВД РК</v>
      </c>
      <c r="I568" s="36">
        <f>VLOOKUP(C568,Покупатели!$C$2:$M$805,7,0)</f>
        <v>660831350556</v>
      </c>
      <c r="J568" s="36" t="str">
        <f ca="1">IFERROR(__xludf.DUMMYFUNCTION("JOIN("" "", VLOOKUP(C568,Покупатели,8,0),VLOOKUP(C568,Покупатели,9,0),VLOOKUP(C568,Покупатели,10,0),VLOOKUP(C568,Покупатели,11,0))"),"Акмолинская  г. Кокшетау акана серэ 28, кв 74")</f>
        <v>Акмолинская  г. Кокшетау акана серэ 28, кв 74</v>
      </c>
      <c r="K568" s="36">
        <f t="shared" si="138"/>
        <v>87052954910</v>
      </c>
      <c r="L568" s="36" t="str">
        <f t="shared" si="139"/>
        <v>MX4000002S0002251</v>
      </c>
      <c r="M568" s="36" t="str">
        <f t="shared" ca="1" si="146"/>
        <v>002-2013E50Q13-OK30</v>
      </c>
      <c r="N568" s="36" t="str">
        <f t="shared" si="145"/>
        <v>Прицеп 2,0*1,25 м  (до 750 кг.)</v>
      </c>
      <c r="O568" s="36" t="str">
        <f t="shared" si="140"/>
        <v>1 ось</v>
      </c>
      <c r="P568" s="36">
        <f t="shared" si="141"/>
        <v>2025</v>
      </c>
      <c r="Q568" s="34" t="str">
        <f t="shared" ca="1" si="143"/>
        <v>3150*1700*1070</v>
      </c>
      <c r="R568" s="36" t="str">
        <f t="shared" ca="1" si="142"/>
        <v>2000*1250*500</v>
      </c>
      <c r="S568" s="34" t="str">
        <f>VLOOKUP(O568,ОТТС!$A$2:$B$3,2,0)</f>
        <v>ТС KZ Е-KZ.0317.00251 от 28.02.2023</v>
      </c>
      <c r="T568" s="39">
        <v>465000</v>
      </c>
      <c r="U568" s="36" t="str">
        <f t="shared" si="144"/>
        <v>Кокшетау</v>
      </c>
    </row>
    <row r="569" spans="1:21" ht="13.2">
      <c r="A569" s="34">
        <v>1770</v>
      </c>
      <c r="B569" s="35">
        <f>VLOOKUP(A569,'Реестр договоров'!$A$2:$D$996,2,0)</f>
        <v>45874</v>
      </c>
      <c r="C569" s="36" t="str">
        <f t="shared" si="135"/>
        <v>Блудший</v>
      </c>
      <c r="D569" s="36" t="str">
        <f t="shared" si="136"/>
        <v>Вячеслав</v>
      </c>
      <c r="E569" s="36" t="str">
        <f t="shared" si="147"/>
        <v>Анатольевич</v>
      </c>
      <c r="F569" s="36" t="str">
        <f t="shared" si="137"/>
        <v>056647127</v>
      </c>
      <c r="G569" s="37">
        <f>VLOOKUP(F569,Покупатели!$F$2:$N$762,2,0)</f>
        <v>45439</v>
      </c>
      <c r="H569" s="36" t="str">
        <f>VLOOKUP(F569,Покупатели!$F$2:$N$762,3,0)</f>
        <v>МВД РК</v>
      </c>
      <c r="I569" s="36">
        <f>VLOOKUP(C569,Покупатели!$C$2:$M$805,7,0)</f>
        <v>981230301034</v>
      </c>
      <c r="J569" s="36" t="str">
        <f ca="1">IFERROR(__xludf.DUMMYFUNCTION("JOIN("" "", VLOOKUP(C569,Покупатели,8,0),VLOOKUP(C569,Покупатели,9,0),VLOOKUP(C569,Покупатели,10,0),VLOOKUP(C569,Покупатели,11,0))"),"Жамбылская обл. Шуйский р-н, г.Шу ул.Ыбырай д.18")</f>
        <v>Жамбылская обл. Шуйский р-н, г.Шу ул.Ыбырай д.18</v>
      </c>
      <c r="K569" s="36">
        <f t="shared" si="138"/>
        <v>87076667957</v>
      </c>
      <c r="L569" s="36" t="str">
        <f t="shared" si="139"/>
        <v>MX4000002S0002247</v>
      </c>
      <c r="M569" s="36" t="str">
        <f t="shared" ca="1" si="146"/>
        <v>002-2013E50Q13-OK</v>
      </c>
      <c r="N569" s="36" t="str">
        <f t="shared" si="145"/>
        <v>Прицеп 2,0*1,25 м  (до 750 кг.)</v>
      </c>
      <c r="O569" s="36" t="str">
        <f t="shared" si="140"/>
        <v>1 ось</v>
      </c>
      <c r="P569" s="36">
        <f t="shared" si="141"/>
        <v>2025</v>
      </c>
      <c r="Q569" s="34" t="str">
        <f t="shared" ca="1" si="143"/>
        <v>3150*1700*1070</v>
      </c>
      <c r="R569" s="36" t="str">
        <f t="shared" ca="1" si="142"/>
        <v>2000*1250*500</v>
      </c>
      <c r="S569" s="34" t="str">
        <f>VLOOKUP(O569,ОТТС!$A$2:$B$3,2,0)</f>
        <v>ТС KZ Е-KZ.0317.00251 от 28.02.2023</v>
      </c>
      <c r="T569" s="39">
        <v>360000</v>
      </c>
      <c r="U569" s="36" t="str">
        <f t="shared" si="144"/>
        <v>Астана</v>
      </c>
    </row>
    <row r="570" spans="1:21" ht="13.2">
      <c r="A570" s="34">
        <v>1771</v>
      </c>
      <c r="B570" s="35">
        <f>VLOOKUP(A570,'Реестр договоров'!$A$2:$D$996,2,0)</f>
        <v>45874</v>
      </c>
      <c r="C570" s="36" t="str">
        <f t="shared" si="135"/>
        <v>Ульман</v>
      </c>
      <c r="D570" s="36" t="str">
        <f t="shared" si="136"/>
        <v>Александр</v>
      </c>
      <c r="E570" s="36" t="str">
        <f t="shared" si="147"/>
        <v>Викторович</v>
      </c>
      <c r="F570" s="36" t="str">
        <f t="shared" si="137"/>
        <v>051787109</v>
      </c>
      <c r="G570" s="37">
        <f>VLOOKUP(F570,Покупатели!$F$2:$N$762,2,0)</f>
        <v>44831</v>
      </c>
      <c r="H570" s="36" t="str">
        <f>VLOOKUP(F570,Покупатели!$F$2:$N$762,3,0)</f>
        <v>МВД РК</v>
      </c>
      <c r="I570" s="36">
        <f>VLOOKUP(C570,Покупатели!$C$2:$M$805,7,0)</f>
        <v>880410300040</v>
      </c>
      <c r="J570" s="36" t="str">
        <f ca="1">IFERROR(__xludf.DUMMYFUNCTION("JOIN("" "", VLOOKUP(C570,Покупатели,8,0),VLOOKUP(C570,Покупатели,9,0),VLOOKUP(C570,Покупатели,10,0),VLOOKUP(C570,Покупатели,11,0))"),"Алматинская обл. с.Узынагаш ул.Карсай батыра д.43, кв.2")</f>
        <v>Алматинская обл. с.Узынагаш ул.Карсай батыра д.43, кв.2</v>
      </c>
      <c r="K570" s="36">
        <f t="shared" si="138"/>
        <v>87077677678</v>
      </c>
      <c r="L570" s="36" t="str">
        <f t="shared" si="139"/>
        <v>MX4000002S0002135</v>
      </c>
      <c r="M570" s="36" t="str">
        <f t="shared" ca="1" si="146"/>
        <v>002-2515E30Q13-OK</v>
      </c>
      <c r="N570" s="36" t="str">
        <f t="shared" si="145"/>
        <v>Прицеп 2,5*1,5 м  (до 750 кг.)</v>
      </c>
      <c r="O570" s="36" t="str">
        <f t="shared" si="140"/>
        <v>1 ось</v>
      </c>
      <c r="P570" s="36">
        <f t="shared" si="141"/>
        <v>2025</v>
      </c>
      <c r="Q570" s="34" t="str">
        <f t="shared" ca="1" si="143"/>
        <v>3650*1950*900</v>
      </c>
      <c r="R570" s="36" t="str">
        <f t="shared" ca="1" si="142"/>
        <v>2500*1500*300</v>
      </c>
      <c r="S570" s="34" t="str">
        <f>VLOOKUP(O570,ОТТС!$A$2:$B$3,2,0)</f>
        <v>ТС KZ Е-KZ.0317.00251 от 28.02.2023</v>
      </c>
      <c r="T570" s="39">
        <v>450000</v>
      </c>
      <c r="U570" s="36" t="str">
        <f t="shared" si="144"/>
        <v>Алматы</v>
      </c>
    </row>
    <row r="571" spans="1:21" ht="13.2">
      <c r="A571" s="34">
        <v>1772</v>
      </c>
      <c r="B571" s="35">
        <f>VLOOKUP(A571,'Реестр договоров'!$A$2:$D$996,2,0)</f>
        <v>45874</v>
      </c>
      <c r="C571" s="36" t="str">
        <f t="shared" si="135"/>
        <v>Тлеубаев</v>
      </c>
      <c r="D571" s="36" t="str">
        <f t="shared" si="136"/>
        <v>Казихан</v>
      </c>
      <c r="E571" s="36" t="str">
        <f t="shared" si="147"/>
        <v>Омиртаевич</v>
      </c>
      <c r="F571" s="36" t="str">
        <f t="shared" si="137"/>
        <v>059457926</v>
      </c>
      <c r="G571" s="37">
        <f>VLOOKUP(F571,Покупатели!$F$2:$N$762,2,0)</f>
        <v>45625</v>
      </c>
      <c r="H571" s="36" t="str">
        <f>VLOOKUP(F571,Покупатели!$F$2:$N$762,3,0)</f>
        <v>МВД РК</v>
      </c>
      <c r="I571" s="36">
        <f>VLOOKUP(C571,Покупатели!$C$2:$M$805,7,0)</f>
        <v>581207301095</v>
      </c>
      <c r="J571" s="36" t="str">
        <f ca="1">IFERROR(__xludf.DUMMYFUNCTION("JOIN("" "", VLOOKUP(C571,Покупатели,8,0),VLOOKUP(C571,Покупатели,9,0),VLOOKUP(C571,Покупатели,10,0),VLOOKUP(C571,Покупатели,11,0))"),"Северо-Казахстанская село Саумалколь Акана Серэ 39/2")</f>
        <v>Северо-Казахстанская село Саумалколь Акана Серэ 39/2</v>
      </c>
      <c r="K571" s="36">
        <f t="shared" si="138"/>
        <v>87773959420</v>
      </c>
      <c r="L571" s="36" t="str">
        <f t="shared" si="139"/>
        <v>MX4000002S0002250</v>
      </c>
      <c r="M571" s="36" t="str">
        <f t="shared" ca="1" si="146"/>
        <v>002-2013E30Q13-OK30</v>
      </c>
      <c r="N571" s="36" t="str">
        <f t="shared" si="145"/>
        <v>Прицеп 2,0*1,25 м  (до 750 кг.)</v>
      </c>
      <c r="O571" s="36" t="str">
        <f t="shared" si="140"/>
        <v>1 ось</v>
      </c>
      <c r="P571" s="36">
        <f t="shared" si="141"/>
        <v>2025</v>
      </c>
      <c r="Q571" s="34" t="str">
        <f t="shared" ca="1" si="143"/>
        <v>3150*1700*900</v>
      </c>
      <c r="R571" s="36" t="str">
        <f t="shared" ca="1" si="142"/>
        <v>2000*1250*300</v>
      </c>
      <c r="S571" s="34" t="str">
        <f>VLOOKUP(O571,ОТТС!$A$2:$B$3,2,0)</f>
        <v>ТС KZ Е-KZ.0317.00251 от 28.02.2023</v>
      </c>
      <c r="T571" s="39">
        <v>360000</v>
      </c>
      <c r="U571" s="36" t="str">
        <f t="shared" si="144"/>
        <v>Кокшетау</v>
      </c>
    </row>
    <row r="572" spans="1:21" ht="13.2">
      <c r="A572" s="34">
        <v>1773</v>
      </c>
      <c r="B572" s="35">
        <f>VLOOKUP(A572,'Реестр договоров'!$A$2:$D$996,2,0)</f>
        <v>45874</v>
      </c>
      <c r="C572" s="36" t="str">
        <f t="shared" si="135"/>
        <v>Макажанов</v>
      </c>
      <c r="D572" s="36" t="str">
        <f t="shared" si="136"/>
        <v>Жанболат</v>
      </c>
      <c r="E572" s="36" t="str">
        <f t="shared" si="147"/>
        <v>Бакытбекулы</v>
      </c>
      <c r="F572" s="36" t="str">
        <f t="shared" si="137"/>
        <v>061091048</v>
      </c>
      <c r="G572" s="37">
        <f>VLOOKUP(F572,Покупатели!$F$2:$N$762,2,0)</f>
        <v>45860</v>
      </c>
      <c r="H572" s="36" t="str">
        <f>VLOOKUP(F572,Покупатели!$F$2:$N$762,3,0)</f>
        <v>МВД РК</v>
      </c>
      <c r="I572" s="36">
        <f>VLOOKUP(C572,Покупатели!$C$2:$M$805,7,0)</f>
        <v>920628351000</v>
      </c>
      <c r="J572" s="36" t="str">
        <f ca="1">IFERROR(__xludf.DUMMYFUNCTION("JOIN("" "", VLOOKUP(C572,Покупатели,8,0),VLOOKUP(C572,Покупатели,9,0),VLOOKUP(C572,Покупатели,10,0),VLOOKUP(C572,Покупатели,11,0))"),"Восточно-Казахстанская обл. Катон-Карагайский р-н, с.Кайынды ул.Маметова д.40")</f>
        <v>Восточно-Казахстанская обл. Катон-Карагайский р-н, с.Кайынды ул.Маметова д.40</v>
      </c>
      <c r="K572" s="36">
        <f t="shared" si="138"/>
        <v>87756290977</v>
      </c>
      <c r="L572" s="36" t="str">
        <f t="shared" si="139"/>
        <v>MX4000002S0002067</v>
      </c>
      <c r="M572" s="36" t="str">
        <f t="shared" ca="1" si="146"/>
        <v>002-2013E50Q13-OK</v>
      </c>
      <c r="N572" s="36" t="str">
        <f t="shared" si="145"/>
        <v>Прицеп 2,0*1,25 м  (до 750 кг.)</v>
      </c>
      <c r="O572" s="36" t="str">
        <f t="shared" si="140"/>
        <v>1 ось</v>
      </c>
      <c r="P572" s="36">
        <f t="shared" si="141"/>
        <v>2025</v>
      </c>
      <c r="Q572" s="34" t="str">
        <f t="shared" ca="1" si="143"/>
        <v>3150*1700*1070</v>
      </c>
      <c r="R572" s="36" t="str">
        <f t="shared" ca="1" si="142"/>
        <v>2000*1250*500</v>
      </c>
      <c r="S572" s="34" t="str">
        <f>VLOOKUP(O572,ОТТС!$A$2:$B$3,2,0)</f>
        <v>ТС KZ Е-KZ.0317.00251 от 28.02.2023</v>
      </c>
      <c r="T572" s="39">
        <v>360000</v>
      </c>
      <c r="U572" s="36" t="str">
        <f t="shared" si="144"/>
        <v>Алматы</v>
      </c>
    </row>
    <row r="573" spans="1:21" ht="13.2">
      <c r="A573" s="34">
        <v>1774</v>
      </c>
      <c r="B573" s="35">
        <f>VLOOKUP(A573,'Реестр договоров'!$A$2:$D$996,2,0)</f>
        <v>45875</v>
      </c>
      <c r="C573" s="36" t="str">
        <f t="shared" si="135"/>
        <v>Серік</v>
      </c>
      <c r="D573" s="36" t="str">
        <f t="shared" si="136"/>
        <v>Жандос</v>
      </c>
      <c r="E573" s="36" t="str">
        <f t="shared" si="147"/>
        <v>Серікұлы</v>
      </c>
      <c r="F573" s="36" t="str">
        <f t="shared" si="137"/>
        <v>047449647</v>
      </c>
      <c r="G573" s="37">
        <f>VLOOKUP(F573,Покупатели!$F$2:$N$762,2,0)</f>
        <v>44161</v>
      </c>
      <c r="H573" s="36" t="str">
        <f>VLOOKUP(F573,Покупатели!$F$2:$N$762,3,0)</f>
        <v>ҚР ІІМ</v>
      </c>
      <c r="I573" s="36">
        <f>VLOOKUP(C573,Покупатели!$C$2:$M$805,7,0)</f>
        <v>940604302095</v>
      </c>
      <c r="J573" s="36" t="str">
        <f ca="1">IFERROR(__xludf.DUMMYFUNCTION("JOIN("" "", VLOOKUP(C573,Покупатели,8,0),VLOOKUP(C573,Покупатели,9,0),VLOOKUP(C573,Покупатели,10,0),VLOOKUP(C573,Покупатели,11,0))"),"г.Алматы р-н Алатау мкр. Мадениет д.834/34, кв.13")</f>
        <v>г.Алматы р-н Алатау мкр. Мадениет д.834/34, кв.13</v>
      </c>
      <c r="K573" s="36" t="str">
        <f t="shared" si="138"/>
        <v>+905457457816</v>
      </c>
      <c r="L573" s="36" t="str">
        <f t="shared" si="139"/>
        <v>MX4000002S0001988</v>
      </c>
      <c r="M573" s="36" t="str">
        <f t="shared" ca="1" si="146"/>
        <v>002-2013E50Q13-OK</v>
      </c>
      <c r="N573" s="36" t="str">
        <f t="shared" si="145"/>
        <v>Прицеп 2,0*1,25 м  (до 750 кг.)</v>
      </c>
      <c r="O573" s="36" t="str">
        <f t="shared" si="140"/>
        <v>1 ось</v>
      </c>
      <c r="P573" s="36">
        <f t="shared" si="141"/>
        <v>2025</v>
      </c>
      <c r="Q573" s="34" t="str">
        <f t="shared" ca="1" si="143"/>
        <v>3150*1700*1070</v>
      </c>
      <c r="R573" s="36" t="str">
        <f t="shared" ca="1" si="142"/>
        <v>2000*1250*500</v>
      </c>
      <c r="S573" s="34" t="str">
        <f>VLOOKUP(O573,ОТТС!$A$2:$B$3,2,0)</f>
        <v>ТС KZ Е-KZ.0317.00251 от 28.02.2023</v>
      </c>
      <c r="T573" s="39">
        <v>360000</v>
      </c>
      <c r="U573" s="36" t="str">
        <f t="shared" si="144"/>
        <v>Алматы</v>
      </c>
    </row>
    <row r="574" spans="1:21" ht="13.2">
      <c r="A574" s="34">
        <v>1775</v>
      </c>
      <c r="B574" s="35">
        <f>VLOOKUP(A574,'Реестр договоров'!$A$2:$D$996,2,0)</f>
        <v>45877</v>
      </c>
      <c r="C574" s="36" t="str">
        <f t="shared" si="135"/>
        <v>Амансарин</v>
      </c>
      <c r="D574" s="36" t="str">
        <f t="shared" si="136"/>
        <v>Медет</v>
      </c>
      <c r="E574" s="36" t="str">
        <f t="shared" si="147"/>
        <v>Омирзакович</v>
      </c>
      <c r="F574" s="36" t="str">
        <f t="shared" si="137"/>
        <v>041132820</v>
      </c>
      <c r="G574" s="37">
        <f>VLOOKUP(F574,Покупатели!$F$2:$N$762,2,0)</f>
        <v>42496</v>
      </c>
      <c r="H574" s="36" t="str">
        <f>VLOOKUP(F574,Покупатели!$F$2:$N$762,3,0)</f>
        <v>МВД РК</v>
      </c>
      <c r="I574" s="36">
        <f>VLOOKUP(C574,Покупатели!$C$2:$M$805,7,0)</f>
        <v>821214350453</v>
      </c>
      <c r="J574" s="36" t="str">
        <f ca="1">IFERROR(__xludf.DUMMYFUNCTION("JOIN("" "", VLOOKUP(C574,Покупатели,8,0),VLOOKUP(C574,Покупатели,9,0),VLOOKUP(C574,Покупатели,10,0),VLOOKUP(C574,Покупатели,11,0))"),"Павлодарская область, г.Экибастуз, ул. Маншук Маметовой, д.54/4, кв 43")</f>
        <v>Павлодарская область, г.Экибастуз, ул. Маншук Маметовой, д.54/4, кв 43</v>
      </c>
      <c r="K574" s="36">
        <f t="shared" si="138"/>
        <v>87017178214</v>
      </c>
      <c r="L574" s="36" t="str">
        <f t="shared" si="139"/>
        <v>MX4000002S0002256</v>
      </c>
      <c r="M574" s="36" t="str">
        <f t="shared" ca="1" si="146"/>
        <v>002-2013E50Q13-OK30</v>
      </c>
      <c r="N574" s="36" t="str">
        <f t="shared" si="145"/>
        <v>Прицеп 2,0*1,25 м  (до 750 кг.)</v>
      </c>
      <c r="O574" s="36" t="str">
        <f t="shared" si="140"/>
        <v>1 ось</v>
      </c>
      <c r="P574" s="36">
        <f t="shared" si="141"/>
        <v>2025</v>
      </c>
      <c r="Q574" s="34" t="str">
        <f t="shared" ca="1" si="143"/>
        <v>3150*1700*1070</v>
      </c>
      <c r="R574" s="36" t="str">
        <f t="shared" ca="1" si="142"/>
        <v>2000*1250*500</v>
      </c>
      <c r="S574" s="34" t="str">
        <f>VLOOKUP(O574,ОТТС!$A$2:$B$3,2,0)</f>
        <v>ТС KZ Е-KZ.0317.00251 от 28.02.2023</v>
      </c>
      <c r="T574" s="39">
        <v>390000</v>
      </c>
      <c r="U574" s="36" t="str">
        <f t="shared" si="144"/>
        <v>Астана</v>
      </c>
    </row>
    <row r="575" spans="1:21" ht="13.2">
      <c r="A575" s="34">
        <v>1776</v>
      </c>
      <c r="B575" s="35">
        <f>VLOOKUP(A575,'Реестр договоров'!$A$2:$D$996,2,0)</f>
        <v>45880</v>
      </c>
      <c r="C575" s="36" t="str">
        <f t="shared" si="135"/>
        <v>Чуйков</v>
      </c>
      <c r="D575" s="36" t="str">
        <f t="shared" si="136"/>
        <v>Антон</v>
      </c>
      <c r="E575" s="36" t="str">
        <f t="shared" si="147"/>
        <v>Викторович</v>
      </c>
      <c r="F575" s="36" t="str">
        <f t="shared" si="137"/>
        <v>060670548</v>
      </c>
      <c r="G575" s="37">
        <f>VLOOKUP(F575,Покупатели!$F$2:$N$762,2,0)</f>
        <v>45813</v>
      </c>
      <c r="H575" s="36" t="str">
        <f>VLOOKUP(F575,Покупатели!$F$2:$N$762,3,0)</f>
        <v>МВД РК</v>
      </c>
      <c r="I575" s="36">
        <f>VLOOKUP(C575,Покупатели!$C$2:$M$805,7,0)</f>
        <v>980331350712</v>
      </c>
      <c r="J575" s="36" t="str">
        <f ca="1">IFERROR(__xludf.DUMMYFUNCTION("JOIN("" "", VLOOKUP(C575,Покупатели,8,0),VLOOKUP(C575,Покупатели,9,0),VLOOKUP(C575,Покупатели,10,0),VLOOKUP(C575,Покупатели,11,0))"),"Акмолинская область, г.Кокшетау, ул. Воровского, д.133")</f>
        <v>Акмолинская область, г.Кокшетау, ул. Воровского, д.133</v>
      </c>
      <c r="K575" s="36">
        <f t="shared" si="138"/>
        <v>87052085399</v>
      </c>
      <c r="L575" s="36" t="str">
        <f t="shared" si="139"/>
        <v>MX4000002S0002257</v>
      </c>
      <c r="M575" s="36" t="str">
        <f t="shared" ca="1" si="146"/>
        <v>002-2013E50Q13-OK</v>
      </c>
      <c r="N575" s="36" t="str">
        <f t="shared" si="145"/>
        <v>Прицеп 2,0*1,25 м  (до 750 кг.)</v>
      </c>
      <c r="O575" s="36" t="str">
        <f t="shared" si="140"/>
        <v>1 ось</v>
      </c>
      <c r="P575" s="36">
        <f t="shared" si="141"/>
        <v>2025</v>
      </c>
      <c r="Q575" s="34" t="str">
        <f t="shared" ca="1" si="143"/>
        <v>3150*1700*1070</v>
      </c>
      <c r="R575" s="36" t="str">
        <f t="shared" ca="1" si="142"/>
        <v>2000*1250*500</v>
      </c>
      <c r="S575" s="34" t="str">
        <f>VLOOKUP(O575,ОТТС!$A$2:$B$3,2,0)</f>
        <v>ТС KZ Е-KZ.0317.00251 от 28.02.2023</v>
      </c>
      <c r="T575" s="39">
        <v>400000</v>
      </c>
      <c r="U575" s="36" t="str">
        <f t="shared" si="144"/>
        <v>Кокшетау</v>
      </c>
    </row>
    <row r="576" spans="1:21" ht="13.2">
      <c r="A576" s="34">
        <v>1777</v>
      </c>
      <c r="B576" s="35">
        <f>VLOOKUP(A576,'Реестр договоров'!$A$2:$D$996,2,0)</f>
        <v>45902</v>
      </c>
      <c r="C576" s="36" t="str">
        <f t="shared" si="135"/>
        <v>Үндістан</v>
      </c>
      <c r="D576" s="36" t="str">
        <f t="shared" si="136"/>
        <v>Мақсат</v>
      </c>
      <c r="E576" s="36" t="str">
        <f t="shared" si="147"/>
        <v>Ералыұлы</v>
      </c>
      <c r="F576" s="36" t="str">
        <f t="shared" si="137"/>
        <v>040914358</v>
      </c>
      <c r="G576" s="37">
        <f>VLOOKUP(F576,Покупатели!$F$2:$N$762,2,0)</f>
        <v>42444</v>
      </c>
      <c r="H576" s="36" t="str">
        <f>VLOOKUP(F576,Покупатели!$F$2:$N$762,3,0)</f>
        <v>ҚР ІІМ</v>
      </c>
      <c r="I576" s="36">
        <f>VLOOKUP(C576,Покупатели!$C$2:$M$805,7,0)</f>
        <v>930323350254</v>
      </c>
      <c r="J576" s="36" t="str">
        <f ca="1">IFERROR(__xludf.DUMMYFUNCTION("JOIN("" "", VLOOKUP(C576,Покупатели,8,0),VLOOKUP(C576,Покупатели,9,0),VLOOKUP(C576,Покупатели,10,0),VLOOKUP(C576,Покупатели,11,0))"),"г.Астана, ул. Байконыр, д.20")</f>
        <v>г.Астана, ул. Байконыр, д.20</v>
      </c>
      <c r="K576" s="36">
        <f t="shared" si="138"/>
        <v>87024359193</v>
      </c>
      <c r="L576" s="36" t="str">
        <f t="shared" si="139"/>
        <v>MX4000002S0001948</v>
      </c>
      <c r="M576" s="36" t="str">
        <f t="shared" ca="1" si="146"/>
        <v>002-3015E30Q13-OK</v>
      </c>
      <c r="N576" s="36" t="str">
        <f t="shared" si="145"/>
        <v>Прицеп 3,0*1,5 м  (до 750 кг.)</v>
      </c>
      <c r="O576" s="36" t="str">
        <f t="shared" si="140"/>
        <v>1 ось</v>
      </c>
      <c r="P576" s="36">
        <f t="shared" si="141"/>
        <v>2025</v>
      </c>
      <c r="Q576" s="34" t="str">
        <f t="shared" ca="1" si="143"/>
        <v>3800*1950*900</v>
      </c>
      <c r="R576" s="36" t="str">
        <f t="shared" ca="1" si="142"/>
        <v>3000*1500*300</v>
      </c>
      <c r="S576" s="34" t="str">
        <f>VLOOKUP(O576,ОТТС!$A$2:$B$3,2,0)</f>
        <v>ТС KZ Е-KZ.0317.00251 от 28.02.2023</v>
      </c>
      <c r="T576" s="39">
        <v>630000</v>
      </c>
      <c r="U576" s="36" t="str">
        <f t="shared" si="144"/>
        <v>Астана</v>
      </c>
    </row>
    <row r="577" spans="1:21" ht="13.2">
      <c r="A577" s="34">
        <v>1778</v>
      </c>
      <c r="B577" s="35">
        <f>VLOOKUP(A577,'Реестр договоров'!$A$2:$D$996,2,0)</f>
        <v>45880</v>
      </c>
      <c r="C577" s="36" t="str">
        <f t="shared" si="135"/>
        <v>Васильченко</v>
      </c>
      <c r="D577" s="36" t="str">
        <f t="shared" si="136"/>
        <v>Алексей</v>
      </c>
      <c r="E577" s="36" t="str">
        <f t="shared" si="147"/>
        <v>Павлович</v>
      </c>
      <c r="F577" s="36" t="str">
        <f t="shared" si="137"/>
        <v>040677407</v>
      </c>
      <c r="G577" s="37">
        <f>VLOOKUP(F577,Покупатели!$F$2:$N$762,2,0)</f>
        <v>42635</v>
      </c>
      <c r="H577" s="36" t="str">
        <f>VLOOKUP(F577,Покупатели!$F$2:$N$762,3,0)</f>
        <v>МВД РК</v>
      </c>
      <c r="I577" s="36">
        <f>VLOOKUP(C577,Покупатели!$C$2:$M$805,7,0)</f>
        <v>821121300755</v>
      </c>
      <c r="J577" s="36" t="str">
        <f ca="1">IFERROR(__xludf.DUMMYFUNCTION("JOIN("" "", VLOOKUP(C577,Покупатели,8,0),VLOOKUP(C577,Покупатели,9,0),VLOOKUP(C577,Покупатели,10,0),VLOOKUP(C577,Покупатели,11,0))"),"Алматинская область, г.Алматы, мкр-н Кемел, ул. Есимхана,  д.167а")</f>
        <v>Алматинская область, г.Алматы, мкр-н Кемел, ул. Есимхана,  д.167а</v>
      </c>
      <c r="K577" s="36">
        <f t="shared" si="138"/>
        <v>87078265004</v>
      </c>
      <c r="L577" s="36" t="str">
        <f t="shared" si="139"/>
        <v>MX4000002S0001992</v>
      </c>
      <c r="M577" s="36" t="str">
        <f t="shared" ca="1" si="146"/>
        <v>002-2013E50Q13-OK</v>
      </c>
      <c r="N577" s="36" t="str">
        <f t="shared" si="145"/>
        <v>Прицеп 2,0*1,25 м  (до 750 кг.)</v>
      </c>
      <c r="O577" s="36" t="str">
        <f t="shared" si="140"/>
        <v>1 ось</v>
      </c>
      <c r="P577" s="36">
        <f t="shared" si="141"/>
        <v>2025</v>
      </c>
      <c r="Q577" s="34" t="str">
        <f t="shared" ca="1" si="143"/>
        <v>3150*1700*1070</v>
      </c>
      <c r="R577" s="36" t="str">
        <f t="shared" ca="1" si="142"/>
        <v>2000*1250*500</v>
      </c>
      <c r="S577" s="34" t="str">
        <f>VLOOKUP(O577,ОТТС!$A$2:$B$3,2,0)</f>
        <v>ТС KZ Е-KZ.0317.00251 от 28.02.2023</v>
      </c>
      <c r="T577" s="39">
        <v>360000</v>
      </c>
      <c r="U577" s="36" t="str">
        <f t="shared" si="144"/>
        <v>Алматы</v>
      </c>
    </row>
    <row r="578" spans="1:21" ht="13.2">
      <c r="A578" s="34">
        <v>1779</v>
      </c>
      <c r="B578" s="35">
        <f>VLOOKUP(A578,'Реестр договоров'!$A$2:$D$996,2,0)</f>
        <v>45883</v>
      </c>
      <c r="C578" s="36" t="str">
        <f t="shared" ref="C578:C641" si="148">VLOOKUP(A578,Реестр_Договоров,3,0)</f>
        <v>Джапаров</v>
      </c>
      <c r="D578" s="36" t="str">
        <f t="shared" ref="D578:D641" si="149">VLOOKUP(C578,Покупатели,2,0)</f>
        <v>Рустам</v>
      </c>
      <c r="E578" s="36" t="str">
        <f t="shared" si="147"/>
        <v>Эмирович</v>
      </c>
      <c r="F578" s="36" t="str">
        <f t="shared" ref="F578:F641" si="150">VLOOKUP(C578,Покупатели,4,0)</f>
        <v>045520859</v>
      </c>
      <c r="G578" s="37">
        <f>VLOOKUP(F578,Покупатели!$F$2:$N$762,2,0)</f>
        <v>43822</v>
      </c>
      <c r="H578" s="36" t="str">
        <f>VLOOKUP(F578,Покупатели!$F$2:$N$762,3,0)</f>
        <v>МВД РК</v>
      </c>
      <c r="I578" s="36">
        <f>VLOOKUP(C578,Покупатели!$C$2:$M$805,7,0)</f>
        <v>860719300909</v>
      </c>
      <c r="J578" s="36" t="str">
        <f ca="1">IFERROR(__xludf.DUMMYFUNCTION("JOIN("" "", VLOOKUP(C578,Покупатели,8,0),VLOOKUP(C578,Покупатели,9,0),VLOOKUP(C578,Покупатели,10,0),VLOOKUP(C578,Покупатели,11,0))"),"Алматинская область, г.Алматы, ул. Палладина, д.120Б")</f>
        <v>Алматинская область, г.Алматы, ул. Палладина, д.120Б</v>
      </c>
      <c r="K578" s="36">
        <f t="shared" ref="K578:K641" si="151">VLOOKUP(C578,Покупатели,12,0)</f>
        <v>87770909071</v>
      </c>
      <c r="L578" s="36" t="str">
        <f t="shared" ref="L578:L641" si="152">VLOOKUP(A578,Реестр_Договоров,4,0)</f>
        <v>MX4000002S0002065</v>
      </c>
      <c r="M578" s="36" t="str">
        <f t="shared" ca="1" si="146"/>
        <v>002-2013E50Q13-OK</v>
      </c>
      <c r="N578" s="36" t="str">
        <f t="shared" si="145"/>
        <v>Прицеп 2,0*1,25 м  (до 750 кг.)</v>
      </c>
      <c r="O578" s="36" t="str">
        <f t="shared" ref="O578:O641" si="153">VLOOKUP(L578,ПРИЦЕПЫ,10,0)</f>
        <v>1 ось</v>
      </c>
      <c r="P578" s="36">
        <f t="shared" ref="P578:P641" si="154">YEAR(VLOOKUP(L578,ПРИЦЕПЫ,7,0))</f>
        <v>2025</v>
      </c>
      <c r="Q578" s="34" t="str">
        <f t="shared" ca="1" si="143"/>
        <v>3150*1700*1070</v>
      </c>
      <c r="R578" s="36" t="str">
        <f t="shared" ca="1" si="142"/>
        <v>2000*1250*500</v>
      </c>
      <c r="S578" s="34" t="str">
        <f>VLOOKUP(O578,ОТТС!$A$2:$B$3,2,0)</f>
        <v>ТС KZ Е-KZ.0317.00251 от 28.02.2023</v>
      </c>
      <c r="T578" s="39">
        <v>420000</v>
      </c>
      <c r="U578" s="36" t="str">
        <f t="shared" si="144"/>
        <v>Алматы</v>
      </c>
    </row>
    <row r="579" spans="1:21" ht="13.2">
      <c r="A579" s="34">
        <v>1780</v>
      </c>
      <c r="B579" s="35">
        <f>VLOOKUP(A579,'Реестр договоров'!$A$2:$D$996,2,0)</f>
        <v>45883</v>
      </c>
      <c r="C579" s="36" t="str">
        <f t="shared" si="148"/>
        <v>Доценко</v>
      </c>
      <c r="D579" s="36" t="str">
        <f t="shared" si="149"/>
        <v>Лариса</v>
      </c>
      <c r="E579" s="36" t="str">
        <f t="shared" si="147"/>
        <v>Леонидовна</v>
      </c>
      <c r="F579" s="36" t="str">
        <f t="shared" si="150"/>
        <v>046904588</v>
      </c>
      <c r="G579" s="37">
        <f>VLOOKUP(F579,Покупатели!$F$2:$N$762,2,0)</f>
        <v>43784</v>
      </c>
      <c r="H579" s="36" t="str">
        <f>VLOOKUP(F579,Покупатели!$F$2:$N$762,3,0)</f>
        <v>МВД РК</v>
      </c>
      <c r="I579" s="36">
        <f>VLOOKUP(C579,Покупатели!$C$2:$M$805,7,0)</f>
        <v>670516450036</v>
      </c>
      <c r="J579" s="36" t="str">
        <f ca="1">IFERROR(__xludf.DUMMYFUNCTION("JOIN("" "", VLOOKUP(C579,Покупатели,8,0),VLOOKUP(C579,Покупатели,9,0),VLOOKUP(C579,Покупатели,10,0),VLOOKUP(C579,Покупатели,11,0))"),"г.Астана, ул. Сыганак, д.2, кв 344")</f>
        <v>г.Астана, ул. Сыганак, д.2, кв 344</v>
      </c>
      <c r="K579" s="36">
        <f t="shared" si="151"/>
        <v>87013527526</v>
      </c>
      <c r="L579" s="36" t="str">
        <f t="shared" si="152"/>
        <v>MX4000002S0002194</v>
      </c>
      <c r="M579" s="36" t="str">
        <f t="shared" ca="1" si="146"/>
        <v>002-2515E50Q13-OK90</v>
      </c>
      <c r="N579" s="36" t="str">
        <f t="shared" si="145"/>
        <v>Прицеп 2,5*1,5 м  (до 750 кг.)</v>
      </c>
      <c r="O579" s="36" t="str">
        <f t="shared" si="153"/>
        <v>1 ось</v>
      </c>
      <c r="P579" s="36">
        <f t="shared" si="154"/>
        <v>2025</v>
      </c>
      <c r="Q579" s="34" t="str">
        <f t="shared" ca="1" si="143"/>
        <v>3650*1950*1070</v>
      </c>
      <c r="R579" s="36" t="str">
        <f t="shared" ca="1" si="142"/>
        <v>2500*1500*500</v>
      </c>
      <c r="S579" s="34" t="str">
        <f>VLOOKUP(O579,ОТТС!$A$2:$B$3,2,0)</f>
        <v>ТС KZ Е-KZ.0317.00251 от 28.02.2023</v>
      </c>
      <c r="T579" s="39">
        <v>570000</v>
      </c>
      <c r="U579" s="36" t="str">
        <f t="shared" si="144"/>
        <v>Астана</v>
      </c>
    </row>
    <row r="580" spans="1:21" ht="13.2">
      <c r="A580" s="34">
        <v>1781</v>
      </c>
      <c r="B580" s="35">
        <f>VLOOKUP(A580,'Реестр договоров'!$A$2:$D$996,2,0)</f>
        <v>45883</v>
      </c>
      <c r="C580" s="36" t="str">
        <f t="shared" si="148"/>
        <v>Соловьёв</v>
      </c>
      <c r="D580" s="36" t="str">
        <f t="shared" si="149"/>
        <v>Алексей</v>
      </c>
      <c r="E580" s="36" t="str">
        <f t="shared" si="147"/>
        <v>Григорьевич</v>
      </c>
      <c r="F580" s="36" t="str">
        <f t="shared" si="150"/>
        <v>060041404</v>
      </c>
      <c r="G580" s="37">
        <f>VLOOKUP(F580,Покупатели!$F$2:$N$762,2,0)</f>
        <v>45713</v>
      </c>
      <c r="H580" s="36" t="str">
        <f>VLOOKUP(F580,Покупатели!$F$2:$N$762,3,0)</f>
        <v>МВД РК</v>
      </c>
      <c r="I580" s="36">
        <f>VLOOKUP(C580,Покупатели!$C$2:$M$805,7,0)</f>
        <v>830305351431</v>
      </c>
      <c r="J580" s="36" t="str">
        <f ca="1">IFERROR(__xludf.DUMMYFUNCTION("JOIN("" "", VLOOKUP(C580,Покупатели,8,0),VLOOKUP(C580,Покупатели,9,0),VLOOKUP(C580,Покупатели,10,0),VLOOKUP(C580,Покупатели,11,0))"),"Акмолинская область, г. Кокшетау, мкр-н Васильковка, д.24, кв 48")</f>
        <v>Акмолинская область, г. Кокшетау, мкр-н Васильковка, д.24, кв 48</v>
      </c>
      <c r="K580" s="36">
        <f t="shared" si="151"/>
        <v>87076317038</v>
      </c>
      <c r="L580" s="36" t="str">
        <f t="shared" si="152"/>
        <v>MX4000002S0002258</v>
      </c>
      <c r="M580" s="36" t="str">
        <f t="shared" ca="1" si="146"/>
        <v>002-2013E30Q13-OK30</v>
      </c>
      <c r="N580" s="36" t="str">
        <f t="shared" si="145"/>
        <v>Прицеп 2,0*1,25 м  (до 750 кг.)</v>
      </c>
      <c r="O580" s="36" t="str">
        <f t="shared" si="153"/>
        <v>1 ось</v>
      </c>
      <c r="P580" s="36">
        <f t="shared" si="154"/>
        <v>2025</v>
      </c>
      <c r="Q580" s="34" t="str">
        <f t="shared" ca="1" si="143"/>
        <v>3150*1700*900</v>
      </c>
      <c r="R580" s="36" t="str">
        <f t="shared" ca="1" si="142"/>
        <v>2000*1250*300</v>
      </c>
      <c r="S580" s="34" t="str">
        <f>VLOOKUP(O580,ОТТС!$A$2:$B$3,2,0)</f>
        <v>ТС KZ Е-KZ.0317.00251 от 28.02.2023</v>
      </c>
      <c r="T580" s="39">
        <v>410000</v>
      </c>
      <c r="U580" s="36" t="str">
        <f t="shared" si="144"/>
        <v>Кокшетау</v>
      </c>
    </row>
    <row r="581" spans="1:21" ht="13.2">
      <c r="A581" s="34">
        <v>1782</v>
      </c>
      <c r="B581" s="35">
        <f>VLOOKUP(A581,'Реестр договоров'!$A$2:$D$996,2,0)</f>
        <v>45884</v>
      </c>
      <c r="C581" s="36" t="str">
        <f t="shared" si="148"/>
        <v>Ницевич</v>
      </c>
      <c r="D581" s="36" t="str">
        <f t="shared" si="149"/>
        <v>Олег</v>
      </c>
      <c r="E581" s="36" t="str">
        <f t="shared" si="147"/>
        <v>Иванович</v>
      </c>
      <c r="F581" s="36" t="str">
        <f t="shared" si="150"/>
        <v>043574860</v>
      </c>
      <c r="G581" s="37">
        <f>VLOOKUP(F581,Покупатели!$F$2:$N$762,2,0)</f>
        <v>43060</v>
      </c>
      <c r="H581" s="36" t="str">
        <f>VLOOKUP(F581,Покупатели!$F$2:$N$762,3,0)</f>
        <v>МВД РК</v>
      </c>
      <c r="I581" s="36">
        <f>VLOOKUP(C581,Покупатели!$C$2:$M$805,7,0)</f>
        <v>960904351345</v>
      </c>
      <c r="J581" s="36" t="str">
        <f ca="1">IFERROR(__xludf.DUMMYFUNCTION("JOIN("" "", VLOOKUP(C581,Покупатели,8,0),VLOOKUP(C581,Покупатели,9,0),VLOOKUP(C581,Покупатели,10,0),VLOOKUP(C581,Покупатели,11,0))"),"Шортандинский район, с.Петровка, ул. Курмангазы, д.22")</f>
        <v>Шортандинский район, с.Петровка, ул. Курмангазы, д.22</v>
      </c>
      <c r="K581" s="36">
        <f t="shared" si="151"/>
        <v>87477631974</v>
      </c>
      <c r="L581" s="36" t="str">
        <f t="shared" si="152"/>
        <v>MX4000002S0002253</v>
      </c>
      <c r="M581" s="36" t="str">
        <f t="shared" ca="1" si="146"/>
        <v>002-2513E50Q13-OK90</v>
      </c>
      <c r="N581" s="36" t="str">
        <f t="shared" si="145"/>
        <v>Прицеп 2,5*1,25 м  (до 750 кг.)</v>
      </c>
      <c r="O581" s="36" t="str">
        <f t="shared" si="153"/>
        <v>1 ось</v>
      </c>
      <c r="P581" s="36">
        <f t="shared" si="154"/>
        <v>2025</v>
      </c>
      <c r="Q581" s="34" t="str">
        <f t="shared" ca="1" si="143"/>
        <v>3650*1700*1070</v>
      </c>
      <c r="R581" s="36" t="str">
        <f t="shared" ca="1" si="142"/>
        <v>2500*1250*500</v>
      </c>
      <c r="S581" s="34" t="str">
        <f>VLOOKUP(O581,ОТТС!$A$2:$B$3,2,0)</f>
        <v>ТС KZ Е-KZ.0317.00251 от 28.02.2023</v>
      </c>
      <c r="T581" s="39">
        <v>480000</v>
      </c>
      <c r="U581" s="36" t="str">
        <f t="shared" si="144"/>
        <v>Астана</v>
      </c>
    </row>
    <row r="582" spans="1:21" ht="13.2">
      <c r="A582" s="34">
        <v>1783</v>
      </c>
      <c r="B582" s="35">
        <f>VLOOKUP(A582,'Реестр договоров'!$A$2:$D$996,2,0)</f>
        <v>45885</v>
      </c>
      <c r="C582" s="36" t="str">
        <f t="shared" si="148"/>
        <v>Шашдавлетова</v>
      </c>
      <c r="D582" s="36" t="str">
        <f t="shared" si="149"/>
        <v>Айжан</v>
      </c>
      <c r="E582" s="36" t="str">
        <f t="shared" si="147"/>
        <v>Галымовна</v>
      </c>
      <c r="F582" s="36" t="str">
        <f t="shared" si="150"/>
        <v>048428766</v>
      </c>
      <c r="G582" s="37">
        <f>VLOOKUP(F582,Покупатели!$F$2:$N$762,2,0)</f>
        <v>44046</v>
      </c>
      <c r="H582" s="36" t="str">
        <f>VLOOKUP(F582,Покупатели!$F$2:$N$762,3,0)</f>
        <v>МВД РК</v>
      </c>
      <c r="I582" s="36">
        <f>VLOOKUP(C582,Покупатели!$C$2:$M$805,7,0)</f>
        <v>961209450457</v>
      </c>
      <c r="J582" s="36" t="str">
        <f ca="1">IFERROR(__xludf.DUMMYFUNCTION("JOIN("" "", VLOOKUP(C582,Покупатели,8,0),VLOOKUP(C582,Покупатели,9,0),VLOOKUP(C582,Покупатели,10,0),VLOOKUP(C582,Покупатели,11,0))"),"Акмолинская область, с. Коянды, ул. Жеты Жарғы, д.6")</f>
        <v>Акмолинская область, с. Коянды, ул. Жеты Жарғы, д.6</v>
      </c>
      <c r="K582" s="36">
        <f t="shared" si="151"/>
        <v>87015458100</v>
      </c>
      <c r="L582" s="36" t="str">
        <f t="shared" si="152"/>
        <v>MX4000002S0002255</v>
      </c>
      <c r="M582" s="36" t="str">
        <f t="shared" ca="1" si="146"/>
        <v>002-2013E50Q13-OK</v>
      </c>
      <c r="N582" s="36" t="str">
        <f t="shared" si="145"/>
        <v>Прицеп 2,0*1,25 м  (до 750 кг.)</v>
      </c>
      <c r="O582" s="36" t="str">
        <f t="shared" si="153"/>
        <v>1 ось</v>
      </c>
      <c r="P582" s="36">
        <f t="shared" si="154"/>
        <v>2025</v>
      </c>
      <c r="Q582" s="34" t="str">
        <f t="shared" ca="1" si="143"/>
        <v>3150*1700*1070</v>
      </c>
      <c r="R582" s="36" t="str">
        <f t="shared" ca="1" si="142"/>
        <v>2000*1250*500</v>
      </c>
      <c r="S582" s="34" t="str">
        <f>VLOOKUP(O582,ОТТС!$A$2:$B$3,2,0)</f>
        <v>ТС KZ Е-KZ.0317.00251 от 28.02.2023</v>
      </c>
      <c r="T582" s="39">
        <v>350000</v>
      </c>
      <c r="U582" s="36" t="str">
        <f t="shared" si="144"/>
        <v>Астана</v>
      </c>
    </row>
    <row r="583" spans="1:21" ht="13.2">
      <c r="A583" s="34">
        <v>1784</v>
      </c>
      <c r="B583" s="35">
        <f>VLOOKUP(A583,'Реестр договоров'!$A$2:$D$996,2,0)</f>
        <v>45887</v>
      </c>
      <c r="C583" s="36" t="str">
        <f t="shared" si="148"/>
        <v>Миллер2</v>
      </c>
      <c r="D583" s="36" t="str">
        <f t="shared" si="149"/>
        <v>Эдуард</v>
      </c>
      <c r="E583" s="36" t="str">
        <f t="shared" si="147"/>
        <v>Оттович</v>
      </c>
      <c r="F583" s="36" t="str">
        <f t="shared" si="150"/>
        <v>059429240</v>
      </c>
      <c r="G583" s="37">
        <f>VLOOKUP(F583,Покупатели!$F$2:$N$762,2,0)</f>
        <v>45624</v>
      </c>
      <c r="H583" s="36" t="str">
        <f>VLOOKUP(F583,Покупатели!$F$2:$N$762,3,0)</f>
        <v>МВД РК</v>
      </c>
      <c r="I583" s="36">
        <f>VLOOKUP(C583,Покупатели!$C$2:$M$805,7,0)</f>
        <v>870413350646</v>
      </c>
      <c r="J583" s="36" t="str">
        <f ca="1">IFERROR(__xludf.DUMMYFUNCTION("JOIN("" "", VLOOKUP(C583,Покупатели,8,0),VLOOKUP(C583,Покупатели,9,0),VLOOKUP(C583,Покупатели,10,0),VLOOKUP(C583,Покупатели,11,0))"),"Акмолинская обл Шортандинский р-н, с.Белое озеро ул.Достык д.7/1")</f>
        <v>Акмолинская обл Шортандинский р-н, с.Белое озеро ул.Достык д.7/1</v>
      </c>
      <c r="K583" s="36">
        <f t="shared" si="151"/>
        <v>87026458765</v>
      </c>
      <c r="L583" s="36" t="str">
        <f t="shared" si="152"/>
        <v>MX4000002S0002230</v>
      </c>
      <c r="M583" s="36" t="str">
        <f t="shared" ca="1" si="146"/>
        <v>002-2013E30Q13-OK30</v>
      </c>
      <c r="N583" s="36" t="str">
        <f t="shared" si="145"/>
        <v>Прицеп 2,0*1,25 м  (до 750 кг.)</v>
      </c>
      <c r="O583" s="36" t="str">
        <f t="shared" si="153"/>
        <v>1 ось</v>
      </c>
      <c r="P583" s="36">
        <f t="shared" si="154"/>
        <v>2025</v>
      </c>
      <c r="Q583" s="34" t="str">
        <f t="shared" ca="1" si="143"/>
        <v>3150*1700*900</v>
      </c>
      <c r="R583" s="36" t="str">
        <f t="shared" ca="1" si="142"/>
        <v>2000*1250*300</v>
      </c>
      <c r="S583" s="34" t="str">
        <f>VLOOKUP(O583,ОТТС!$A$2:$B$3,2,0)</f>
        <v>ТС KZ Е-KZ.0317.00251 от 28.02.2023</v>
      </c>
      <c r="T583" s="39">
        <v>360000</v>
      </c>
      <c r="U583" s="36" t="str">
        <f t="shared" si="144"/>
        <v>Астана</v>
      </c>
    </row>
    <row r="584" spans="1:21" ht="13.2">
      <c r="A584" s="34">
        <v>1785</v>
      </c>
      <c r="B584" s="35">
        <f>VLOOKUP(A584,'Реестр договоров'!$A$2:$D$996,2,0)</f>
        <v>45887</v>
      </c>
      <c r="C584" s="36" t="str">
        <f t="shared" si="148"/>
        <v>Миллер</v>
      </c>
      <c r="D584" s="36" t="str">
        <f t="shared" si="149"/>
        <v>Вячеслав</v>
      </c>
      <c r="E584" s="36">
        <f t="shared" si="147"/>
        <v>0</v>
      </c>
      <c r="F584" s="36" t="str">
        <f t="shared" si="150"/>
        <v>060628122</v>
      </c>
      <c r="G584" s="37">
        <f>VLOOKUP(F584,Покупатели!$F$2:$N$762,2,0)</f>
        <v>45803</v>
      </c>
      <c r="H584" s="36" t="str">
        <f>VLOOKUP(F584,Покупатели!$F$2:$N$762,3,0)</f>
        <v>МВД РК</v>
      </c>
      <c r="I584" s="36" t="str">
        <f>VLOOKUP(C584,Покупатели!$C$2:$M$805,7,0)</f>
        <v>070625550535</v>
      </c>
      <c r="J584" s="36" t="str">
        <f ca="1">IFERROR(__xludf.DUMMYFUNCTION("JOIN("" "", VLOOKUP(C584,Покупатели,8,0),VLOOKUP(C584,Покупатели,9,0),VLOOKUP(C584,Покупатели,10,0),VLOOKUP(C584,Покупатели,11,0))"),"Акмолинская обл Шортандинский р-н, с.Белое озеро ул.Достык д.7/1")</f>
        <v>Акмолинская обл Шортандинский р-н, с.Белое озеро ул.Достык д.7/1</v>
      </c>
      <c r="K584" s="36">
        <f t="shared" si="151"/>
        <v>87782478835</v>
      </c>
      <c r="L584" s="36" t="str">
        <f t="shared" si="152"/>
        <v>MX4000002S0002254</v>
      </c>
      <c r="M584" s="36" t="str">
        <f t="shared" ca="1" si="146"/>
        <v>002-2013E30Q13-OK30</v>
      </c>
      <c r="N584" s="36" t="str">
        <f t="shared" si="145"/>
        <v>Прицеп 2,0*1,25 м  (до 750 кг.)</v>
      </c>
      <c r="O584" s="36" t="str">
        <f t="shared" si="153"/>
        <v>1 ось</v>
      </c>
      <c r="P584" s="36">
        <f t="shared" si="154"/>
        <v>2025</v>
      </c>
      <c r="Q584" s="34" t="str">
        <f t="shared" ca="1" si="143"/>
        <v>3150*1700*900</v>
      </c>
      <c r="R584" s="36" t="str">
        <f t="shared" ca="1" si="142"/>
        <v>2000*1250*300</v>
      </c>
      <c r="S584" s="34" t="str">
        <f>VLOOKUP(O584,ОТТС!$A$2:$B$3,2,0)</f>
        <v>ТС KZ Е-KZ.0317.00251 от 28.02.2023</v>
      </c>
      <c r="T584" s="39">
        <v>360000</v>
      </c>
      <c r="U584" s="36" t="str">
        <f t="shared" si="144"/>
        <v>Астана</v>
      </c>
    </row>
    <row r="585" spans="1:21" ht="13.2">
      <c r="A585" s="34">
        <v>1786</v>
      </c>
      <c r="B585" s="35">
        <f>VLOOKUP(A585,'Реестр договоров'!$A$2:$D$996,2,0)</f>
        <v>45887</v>
      </c>
      <c r="C585" s="36" t="str">
        <f t="shared" si="148"/>
        <v>Дорохов</v>
      </c>
      <c r="D585" s="36" t="str">
        <f t="shared" si="149"/>
        <v>Сергей</v>
      </c>
      <c r="E585" s="36" t="str">
        <f t="shared" si="147"/>
        <v>Геннадьевич</v>
      </c>
      <c r="F585" s="36" t="str">
        <f t="shared" si="150"/>
        <v>021901775</v>
      </c>
      <c r="G585" s="37">
        <f>VLOOKUP(F585,Покупатели!$F$2:$N$762,2,0)</f>
        <v>39535</v>
      </c>
      <c r="H585" s="36" t="str">
        <f>VLOOKUP(F585,Покупатели!$F$2:$N$762,3,0)</f>
        <v>МЮ РК</v>
      </c>
      <c r="I585" s="36">
        <f>VLOOKUP(C585,Покупатели!$C$2:$M$805,7,0)</f>
        <v>620120301218</v>
      </c>
      <c r="J585" s="36" t="str">
        <f ca="1">IFERROR(__xludf.DUMMYFUNCTION("JOIN("" "", VLOOKUP(C585,Покупатели,8,0),VLOOKUP(C585,Покупатели,9,0),VLOOKUP(C585,Покупатели,10,0),VLOOKUP(C585,Покупатели,11,0))"),"г.Алматы р-н Жетысу мкр. Айнабулак-3 д.142, кв.31")</f>
        <v>г.Алматы р-н Жетысу мкр. Айнабулак-3 д.142, кв.31</v>
      </c>
      <c r="K585" s="36">
        <f t="shared" si="151"/>
        <v>87771390329</v>
      </c>
      <c r="L585" s="36" t="str">
        <f t="shared" si="152"/>
        <v>MX4000002S0001997</v>
      </c>
      <c r="M585" s="36" t="str">
        <f t="shared" ca="1" si="146"/>
        <v>002-2013E50Q13-OK</v>
      </c>
      <c r="N585" s="36" t="str">
        <f t="shared" si="145"/>
        <v>Прицеп 2,0*1,25 м  (до 750 кг.)</v>
      </c>
      <c r="O585" s="36" t="str">
        <f t="shared" si="153"/>
        <v>1 ось</v>
      </c>
      <c r="P585" s="36">
        <f t="shared" si="154"/>
        <v>2025</v>
      </c>
      <c r="Q585" s="34" t="str">
        <f t="shared" ca="1" si="143"/>
        <v>3150*1700*1070</v>
      </c>
      <c r="R585" s="36" t="str">
        <f t="shared" ca="1" si="142"/>
        <v>2000*1250*500</v>
      </c>
      <c r="S585" s="34" t="str">
        <f>VLOOKUP(O585,ОТТС!$A$2:$B$3,2,0)</f>
        <v>ТС KZ Е-KZ.0317.00251 от 28.02.2023</v>
      </c>
      <c r="T585" s="39">
        <v>420000</v>
      </c>
      <c r="U585" s="36" t="str">
        <f t="shared" si="144"/>
        <v>Алматы</v>
      </c>
    </row>
    <row r="586" spans="1:21" ht="13.2">
      <c r="A586" s="34">
        <v>1787</v>
      </c>
      <c r="B586" s="35">
        <f>VLOOKUP(A586,'Реестр договоров'!$A$2:$D$996,2,0)</f>
        <v>45887</v>
      </c>
      <c r="C586" s="36" t="str">
        <f t="shared" si="148"/>
        <v>Тоқтамұрат</v>
      </c>
      <c r="D586" s="36" t="str">
        <f t="shared" si="149"/>
        <v>Құдайберген</v>
      </c>
      <c r="E586" s="36">
        <f t="shared" si="147"/>
        <v>0</v>
      </c>
      <c r="F586" s="36" t="str">
        <f t="shared" si="150"/>
        <v>052405078</v>
      </c>
      <c r="G586" s="37">
        <f>VLOOKUP(F586,Покупатели!$F$2:$N$762,2,0)</f>
        <v>44636</v>
      </c>
      <c r="H586" s="36" t="str">
        <f>VLOOKUP(F586,Покупатели!$F$2:$N$762,3,0)</f>
        <v>ҚР ІІМ</v>
      </c>
      <c r="I586" s="36">
        <f>VLOOKUP(C586,Покупатели!$C$2:$M$805,7,0)</f>
        <v>880123399033</v>
      </c>
      <c r="J586" s="36" t="str">
        <f ca="1">IFERROR(__xludf.DUMMYFUNCTION("JOIN("" "", VLOOKUP(C586,Покупатели,8,0),VLOOKUP(C586,Покупатели,9,0),VLOOKUP(C586,Покупатели,10,0),VLOOKUP(C586,Покупатели,11,0))"),"г.Астана р-н Сарыарка ул.Тлендиева д.50, кв.45")</f>
        <v>г.Астана р-н Сарыарка ул.Тлендиева д.50, кв.45</v>
      </c>
      <c r="K586" s="36">
        <f t="shared" si="151"/>
        <v>87054635565</v>
      </c>
      <c r="L586" s="36" t="str">
        <f t="shared" si="152"/>
        <v>MX4000004S0002242</v>
      </c>
      <c r="M586" s="36" t="str">
        <f t="shared" si="146"/>
        <v>004-2515E50Q13-OK</v>
      </c>
      <c r="N586" s="36" t="str">
        <f t="shared" si="145"/>
        <v>Прицеп 2,5*1,5 м  (до 750 кг.)</v>
      </c>
      <c r="O586" s="36" t="str">
        <f t="shared" si="153"/>
        <v>2 оси</v>
      </c>
      <c r="P586" s="36">
        <f t="shared" si="154"/>
        <v>2025</v>
      </c>
      <c r="Q586" s="34" t="str">
        <f t="shared" ca="1" si="143"/>
        <v>3650*1950*1070</v>
      </c>
      <c r="R586" s="36" t="str">
        <f t="shared" ca="1" si="142"/>
        <v>4000*1500*500</v>
      </c>
      <c r="S586" s="34" t="str">
        <f>VLOOKUP(O586,ОТТС!$A$2:$B$3,2,0)</f>
        <v>ТС KZ Е-KZ.0317.00219.П1 от 17.07.2025</v>
      </c>
      <c r="T586" s="39">
        <v>660000</v>
      </c>
      <c r="U586" s="36" t="str">
        <f t="shared" si="144"/>
        <v>Астана</v>
      </c>
    </row>
    <row r="587" spans="1:21" ht="13.2">
      <c r="A587" s="34">
        <v>1788</v>
      </c>
      <c r="B587" s="35">
        <f>VLOOKUP(A587,'Реестр договоров'!$A$2:$D$996,2,0)</f>
        <v>45887</v>
      </c>
      <c r="C587" s="36" t="str">
        <f t="shared" si="148"/>
        <v>Ролдугин</v>
      </c>
      <c r="D587" s="36" t="str">
        <f t="shared" si="149"/>
        <v>Сергей</v>
      </c>
      <c r="E587" s="36" t="str">
        <f t="shared" si="147"/>
        <v>Михайлович</v>
      </c>
      <c r="F587" s="36" t="str">
        <f t="shared" si="150"/>
        <v>053317705</v>
      </c>
      <c r="G587" s="37">
        <f>VLOOKUP(F587,Покупатели!$F$2:$N$762,2,0)</f>
        <v>45063</v>
      </c>
      <c r="H587" s="36" t="str">
        <f>VLOOKUP(F587,Покупатели!$F$2:$N$762,3,0)</f>
        <v>МВД РК</v>
      </c>
      <c r="I587" s="36">
        <f>VLOOKUP(C587,Покупатели!$C$2:$M$805,7,0)</f>
        <v>681222301503</v>
      </c>
      <c r="J587" s="36" t="str">
        <f ca="1">IFERROR(__xludf.DUMMYFUNCTION("JOIN("" "", VLOOKUP(C587,Покупатели,8,0),VLOOKUP(C587,Покупатели,9,0),VLOOKUP(C587,Покупатели,10,0),VLOOKUP(C587,Покупатели,11,0))"),"Алматинская область, г. Каскелен, ул.Каражанова, д.13")</f>
        <v>Алматинская область, г. Каскелен, ул.Каражанова, д.13</v>
      </c>
      <c r="K587" s="36">
        <f t="shared" si="151"/>
        <v>87051472456</v>
      </c>
      <c r="L587" s="36" t="str">
        <f t="shared" si="152"/>
        <v>MX4000004S0002138</v>
      </c>
      <c r="M587" s="36" t="str">
        <f t="shared" ca="1" si="146"/>
        <v>002-2515E50Q13-OK</v>
      </c>
      <c r="N587" s="36" t="str">
        <f t="shared" si="145"/>
        <v>Прицеп 2,5*1,5 м  (до 750 кг.)</v>
      </c>
      <c r="O587" s="36" t="str">
        <f t="shared" si="153"/>
        <v>2 оси</v>
      </c>
      <c r="P587" s="36">
        <f t="shared" si="154"/>
        <v>2025</v>
      </c>
      <c r="Q587" s="34" t="str">
        <f t="shared" ca="1" si="143"/>
        <v>3650*1950*1070</v>
      </c>
      <c r="R587" s="36" t="str">
        <f t="shared" ca="1" si="142"/>
        <v>2500*1500*500</v>
      </c>
      <c r="S587" s="34" t="str">
        <f>VLOOKUP(O587,ОТТС!$A$2:$B$3,2,0)</f>
        <v>ТС KZ Е-KZ.0317.00219.П1 от 17.07.2025</v>
      </c>
      <c r="T587" s="39">
        <v>680000</v>
      </c>
      <c r="U587" s="36" t="str">
        <f t="shared" si="144"/>
        <v>Алматы</v>
      </c>
    </row>
    <row r="588" spans="1:21" ht="13.2">
      <c r="A588" s="34">
        <v>1789</v>
      </c>
      <c r="B588" s="35">
        <f>VLOOKUP(A588,'Реестр договоров'!$A$2:$D$996,2,0)</f>
        <v>45887</v>
      </c>
      <c r="C588" s="36" t="str">
        <f t="shared" si="148"/>
        <v>Хусаинов</v>
      </c>
      <c r="D588" s="36" t="str">
        <f t="shared" si="149"/>
        <v>Казбек</v>
      </c>
      <c r="E588" s="36" t="str">
        <f t="shared" si="147"/>
        <v>Ункерович</v>
      </c>
      <c r="F588" s="36" t="str">
        <f t="shared" si="150"/>
        <v>054237476</v>
      </c>
      <c r="G588" s="37">
        <f>VLOOKUP(F588,Покупатели!$F$2:$N$762,2,0)</f>
        <v>44893</v>
      </c>
      <c r="H588" s="36" t="str">
        <f>VLOOKUP(F588,Покупатели!$F$2:$N$762,3,0)</f>
        <v>МВД РК</v>
      </c>
      <c r="I588" s="36">
        <f>VLOOKUP(C588,Покупатели!$C$2:$M$805,7,0)</f>
        <v>770604350376</v>
      </c>
      <c r="J588" s="36" t="str">
        <f ca="1">IFERROR(__xludf.DUMMYFUNCTION("JOIN("" "", VLOOKUP(C588,Покупатели,8,0),VLOOKUP(C588,Покупатели,9,0),VLOOKUP(C588,Покупатели,10,0),VLOOKUP(C588,Покупатели,11,0))"),"г.Астана р-н Алматы ул.Рыскулбекова д.37/1, кв.50")</f>
        <v>г.Астана р-н Алматы ул.Рыскулбекова д.37/1, кв.50</v>
      </c>
      <c r="K588" s="36">
        <f t="shared" si="151"/>
        <v>87789664441</v>
      </c>
      <c r="L588" s="36" t="str">
        <f t="shared" si="152"/>
        <v>MX4000002S0002259</v>
      </c>
      <c r="M588" s="36" t="str">
        <f t="shared" ca="1" si="146"/>
        <v>002-2013E50Q13-OK</v>
      </c>
      <c r="N588" s="36" t="str">
        <f t="shared" si="145"/>
        <v>Прицеп 2,0*1,25 м  (до 750 кг.)</v>
      </c>
      <c r="O588" s="36" t="str">
        <f t="shared" si="153"/>
        <v>1 ось</v>
      </c>
      <c r="P588" s="36">
        <f t="shared" si="154"/>
        <v>2025</v>
      </c>
      <c r="Q588" s="34" t="str">
        <f t="shared" ca="1" si="143"/>
        <v>3150*1700*1070</v>
      </c>
      <c r="R588" s="36" t="str">
        <f t="shared" ca="1" si="142"/>
        <v>2000*1250*500</v>
      </c>
      <c r="S588" s="34" t="str">
        <f>VLOOKUP(O588,ОТТС!$A$2:$B$3,2,0)</f>
        <v>ТС KZ Е-KZ.0317.00251 от 28.02.2023</v>
      </c>
      <c r="T588" s="39">
        <v>410000</v>
      </c>
      <c r="U588" s="36" t="str">
        <f t="shared" si="144"/>
        <v>Астана</v>
      </c>
    </row>
    <row r="589" spans="1:21" ht="13.2">
      <c r="A589" s="34">
        <v>1791</v>
      </c>
      <c r="B589" s="35">
        <f>VLOOKUP(A589,'Реестр договоров'!$A$2:$D$996,2,0)</f>
        <v>45887</v>
      </c>
      <c r="C589" s="36" t="str">
        <f t="shared" si="148"/>
        <v>Рыбаков</v>
      </c>
      <c r="D589" s="36" t="str">
        <f t="shared" si="149"/>
        <v>Александр</v>
      </c>
      <c r="E589" s="36" t="str">
        <f t="shared" si="147"/>
        <v>Дмитриевич</v>
      </c>
      <c r="F589" s="36" t="str">
        <f t="shared" si="150"/>
        <v>040088208</v>
      </c>
      <c r="G589" s="37">
        <f>VLOOKUP(F589,Покупатели!$F$2:$N$762,2,0)</f>
        <v>42306</v>
      </c>
      <c r="H589" s="36" t="str">
        <f>VLOOKUP(F589,Покупатели!$F$2:$N$762,3,0)</f>
        <v>МВД РК</v>
      </c>
      <c r="I589" s="36">
        <f>VLOOKUP(C589,Покупатели!$C$2:$M$805,7,0)</f>
        <v>831125350953</v>
      </c>
      <c r="J589" s="36" t="str">
        <f ca="1">IFERROR(__xludf.DUMMYFUNCTION("JOIN("" "", VLOOKUP(C589,Покупатели,8,0),VLOOKUP(C589,Покупатели,9,0),VLOOKUP(C589,Покупатели,10,0),VLOOKUP(C589,Покупатели,11,0))"),"Акмолинская обл. Аккольский р-н, г.Акколь ул.Абая д.5, кв.9")</f>
        <v>Акмолинская обл. Аккольский р-н, г.Акколь ул.Абая д.5, кв.9</v>
      </c>
      <c r="K589" s="36">
        <f t="shared" si="151"/>
        <v>87012047404</v>
      </c>
      <c r="L589" s="36" t="str">
        <f t="shared" si="152"/>
        <v>MX4000002S0002240</v>
      </c>
      <c r="M589" s="36" t="str">
        <f t="shared" ca="1" si="146"/>
        <v>002-2013E30Q13-OK</v>
      </c>
      <c r="N589" s="36" t="str">
        <f t="shared" si="145"/>
        <v>Прицеп 2,0*1,25 м  (до 750 кг.)</v>
      </c>
      <c r="O589" s="36" t="str">
        <f t="shared" si="153"/>
        <v>1 ось</v>
      </c>
      <c r="P589" s="36">
        <f t="shared" si="154"/>
        <v>2025</v>
      </c>
      <c r="Q589" s="34" t="str">
        <f t="shared" ca="1" si="143"/>
        <v>3150*1700*900</v>
      </c>
      <c r="R589" s="36" t="str">
        <f t="shared" ca="1" si="142"/>
        <v>2000*1250*300</v>
      </c>
      <c r="S589" s="34" t="str">
        <f>VLOOKUP(O589,ОТТС!$A$2:$B$3,2,0)</f>
        <v>ТС KZ Е-KZ.0317.00251 от 28.02.2023</v>
      </c>
      <c r="T589" s="39">
        <v>340000</v>
      </c>
      <c r="U589" s="36" t="str">
        <f t="shared" si="144"/>
        <v>Астана</v>
      </c>
    </row>
    <row r="590" spans="1:21" ht="13.2">
      <c r="A590" s="34">
        <v>1792</v>
      </c>
      <c r="B590" s="35">
        <f>VLOOKUP(A590,'Реестр договоров'!$A$2:$D$996,2,0)</f>
        <v>45888</v>
      </c>
      <c r="C590" s="36" t="str">
        <f t="shared" si="148"/>
        <v>Исмаилов</v>
      </c>
      <c r="D590" s="36" t="str">
        <f t="shared" si="149"/>
        <v>Равильжан</v>
      </c>
      <c r="E590" s="36" t="str">
        <f t="shared" si="147"/>
        <v>.</v>
      </c>
      <c r="F590" s="36" t="str">
        <f t="shared" si="150"/>
        <v>058536581</v>
      </c>
      <c r="G590" s="37">
        <f>VLOOKUP(F590,Покупатели!$F$2:$N$762,2,0)</f>
        <v>45665</v>
      </c>
      <c r="H590" s="36" t="str">
        <f>VLOOKUP(F590,Покупатели!$F$2:$N$762,3,0)</f>
        <v>МВД РК</v>
      </c>
      <c r="I590" s="36">
        <f>VLOOKUP(C590,Покупатели!$C$2:$M$805,7,0)</f>
        <v>761224300523</v>
      </c>
      <c r="J590" s="36" t="str">
        <f ca="1">IFERROR(__xludf.DUMMYFUNCTION("JOIN("" "", VLOOKUP(C590,Покупатели,8,0),VLOOKUP(C590,Покупатели,9,0),VLOOKUP(C590,Покупатели,10,0),VLOOKUP(C590,Покупатели,11,0))"),"Алматинская область, Енбекшиказахский район, с. Кайназар, ул. Алматинская, д.66")</f>
        <v>Алматинская область, Енбекшиказахский район, с. Кайназар, ул. Алматинская, д.66</v>
      </c>
      <c r="K590" s="36">
        <f t="shared" si="151"/>
        <v>87771621888</v>
      </c>
      <c r="L590" s="36" t="str">
        <f t="shared" si="152"/>
        <v>MX4000002S0002063</v>
      </c>
      <c r="M590" s="36" t="str">
        <f t="shared" ca="1" si="146"/>
        <v>002-2013E50Q13-OK60</v>
      </c>
      <c r="N590" s="36" t="str">
        <f t="shared" si="145"/>
        <v>Прицеп 2,0*1,25 м  (до 750 кг.)</v>
      </c>
      <c r="O590" s="36" t="str">
        <f t="shared" si="153"/>
        <v>1 ось</v>
      </c>
      <c r="P590" s="36">
        <f t="shared" si="154"/>
        <v>2025</v>
      </c>
      <c r="Q590" s="34" t="str">
        <f t="shared" ca="1" si="143"/>
        <v>3150*1700*1070</v>
      </c>
      <c r="R590" s="36" t="str">
        <f t="shared" ca="1" si="142"/>
        <v>2000*1250*500</v>
      </c>
      <c r="S590" s="34" t="str">
        <f>VLOOKUP(O590,ОТТС!$A$2:$B$3,2,0)</f>
        <v>ТС KZ Е-KZ.0317.00251 от 28.02.2023</v>
      </c>
      <c r="T590" s="39">
        <v>420000</v>
      </c>
      <c r="U590" s="36" t="str">
        <f t="shared" si="144"/>
        <v>Алматы</v>
      </c>
    </row>
    <row r="591" spans="1:21" ht="13.2">
      <c r="A591" s="34">
        <v>1793</v>
      </c>
      <c r="B591" s="35">
        <f>VLOOKUP(A591,'Реестр договоров'!$A$2:$D$996,2,0)</f>
        <v>45889</v>
      </c>
      <c r="C591" s="36" t="str">
        <f t="shared" si="148"/>
        <v>Балтаханова</v>
      </c>
      <c r="D591" s="36" t="str">
        <f t="shared" si="149"/>
        <v>Камила</v>
      </c>
      <c r="E591" s="36" t="str">
        <f t="shared" si="147"/>
        <v>Джаманбаевна</v>
      </c>
      <c r="F591" s="36" t="str">
        <f t="shared" si="150"/>
        <v>018135656</v>
      </c>
      <c r="G591" s="37">
        <f>VLOOKUP(F591,Покупатели!$F$2:$N$762,2,0)</f>
        <v>38726</v>
      </c>
      <c r="H591" s="36" t="str">
        <f>VLOOKUP(F591,Покупатели!$F$2:$N$762,3,0)</f>
        <v>МЮ РК</v>
      </c>
      <c r="I591" s="36">
        <f>VLOOKUP(C591,Покупатели!$C$2:$M$805,7,0)</f>
        <v>600129401537</v>
      </c>
      <c r="J591" s="36" t="str">
        <f ca="1">IFERROR(__xludf.DUMMYFUNCTION("JOIN("" "", VLOOKUP(C591,Покупатели,8,0),VLOOKUP(C591,Покупатели,9,0),VLOOKUP(C591,Покупатели,10,0),VLOOKUP(C591,Покупатели,11,0))"),"Алматинская область, Карасайский район, с.Ельтай, ул.Абдильда, д.260")</f>
        <v>Алматинская область, Карасайский район, с.Ельтай, ул.Абдильда, д.260</v>
      </c>
      <c r="K591" s="36">
        <f t="shared" si="151"/>
        <v>87073241245</v>
      </c>
      <c r="L591" s="36" t="str">
        <f t="shared" si="152"/>
        <v>MX4000002S0002066</v>
      </c>
      <c r="M591" s="36" t="str">
        <f t="shared" ca="1" si="146"/>
        <v>002-2013E30Q13-OK</v>
      </c>
      <c r="N591" s="36" t="str">
        <f t="shared" si="145"/>
        <v>Прицеп 2,0*1,25 м  (до 750 кг.)</v>
      </c>
      <c r="O591" s="36" t="str">
        <f t="shared" si="153"/>
        <v>1 ось</v>
      </c>
      <c r="P591" s="36">
        <f t="shared" si="154"/>
        <v>2025</v>
      </c>
      <c r="Q591" s="34" t="str">
        <f t="shared" ca="1" si="143"/>
        <v>3150*1700*900</v>
      </c>
      <c r="R591" s="36" t="str">
        <f t="shared" ref="R591:R654" ca="1" si="155">VLOOKUP(M591,матрица,17,0)</f>
        <v>2000*1250*300</v>
      </c>
      <c r="S591" s="34" t="str">
        <f>VLOOKUP(O591,ОТТС!$A$2:$B$3,2,0)</f>
        <v>ТС KZ Е-KZ.0317.00251 от 28.02.2023</v>
      </c>
      <c r="T591" s="39">
        <v>350000</v>
      </c>
      <c r="U591" s="36" t="str">
        <f t="shared" si="144"/>
        <v>Алматы</v>
      </c>
    </row>
    <row r="592" spans="1:21" ht="13.2">
      <c r="A592" s="34">
        <v>1794</v>
      </c>
      <c r="B592" s="35">
        <f>VLOOKUP(A592,'Реестр договоров'!$A$2:$D$996,2,0)</f>
        <v>45889</v>
      </c>
      <c r="C592" s="36" t="str">
        <f t="shared" si="148"/>
        <v>Портнягин</v>
      </c>
      <c r="D592" s="36" t="str">
        <f t="shared" si="149"/>
        <v>Руслан</v>
      </c>
      <c r="E592" s="36" t="str">
        <f t="shared" si="147"/>
        <v>Григорьевич</v>
      </c>
      <c r="F592" s="36" t="str">
        <f t="shared" si="150"/>
        <v>040933537</v>
      </c>
      <c r="G592" s="37">
        <f>VLOOKUP(F592,Покупатели!$F$2:$N$762,2,0)</f>
        <v>42706</v>
      </c>
      <c r="H592" s="36" t="str">
        <f>VLOOKUP(F592,Покупатели!$F$2:$N$762,3,0)</f>
        <v>МВД РК</v>
      </c>
      <c r="I592" s="36">
        <f>VLOOKUP(C592,Покупатели!$C$2:$M$805,7,0)</f>
        <v>911120301073</v>
      </c>
      <c r="J592" s="36" t="str">
        <f ca="1">IFERROR(__xludf.DUMMYFUNCTION("JOIN("" "", VLOOKUP(C592,Покупатели,8,0),VLOOKUP(C592,Покупатели,9,0),VLOOKUP(C592,Покупатели,10,0),VLOOKUP(C592,Покупатели,11,0))"),"Алматинская область, Енбекшиказахский район, с. Кайпова, ул. Гани-батыр, д.16а")</f>
        <v>Алматинская область, Енбекшиказахский район, с. Кайпова, ул. Гани-батыр, д.16а</v>
      </c>
      <c r="K592" s="36">
        <f t="shared" si="151"/>
        <v>87075097945</v>
      </c>
      <c r="L592" s="36" t="str">
        <f t="shared" si="152"/>
        <v>MX4000002S0002126</v>
      </c>
      <c r="M592" s="36" t="str">
        <f t="shared" ca="1" si="146"/>
        <v>002-2513E30Q13-OK</v>
      </c>
      <c r="N592" s="36" t="str">
        <f t="shared" si="145"/>
        <v>Прицеп 2,5*1,25 м  (до 750 кг.)</v>
      </c>
      <c r="O592" s="36" t="str">
        <f t="shared" si="153"/>
        <v>1 ось</v>
      </c>
      <c r="P592" s="36">
        <f t="shared" si="154"/>
        <v>2025</v>
      </c>
      <c r="Q592" s="34" t="str">
        <f t="shared" ca="1" si="143"/>
        <v>3650*1700*900</v>
      </c>
      <c r="R592" s="36" t="str">
        <f t="shared" ca="1" si="155"/>
        <v>2500*1250*300</v>
      </c>
      <c r="S592" s="34" t="str">
        <f>VLOOKUP(O592,ОТТС!$A$2:$B$3,2,0)</f>
        <v>ТС KZ Е-KZ.0317.00251 от 28.02.2023</v>
      </c>
      <c r="T592" s="39">
        <v>400000</v>
      </c>
      <c r="U592" s="36" t="str">
        <f t="shared" si="144"/>
        <v>Алматы</v>
      </c>
    </row>
    <row r="593" spans="1:21" ht="13.2">
      <c r="A593" s="34">
        <v>1795</v>
      </c>
      <c r="B593" s="35">
        <f>VLOOKUP(A593,'Реестр договоров'!$A$2:$D$996,2,0)</f>
        <v>45890</v>
      </c>
      <c r="C593" s="36" t="str">
        <f t="shared" si="148"/>
        <v>Трусов</v>
      </c>
      <c r="D593" s="36" t="str">
        <f t="shared" si="149"/>
        <v>Тимур</v>
      </c>
      <c r="E593" s="36" t="str">
        <f t="shared" si="147"/>
        <v>Андреевич</v>
      </c>
      <c r="F593" s="36" t="str">
        <f t="shared" si="150"/>
        <v>060380153</v>
      </c>
      <c r="G593" s="37">
        <f>VLOOKUP(F593,Покупатели!$F$2:$N$762,2,0)</f>
        <v>45875</v>
      </c>
      <c r="H593" s="36" t="str">
        <f>VLOOKUP(F593,Покупатели!$F$2:$N$762,3,0)</f>
        <v>МВД РК</v>
      </c>
      <c r="I593" s="36">
        <f>VLOOKUP(C593,Покупатели!$C$2:$M$805,7,0)</f>
        <v>900607300028</v>
      </c>
      <c r="J593" s="36" t="str">
        <f ca="1">IFERROR(__xludf.DUMMYFUNCTION("JOIN("" "", VLOOKUP(C593,Покупатели,8,0),VLOOKUP(C593,Покупатели,9,0),VLOOKUP(C593,Покупатели,10,0),VLOOKUP(C593,Покупатели,11,0))"),"г.Алматы, ул.Коктем, д.8, кв.29")</f>
        <v>г.Алматы, ул.Коктем, д.8, кв.29</v>
      </c>
      <c r="K593" s="36">
        <f t="shared" si="151"/>
        <v>87777777328</v>
      </c>
      <c r="L593" s="36" t="str">
        <f t="shared" si="152"/>
        <v>MX4000002S0002127</v>
      </c>
      <c r="M593" s="36" t="str">
        <f t="shared" ca="1" si="146"/>
        <v>002-2513E30Q13-OK</v>
      </c>
      <c r="N593" s="36" t="str">
        <f t="shared" si="145"/>
        <v>Прицеп 2,5*1,25 м  (до 750 кг.)</v>
      </c>
      <c r="O593" s="36" t="str">
        <f t="shared" si="153"/>
        <v>1 ось</v>
      </c>
      <c r="P593" s="36">
        <f t="shared" si="154"/>
        <v>2025</v>
      </c>
      <c r="Q593" s="34" t="str">
        <f t="shared" ref="Q593:Q656" ca="1" si="156">VLOOKUP(M593,матрица,16,0)</f>
        <v>3650*1700*900</v>
      </c>
      <c r="R593" s="36" t="str">
        <f t="shared" ca="1" si="155"/>
        <v>2500*1250*300</v>
      </c>
      <c r="S593" s="34" t="str">
        <f>VLOOKUP(O593,ОТТС!$A$2:$B$3,2,0)</f>
        <v>ТС KZ Е-KZ.0317.00251 от 28.02.2023</v>
      </c>
      <c r="T593" s="39">
        <v>400000</v>
      </c>
      <c r="U593" s="36" t="str">
        <f t="shared" si="144"/>
        <v>Алматы</v>
      </c>
    </row>
    <row r="594" spans="1:21" ht="13.2">
      <c r="A594" s="34">
        <v>1796</v>
      </c>
      <c r="B594" s="35">
        <f>VLOOKUP(A594,'Реестр договоров'!$A$2:$D$996,2,0)</f>
        <v>45890</v>
      </c>
      <c r="C594" s="36" t="str">
        <f t="shared" si="148"/>
        <v>Куатов</v>
      </c>
      <c r="D594" s="36" t="str">
        <f t="shared" si="149"/>
        <v>Абылай</v>
      </c>
      <c r="E594" s="36" t="str">
        <f t="shared" si="147"/>
        <v>Катайулы</v>
      </c>
      <c r="F594" s="36" t="str">
        <f t="shared" si="150"/>
        <v>041116325</v>
      </c>
      <c r="G594" s="37">
        <f>VLOOKUP(F594,Покупатели!$F$2:$N$762,2,0)</f>
        <v>42758</v>
      </c>
      <c r="H594" s="36" t="str">
        <f>VLOOKUP(F594,Покупатели!$F$2:$N$762,3,0)</f>
        <v>МВД РК</v>
      </c>
      <c r="I594" s="36">
        <f>VLOOKUP(C594,Покупатели!$C$2:$M$805,7,0)</f>
        <v>920118300668</v>
      </c>
      <c r="J594" s="36" t="str">
        <f ca="1">IFERROR(__xludf.DUMMYFUNCTION("JOIN("" "", VLOOKUP(C594,Покупатели,8,0),VLOOKUP(C594,Покупатели,9,0),VLOOKUP(C594,Покупатели,10,0),VLOOKUP(C594,Покупатели,11,0))"),"Жетісу область, г. Талдыкорган, с.о. Отенайский, с.Отенай, ул.Байқоңыр, д.28")</f>
        <v>Жетісу область, г. Талдыкорган, с.о. Отенайский, с.Отенай, ул.Байқоңыр, д.28</v>
      </c>
      <c r="K594" s="36">
        <f t="shared" si="151"/>
        <v>87000951505</v>
      </c>
      <c r="L594" s="36" t="str">
        <f t="shared" si="152"/>
        <v>MX4000002R0001617</v>
      </c>
      <c r="M594" s="36" t="str">
        <f t="shared" ca="1" si="146"/>
        <v>002-2513E30Q13-OK</v>
      </c>
      <c r="N594" s="36" t="str">
        <f t="shared" si="145"/>
        <v>Прицеп 2,5*1,25 м  (до 750 кг.)</v>
      </c>
      <c r="O594" s="36" t="str">
        <f t="shared" si="153"/>
        <v>1 ось</v>
      </c>
      <c r="P594" s="36">
        <f t="shared" si="154"/>
        <v>2024</v>
      </c>
      <c r="Q594" s="34" t="str">
        <f t="shared" ca="1" si="156"/>
        <v>3650*1700*900</v>
      </c>
      <c r="R594" s="36" t="str">
        <f t="shared" ca="1" si="155"/>
        <v>2500*1250*300</v>
      </c>
      <c r="S594" s="34" t="str">
        <f>VLOOKUP(O594,ОТТС!$A$2:$B$3,2,0)</f>
        <v>ТС KZ Е-KZ.0317.00251 от 28.02.2023</v>
      </c>
      <c r="T594" s="39">
        <v>370000</v>
      </c>
      <c r="U594" s="36" t="str">
        <f t="shared" ref="U594:U657" si="157">VLOOKUP(L594,ПРИЦЕПЫ,9,0)</f>
        <v>Алматы</v>
      </c>
    </row>
    <row r="595" spans="1:21" ht="13.2">
      <c r="A595" s="34">
        <v>1797</v>
      </c>
      <c r="B595" s="35">
        <f>VLOOKUP(A595,'Реестр договоров'!$A$2:$D$996,2,0)</f>
        <v>45890</v>
      </c>
      <c r="C595" s="36" t="str">
        <f t="shared" si="148"/>
        <v>Белосаров</v>
      </c>
      <c r="D595" s="36" t="str">
        <f t="shared" si="149"/>
        <v>Ризабек</v>
      </c>
      <c r="E595" s="36" t="str">
        <f t="shared" si="147"/>
        <v>Маданияшевич</v>
      </c>
      <c r="F595" s="36" t="str">
        <f t="shared" si="150"/>
        <v>053540534</v>
      </c>
      <c r="G595" s="37">
        <f>VLOOKUP(F595,Покупатели!$F$2:$N$762,2,0)</f>
        <v>44791</v>
      </c>
      <c r="H595" s="36" t="str">
        <f>VLOOKUP(F595,Покупатели!$F$2:$N$762,3,0)</f>
        <v>МВД РК</v>
      </c>
      <c r="I595" s="36">
        <f>VLOOKUP(C595,Покупатели!$C$2:$M$805,7,0)</f>
        <v>811014350410</v>
      </c>
      <c r="J595" s="36" t="str">
        <f ca="1">IFERROR(__xludf.DUMMYFUNCTION("JOIN("" "", VLOOKUP(C595,Покупатели,8,0),VLOOKUP(C595,Покупатели,9,0),VLOOKUP(C595,Покупатели,10,0),VLOOKUP(C595,Покупатели,11,0))"),"Акмолинская обл г.Косшы ул.Макатаева  д.40")</f>
        <v>Акмолинская обл г.Косшы ул.Макатаева  д.40</v>
      </c>
      <c r="K595" s="36">
        <f t="shared" si="151"/>
        <v>87712066799</v>
      </c>
      <c r="L595" s="36" t="str">
        <f t="shared" si="152"/>
        <v>MX4000002S0002295</v>
      </c>
      <c r="M595" s="36" t="str">
        <f t="shared" ca="1" si="146"/>
        <v>002-2013E50Q13-OK</v>
      </c>
      <c r="N595" s="36" t="str">
        <f t="shared" si="145"/>
        <v>Прицеп 2,0*1,25 м  (до 750 кг.)</v>
      </c>
      <c r="O595" s="36" t="str">
        <f t="shared" si="153"/>
        <v>1 ось</v>
      </c>
      <c r="P595" s="36">
        <f t="shared" si="154"/>
        <v>2025</v>
      </c>
      <c r="Q595" s="34" t="str">
        <f t="shared" ca="1" si="156"/>
        <v>3150*1700*1070</v>
      </c>
      <c r="R595" s="36" t="str">
        <f t="shared" ca="1" si="155"/>
        <v>2000*1250*500</v>
      </c>
      <c r="S595" s="34" t="str">
        <f>VLOOKUP(O595,ОТТС!$A$2:$B$3,2,0)</f>
        <v>ТС KZ Е-KZ.0317.00251 от 28.02.2023</v>
      </c>
      <c r="T595" s="39">
        <v>340000</v>
      </c>
      <c r="U595" s="36" t="str">
        <f t="shared" si="157"/>
        <v>Астана</v>
      </c>
    </row>
    <row r="596" spans="1:21" ht="13.2">
      <c r="A596" s="34">
        <v>1798</v>
      </c>
      <c r="B596" s="35">
        <f>VLOOKUP(A596,'Реестр договоров'!$A$2:$D$996,2,0)</f>
        <v>45891</v>
      </c>
      <c r="C596" s="36" t="str">
        <f t="shared" si="148"/>
        <v>Усимбаев</v>
      </c>
      <c r="D596" s="36" t="str">
        <f t="shared" si="149"/>
        <v>Асылхан</v>
      </c>
      <c r="E596" s="36" t="str">
        <f t="shared" si="147"/>
        <v>Бауыржанович</v>
      </c>
      <c r="F596" s="36" t="str">
        <f t="shared" si="150"/>
        <v>044143609</v>
      </c>
      <c r="G596" s="37">
        <f>VLOOKUP(F596,Покупатели!$F$2:$N$762,2,0)</f>
        <v>43530</v>
      </c>
      <c r="H596" s="36" t="str">
        <f>VLOOKUP(F596,Покупатели!$F$2:$N$762,3,0)</f>
        <v>МВД РК</v>
      </c>
      <c r="I596" s="36">
        <f>VLOOKUP(C596,Покупатели!$C$2:$M$805,7,0)</f>
        <v>890808301916</v>
      </c>
      <c r="J596" s="36" t="str">
        <f ca="1">IFERROR(__xludf.DUMMYFUNCTION("JOIN("" "", VLOOKUP(C596,Покупатели,8,0),VLOOKUP(C596,Покупатели,9,0),VLOOKUP(C596,Покупатели,10,0),VLOOKUP(C596,Покупатели,11,0))"),"Жетысуская область, Панфиловский район, г. Жаркент, ул. Уалиханова, д.245/5")</f>
        <v>Жетысуская область, Панфиловский район, г. Жаркент, ул. Уалиханова, д.245/5</v>
      </c>
      <c r="K596" s="36">
        <f t="shared" si="151"/>
        <v>87714003442</v>
      </c>
      <c r="L596" s="36" t="str">
        <f t="shared" si="152"/>
        <v>MX4000002S0002061</v>
      </c>
      <c r="M596" s="36" t="str">
        <f t="shared" ca="1" si="146"/>
        <v>002-2013E30Q13-OK</v>
      </c>
      <c r="N596" s="36" t="str">
        <f t="shared" si="145"/>
        <v>Прицеп 2,0*1,25 м  (до 750 кг.)</v>
      </c>
      <c r="O596" s="36" t="str">
        <f t="shared" si="153"/>
        <v>1 ось</v>
      </c>
      <c r="P596" s="36">
        <f t="shared" si="154"/>
        <v>2025</v>
      </c>
      <c r="Q596" s="34" t="str">
        <f t="shared" ca="1" si="156"/>
        <v>3150*1700*900</v>
      </c>
      <c r="R596" s="36" t="str">
        <f t="shared" ca="1" si="155"/>
        <v>2000*1250*300</v>
      </c>
      <c r="S596" s="34" t="str">
        <f>VLOOKUP(O596,ОТТС!$A$2:$B$3,2,0)</f>
        <v>ТС KZ Е-KZ.0317.00251 от 28.02.2023</v>
      </c>
      <c r="T596" s="39">
        <v>330000</v>
      </c>
      <c r="U596" s="36" t="str">
        <f t="shared" si="157"/>
        <v>Алматы</v>
      </c>
    </row>
    <row r="597" spans="1:21" ht="13.2">
      <c r="A597" s="34">
        <v>1800</v>
      </c>
      <c r="B597" s="35">
        <f>VLOOKUP(A597,'Реестр договоров'!$A$2:$D$996,2,0)</f>
        <v>45891</v>
      </c>
      <c r="C597" s="36" t="str">
        <f t="shared" si="148"/>
        <v>Петров</v>
      </c>
      <c r="D597" s="36" t="str">
        <f t="shared" si="149"/>
        <v>Алексей</v>
      </c>
      <c r="E597" s="36" t="str">
        <f t="shared" si="147"/>
        <v>Андреевич</v>
      </c>
      <c r="F597" s="36" t="str">
        <f t="shared" si="150"/>
        <v>058920199</v>
      </c>
      <c r="G597" s="37">
        <f>VLOOKUP(F597,Покупатели!$F$2:$N$762,2,0)</f>
        <v>45705</v>
      </c>
      <c r="H597" s="36" t="str">
        <f>VLOOKUP(F597,Покупатели!$F$2:$N$762,3,0)</f>
        <v>МВД РК</v>
      </c>
      <c r="I597" s="36">
        <f>VLOOKUP(C597,Покупатели!$C$2:$M$805,7,0)</f>
        <v>990129301597</v>
      </c>
      <c r="J597" s="36" t="str">
        <f ca="1">IFERROR(__xludf.DUMMYFUNCTION("JOIN("" "", VLOOKUP(C597,Покупатели,8,0),VLOOKUP(C597,Покупатели,9,0),VLOOKUP(C597,Покупатели,10,0),VLOOKUP(C597,Покупатели,11,0))"),"г.Алматы, мкр-н Сайран, д.10, кв.64")</f>
        <v>г.Алматы, мкр-н Сайран, д.10, кв.64</v>
      </c>
      <c r="K597" s="36">
        <f t="shared" si="151"/>
        <v>87078755227</v>
      </c>
      <c r="L597" s="36" t="str">
        <f t="shared" si="152"/>
        <v>MX4000002S0002129</v>
      </c>
      <c r="M597" s="36" t="str">
        <f t="shared" ca="1" si="146"/>
        <v>002-2513E50Q13-OK</v>
      </c>
      <c r="N597" s="36" t="str">
        <f t="shared" si="145"/>
        <v>Прицеп 2,5*1,25 м  (до 750 кг.)</v>
      </c>
      <c r="O597" s="36" t="str">
        <f t="shared" si="153"/>
        <v>1 ось</v>
      </c>
      <c r="P597" s="36">
        <f t="shared" si="154"/>
        <v>2025</v>
      </c>
      <c r="Q597" s="34" t="str">
        <f t="shared" ca="1" si="156"/>
        <v>3650*1700*1070</v>
      </c>
      <c r="R597" s="36" t="str">
        <f t="shared" ca="1" si="155"/>
        <v>2500*1250*500</v>
      </c>
      <c r="S597" s="34" t="str">
        <f>VLOOKUP(O597,ОТТС!$A$2:$B$3,2,0)</f>
        <v>ТС KZ Е-KZ.0317.00251 от 28.02.2023</v>
      </c>
      <c r="T597" s="39">
        <v>460000</v>
      </c>
      <c r="U597" s="36" t="str">
        <f t="shared" si="157"/>
        <v>Алматы</v>
      </c>
    </row>
    <row r="598" spans="1:21" ht="13.2">
      <c r="A598" s="34">
        <v>1801</v>
      </c>
      <c r="B598" s="35">
        <f>VLOOKUP(A598,'Реестр договоров'!$A$2:$D$996,2,0)</f>
        <v>45894</v>
      </c>
      <c r="C598" s="36" t="str">
        <f t="shared" si="148"/>
        <v>Садретдинов</v>
      </c>
      <c r="D598" s="36" t="str">
        <f t="shared" si="149"/>
        <v>Рафик</v>
      </c>
      <c r="E598" s="36" t="str">
        <f t="shared" si="147"/>
        <v>Шарибзянович</v>
      </c>
      <c r="F598" s="36" t="str">
        <f t="shared" si="150"/>
        <v>053347124</v>
      </c>
      <c r="G598" s="37">
        <f>VLOOKUP(F598,Покупатели!$F$2:$N$762,2,0)</f>
        <v>44761</v>
      </c>
      <c r="H598" s="36" t="str">
        <f>VLOOKUP(F598,Покупатели!$F$2:$N$762,3,0)</f>
        <v>МВД РК</v>
      </c>
      <c r="I598" s="36">
        <f>VLOOKUP(C598,Покупатели!$C$2:$M$805,7,0)</f>
        <v>620503300787</v>
      </c>
      <c r="J598" s="36" t="str">
        <f ca="1">IFERROR(__xludf.DUMMYFUNCTION("JOIN("" "", VLOOKUP(C598,Покупатели,8,0),VLOOKUP(C598,Покупатели,9,0),VLOOKUP(C598,Покупатели,10,0),VLOOKUP(C598,Покупатели,11,0))"),"Акмолинская область, г.Кокшетау, Сабатаева, д.52")</f>
        <v>Акмолинская область, г.Кокшетау, Сабатаева, д.52</v>
      </c>
      <c r="K598" s="36">
        <f t="shared" si="151"/>
        <v>87029163373</v>
      </c>
      <c r="L598" s="36" t="str">
        <f t="shared" si="152"/>
        <v>MX4000002S0002304</v>
      </c>
      <c r="M598" s="36" t="str">
        <f t="shared" ca="1" si="146"/>
        <v>002-2013E30Q13-OK</v>
      </c>
      <c r="N598" s="36" t="str">
        <f t="shared" si="145"/>
        <v>Прицеп 2,0*1,25 м  (до 750 кг.)</v>
      </c>
      <c r="O598" s="36" t="str">
        <f t="shared" si="153"/>
        <v>1 ось</v>
      </c>
      <c r="P598" s="36">
        <f t="shared" si="154"/>
        <v>2025</v>
      </c>
      <c r="Q598" s="34" t="str">
        <f t="shared" ca="1" si="156"/>
        <v>3150*1700*900</v>
      </c>
      <c r="R598" s="36" t="str">
        <f t="shared" ca="1" si="155"/>
        <v>2000*1250*300</v>
      </c>
      <c r="S598" s="34" t="str">
        <f>VLOOKUP(O598,ОТТС!$A$2:$B$3,2,0)</f>
        <v>ТС KZ Е-KZ.0317.00251 от 28.02.2023</v>
      </c>
      <c r="T598" s="39">
        <v>380000</v>
      </c>
      <c r="U598" s="36" t="str">
        <f t="shared" si="157"/>
        <v>Кокшетау</v>
      </c>
    </row>
    <row r="599" spans="1:21" ht="13.2">
      <c r="A599" s="34">
        <v>1802</v>
      </c>
      <c r="B599" s="35">
        <f>VLOOKUP(A599,'Реестр договоров'!$A$2:$D$996,2,0)</f>
        <v>45894</v>
      </c>
      <c r="C599" s="36" t="str">
        <f t="shared" si="148"/>
        <v>Burkit</v>
      </c>
      <c r="D599" s="36" t="str">
        <f t="shared" si="149"/>
        <v>Myrzabyek</v>
      </c>
      <c r="E599" s="36">
        <f t="shared" si="147"/>
        <v>0</v>
      </c>
      <c r="F599" s="36" t="str">
        <f t="shared" si="150"/>
        <v>PE0754046</v>
      </c>
      <c r="G599" s="37">
        <f>VLOOKUP(F599,Покупатели!$F$2:$N$762,2,0)</f>
        <v>45685</v>
      </c>
      <c r="H599" s="36" t="str">
        <f>VLOOKUP(F599,Покупатели!$F$2:$N$762,3,0)</f>
        <v>General Authority for State Registration of Mongolia</v>
      </c>
      <c r="I599" s="36" t="str">
        <f>VLOOKUP(C599,Покупатели!$C$2:$M$805,7,0)</f>
        <v>BZ99083012</v>
      </c>
      <c r="J599" s="36" t="str">
        <f ca="1">IFERROR(__xludf.DUMMYFUNCTION("JOIN("" "", VLOOKUP(C599,Покупатели,8,0),VLOOKUP(C599,Покупатели,9,0),VLOOKUP(C599,Покупатели,10,0),VLOOKUP(C599,Покупатели,11,0))"),"Монголия Баяан олгий 9-рбаг хох 1040")</f>
        <v>Монголия Баяан олгий 9-рбаг хох 1040</v>
      </c>
      <c r="K599" s="36">
        <f t="shared" si="151"/>
        <v>87782382356</v>
      </c>
      <c r="L599" s="36" t="str">
        <f t="shared" si="152"/>
        <v>MX4000002S0002239</v>
      </c>
      <c r="M599" s="36" t="str">
        <f t="shared" ca="1" si="146"/>
        <v>002-2013E30Q13-OK</v>
      </c>
      <c r="N599" s="36" t="str">
        <f t="shared" si="145"/>
        <v>Прицеп 2,0*1,25 м  (до 750 кг.)</v>
      </c>
      <c r="O599" s="36" t="str">
        <f t="shared" si="153"/>
        <v>1 ось</v>
      </c>
      <c r="P599" s="36">
        <f t="shared" si="154"/>
        <v>2025</v>
      </c>
      <c r="Q599" s="34" t="str">
        <f t="shared" ca="1" si="156"/>
        <v>3150*1700*900</v>
      </c>
      <c r="R599" s="36" t="str">
        <f t="shared" ca="1" si="155"/>
        <v>2000*1250*300</v>
      </c>
      <c r="S599" s="34" t="str">
        <f>VLOOKUP(O599,ОТТС!$A$2:$B$3,2,0)</f>
        <v>ТС KZ Е-KZ.0317.00251 от 28.02.2023</v>
      </c>
      <c r="T599" s="39">
        <v>200000</v>
      </c>
      <c r="U599" s="36" t="str">
        <f t="shared" si="157"/>
        <v>Астана</v>
      </c>
    </row>
    <row r="600" spans="1:21" ht="13.2">
      <c r="A600" s="34">
        <v>1803</v>
      </c>
      <c r="B600" s="35">
        <f>VLOOKUP(A600,'Реестр договоров'!$A$2:$D$996,2,0)</f>
        <v>45894</v>
      </c>
      <c r="C600" s="36" t="str">
        <f t="shared" si="148"/>
        <v>Нурдунов</v>
      </c>
      <c r="D600" s="36" t="str">
        <f t="shared" si="149"/>
        <v>Рустамжан</v>
      </c>
      <c r="E600" s="36" t="str">
        <f t="shared" si="147"/>
        <v>Алимджанович</v>
      </c>
      <c r="F600" s="36" t="str">
        <f t="shared" si="150"/>
        <v>045669003</v>
      </c>
      <c r="G600" s="37">
        <f>VLOOKUP(F600,Покупатели!$F$2:$N$762,2,0)</f>
        <v>43851</v>
      </c>
      <c r="H600" s="36" t="str">
        <f>VLOOKUP(F600,Покупатели!$F$2:$N$762,3,0)</f>
        <v>МВД РК</v>
      </c>
      <c r="I600" s="36">
        <f>VLOOKUP(C600,Покупатели!$C$2:$M$805,7,0)</f>
        <v>840730300509</v>
      </c>
      <c r="J600" s="36" t="str">
        <f ca="1">IFERROR(__xludf.DUMMYFUNCTION("JOIN("" "", VLOOKUP(C600,Покупатели,8,0),VLOOKUP(C600,Покупатели,9,0),VLOOKUP(C600,Покупатели,10,0),VLOOKUP(C600,Покупатели,11,0))"),"г.Алматы, мкр-н Шапагат, ул. Талбесик, д.6")</f>
        <v>г.Алматы, мкр-н Шапагат, ул. Талбесик, д.6</v>
      </c>
      <c r="K600" s="36">
        <f t="shared" si="151"/>
        <v>87479004767</v>
      </c>
      <c r="L600" s="36" t="str">
        <f t="shared" si="152"/>
        <v>MX4000002S0001938</v>
      </c>
      <c r="M600" s="36" t="str">
        <f t="shared" ca="1" si="146"/>
        <v>002-2513E50Q13-OK</v>
      </c>
      <c r="N600" s="36" t="str">
        <f t="shared" si="145"/>
        <v>Прицеп 2,5*1,25 м  (до 750 кг.)</v>
      </c>
      <c r="O600" s="36" t="str">
        <f t="shared" si="153"/>
        <v>1 ось</v>
      </c>
      <c r="P600" s="36">
        <f t="shared" si="154"/>
        <v>2025</v>
      </c>
      <c r="Q600" s="34" t="str">
        <f t="shared" ca="1" si="156"/>
        <v>3650*1700*1070</v>
      </c>
      <c r="R600" s="36" t="str">
        <f t="shared" ca="1" si="155"/>
        <v>2500*1250*500</v>
      </c>
      <c r="S600" s="34" t="str">
        <f>VLOOKUP(O600,ОТТС!$A$2:$B$3,2,0)</f>
        <v>ТС KZ Е-KZ.0317.00251 от 28.02.2023</v>
      </c>
      <c r="T600" s="39">
        <v>480000</v>
      </c>
      <c r="U600" s="36" t="str">
        <f t="shared" si="157"/>
        <v>Алматы</v>
      </c>
    </row>
    <row r="601" spans="1:21" ht="13.2">
      <c r="A601" s="34">
        <v>1804</v>
      </c>
      <c r="B601" s="35">
        <f>VLOOKUP(A601,'Реестр договоров'!$A$2:$D$996,2,0)</f>
        <v>45895</v>
      </c>
      <c r="C601" s="36" t="str">
        <f t="shared" si="148"/>
        <v>Тажибаев</v>
      </c>
      <c r="D601" s="36" t="str">
        <f t="shared" si="149"/>
        <v>Жангельды</v>
      </c>
      <c r="E601" s="36" t="str">
        <f t="shared" si="147"/>
        <v>Халилуллаевич</v>
      </c>
      <c r="F601" s="36" t="str">
        <f t="shared" si="150"/>
        <v>055190386</v>
      </c>
      <c r="G601" s="37">
        <f>VLOOKUP(F601,Покупатели!$F$2:$N$762,2,0)</f>
        <v>45041</v>
      </c>
      <c r="H601" s="36" t="str">
        <f>VLOOKUP(F601,Покупатели!$F$2:$N$762,3,0)</f>
        <v>МВД РК</v>
      </c>
      <c r="I601" s="36">
        <f>VLOOKUP(C601,Покупатели!$C$2:$M$805,7,0)</f>
        <v>820425301208</v>
      </c>
      <c r="J601" s="36" t="str">
        <f ca="1">IFERROR(__xludf.DUMMYFUNCTION("JOIN("" "", VLOOKUP(C601,Покупатели,8,0),VLOOKUP(C601,Покупатели,9,0),VLOOKUP(C601,Покупатели,10,0),VLOOKUP(C601,Покупатели,11,0))"),"Астана р-н Нура ул.Туран д.56, кв.197")</f>
        <v>Астана р-н Нура ул.Туран д.56, кв.197</v>
      </c>
      <c r="K601" s="36">
        <f t="shared" si="151"/>
        <v>87028473123</v>
      </c>
      <c r="L601" s="36" t="str">
        <f t="shared" si="152"/>
        <v>MX4000002S0002296</v>
      </c>
      <c r="M601" s="36" t="str">
        <f t="shared" ca="1" si="146"/>
        <v>002-2013E50Q13-OK</v>
      </c>
      <c r="N601" s="36" t="str">
        <f t="shared" ref="N601:N664" si="158">VLOOKUP(L601,ПРИЦЕПЫ,2,0)</f>
        <v>Прицеп 2,0*1,25 м  (до 750 кг.)</v>
      </c>
      <c r="O601" s="36" t="str">
        <f t="shared" si="153"/>
        <v>1 ось</v>
      </c>
      <c r="P601" s="36">
        <f t="shared" si="154"/>
        <v>2025</v>
      </c>
      <c r="Q601" s="34" t="str">
        <f t="shared" ca="1" si="156"/>
        <v>3150*1700*1070</v>
      </c>
      <c r="R601" s="36" t="str">
        <f t="shared" ca="1" si="155"/>
        <v>2000*1250*500</v>
      </c>
      <c r="S601" s="34" t="str">
        <f>VLOOKUP(O601,ОТТС!$A$2:$B$3,2,0)</f>
        <v>ТС KZ Е-KZ.0317.00251 от 28.02.2023</v>
      </c>
      <c r="T601" s="39">
        <v>410000</v>
      </c>
      <c r="U601" s="36" t="str">
        <f t="shared" si="157"/>
        <v>Астана</v>
      </c>
    </row>
    <row r="602" spans="1:21" ht="13.2">
      <c r="A602" s="34">
        <v>1805</v>
      </c>
      <c r="B602" s="35">
        <f>VLOOKUP(A602,'Реестр договоров'!$A$2:$D$996,2,0)</f>
        <v>45896</v>
      </c>
      <c r="C602" s="36" t="str">
        <f t="shared" si="148"/>
        <v>Құлабек</v>
      </c>
      <c r="D602" s="36" t="str">
        <f t="shared" si="149"/>
        <v>Мөлдір</v>
      </c>
      <c r="E602" s="36" t="str">
        <f t="shared" si="147"/>
        <v>Тамдыбекқызы</v>
      </c>
      <c r="F602" s="36" t="str">
        <f t="shared" si="150"/>
        <v>058075418</v>
      </c>
      <c r="G602" s="37">
        <f>VLOOKUP(F602,Покупатели!$F$2:$N$762,2,0)</f>
        <v>45435</v>
      </c>
      <c r="H602" s="36" t="str">
        <f>VLOOKUP(F602,Покупатели!$F$2:$N$762,3,0)</f>
        <v>ҚР ІІМ</v>
      </c>
      <c r="I602" s="36">
        <f>VLOOKUP(C602,Покупатели!$C$2:$M$805,7,0)</f>
        <v>931202401544</v>
      </c>
      <c r="J602" s="36" t="str">
        <f ca="1">IFERROR(__xludf.DUMMYFUNCTION("JOIN("" "", VLOOKUP(C602,Покупатели,8,0),VLOOKUP(C602,Покупатели,9,0),VLOOKUP(C602,Покупатели,10,0),VLOOKUP(C602,Покупатели,11,0))"),"г.Астана р-н Есиль ул.Аль-Фараби д.34/4 кв.112")</f>
        <v>г.Астана р-н Есиль ул.Аль-Фараби д.34/4 кв.112</v>
      </c>
      <c r="K602" s="36">
        <f t="shared" si="151"/>
        <v>87055333812</v>
      </c>
      <c r="L602" s="36" t="str">
        <f t="shared" si="152"/>
        <v>MX4000002S0002252</v>
      </c>
      <c r="M602" s="36" t="str">
        <f t="shared" ca="1" si="146"/>
        <v>002-2513E50Q13-OK</v>
      </c>
      <c r="N602" s="36" t="str">
        <f t="shared" si="158"/>
        <v>Прицеп 2,5*1,25 м  (до 750 кг.)</v>
      </c>
      <c r="O602" s="36" t="str">
        <f t="shared" si="153"/>
        <v>1 ось</v>
      </c>
      <c r="P602" s="36">
        <f t="shared" si="154"/>
        <v>2025</v>
      </c>
      <c r="Q602" s="34" t="str">
        <f t="shared" ca="1" si="156"/>
        <v>3650*1700*1070</v>
      </c>
      <c r="R602" s="36" t="str">
        <f t="shared" ca="1" si="155"/>
        <v>2500*1250*500</v>
      </c>
      <c r="S602" s="34" t="str">
        <f>VLOOKUP(O602,ОТТС!$A$2:$B$3,2,0)</f>
        <v>ТС KZ Е-KZ.0317.00251 от 28.02.2023</v>
      </c>
      <c r="T602" s="39">
        <v>470000</v>
      </c>
      <c r="U602" s="36" t="str">
        <f t="shared" si="157"/>
        <v>Астана</v>
      </c>
    </row>
    <row r="603" spans="1:21" ht="13.2">
      <c r="A603" s="34">
        <v>1807</v>
      </c>
      <c r="B603" s="35">
        <f>VLOOKUP(A603,'Реестр договоров'!$A$2:$D$996,2,0)</f>
        <v>45897</v>
      </c>
      <c r="C603" s="36" t="str">
        <f t="shared" si="148"/>
        <v>Серкебаев</v>
      </c>
      <c r="D603" s="36" t="str">
        <f t="shared" si="149"/>
        <v>Максут</v>
      </c>
      <c r="E603" s="36" t="str">
        <f t="shared" si="147"/>
        <v>Мухтарович</v>
      </c>
      <c r="F603" s="36" t="str">
        <f t="shared" si="150"/>
        <v>057785357</v>
      </c>
      <c r="G603" s="37">
        <f>VLOOKUP(F603,Покупатели!$F$2:$N$762,2,0)</f>
        <v>45548</v>
      </c>
      <c r="H603" s="36" t="str">
        <f>VLOOKUP(F603,Покупатели!$F$2:$N$762,3,0)</f>
        <v>МВД РК</v>
      </c>
      <c r="I603" s="36">
        <f>VLOOKUP(C603,Покупатели!$C$2:$M$805,7,0)</f>
        <v>801116300219</v>
      </c>
      <c r="J603" s="36" t="str">
        <f ca="1">IFERROR(__xludf.DUMMYFUNCTION("JOIN("" "", VLOOKUP(C603,Покупатели,8,0),VLOOKUP(C603,Покупатели,9,0),VLOOKUP(C603,Покупатели,10,0),VLOOKUP(C603,Покупатели,11,0))"),"г. Алматы, район Медеуский, ул. Морозова, д.71")</f>
        <v>г. Алматы, район Медеуский, ул. Морозова, д.71</v>
      </c>
      <c r="K603" s="36">
        <f t="shared" si="151"/>
        <v>87053258489</v>
      </c>
      <c r="L603" s="36" t="str">
        <f t="shared" si="152"/>
        <v>MX4000002S0002064</v>
      </c>
      <c r="M603" s="36" t="str">
        <f t="shared" ca="1" si="146"/>
        <v>002-2013E50Q13-OK</v>
      </c>
      <c r="N603" s="36" t="str">
        <f t="shared" si="158"/>
        <v>Прицеп 2,0*1,25 м  (до 750 кг.)</v>
      </c>
      <c r="O603" s="36" t="str">
        <f t="shared" si="153"/>
        <v>1 ось</v>
      </c>
      <c r="P603" s="36">
        <f t="shared" si="154"/>
        <v>2025</v>
      </c>
      <c r="Q603" s="34" t="str">
        <f t="shared" ca="1" si="156"/>
        <v>3150*1700*1070</v>
      </c>
      <c r="R603" s="36" t="str">
        <f t="shared" ca="1" si="155"/>
        <v>2000*1250*500</v>
      </c>
      <c r="S603" s="34" t="str">
        <f>VLOOKUP(O603,ОТТС!$A$2:$B$3,2,0)</f>
        <v>ТС KZ Е-KZ.0317.00251 от 28.02.2023</v>
      </c>
      <c r="T603" s="39">
        <v>360000</v>
      </c>
      <c r="U603" s="36" t="str">
        <f t="shared" si="157"/>
        <v>Алматы</v>
      </c>
    </row>
    <row r="604" spans="1:21" ht="13.2">
      <c r="A604" s="34">
        <v>1808</v>
      </c>
      <c r="B604" s="35">
        <f>VLOOKUP(A604,'Реестр договоров'!$A$2:$D$996,2,0)</f>
        <v>45897</v>
      </c>
      <c r="C604" s="36" t="str">
        <f t="shared" si="148"/>
        <v>Мамедов</v>
      </c>
      <c r="D604" s="36" t="str">
        <f t="shared" si="149"/>
        <v>Мамед</v>
      </c>
      <c r="E604" s="36" t="str">
        <f t="shared" si="147"/>
        <v>Багадирович</v>
      </c>
      <c r="F604" s="36" t="str">
        <f t="shared" si="150"/>
        <v>044149591</v>
      </c>
      <c r="G604" s="37">
        <f>VLOOKUP(F604,Покупатели!$F$2:$N$762,2,0)</f>
        <v>43531</v>
      </c>
      <c r="H604" s="36" t="str">
        <f>VLOOKUP(F604,Покупатели!$F$2:$N$762,3,0)</f>
        <v>МВД РК</v>
      </c>
      <c r="I604" s="36" t="str">
        <f>VLOOKUP(C604,Покупатели!$C$2:$M$805,7,0)</f>
        <v>030221500941</v>
      </c>
      <c r="J604" s="36" t="str">
        <f ca="1">IFERROR(__xludf.DUMMYFUNCTION("JOIN("" "", VLOOKUP(C604,Покупатели,8,0),VLOOKUP(C604,Покупатели,9,0),VLOOKUP(C604,Покупатели,10,0),VLOOKUP(C604,Покупатели,11,0))"),"Алматинская область, Енбекшиказахский район, с. Саймасай, ул. Елемесова,  д.26")</f>
        <v>Алматинская область, Енбекшиказахский район, с. Саймасай, ул. Елемесова,  д.26</v>
      </c>
      <c r="K604" s="36">
        <f t="shared" si="151"/>
        <v>87772216768</v>
      </c>
      <c r="L604" s="36" t="str">
        <f t="shared" si="152"/>
        <v>MX4000002S0001944</v>
      </c>
      <c r="M604" s="36" t="str">
        <f t="shared" ref="M604:M667" ca="1" si="159">VLOOKUP(L604,ПРИЦЕПЫ,11,0)</f>
        <v>002-2513E50Q13-OK</v>
      </c>
      <c r="N604" s="36" t="str">
        <f t="shared" si="158"/>
        <v>Прицеп 2,5*1,25 м  (до 750 кг.)</v>
      </c>
      <c r="O604" s="36" t="str">
        <f t="shared" si="153"/>
        <v>1 ось</v>
      </c>
      <c r="P604" s="36">
        <f t="shared" si="154"/>
        <v>2025</v>
      </c>
      <c r="Q604" s="34" t="str">
        <f t="shared" ca="1" si="156"/>
        <v>3650*1700*1070</v>
      </c>
      <c r="R604" s="36" t="str">
        <f t="shared" ca="1" si="155"/>
        <v>2500*1250*500</v>
      </c>
      <c r="S604" s="34" t="str">
        <f>VLOOKUP(O604,ОТТС!$A$2:$B$3,2,0)</f>
        <v>ТС KZ Е-KZ.0317.00251 от 28.02.2023</v>
      </c>
      <c r="T604" s="39">
        <v>420000</v>
      </c>
      <c r="U604" s="36" t="str">
        <f t="shared" si="157"/>
        <v>Алматы</v>
      </c>
    </row>
    <row r="605" spans="1:21" ht="13.2">
      <c r="A605" s="34">
        <v>1809</v>
      </c>
      <c r="B605" s="35">
        <f>VLOOKUP(A605,'Реестр договоров'!$A$2:$D$996,2,0)</f>
        <v>45897</v>
      </c>
      <c r="C605" s="36" t="str">
        <f t="shared" si="148"/>
        <v>Герасев</v>
      </c>
      <c r="D605" s="36" t="str">
        <f t="shared" si="149"/>
        <v>Андрей</v>
      </c>
      <c r="E605" s="36" t="str">
        <f t="shared" si="147"/>
        <v>Анатольевич</v>
      </c>
      <c r="F605" s="36" t="str">
        <f t="shared" si="150"/>
        <v>049442244</v>
      </c>
      <c r="G605" s="37">
        <f>VLOOKUP(F605,Покупатели!$F$2:$N$762,2,0)</f>
        <v>44180</v>
      </c>
      <c r="H605" s="36" t="str">
        <f>VLOOKUP(F605,Покупатели!$F$2:$N$762,3,0)</f>
        <v>МВД РК</v>
      </c>
      <c r="I605" s="36">
        <f>VLOOKUP(C605,Покупатели!$C$2:$M$805,7,0)</f>
        <v>710412300840</v>
      </c>
      <c r="J605" s="36" t="str">
        <f ca="1">IFERROR(__xludf.DUMMYFUNCTION("JOIN("" "", VLOOKUP(C605,Покупатели,8,0),VLOOKUP(C605,Покупатели,9,0),VLOOKUP(C605,Покупатели,10,0),VLOOKUP(C605,Покупатели,11,0))"),"Акмолинская область, г. Макинск, ул. Сейфулина, д.149, кв.8")</f>
        <v>Акмолинская область, г. Макинск, ул. Сейфулина, д.149, кв.8</v>
      </c>
      <c r="K605" s="36">
        <f t="shared" si="151"/>
        <v>87770352912</v>
      </c>
      <c r="L605" s="36" t="str">
        <f t="shared" si="152"/>
        <v>MX4000002S0002307</v>
      </c>
      <c r="M605" s="36" t="str">
        <f t="shared" ca="1" si="159"/>
        <v>002-2013E30Q13-OK90</v>
      </c>
      <c r="N605" s="36" t="str">
        <f t="shared" si="158"/>
        <v>Прицеп 2,0*1,25 м  (до 750 кг.)</v>
      </c>
      <c r="O605" s="36" t="str">
        <f t="shared" si="153"/>
        <v>1 ось</v>
      </c>
      <c r="P605" s="36">
        <f t="shared" si="154"/>
        <v>2025</v>
      </c>
      <c r="Q605" s="34" t="str">
        <f t="shared" ca="1" si="156"/>
        <v>3150*1700*900</v>
      </c>
      <c r="R605" s="36" t="str">
        <f t="shared" ca="1" si="155"/>
        <v>2000*1250*300</v>
      </c>
      <c r="S605" s="34" t="str">
        <f>VLOOKUP(O605,ОТТС!$A$2:$B$3,2,0)</f>
        <v>ТС KZ Е-KZ.0317.00251 от 28.02.2023</v>
      </c>
      <c r="T605" s="39">
        <v>390000</v>
      </c>
      <c r="U605" s="36" t="str">
        <f t="shared" si="157"/>
        <v>Кокшетау</v>
      </c>
    </row>
    <row r="606" spans="1:21" ht="13.2">
      <c r="A606" s="34">
        <v>1810</v>
      </c>
      <c r="B606" s="35">
        <f>VLOOKUP(A606,'Реестр договоров'!$A$2:$D$996,2,0)</f>
        <v>45897</v>
      </c>
      <c r="C606" s="36" t="str">
        <f t="shared" si="148"/>
        <v>Иргалиев</v>
      </c>
      <c r="D606" s="36" t="str">
        <f t="shared" si="149"/>
        <v>Мухамед</v>
      </c>
      <c r="E606" s="36" t="str">
        <f t="shared" si="147"/>
        <v>Омуржанович</v>
      </c>
      <c r="F606" s="36" t="str">
        <f t="shared" si="150"/>
        <v>041020076</v>
      </c>
      <c r="G606" s="37">
        <f>VLOOKUP(F606,Покупатели!$F$2:$N$762,2,0)</f>
        <v>42472</v>
      </c>
      <c r="H606" s="36" t="str">
        <f>VLOOKUP(F606,Покупатели!$F$2:$N$762,3,0)</f>
        <v>МВД РК</v>
      </c>
      <c r="I606" s="36" t="str">
        <f>VLOOKUP(C606,Покупатели!$C$2:$M$805,7,0)</f>
        <v>000407550923</v>
      </c>
      <c r="J606" s="36" t="str">
        <f ca="1">IFERROR(__xludf.DUMMYFUNCTION("JOIN("" "", VLOOKUP(C606,Покупатели,8,0),VLOOKUP(C606,Покупатели,9,0),VLOOKUP(C606,Покупатели,10,0),VLOOKUP(C606,Покупатели,11,0))"),"Акмолинская обл. Астраханский р-н, с.Орнек ул.Маметова д.4")</f>
        <v>Акмолинская обл. Астраханский р-н, с.Орнек ул.Маметова д.4</v>
      </c>
      <c r="K606" s="36">
        <f t="shared" si="151"/>
        <v>87079349059</v>
      </c>
      <c r="L606" s="36" t="str">
        <f t="shared" si="152"/>
        <v>MX4000002S0002306</v>
      </c>
      <c r="M606" s="36" t="str">
        <f t="shared" ca="1" si="159"/>
        <v>002-2013E50Q13</v>
      </c>
      <c r="N606" s="36" t="str">
        <f t="shared" si="158"/>
        <v>Прицеп 2,0*1,25 м  (до 750 кг.)</v>
      </c>
      <c r="O606" s="36" t="str">
        <f t="shared" si="153"/>
        <v>1 ось</v>
      </c>
      <c r="P606" s="36">
        <f t="shared" si="154"/>
        <v>2025</v>
      </c>
      <c r="Q606" s="34" t="str">
        <f t="shared" ca="1" si="156"/>
        <v>3150*1700*1070</v>
      </c>
      <c r="R606" s="36" t="str">
        <f t="shared" ca="1" si="155"/>
        <v>2000*1250*500</v>
      </c>
      <c r="S606" s="34" t="str">
        <f>VLOOKUP(O606,ОТТС!$A$2:$B$3,2,0)</f>
        <v>ТС KZ Е-KZ.0317.00251 от 28.02.2023</v>
      </c>
      <c r="T606" s="39">
        <v>345000</v>
      </c>
      <c r="U606" s="36" t="str">
        <f t="shared" si="157"/>
        <v>Астана</v>
      </c>
    </row>
    <row r="607" spans="1:21" ht="13.2">
      <c r="A607" s="34">
        <v>1811</v>
      </c>
      <c r="B607" s="35">
        <f>VLOOKUP(A607,'Реестр договоров'!$A$2:$D$996,2,0)</f>
        <v>45898</v>
      </c>
      <c r="C607" s="36" t="str">
        <f t="shared" si="148"/>
        <v>Спичкин</v>
      </c>
      <c r="D607" s="36" t="str">
        <f t="shared" si="149"/>
        <v>Максим</v>
      </c>
      <c r="E607" s="36" t="str">
        <f t="shared" si="147"/>
        <v>Николаевич</v>
      </c>
      <c r="F607" s="36" t="str">
        <f t="shared" si="150"/>
        <v>047010101</v>
      </c>
      <c r="G607" s="37">
        <f>VLOOKUP(F607,Покупатели!$F$2:$N$762,2,0)</f>
        <v>44088</v>
      </c>
      <c r="H607" s="36" t="str">
        <f>VLOOKUP(F607,Покупатели!$F$2:$N$762,3,0)</f>
        <v>МВД РК</v>
      </c>
      <c r="I607" s="36">
        <f>VLOOKUP(C607,Покупатели!$C$2:$M$805,7,0)</f>
        <v>850517300989</v>
      </c>
      <c r="J607" s="36" t="str">
        <f ca="1">IFERROR(__xludf.DUMMYFUNCTION("JOIN("" "", VLOOKUP(C607,Покупатели,8,0),VLOOKUP(C607,Покупатели,9,0),VLOOKUP(C607,Покупатели,10,0),VLOOKUP(C607,Покупатели,11,0))"),"г.Талдыкорган, ул. Балпык би, д.4")</f>
        <v>г.Талдыкорган, ул. Балпык би, д.4</v>
      </c>
      <c r="K607" s="36">
        <f t="shared" si="151"/>
        <v>87052083440</v>
      </c>
      <c r="L607" s="36" t="str">
        <f t="shared" si="152"/>
        <v>MX4000002S0002068</v>
      </c>
      <c r="M607" s="36" t="str">
        <f t="shared" ca="1" si="159"/>
        <v>002-2013E30Q13-OK</v>
      </c>
      <c r="N607" s="36" t="str">
        <f t="shared" si="158"/>
        <v>Прицеп 2,0*1,25 м  (до 750 кг.)</v>
      </c>
      <c r="O607" s="36" t="str">
        <f t="shared" si="153"/>
        <v>1 ось</v>
      </c>
      <c r="P607" s="36">
        <f t="shared" si="154"/>
        <v>2025</v>
      </c>
      <c r="Q607" s="34" t="str">
        <f t="shared" ca="1" si="156"/>
        <v>3150*1700*900</v>
      </c>
      <c r="R607" s="36" t="str">
        <f t="shared" ca="1" si="155"/>
        <v>2000*1250*300</v>
      </c>
      <c r="S607" s="34" t="str">
        <f>VLOOKUP(O607,ОТТС!$A$2:$B$3,2,0)</f>
        <v>ТС KZ Е-KZ.0317.00251 от 28.02.2023</v>
      </c>
      <c r="T607" s="39">
        <v>330000</v>
      </c>
      <c r="U607" s="36" t="str">
        <f t="shared" si="157"/>
        <v>Алматы</v>
      </c>
    </row>
    <row r="608" spans="1:21" ht="13.2">
      <c r="A608" s="34">
        <v>1812</v>
      </c>
      <c r="B608" s="35">
        <f>VLOOKUP(A608,'Реестр договоров'!$A$2:$D$996,2,0)</f>
        <v>45899</v>
      </c>
      <c r="C608" s="36" t="str">
        <f t="shared" si="148"/>
        <v>Мужкенов</v>
      </c>
      <c r="D608" s="36" t="str">
        <f t="shared" si="149"/>
        <v>Мурат</v>
      </c>
      <c r="E608" s="36" t="str">
        <f t="shared" si="147"/>
        <v>Амангельдинович</v>
      </c>
      <c r="F608" s="36" t="str">
        <f t="shared" si="150"/>
        <v>048759082</v>
      </c>
      <c r="G608" s="37">
        <f>VLOOKUP(F608,Покупатели!$F$2:$N$762,2,0)</f>
        <v>44089</v>
      </c>
      <c r="H608" s="36" t="str">
        <f>VLOOKUP(F608,Покупатели!$F$2:$N$762,3,0)</f>
        <v>МВД РК</v>
      </c>
      <c r="I608" s="36">
        <f>VLOOKUP(C608,Покупатели!$C$2:$M$805,7,0)</f>
        <v>660919300558</v>
      </c>
      <c r="J608" s="36" t="str">
        <f ca="1">IFERROR(__xludf.DUMMYFUNCTION("JOIN("" "", VLOOKUP(C608,Покупатели,8,0),VLOOKUP(C608,Покупатели,9,0),VLOOKUP(C608,Покупатели,10,0),VLOOKUP(C608,Покупатели,11,0))"),"Павлодарская обл. г.Аксу ул.Степная д.12")</f>
        <v>Павлодарская обл. г.Аксу ул.Степная д.12</v>
      </c>
      <c r="K608" s="36">
        <f t="shared" si="151"/>
        <v>87779549090</v>
      </c>
      <c r="L608" s="36" t="str">
        <f t="shared" si="152"/>
        <v>MX4000002S0002298</v>
      </c>
      <c r="M608" s="36" t="str">
        <f t="shared" ca="1" si="159"/>
        <v>002-2013E50Q13-OK</v>
      </c>
      <c r="N608" s="36" t="str">
        <f t="shared" si="158"/>
        <v>Прицеп 2,0*1,25 м  (до 750 кг.)</v>
      </c>
      <c r="O608" s="36" t="str">
        <f t="shared" si="153"/>
        <v>1 ось</v>
      </c>
      <c r="P608" s="36">
        <f t="shared" si="154"/>
        <v>2025</v>
      </c>
      <c r="Q608" s="34" t="str">
        <f t="shared" ca="1" si="156"/>
        <v>3150*1700*1070</v>
      </c>
      <c r="R608" s="36" t="str">
        <f t="shared" ca="1" si="155"/>
        <v>2000*1250*500</v>
      </c>
      <c r="S608" s="34" t="str">
        <f>VLOOKUP(O608,ОТТС!$A$2:$B$3,2,0)</f>
        <v>ТС KZ Е-KZ.0317.00251 от 28.02.2023</v>
      </c>
      <c r="T608" s="39">
        <v>390000</v>
      </c>
      <c r="U608" s="36" t="str">
        <f t="shared" si="157"/>
        <v>Астана</v>
      </c>
    </row>
    <row r="609" spans="1:21" ht="13.2">
      <c r="A609" s="34">
        <v>1813</v>
      </c>
      <c r="B609" s="35">
        <f>VLOOKUP(A609,'Реестр договоров'!$A$2:$D$996,2,0)</f>
        <v>45902</v>
      </c>
      <c r="C609" s="36" t="str">
        <f t="shared" si="148"/>
        <v>Загородкин</v>
      </c>
      <c r="D609" s="36" t="str">
        <f t="shared" si="149"/>
        <v>Николай</v>
      </c>
      <c r="E609" s="36" t="str">
        <f t="shared" si="147"/>
        <v>Иванович</v>
      </c>
      <c r="F609" s="36" t="str">
        <f t="shared" si="150"/>
        <v>040348156</v>
      </c>
      <c r="G609" s="37">
        <f>VLOOKUP(F609,Покупатели!$F$2:$N$762,2,0)</f>
        <v>42335</v>
      </c>
      <c r="H609" s="36" t="str">
        <f>VLOOKUP(F609,Покупатели!$F$2:$N$762,3,0)</f>
        <v>МВД РК</v>
      </c>
      <c r="I609" s="36">
        <f>VLOOKUP(C609,Покупатели!$C$2:$M$805,7,0)</f>
        <v>901125350502</v>
      </c>
      <c r="J609" s="36" t="str">
        <f ca="1">IFERROR(__xludf.DUMMYFUNCTION("JOIN("" "", VLOOKUP(C609,Покупатели,8,0),VLOOKUP(C609,Покупатели,9,0),VLOOKUP(C609,Покупатели,10,0),VLOOKUP(C609,Покупатели,11,0))"),"Акмолинская область, г.Кокшетау, мкр-н Галачья сопка, д.10/2")</f>
        <v>Акмолинская область, г.Кокшетау, мкр-н Галачья сопка, д.10/2</v>
      </c>
      <c r="K609" s="36">
        <f t="shared" si="151"/>
        <v>87475609409</v>
      </c>
      <c r="L609" s="36" t="str">
        <f t="shared" si="152"/>
        <v>MX4000002S0002238</v>
      </c>
      <c r="M609" s="36" t="str">
        <f t="shared" ca="1" si="159"/>
        <v>002-2513E50Q13-OK</v>
      </c>
      <c r="N609" s="36" t="str">
        <f t="shared" si="158"/>
        <v>Прицеп 2,5*1,25 м  (до 750 кг.)</v>
      </c>
      <c r="O609" s="36" t="str">
        <f t="shared" si="153"/>
        <v>1 ось</v>
      </c>
      <c r="P609" s="36">
        <f t="shared" si="154"/>
        <v>2025</v>
      </c>
      <c r="Q609" s="34" t="str">
        <f t="shared" ca="1" si="156"/>
        <v>3650*1700*1070</v>
      </c>
      <c r="R609" s="36" t="str">
        <f t="shared" ca="1" si="155"/>
        <v>2500*1250*500</v>
      </c>
      <c r="S609" s="34" t="str">
        <f>VLOOKUP(O609,ОТТС!$A$2:$B$3,2,0)</f>
        <v>ТС KZ Е-KZ.0317.00251 от 28.02.2023</v>
      </c>
      <c r="T609" s="39">
        <v>460000</v>
      </c>
      <c r="U609" s="36" t="str">
        <f t="shared" si="157"/>
        <v>Кокшетау</v>
      </c>
    </row>
    <row r="610" spans="1:21" ht="13.2">
      <c r="A610" s="34">
        <v>1814</v>
      </c>
      <c r="B610" s="35">
        <f>VLOOKUP(A610,'Реестр договоров'!$A$2:$D$996,2,0)</f>
        <v>45902</v>
      </c>
      <c r="C610" s="36" t="str">
        <f t="shared" si="148"/>
        <v>Мақсат</v>
      </c>
      <c r="D610" s="36" t="str">
        <f t="shared" si="149"/>
        <v>Фариза</v>
      </c>
      <c r="E610" s="36" t="str">
        <f t="shared" si="147"/>
        <v>Мақсатқызы</v>
      </c>
      <c r="F610" s="36" t="str">
        <f t="shared" si="150"/>
        <v>0551418741</v>
      </c>
      <c r="G610" s="37">
        <f>VLOOKUP(F610,Покупатели!$F$2:$N$762,2,0)</f>
        <v>44788</v>
      </c>
      <c r="H610" s="36" t="str">
        <f>VLOOKUP(F610,Покупатели!$F$2:$N$762,3,0)</f>
        <v>ҚР ІІМ</v>
      </c>
      <c r="I610" s="36">
        <f>VLOOKUP(C610,Покупатели!$C$2:$M$805,7,0)</f>
        <v>960727401135</v>
      </c>
      <c r="J610" s="36" t="str">
        <f ca="1">IFERROR(__xludf.DUMMYFUNCTION("JOIN("" "", VLOOKUP(C610,Покупатели,8,0),VLOOKUP(C610,Покупатели,9,0),VLOOKUP(C610,Покупатели,10,0),VLOOKUP(C610,Покупатели,11,0))"),"г.Алматы, Медеуский район, ул.Пушкина, д.23, кв. 20")</f>
        <v>г.Алматы, Медеуский район, ул.Пушкина, д.23, кв. 20</v>
      </c>
      <c r="K610" s="36">
        <f t="shared" si="151"/>
        <v>87078860494</v>
      </c>
      <c r="L610" s="36" t="str">
        <f t="shared" si="152"/>
        <v>MX4000002S0001939</v>
      </c>
      <c r="M610" s="36" t="str">
        <f t="shared" ca="1" si="159"/>
        <v>002-2513E50Q13-OK</v>
      </c>
      <c r="N610" s="36" t="str">
        <f t="shared" si="158"/>
        <v>Прицеп 2,5*1,25 м  (до 750 кг.)</v>
      </c>
      <c r="O610" s="36" t="str">
        <f t="shared" si="153"/>
        <v>1 ось</v>
      </c>
      <c r="P610" s="36">
        <f t="shared" si="154"/>
        <v>2025</v>
      </c>
      <c r="Q610" s="34" t="str">
        <f t="shared" ca="1" si="156"/>
        <v>3650*1700*1070</v>
      </c>
      <c r="R610" s="36" t="str">
        <f t="shared" ca="1" si="155"/>
        <v>2500*1250*500</v>
      </c>
      <c r="S610" s="34" t="str">
        <f>VLOOKUP(O610,ОТТС!$A$2:$B$3,2,0)</f>
        <v>ТС KZ Е-KZ.0317.00251 от 28.02.2023</v>
      </c>
      <c r="T610" s="39">
        <v>420000</v>
      </c>
      <c r="U610" s="36" t="str">
        <f t="shared" si="157"/>
        <v>Алматы</v>
      </c>
    </row>
    <row r="611" spans="1:21" ht="13.2">
      <c r="A611" s="34">
        <v>1815</v>
      </c>
      <c r="B611" s="35">
        <f>VLOOKUP(A611,'Реестр договоров'!$A$2:$D$996,2,0)</f>
        <v>45903</v>
      </c>
      <c r="C611" s="36" t="str">
        <f t="shared" si="148"/>
        <v>Фомин</v>
      </c>
      <c r="D611" s="36" t="str">
        <f t="shared" si="149"/>
        <v>Алексей</v>
      </c>
      <c r="E611" s="36" t="str">
        <f t="shared" si="147"/>
        <v>Викторович</v>
      </c>
      <c r="F611" s="36" t="str">
        <f t="shared" si="150"/>
        <v>019348437</v>
      </c>
      <c r="G611" s="37">
        <f>VLOOKUP(F611,Покупатели!$F$2:$N$762,2,0)</f>
        <v>39038</v>
      </c>
      <c r="H611" s="36" t="str">
        <f>VLOOKUP(F611,Покупатели!$F$2:$N$762,3,0)</f>
        <v>МЮ РК</v>
      </c>
      <c r="I611" s="36">
        <f>VLOOKUP(C611,Покупатели!$C$2:$M$805,7,0)</f>
        <v>810530350872</v>
      </c>
      <c r="J611" s="36" t="str">
        <f ca="1">IFERROR(__xludf.DUMMYFUNCTION("JOIN("" "", VLOOKUP(C611,Покупатели,8,0),VLOOKUP(C611,Покупатели,9,0),VLOOKUP(C611,Покупатели,10,0),VLOOKUP(C611,Покупатели,11,0))"),"Акмолинская обл г.Акколь ул.Болашак д.1")</f>
        <v>Акмолинская обл г.Акколь ул.Болашак д.1</v>
      </c>
      <c r="K611" s="36">
        <f t="shared" si="151"/>
        <v>87711628806</v>
      </c>
      <c r="L611" s="36" t="str">
        <f t="shared" si="152"/>
        <v>MX4000002S0002299</v>
      </c>
      <c r="M611" s="36" t="str">
        <f t="shared" ca="1" si="159"/>
        <v>002-2013E50Q13-OK</v>
      </c>
      <c r="N611" s="36" t="str">
        <f t="shared" si="158"/>
        <v>Прицеп 2,0*1,25 м  (до 750 кг.)</v>
      </c>
      <c r="O611" s="36" t="str">
        <f t="shared" si="153"/>
        <v>1 ось</v>
      </c>
      <c r="P611" s="36">
        <f t="shared" si="154"/>
        <v>2025</v>
      </c>
      <c r="Q611" s="34" t="str">
        <f t="shared" ca="1" si="156"/>
        <v>3150*1700*1070</v>
      </c>
      <c r="R611" s="36" t="str">
        <f t="shared" ca="1" si="155"/>
        <v>2000*1250*500</v>
      </c>
      <c r="S611" s="34" t="str">
        <f>VLOOKUP(O611,ОТТС!$A$2:$B$3,2,0)</f>
        <v>ТС KZ Е-KZ.0317.00251 от 28.02.2023</v>
      </c>
      <c r="T611" s="39">
        <v>410000</v>
      </c>
      <c r="U611" s="36" t="str">
        <f t="shared" si="157"/>
        <v>Астана</v>
      </c>
    </row>
    <row r="612" spans="1:21" ht="13.2">
      <c r="A612" s="34">
        <v>1816</v>
      </c>
      <c r="B612" s="35">
        <f>VLOOKUP(A612,'Реестр договоров'!$A$2:$D$996,2,0)</f>
        <v>45904</v>
      </c>
      <c r="C612" s="36" t="str">
        <f t="shared" si="148"/>
        <v>Тасимов</v>
      </c>
      <c r="D612" s="36" t="str">
        <f t="shared" si="149"/>
        <v>Данияр</v>
      </c>
      <c r="E612" s="36" t="str">
        <f t="shared" si="147"/>
        <v>Сагидуллаевич</v>
      </c>
      <c r="F612" s="36" t="str">
        <f t="shared" si="150"/>
        <v>047867480</v>
      </c>
      <c r="G612" s="37">
        <f>VLOOKUP(F612,Покупатели!$F$2:$N$762,2,0)</f>
        <v>43973</v>
      </c>
      <c r="H612" s="36" t="str">
        <f>VLOOKUP(F612,Покупатели!$F$2:$N$762,3,0)</f>
        <v>МВД РК</v>
      </c>
      <c r="I612" s="36">
        <f>VLOOKUP(C612,Покупатели!$C$2:$M$805,7,0)</f>
        <v>930101351969</v>
      </c>
      <c r="J612" s="36" t="str">
        <f ca="1">IFERROR(__xludf.DUMMYFUNCTION("JOIN("" "", VLOOKUP(C612,Покупатели,8,0),VLOOKUP(C612,Покупатели,9,0),VLOOKUP(C612,Покупатели,10,0),VLOOKUP(C612,Покупатели,11,0))"),"Акмолинская область, г. Кокшетау, ул. Баймуканова, д.79а, кв.8")</f>
        <v>Акмолинская область, г. Кокшетау, ул. Баймуканова, д.79а, кв.8</v>
      </c>
      <c r="K612" s="36">
        <f t="shared" si="151"/>
        <v>87022326552</v>
      </c>
      <c r="L612" s="36" t="str">
        <f t="shared" si="152"/>
        <v>MX4000002S0002243</v>
      </c>
      <c r="M612" s="36" t="str">
        <f t="shared" ca="1" si="159"/>
        <v>002-2013E50Q13-OK30</v>
      </c>
      <c r="N612" s="36" t="str">
        <f t="shared" si="158"/>
        <v>Прицеп 2,0*1,25 м  (до 750 кг.)</v>
      </c>
      <c r="O612" s="36" t="str">
        <f t="shared" si="153"/>
        <v>1 ось</v>
      </c>
      <c r="P612" s="36">
        <f t="shared" si="154"/>
        <v>2025</v>
      </c>
      <c r="Q612" s="34" t="str">
        <f t="shared" ca="1" si="156"/>
        <v>3150*1700*1070</v>
      </c>
      <c r="R612" s="36" t="str">
        <f t="shared" ca="1" si="155"/>
        <v>2000*1250*500</v>
      </c>
      <c r="S612" s="34" t="str">
        <f>VLOOKUP(O612,ОТТС!$A$2:$B$3,2,0)</f>
        <v>ТС KZ Е-KZ.0317.00251 от 28.02.2023</v>
      </c>
      <c r="T612" s="39">
        <v>380000</v>
      </c>
      <c r="U612" s="36" t="str">
        <f t="shared" si="157"/>
        <v>Кокшетау</v>
      </c>
    </row>
    <row r="613" spans="1:21" ht="13.2">
      <c r="A613" s="34">
        <v>1818</v>
      </c>
      <c r="B613" s="35">
        <f>VLOOKUP(A613,'Реестр договоров'!$A$2:$D$996,2,0)</f>
        <v>45909</v>
      </c>
      <c r="C613" s="36" t="str">
        <f t="shared" si="148"/>
        <v>Томпышев</v>
      </c>
      <c r="D613" s="36" t="str">
        <f t="shared" si="149"/>
        <v>Рустам</v>
      </c>
      <c r="E613" s="36" t="str">
        <f t="shared" si="147"/>
        <v>Канатович</v>
      </c>
      <c r="F613" s="36" t="str">
        <f t="shared" si="150"/>
        <v>058285810</v>
      </c>
      <c r="G613" s="37">
        <f>VLOOKUP(F613,Покупатели!$F$2:$N$762,2,0)</f>
        <v>45457</v>
      </c>
      <c r="H613" s="36" t="str">
        <f>VLOOKUP(F613,Покупатели!$F$2:$N$762,3,0)</f>
        <v>МВД РК</v>
      </c>
      <c r="I613" s="36">
        <f>VLOOKUP(C613,Покупатели!$C$2:$M$805,7,0)</f>
        <v>890530351129</v>
      </c>
      <c r="J613" s="36" t="str">
        <f ca="1">IFERROR(__xludf.DUMMYFUNCTION("JOIN("" "", VLOOKUP(C613,Покупатели,8,0),VLOOKUP(C613,Покупатели,9,0),VLOOKUP(C613,Покупатели,10,0),VLOOKUP(C613,Покупатели,11,0))"),"Акмолинская область, Бурабайский район, г. Щучинск, ул. Куйбышева, д.73")</f>
        <v>Акмолинская область, Бурабайский район, г. Щучинск, ул. Куйбышева, д.73</v>
      </c>
      <c r="K613" s="36">
        <f t="shared" si="151"/>
        <v>87051676276</v>
      </c>
      <c r="L613" s="36" t="str">
        <f t="shared" si="152"/>
        <v>MX4000002S0002325</v>
      </c>
      <c r="M613" s="36" t="str">
        <f t="shared" ca="1" si="159"/>
        <v>002-2013E50Q13-OK</v>
      </c>
      <c r="N613" s="36" t="str">
        <f t="shared" si="158"/>
        <v>Прицеп 2,0*1,25 м  (до 750 кг.)</v>
      </c>
      <c r="O613" s="36" t="str">
        <f t="shared" si="153"/>
        <v>1 ось</v>
      </c>
      <c r="P613" s="36">
        <f t="shared" si="154"/>
        <v>2025</v>
      </c>
      <c r="Q613" s="34" t="str">
        <f t="shared" ca="1" si="156"/>
        <v>3150*1700*1070</v>
      </c>
      <c r="R613" s="36" t="str">
        <f t="shared" ca="1" si="155"/>
        <v>2000*1250*500</v>
      </c>
      <c r="S613" s="34" t="str">
        <f>VLOOKUP(O613,ОТТС!$A$2:$B$3,2,0)</f>
        <v>ТС KZ Е-KZ.0317.00251 от 28.02.2023</v>
      </c>
      <c r="T613" s="39">
        <v>400000</v>
      </c>
      <c r="U613" s="36" t="str">
        <f t="shared" si="157"/>
        <v>Кокшетау</v>
      </c>
    </row>
    <row r="614" spans="1:21" ht="13.2">
      <c r="A614" s="34">
        <v>1819</v>
      </c>
      <c r="B614" s="35">
        <f>VLOOKUP(A614,'Реестр договоров'!$A$2:$D$996,2,0)</f>
        <v>45909</v>
      </c>
      <c r="C614" s="36" t="str">
        <f t="shared" si="148"/>
        <v>Атыгожин</v>
      </c>
      <c r="D614" s="36" t="str">
        <f t="shared" si="149"/>
        <v>Кайрат</v>
      </c>
      <c r="E614" s="36" t="str">
        <f t="shared" si="147"/>
        <v>Ануарович</v>
      </c>
      <c r="F614" s="36" t="str">
        <f t="shared" si="150"/>
        <v>046960890</v>
      </c>
      <c r="G614" s="37">
        <f>VLOOKUP(F614,Покупатели!$F$2:$N$762,2,0)</f>
        <v>43796</v>
      </c>
      <c r="H614" s="36" t="str">
        <f>VLOOKUP(F614,Покупатели!$F$2:$N$762,3,0)</f>
        <v>МВД РК</v>
      </c>
      <c r="I614" s="36">
        <f>VLOOKUP(C614,Покупатели!$C$2:$M$805,7,0)</f>
        <v>700416350490</v>
      </c>
      <c r="J614" s="36" t="str">
        <f ca="1">IFERROR(__xludf.DUMMYFUNCTION("JOIN("" "", VLOOKUP(C614,Покупатели,8,0),VLOOKUP(C614,Покупатели,9,0),VLOOKUP(C614,Покупатели,10,0),VLOOKUP(C614,Покупатели,11,0))"),"Акмолинская область, г. Кокшетау, ул. Акана Серы, дом 39, квартира 41")</f>
        <v>Акмолинская область, г. Кокшетау, ул. Акана Серы, дом 39, квартира 41</v>
      </c>
      <c r="K614" s="36">
        <f t="shared" si="151"/>
        <v>87771003110</v>
      </c>
      <c r="L614" s="36" t="str">
        <f t="shared" si="152"/>
        <v>MX4000004S0002326</v>
      </c>
      <c r="M614" s="36" t="str">
        <f t="shared" ca="1" si="159"/>
        <v>002-2515E50Q15-OK90</v>
      </c>
      <c r="N614" s="36" t="str">
        <f t="shared" si="158"/>
        <v>Прицеп 2,5*1,5 м  (до 750 кг.)</v>
      </c>
      <c r="O614" s="36" t="str">
        <f t="shared" si="153"/>
        <v>2 оси</v>
      </c>
      <c r="P614" s="36">
        <f t="shared" si="154"/>
        <v>2025</v>
      </c>
      <c r="Q614" s="34" t="str">
        <f t="shared" ca="1" si="156"/>
        <v>3650*1950*1070</v>
      </c>
      <c r="R614" s="36" t="str">
        <f t="shared" ca="1" si="155"/>
        <v>2500*1500*500</v>
      </c>
      <c r="S614" s="34" t="str">
        <f>VLOOKUP(O614,ОТТС!$A$2:$B$3,2,0)</f>
        <v>ТС KZ Е-KZ.0317.00219.П1 от 17.07.2025</v>
      </c>
      <c r="T614" s="39">
        <v>770000</v>
      </c>
      <c r="U614" s="36" t="str">
        <f t="shared" si="157"/>
        <v>Кокшетау</v>
      </c>
    </row>
    <row r="615" spans="1:21" ht="13.2">
      <c r="A615" s="34">
        <v>1820</v>
      </c>
      <c r="B615" s="35">
        <f>VLOOKUP(A615,'Реестр договоров'!$A$2:$D$996,2,0)</f>
        <v>45909</v>
      </c>
      <c r="C615" s="36" t="str">
        <f t="shared" si="148"/>
        <v>Наурызбаев</v>
      </c>
      <c r="D615" s="36" t="str">
        <f t="shared" si="149"/>
        <v>Думан</v>
      </c>
      <c r="E615" s="36" t="str">
        <f t="shared" ref="E615:E678" si="160">VLOOKUP(C615,Покупатели,3,0)</f>
        <v>Қуандықұлы</v>
      </c>
      <c r="F615" s="36" t="str">
        <f t="shared" si="150"/>
        <v>048101245</v>
      </c>
      <c r="G615" s="37">
        <f>VLOOKUP(F615,Покупатели!$F$2:$N$762,2,0)</f>
        <v>44286</v>
      </c>
      <c r="H615" s="36" t="str">
        <f>VLOOKUP(F615,Покупатели!$F$2:$N$762,3,0)</f>
        <v>ҚР ІІМ</v>
      </c>
      <c r="I615" s="36">
        <f>VLOOKUP(C615,Покупатели!$C$2:$M$805,7,0)</f>
        <v>920325300217</v>
      </c>
      <c r="J615" s="36" t="str">
        <f ca="1">IFERROR(__xludf.DUMMYFUNCTION("JOIN("" "", VLOOKUP(C615,Покупатели,8,0),VLOOKUP(C615,Покупатели,9,0),VLOOKUP(C615,Покупатели,10,0),VLOOKUP(C615,Покупатели,11,0))"),"г.Алматы, Алматинский район,  ул. Кожамкулова, д.211")</f>
        <v>г.Алматы, Алматинский район,  ул. Кожамкулова, д.211</v>
      </c>
      <c r="K615" s="36">
        <f t="shared" si="151"/>
        <v>87088080991</v>
      </c>
      <c r="L615" s="36" t="str">
        <f t="shared" si="152"/>
        <v>MX4000002S0001890</v>
      </c>
      <c r="M615" s="36" t="str">
        <f t="shared" ca="1" si="159"/>
        <v>002-2013E50Q13-OK</v>
      </c>
      <c r="N615" s="36" t="str">
        <f t="shared" si="158"/>
        <v>Прицеп 2,0*1,25 м  (до 750 кг.)</v>
      </c>
      <c r="O615" s="36" t="str">
        <f t="shared" si="153"/>
        <v>1 ось</v>
      </c>
      <c r="P615" s="36">
        <f t="shared" si="154"/>
        <v>2025</v>
      </c>
      <c r="Q615" s="34" t="str">
        <f t="shared" ca="1" si="156"/>
        <v>3150*1700*1070</v>
      </c>
      <c r="R615" s="36" t="str">
        <f t="shared" ca="1" si="155"/>
        <v>2000*1250*500</v>
      </c>
      <c r="S615" s="34" t="str">
        <f>VLOOKUP(O615,ОТТС!$A$2:$B$3,2,0)</f>
        <v>ТС KZ Е-KZ.0317.00251 от 28.02.2023</v>
      </c>
      <c r="T615" s="39">
        <v>360000</v>
      </c>
      <c r="U615" s="36" t="str">
        <f t="shared" si="157"/>
        <v>Алматы</v>
      </c>
    </row>
    <row r="616" spans="1:21" ht="13.2">
      <c r="A616" s="34">
        <v>1821</v>
      </c>
      <c r="B616" s="35">
        <f>VLOOKUP(A616,'Реестр договоров'!$A$2:$D$996,2,0)</f>
        <v>45910</v>
      </c>
      <c r="C616" s="36" t="str">
        <f t="shared" si="148"/>
        <v>Шутенко</v>
      </c>
      <c r="D616" s="36" t="str">
        <f t="shared" si="149"/>
        <v>Дмитрий</v>
      </c>
      <c r="E616" s="36" t="str">
        <f t="shared" si="160"/>
        <v>Владимирович</v>
      </c>
      <c r="F616" s="36" t="str">
        <f t="shared" si="150"/>
        <v>056352079</v>
      </c>
      <c r="G616" s="37">
        <f>VLOOKUP(F616,Покупатели!$F$2:$N$762,2,0)</f>
        <v>45415</v>
      </c>
      <c r="H616" s="36" t="str">
        <f>VLOOKUP(F616,Покупатели!$F$2:$N$762,3,0)</f>
        <v>МВД РК</v>
      </c>
      <c r="I616" s="36">
        <f>VLOOKUP(C616,Покупатели!$C$2:$M$805,7,0)</f>
        <v>890602300046</v>
      </c>
      <c r="J616" s="36" t="str">
        <f ca="1">IFERROR(__xludf.DUMMYFUNCTION("JOIN("" "", VLOOKUP(C616,Покупатели,8,0),VLOOKUP(C616,Покупатели,9,0),VLOOKUP(C616,Покупатели,10,0),VLOOKUP(C616,Покупатели,11,0))"),"г.Алматы, Ауэзовский район, мкрн 3, д.21, кв.5")</f>
        <v>г.Алматы, Ауэзовский район, мкрн 3, д.21, кв.5</v>
      </c>
      <c r="K616" s="36">
        <f t="shared" si="151"/>
        <v>87075424604</v>
      </c>
      <c r="L616" s="36" t="str">
        <f t="shared" si="152"/>
        <v>MX4000002S0002265</v>
      </c>
      <c r="M616" s="36" t="str">
        <f t="shared" ca="1" si="159"/>
        <v>002-2515E30Q13-OK</v>
      </c>
      <c r="N616" s="36" t="str">
        <f t="shared" si="158"/>
        <v>Прицеп 2,5*1,5 м  (до 750 кг.)</v>
      </c>
      <c r="O616" s="36" t="str">
        <f t="shared" si="153"/>
        <v>1 ось</v>
      </c>
      <c r="P616" s="36">
        <f t="shared" si="154"/>
        <v>2025</v>
      </c>
      <c r="Q616" s="34" t="str">
        <f t="shared" ca="1" si="156"/>
        <v>3650*1950*900</v>
      </c>
      <c r="R616" s="36" t="str">
        <f t="shared" ca="1" si="155"/>
        <v>2500*1500*300</v>
      </c>
      <c r="S616" s="34" t="str">
        <f>VLOOKUP(O616,ОТТС!$A$2:$B$3,2,0)</f>
        <v>ТС KZ Е-KZ.0317.00251 от 28.02.2023</v>
      </c>
      <c r="T616" s="39">
        <v>550000</v>
      </c>
      <c r="U616" s="36" t="str">
        <f t="shared" si="157"/>
        <v>Алматы</v>
      </c>
    </row>
    <row r="617" spans="1:21" ht="13.2">
      <c r="A617" s="34">
        <v>1822</v>
      </c>
      <c r="B617" s="35">
        <f>VLOOKUP(A617,'Реестр договоров'!$A$2:$D$996,2,0)</f>
        <v>45910</v>
      </c>
      <c r="C617" s="36" t="str">
        <f t="shared" si="148"/>
        <v>Акмолдин</v>
      </c>
      <c r="D617" s="36" t="str">
        <f t="shared" si="149"/>
        <v>Серик</v>
      </c>
      <c r="E617" s="36" t="str">
        <f t="shared" si="160"/>
        <v>Нуркенович</v>
      </c>
      <c r="F617" s="36" t="str">
        <f t="shared" si="150"/>
        <v>060242872</v>
      </c>
      <c r="G617" s="37">
        <f>VLOOKUP(F617,Покупатели!$F$2:$N$762,2,0)</f>
        <v>45754</v>
      </c>
      <c r="H617" s="36" t="str">
        <f>VLOOKUP(F617,Покупатели!$F$2:$N$762,3,0)</f>
        <v>МВД РК</v>
      </c>
      <c r="I617" s="36">
        <f>VLOOKUP(C617,Покупатели!$C$2:$M$805,7,0)</f>
        <v>700514350453</v>
      </c>
      <c r="J617" s="36" t="str">
        <f ca="1">IFERROR(__xludf.DUMMYFUNCTION("JOIN("" "", VLOOKUP(C617,Покупатели,8,0),VLOOKUP(C617,Покупатели,9,0),VLOOKUP(C617,Покупатели,10,0),VLOOKUP(C617,Покупатели,11,0))"),"г. Кокшетау, ул. Джамбула, д.144а, кв.2")</f>
        <v>г. Кокшетау, ул. Джамбула, д.144а, кв.2</v>
      </c>
      <c r="K617" s="36">
        <f t="shared" si="151"/>
        <v>87770359769</v>
      </c>
      <c r="L617" s="36" t="str">
        <f t="shared" si="152"/>
        <v>MX4000002S0002327</v>
      </c>
      <c r="M617" s="36" t="str">
        <f t="shared" ca="1" si="159"/>
        <v>002-2013E50Q13-OK30</v>
      </c>
      <c r="N617" s="36" t="str">
        <f t="shared" si="158"/>
        <v>Прицеп 2,0*1,25 м  (до 750 кг.)</v>
      </c>
      <c r="O617" s="36" t="str">
        <f t="shared" si="153"/>
        <v>1 ось</v>
      </c>
      <c r="P617" s="36">
        <f t="shared" si="154"/>
        <v>2025</v>
      </c>
      <c r="Q617" s="34" t="str">
        <f t="shared" ca="1" si="156"/>
        <v>3150*1700*1070</v>
      </c>
      <c r="R617" s="36" t="str">
        <f t="shared" ca="1" si="155"/>
        <v>2000*1250*500</v>
      </c>
      <c r="S617" s="34" t="str">
        <f>VLOOKUP(O617,ОТТС!$A$2:$B$3,2,0)</f>
        <v>ТС KZ Е-KZ.0317.00251 от 28.02.2023</v>
      </c>
      <c r="T617" s="39">
        <v>380000</v>
      </c>
      <c r="U617" s="36" t="str">
        <f t="shared" si="157"/>
        <v>Кокшетау</v>
      </c>
    </row>
    <row r="618" spans="1:21" ht="13.2">
      <c r="A618" s="34">
        <v>1823</v>
      </c>
      <c r="B618" s="35">
        <f>VLOOKUP(A618,'Реестр договоров'!$A$2:$D$996,2,0)</f>
        <v>45910</v>
      </c>
      <c r="C618" s="36" t="str">
        <f t="shared" si="148"/>
        <v>Пазылов</v>
      </c>
      <c r="D618" s="36" t="str">
        <f t="shared" si="149"/>
        <v>Даулет</v>
      </c>
      <c r="E618" s="36" t="str">
        <f t="shared" si="160"/>
        <v>Нуралыевич</v>
      </c>
      <c r="F618" s="36" t="str">
        <f t="shared" si="150"/>
        <v>048742893</v>
      </c>
      <c r="G618" s="37">
        <f>VLOOKUP(F618,Покупатели!$F$2:$N$762,2,0)</f>
        <v>44380</v>
      </c>
      <c r="H618" s="36" t="str">
        <f>VLOOKUP(F618,Покупатели!$F$2:$N$762,3,0)</f>
        <v>МВД РК</v>
      </c>
      <c r="I618" s="36">
        <f>VLOOKUP(C618,Покупатели!$C$2:$M$805,7,0)</f>
        <v>750522303048</v>
      </c>
      <c r="J618" s="36" t="str">
        <f ca="1">IFERROR(__xludf.DUMMYFUNCTION("JOIN("" "", VLOOKUP(C618,Покупатели,8,0),VLOOKUP(C618,Покупатели,9,0),VLOOKUP(C618,Покупатели,10,0),VLOOKUP(C618,Покупатели,11,0))"),"г.Алматы, Алатауский район, мкр-н Теректи, ул. Аманбөктер, д.18")</f>
        <v>г.Алматы, Алатауский район, мкр-н Теректи, ул. Аманбөктер, д.18</v>
      </c>
      <c r="K618" s="36">
        <f t="shared" si="151"/>
        <v>87773517788</v>
      </c>
      <c r="L618" s="36" t="str">
        <f t="shared" si="152"/>
        <v>MX4000002S0002277</v>
      </c>
      <c r="M618" s="36" t="str">
        <f t="shared" ca="1" si="159"/>
        <v>002-2013E50Q13-OK</v>
      </c>
      <c r="N618" s="36" t="str">
        <f t="shared" si="158"/>
        <v>Прицеп 2,0*1,25 м  (до 750 кг.)</v>
      </c>
      <c r="O618" s="36" t="str">
        <f t="shared" si="153"/>
        <v>1 ось</v>
      </c>
      <c r="P618" s="36">
        <f t="shared" si="154"/>
        <v>2025</v>
      </c>
      <c r="Q618" s="34" t="str">
        <f t="shared" ca="1" si="156"/>
        <v>3150*1700*1070</v>
      </c>
      <c r="R618" s="36" t="str">
        <f t="shared" ca="1" si="155"/>
        <v>2000*1250*500</v>
      </c>
      <c r="S618" s="34" t="str">
        <f>VLOOKUP(O618,ОТТС!$A$2:$B$3,2,0)</f>
        <v>ТС KZ Е-KZ.0317.00251 от 28.02.2023</v>
      </c>
      <c r="T618" s="39">
        <v>360000</v>
      </c>
      <c r="U618" s="36" t="str">
        <f t="shared" si="157"/>
        <v>Алматы</v>
      </c>
    </row>
    <row r="619" spans="1:21" ht="13.2">
      <c r="A619" s="34">
        <v>1824</v>
      </c>
      <c r="B619" s="35">
        <f>VLOOKUP(A619,'Реестр договоров'!$A$2:$D$996,2,0)</f>
        <v>45910</v>
      </c>
      <c r="C619" s="36" t="str">
        <f t="shared" si="148"/>
        <v>Сабит</v>
      </c>
      <c r="D619" s="36" t="str">
        <f t="shared" si="149"/>
        <v>Жарқын</v>
      </c>
      <c r="E619" s="36" t="str">
        <f t="shared" si="160"/>
        <v>Муратұлы</v>
      </c>
      <c r="F619" s="36" t="str">
        <f t="shared" si="150"/>
        <v>052170491</v>
      </c>
      <c r="G619" s="37">
        <f>VLOOKUP(F619,Покупатели!$F$2:$N$762,2,0)</f>
        <v>44900</v>
      </c>
      <c r="H619" s="36" t="str">
        <f>VLOOKUP(F619,Покупатели!$F$2:$N$762,3,0)</f>
        <v>ҚР ІІМ</v>
      </c>
      <c r="I619" s="36" t="str">
        <f>VLOOKUP(C619,Покупатели!$C$2:$M$805,7,0)</f>
        <v>061110500480</v>
      </c>
      <c r="J619" s="36" t="str">
        <f ca="1">IFERROR(__xludf.DUMMYFUNCTION("JOIN("" "", VLOOKUP(C619,Покупатели,8,0),VLOOKUP(C619,Покупатели,9,0),VLOOKUP(C619,Покупатели,10,0),VLOOKUP(C619,Покупатели,11,0))"),"Алматинская область,  Талгарский район, поселок Берлик, ул. Маметова 59")</f>
        <v>Алматинская область,  Талгарский район, поселок Берлик, ул. Маметова 59</v>
      </c>
      <c r="K619" s="36" t="str">
        <f t="shared" si="151"/>
        <v>+77003033360</v>
      </c>
      <c r="L619" s="36" t="str">
        <f t="shared" si="152"/>
        <v>MX4000002S0002309</v>
      </c>
      <c r="M619" s="36" t="str">
        <f t="shared" ca="1" si="159"/>
        <v>002-2013E50Q13-OK</v>
      </c>
      <c r="N619" s="36" t="str">
        <f t="shared" si="158"/>
        <v>Прицеп 2,0*1,25 м  (до 750 кг.)</v>
      </c>
      <c r="O619" s="36" t="str">
        <f t="shared" si="153"/>
        <v>1 ось</v>
      </c>
      <c r="P619" s="36">
        <f t="shared" si="154"/>
        <v>2025</v>
      </c>
      <c r="Q619" s="34" t="str">
        <f t="shared" ca="1" si="156"/>
        <v>3150*1700*1070</v>
      </c>
      <c r="R619" s="36" t="str">
        <f t="shared" ca="1" si="155"/>
        <v>2000*1250*500</v>
      </c>
      <c r="S619" s="34" t="str">
        <f>VLOOKUP(O619,ОТТС!$A$2:$B$3,2,0)</f>
        <v>ТС KZ Е-KZ.0317.00251 от 28.02.2023</v>
      </c>
      <c r="T619" s="39">
        <v>360000</v>
      </c>
      <c r="U619" s="36" t="str">
        <f t="shared" si="157"/>
        <v>Алматы</v>
      </c>
    </row>
    <row r="620" spans="1:21" ht="13.2">
      <c r="A620" s="34">
        <v>1825</v>
      </c>
      <c r="B620" s="35">
        <f>VLOOKUP(A620,'Реестр договоров'!$A$2:$D$996,2,0)</f>
        <v>45912</v>
      </c>
      <c r="C620" s="36" t="str">
        <f t="shared" si="148"/>
        <v>Ғаббас</v>
      </c>
      <c r="D620" s="36" t="str">
        <f t="shared" si="149"/>
        <v>Қасиет</v>
      </c>
      <c r="E620" s="36" t="str">
        <f t="shared" si="160"/>
        <v>Дауренұлы</v>
      </c>
      <c r="F620" s="36" t="str">
        <f t="shared" si="150"/>
        <v>048161302</v>
      </c>
      <c r="G620" s="37">
        <f>VLOOKUP(F620,Покупатели!$F$2:$N$762,2,0)</f>
        <v>44007</v>
      </c>
      <c r="H620" s="36" t="str">
        <f>VLOOKUP(F620,Покупатели!$F$2:$N$762,3,0)</f>
        <v>ҚР ІІМ</v>
      </c>
      <c r="I620" s="36">
        <f>VLOOKUP(C620,Покупатели!$C$2:$M$805,7,0)</f>
        <v>940426350276</v>
      </c>
      <c r="J620" s="36" t="str">
        <f ca="1">IFERROR(__xludf.DUMMYFUNCTION("JOIN("" "", VLOOKUP(C620,Покупатели,8,0),VLOOKUP(C620,Покупатели,9,0),VLOOKUP(C620,Покупатели,10,0),VLOOKUP(C620,Покупатели,11,0))"),"г.Астана р-н Алматы, ЖМ Юго-Восток ул.Балкантау д.85")</f>
        <v>г.Астана р-н Алматы, ЖМ Юго-Восток ул.Балкантау д.85</v>
      </c>
      <c r="K620" s="36">
        <f t="shared" si="151"/>
        <v>87787397436</v>
      </c>
      <c r="L620" s="36" t="str">
        <f t="shared" si="152"/>
        <v>MX4000004S0002248</v>
      </c>
      <c r="M620" s="36" t="str">
        <f t="shared" si="159"/>
        <v>004-2515E50Q13-OK90</v>
      </c>
      <c r="N620" s="36" t="str">
        <f t="shared" si="158"/>
        <v>Прицеп 2,5*1,5 м  (до 750 кг.)</v>
      </c>
      <c r="O620" s="36" t="str">
        <f t="shared" si="153"/>
        <v>2 оси</v>
      </c>
      <c r="P620" s="36">
        <f t="shared" si="154"/>
        <v>2025</v>
      </c>
      <c r="Q620" s="34" t="str">
        <f t="shared" ca="1" si="156"/>
        <v>3650*1950*1070</v>
      </c>
      <c r="R620" s="36" t="str">
        <f t="shared" ca="1" si="155"/>
        <v>4000*1500*500</v>
      </c>
      <c r="S620" s="34" t="str">
        <f>VLOOKUP(O620,ОТТС!$A$2:$B$3,2,0)</f>
        <v>ТС KZ Е-KZ.0317.00219.П1 от 17.07.2025</v>
      </c>
      <c r="T620" s="39">
        <v>775000</v>
      </c>
      <c r="U620" s="36" t="str">
        <f t="shared" si="157"/>
        <v>Астана</v>
      </c>
    </row>
    <row r="621" spans="1:21" ht="13.2">
      <c r="A621" s="34">
        <v>1826</v>
      </c>
      <c r="B621" s="35">
        <f>VLOOKUP(A621,'Реестр договоров'!$A$2:$D$996,2,0)</f>
        <v>45912</v>
      </c>
      <c r="C621" s="36" t="str">
        <f t="shared" si="148"/>
        <v>Фабрициус</v>
      </c>
      <c r="D621" s="36" t="str">
        <f t="shared" si="149"/>
        <v>Александр</v>
      </c>
      <c r="E621" s="36" t="str">
        <f t="shared" si="160"/>
        <v>Владимирович</v>
      </c>
      <c r="F621" s="36" t="str">
        <f t="shared" si="150"/>
        <v>040956189</v>
      </c>
      <c r="G621" s="37">
        <f>VLOOKUP(F621,Покупатели!$F$2:$N$762,2,0)</f>
        <v>42712</v>
      </c>
      <c r="H621" s="36" t="str">
        <f>VLOOKUP(F621,Покупатели!$F$2:$N$762,3,0)</f>
        <v>МВД РК</v>
      </c>
      <c r="I621" s="36">
        <f>VLOOKUP(C621,Покупатели!$C$2:$M$805,7,0)</f>
        <v>820111300163</v>
      </c>
      <c r="J621" s="36" t="str">
        <f ca="1">IFERROR(__xludf.DUMMYFUNCTION("JOIN("" "", VLOOKUP(C621,Покупатели,8,0),VLOOKUP(C621,Покупатели,9,0),VLOOKUP(C621,Покупатели,10,0),VLOOKUP(C621,Покупатели,11,0))"),"г.Алматы, ул. Михайловская, д.83")</f>
        <v>г.Алматы, ул. Михайловская, д.83</v>
      </c>
      <c r="K621" s="36">
        <f t="shared" si="151"/>
        <v>87016666788</v>
      </c>
      <c r="L621" s="36" t="str">
        <f t="shared" si="152"/>
        <v>MX4000002S0002279</v>
      </c>
      <c r="M621" s="36" t="str">
        <f t="shared" ca="1" si="159"/>
        <v>002-2013E30Q13-OK</v>
      </c>
      <c r="N621" s="36" t="str">
        <f t="shared" si="158"/>
        <v>Прицеп 2,0*1,25 м  (до 750 кг.)</v>
      </c>
      <c r="O621" s="36" t="str">
        <f t="shared" si="153"/>
        <v>1 ось</v>
      </c>
      <c r="P621" s="36">
        <f t="shared" si="154"/>
        <v>2025</v>
      </c>
      <c r="Q621" s="34" t="str">
        <f t="shared" ca="1" si="156"/>
        <v>3150*1700*900</v>
      </c>
      <c r="R621" s="36" t="str">
        <f t="shared" ca="1" si="155"/>
        <v>2000*1250*300</v>
      </c>
      <c r="S621" s="34" t="str">
        <f>VLOOKUP(O621,ОТТС!$A$2:$B$3,2,0)</f>
        <v>ТС KZ Е-KZ.0317.00251 от 28.02.2023</v>
      </c>
      <c r="T621" s="39">
        <v>350000</v>
      </c>
      <c r="U621" s="36" t="str">
        <f t="shared" si="157"/>
        <v>Алматы</v>
      </c>
    </row>
    <row r="622" spans="1:21" ht="13.2">
      <c r="A622" s="34">
        <v>1828</v>
      </c>
      <c r="B622" s="35">
        <f>VLOOKUP(A622,'Реестр договоров'!$A$2:$D$996,2,0)</f>
        <v>45912</v>
      </c>
      <c r="C622" s="36" t="str">
        <f t="shared" si="148"/>
        <v>Осипов</v>
      </c>
      <c r="D622" s="36" t="str">
        <f t="shared" si="149"/>
        <v>Михаил</v>
      </c>
      <c r="E622" s="36" t="str">
        <f t="shared" si="160"/>
        <v>Николаевич</v>
      </c>
      <c r="F622" s="36" t="str">
        <f t="shared" si="150"/>
        <v>057741666</v>
      </c>
      <c r="G622" s="37">
        <f>VLOOKUP(F622,Покупатели!$F$2:$N$762,2,0)</f>
        <v>45392</v>
      </c>
      <c r="H622" s="36" t="str">
        <f>VLOOKUP(F622,Покупатели!$F$2:$N$762,3,0)</f>
        <v>МВД РК</v>
      </c>
      <c r="I622" s="36">
        <f>VLOOKUP(C622,Покупатели!$C$2:$M$805,7,0)</f>
        <v>831214350729</v>
      </c>
      <c r="J622" s="36" t="str">
        <f ca="1">IFERROR(__xludf.DUMMYFUNCTION("JOIN("" "", VLOOKUP(C622,Покупатели,8,0),VLOOKUP(C622,Покупатели,9,0),VLOOKUP(C622,Покупатели,10,0),VLOOKUP(C622,Покупатели,11,0))"),"Акмолинская область, г.Кокшетау, проспект Абылай хана, д.1/3, кв. 15")</f>
        <v>Акмолинская область, г.Кокшетау, проспект Абылай хана, д.1/3, кв. 15</v>
      </c>
      <c r="K622" s="36">
        <f t="shared" si="151"/>
        <v>87015016038</v>
      </c>
      <c r="L622" s="36" t="str">
        <f t="shared" si="152"/>
        <v>MX4000002S0002330</v>
      </c>
      <c r="M622" s="36" t="str">
        <f t="shared" ca="1" si="159"/>
        <v>002-2013E30Q13-OK30</v>
      </c>
      <c r="N622" s="36" t="str">
        <f t="shared" si="158"/>
        <v>Прицеп 2,0*1,25 м  (до 750 кг.)</v>
      </c>
      <c r="O622" s="36" t="str">
        <f t="shared" si="153"/>
        <v>1 ось</v>
      </c>
      <c r="P622" s="36">
        <f t="shared" si="154"/>
        <v>2025</v>
      </c>
      <c r="Q622" s="34" t="str">
        <f t="shared" ca="1" si="156"/>
        <v>3150*1700*900</v>
      </c>
      <c r="R622" s="36" t="str">
        <f t="shared" ca="1" si="155"/>
        <v>2000*1250*300</v>
      </c>
      <c r="S622" s="34" t="str">
        <f>VLOOKUP(O622,ОТТС!$A$2:$B$3,2,0)</f>
        <v>ТС KZ Е-KZ.0317.00251 от 28.02.2023</v>
      </c>
      <c r="T622" s="39">
        <v>350000</v>
      </c>
      <c r="U622" s="36" t="str">
        <f t="shared" si="157"/>
        <v>Кокшетау</v>
      </c>
    </row>
    <row r="623" spans="1:21" ht="13.2">
      <c r="A623" s="34">
        <v>1829</v>
      </c>
      <c r="B623" s="35">
        <f>VLOOKUP(A623,'Реестр договоров'!$A$2:$D$996,2,0)</f>
        <v>45915</v>
      </c>
      <c r="C623" s="36" t="str">
        <f t="shared" si="148"/>
        <v>Копбаев 2</v>
      </c>
      <c r="D623" s="36" t="str">
        <f t="shared" si="149"/>
        <v>Жанабек</v>
      </c>
      <c r="E623" s="36" t="str">
        <f t="shared" si="160"/>
        <v>Пернебаевич</v>
      </c>
      <c r="F623" s="36" t="str">
        <f t="shared" si="150"/>
        <v>059345573</v>
      </c>
      <c r="G623" s="37">
        <f>VLOOKUP(F623,Покупатели!$F$2:$N$762,2,0)</f>
        <v>45758</v>
      </c>
      <c r="H623" s="36" t="str">
        <f>VLOOKUP(F623,Покупатели!$F$2:$N$762,3,0)</f>
        <v>МВД РК</v>
      </c>
      <c r="I623" s="36">
        <f>VLOOKUP(C623,Покупатели!$C$2:$M$805,7,0)</f>
        <v>781126303509</v>
      </c>
      <c r="J623" s="36" t="str">
        <f ca="1">IFERROR(__xludf.DUMMYFUNCTION("JOIN("" "", VLOOKUP(C623,Покупатели,8,0),VLOOKUP(C623,Покупатели,9,0),VLOOKUP(C623,Покупатели,10,0),VLOOKUP(C623,Покупатели,11,0))"),"г. Тараз, Байзакский район, с. Жетібай, ул. Толе би, д. 1б")</f>
        <v>г. Тараз, Байзакский район, с. Жетібай, ул. Толе би, д. 1б</v>
      </c>
      <c r="K623" s="36">
        <f t="shared" si="151"/>
        <v>87072453304</v>
      </c>
      <c r="L623" s="36" t="str">
        <f t="shared" si="152"/>
        <v>MX4000002S0002276</v>
      </c>
      <c r="M623" s="36" t="str">
        <f t="shared" ca="1" si="159"/>
        <v>002-2013E50Q13-OK</v>
      </c>
      <c r="N623" s="36" t="str">
        <f t="shared" si="158"/>
        <v>Прицеп 2,0*1,25 м  (до 750 кг.)</v>
      </c>
      <c r="O623" s="36" t="str">
        <f t="shared" si="153"/>
        <v>1 ось</v>
      </c>
      <c r="P623" s="36">
        <f t="shared" si="154"/>
        <v>2025</v>
      </c>
      <c r="Q623" s="34" t="str">
        <f t="shared" ca="1" si="156"/>
        <v>3150*1700*1070</v>
      </c>
      <c r="R623" s="36" t="str">
        <f t="shared" ca="1" si="155"/>
        <v>2000*1250*500</v>
      </c>
      <c r="S623" s="34" t="str">
        <f>VLOOKUP(O623,ОТТС!$A$2:$B$3,2,0)</f>
        <v>ТС KZ Е-KZ.0317.00251 от 28.02.2023</v>
      </c>
      <c r="T623" s="39">
        <v>358000</v>
      </c>
      <c r="U623" s="36" t="str">
        <f t="shared" si="157"/>
        <v>Алматы</v>
      </c>
    </row>
    <row r="624" spans="1:21" ht="13.2">
      <c r="A624" s="34">
        <v>1831</v>
      </c>
      <c r="B624" s="35">
        <f>VLOOKUP(A624,'Реестр договоров'!$A$2:$D$996,2,0)</f>
        <v>45915</v>
      </c>
      <c r="C624" s="36" t="str">
        <f t="shared" si="148"/>
        <v>Бортников</v>
      </c>
      <c r="D624" s="36" t="str">
        <f t="shared" si="149"/>
        <v>Вячеслав</v>
      </c>
      <c r="E624" s="36" t="str">
        <f t="shared" si="160"/>
        <v>Анатольевич</v>
      </c>
      <c r="F624" s="36" t="str">
        <f t="shared" si="150"/>
        <v>050726669</v>
      </c>
      <c r="G624" s="37">
        <f>VLOOKUP(F624,Покупатели!$F$2:$N$762,2,0)</f>
        <v>44700</v>
      </c>
      <c r="H624" s="36" t="str">
        <f>VLOOKUP(F624,Покупатели!$F$2:$N$762,3,0)</f>
        <v>МВД РК</v>
      </c>
      <c r="I624" s="36">
        <f>VLOOKUP(C624,Покупатели!$C$2:$M$805,7,0)</f>
        <v>770422300816</v>
      </c>
      <c r="J624" s="36" t="str">
        <f ca="1">IFERROR(__xludf.DUMMYFUNCTION("JOIN("" "", VLOOKUP(C624,Покупатели,8,0),VLOOKUP(C624,Покупатели,9,0),VLOOKUP(C624,Покупатели,10,0),VLOOKUP(C624,Покупатели,11,0))"),"Алматинская область, г. Талгар, ул. Жастар, д.13")</f>
        <v>Алматинская область, г. Талгар, ул. Жастар, д.13</v>
      </c>
      <c r="K624" s="36">
        <f t="shared" si="151"/>
        <v>87019331218</v>
      </c>
      <c r="L624" s="36" t="str">
        <f t="shared" si="152"/>
        <v>MX4000002S0002275</v>
      </c>
      <c r="M624" s="36" t="str">
        <f t="shared" ca="1" si="159"/>
        <v>002-2013E50Q13-OK</v>
      </c>
      <c r="N624" s="36" t="str">
        <f t="shared" si="158"/>
        <v>Прицеп 2,0*1,25 м  (до 750 кг.)</v>
      </c>
      <c r="O624" s="36" t="str">
        <f t="shared" si="153"/>
        <v>1 ось</v>
      </c>
      <c r="P624" s="36">
        <f t="shared" si="154"/>
        <v>2025</v>
      </c>
      <c r="Q624" s="34" t="str">
        <f t="shared" ca="1" si="156"/>
        <v>3150*1700*1070</v>
      </c>
      <c r="R624" s="36" t="str">
        <f t="shared" ca="1" si="155"/>
        <v>2000*1250*500</v>
      </c>
      <c r="S624" s="34" t="str">
        <f>VLOOKUP(O624,ОТТС!$A$2:$B$3,2,0)</f>
        <v>ТС KZ Е-KZ.0317.00251 от 28.02.2023</v>
      </c>
      <c r="T624" s="39">
        <v>355000</v>
      </c>
      <c r="U624" s="36" t="str">
        <f t="shared" si="157"/>
        <v>Алматы</v>
      </c>
    </row>
    <row r="625" spans="1:21" ht="13.2">
      <c r="A625" s="34">
        <v>1832</v>
      </c>
      <c r="B625" s="35">
        <f>VLOOKUP(A625,'Реестр договоров'!$A$2:$D$996,2,0)</f>
        <v>45915</v>
      </c>
      <c r="C625" s="36" t="str">
        <f t="shared" si="148"/>
        <v>Бердиханов 3</v>
      </c>
      <c r="D625" s="36" t="str">
        <f t="shared" si="149"/>
        <v>Полаткалий</v>
      </c>
      <c r="E625" s="36" t="str">
        <f t="shared" si="160"/>
        <v>Нурдаулетович</v>
      </c>
      <c r="F625" s="36" t="str">
        <f t="shared" si="150"/>
        <v>055060113</v>
      </c>
      <c r="G625" s="37">
        <f>VLOOKUP(F625,Покупатели!$F$2:$N$762,2,0)</f>
        <v>45261</v>
      </c>
      <c r="H625" s="36" t="str">
        <f>VLOOKUP(F625,Покупатели!$F$2:$N$762,3,0)</f>
        <v>МВД РК</v>
      </c>
      <c r="I625" s="36">
        <f>VLOOKUP(C625,Покупатели!$C$2:$M$805,7,0)</f>
        <v>810522303061</v>
      </c>
      <c r="J625" s="36" t="str">
        <f ca="1">IFERROR(__xludf.DUMMYFUNCTION("JOIN("" "", VLOOKUP(C625,Покупатели,8,0),VLOOKUP(C625,Покупатели,9,0),VLOOKUP(C625,Покупатели,10,0),VLOOKUP(C625,Покупатели,11,0))"),"Жамбылская область, Байзакский район, с. Сарыкемер, ул. Орынкулова, д.119 а, 1 переулок")</f>
        <v>Жамбылская область, Байзакский район, с. Сарыкемер, ул. Орынкулова, д.119 а, 1 переулок</v>
      </c>
      <c r="K625" s="36">
        <f t="shared" si="151"/>
        <v>87087435052</v>
      </c>
      <c r="L625" s="36" t="str">
        <f t="shared" si="152"/>
        <v>MX4000002S0002030</v>
      </c>
      <c r="M625" s="36" t="str">
        <f t="shared" ca="1" si="159"/>
        <v>002-2013E30Q13-OK</v>
      </c>
      <c r="N625" s="36" t="str">
        <f t="shared" si="158"/>
        <v>Прицеп 2,0*1,25 м  (до 750 кг.)</v>
      </c>
      <c r="O625" s="36" t="str">
        <f t="shared" si="153"/>
        <v>1 ось</v>
      </c>
      <c r="P625" s="36">
        <f t="shared" si="154"/>
        <v>2025</v>
      </c>
      <c r="Q625" s="34" t="str">
        <f t="shared" ca="1" si="156"/>
        <v>3150*1700*900</v>
      </c>
      <c r="R625" s="36" t="str">
        <f t="shared" ca="1" si="155"/>
        <v>2000*1250*300</v>
      </c>
      <c r="S625" s="34" t="str">
        <f>VLOOKUP(O625,ОТТС!$A$2:$B$3,2,0)</f>
        <v>ТС KZ Е-KZ.0317.00251 от 28.02.2023</v>
      </c>
      <c r="T625" s="39">
        <v>325000</v>
      </c>
      <c r="U625" s="36" t="str">
        <f t="shared" si="157"/>
        <v>Алматы</v>
      </c>
    </row>
    <row r="626" spans="1:21" ht="13.2">
      <c r="A626" s="34">
        <v>1833</v>
      </c>
      <c r="B626" s="35">
        <f>VLOOKUP(A626,'Реестр договоров'!$A$2:$D$996,2,0)</f>
        <v>45916</v>
      </c>
      <c r="C626" s="36" t="str">
        <f t="shared" si="148"/>
        <v>Бенкс</v>
      </c>
      <c r="D626" s="36" t="str">
        <f t="shared" si="149"/>
        <v>Николай</v>
      </c>
      <c r="E626" s="36" t="str">
        <f t="shared" si="160"/>
        <v>Гарриевич</v>
      </c>
      <c r="F626" s="36" t="str">
        <f t="shared" si="150"/>
        <v>048536305</v>
      </c>
      <c r="G626" s="37">
        <f>VLOOKUP(F626,Покупатели!$F$2:$N$762,2,0)</f>
        <v>44350</v>
      </c>
      <c r="H626" s="36" t="str">
        <f>VLOOKUP(F626,Покупатели!$F$2:$N$762,3,0)</f>
        <v>МВД РК</v>
      </c>
      <c r="I626" s="36">
        <f>VLOOKUP(C626,Покупатели!$C$2:$M$805,7,0)</f>
        <v>820722301381</v>
      </c>
      <c r="J626" s="36" t="str">
        <f ca="1">IFERROR(__xludf.DUMMYFUNCTION("JOIN("" "", VLOOKUP(C626,Покупатели,8,0),VLOOKUP(C626,Покупатели,9,0),VLOOKUP(C626,Покупатели,10,0),VLOOKUP(C626,Покупатели,11,0))"),"г.Талдыкорган, ул. Блюхера, д.18/20, кв,1")</f>
        <v>г.Талдыкорган, ул. Блюхера, д.18/20, кв,1</v>
      </c>
      <c r="K626" s="36">
        <f t="shared" si="151"/>
        <v>87762455513</v>
      </c>
      <c r="L626" s="36" t="str">
        <f t="shared" si="152"/>
        <v>MX4000002S0002069</v>
      </c>
      <c r="M626" s="36" t="str">
        <f t="shared" ca="1" si="159"/>
        <v>002-2013E50Q13-OK</v>
      </c>
      <c r="N626" s="36" t="str">
        <f t="shared" si="158"/>
        <v>Прицеп 2,0*1,25 м  (до 750 кг.)</v>
      </c>
      <c r="O626" s="36" t="str">
        <f t="shared" si="153"/>
        <v>1 ось</v>
      </c>
      <c r="P626" s="36">
        <f t="shared" si="154"/>
        <v>2025</v>
      </c>
      <c r="Q626" s="34" t="str">
        <f t="shared" ca="1" si="156"/>
        <v>3150*1700*1070</v>
      </c>
      <c r="R626" s="36" t="str">
        <f t="shared" ca="1" si="155"/>
        <v>2000*1250*500</v>
      </c>
      <c r="S626" s="34" t="str">
        <f>VLOOKUP(O626,ОТТС!$A$2:$B$3,2,0)</f>
        <v>ТС KZ Е-KZ.0317.00251 от 28.02.2023</v>
      </c>
      <c r="T626" s="39">
        <v>350000</v>
      </c>
      <c r="U626" s="36" t="str">
        <f t="shared" si="157"/>
        <v>Алматы</v>
      </c>
    </row>
    <row r="627" spans="1:21" ht="13.2">
      <c r="A627" s="34">
        <v>1834</v>
      </c>
      <c r="B627" s="35">
        <f>VLOOKUP(A627,'Реестр договоров'!$A$2:$D$996,2,0)</f>
        <v>45918</v>
      </c>
      <c r="C627" s="36" t="str">
        <f t="shared" si="148"/>
        <v>Мухамеджанов</v>
      </c>
      <c r="D627" s="36" t="str">
        <f t="shared" si="149"/>
        <v>Асембек</v>
      </c>
      <c r="E627" s="36" t="str">
        <f t="shared" si="160"/>
        <v>Куанышбекович</v>
      </c>
      <c r="F627" s="36" t="str">
        <f t="shared" si="150"/>
        <v>042602914</v>
      </c>
      <c r="G627" s="37">
        <f>VLOOKUP(F627,Покупатели!$F$2:$N$762,2,0)</f>
        <v>42843</v>
      </c>
      <c r="H627" s="36" t="str">
        <f>VLOOKUP(F627,Покупатели!$F$2:$N$762,3,0)</f>
        <v>МВД РК</v>
      </c>
      <c r="I627" s="36">
        <f>VLOOKUP(C627,Покупатели!$C$2:$M$805,7,0)</f>
        <v>891122350928</v>
      </c>
      <c r="J627" s="36" t="str">
        <f ca="1">IFERROR(__xludf.DUMMYFUNCTION("JOIN("" "", VLOOKUP(C627,Покупатели,8,0),VLOOKUP(C627,Покупатели,9,0),VLOOKUP(C627,Покупатели,10,0),VLOOKUP(C627,Покупатели,11,0))"),"Акмолинская область, Зерендинский район, с. Троицкое, ул.Женис, д.16")</f>
        <v>Акмолинская область, Зерендинский район, с. Троицкое, ул.Женис, д.16</v>
      </c>
      <c r="K627" s="36">
        <f t="shared" si="151"/>
        <v>87054275209</v>
      </c>
      <c r="L627" s="36" t="str">
        <f t="shared" si="152"/>
        <v>MX4000002S0002331</v>
      </c>
      <c r="M627" s="36" t="str">
        <f t="shared" ca="1" si="159"/>
        <v>002-2513E50Q13-OK</v>
      </c>
      <c r="N627" s="36" t="str">
        <f t="shared" si="158"/>
        <v>Прицеп 2,5*1,25 м  (до 750 кг.)</v>
      </c>
      <c r="O627" s="36" t="str">
        <f t="shared" si="153"/>
        <v>1 ось</v>
      </c>
      <c r="P627" s="36">
        <f t="shared" si="154"/>
        <v>2025</v>
      </c>
      <c r="Q627" s="34" t="str">
        <f t="shared" ca="1" si="156"/>
        <v>3650*1700*1070</v>
      </c>
      <c r="R627" s="36" t="str">
        <f t="shared" ca="1" si="155"/>
        <v>2500*1250*500</v>
      </c>
      <c r="S627" s="34" t="str">
        <f>VLOOKUP(O627,ОТТС!$A$2:$B$3,2,0)</f>
        <v>ТС KZ Е-KZ.0317.00251 от 28.02.2023</v>
      </c>
      <c r="T627" s="39">
        <v>460000</v>
      </c>
      <c r="U627" s="36" t="str">
        <f t="shared" si="157"/>
        <v>Кокшетау</v>
      </c>
    </row>
    <row r="628" spans="1:21" ht="13.2">
      <c r="A628" s="34">
        <v>1835</v>
      </c>
      <c r="B628" s="35">
        <f>VLOOKUP(A628,'Реестр договоров'!$A$2:$D$996,2,0)</f>
        <v>45918</v>
      </c>
      <c r="C628" s="36" t="str">
        <f t="shared" si="148"/>
        <v>Казиева</v>
      </c>
      <c r="D628" s="36" t="str">
        <f t="shared" si="149"/>
        <v>Жайна</v>
      </c>
      <c r="E628" s="36" t="str">
        <f t="shared" si="160"/>
        <v>Мухтаркызы</v>
      </c>
      <c r="F628" s="36" t="str">
        <f t="shared" si="150"/>
        <v>040193149</v>
      </c>
      <c r="G628" s="37">
        <f>VLOOKUP(F628,Покупатели!$F$2:$N$762,2,0)</f>
        <v>42524</v>
      </c>
      <c r="H628" s="36" t="str">
        <f>VLOOKUP(F628,Покупатели!$F$2:$N$762,3,0)</f>
        <v>МВД РК</v>
      </c>
      <c r="I628" s="36" t="str">
        <f>VLOOKUP(C628,Покупатели!$C$2:$M$805,7,0)</f>
        <v>000508600417</v>
      </c>
      <c r="J628" s="36" t="str">
        <f ca="1">IFERROR(__xludf.DUMMYFUNCTION("JOIN("" "", VLOOKUP(C628,Покупатели,8,0),VLOOKUP(C628,Покупатели,9,0),VLOOKUP(C628,Покупатели,10,0),VLOOKUP(C628,Покупатели,11,0))"),"Алматинская область, Карасайский район, с. Жибек жолы, ул. Шаган, д.9А")</f>
        <v>Алматинская область, Карасайский район, с. Жибек жолы, ул. Шаган, д.9А</v>
      </c>
      <c r="K628" s="36">
        <f t="shared" si="151"/>
        <v>87083928196</v>
      </c>
      <c r="L628" s="36" t="str">
        <f t="shared" si="152"/>
        <v>MX4000002S0001993</v>
      </c>
      <c r="M628" s="36" t="str">
        <f t="shared" ca="1" si="159"/>
        <v>002-2013E30Q13-OK</v>
      </c>
      <c r="N628" s="36" t="str">
        <f t="shared" si="158"/>
        <v>Прицеп 2,0*1,25 м  (до 750 кг.)</v>
      </c>
      <c r="O628" s="36" t="str">
        <f t="shared" si="153"/>
        <v>1 ось</v>
      </c>
      <c r="P628" s="36">
        <f t="shared" si="154"/>
        <v>2025</v>
      </c>
      <c r="Q628" s="34" t="str">
        <f t="shared" ca="1" si="156"/>
        <v>3150*1700*900</v>
      </c>
      <c r="R628" s="36" t="str">
        <f t="shared" ca="1" si="155"/>
        <v>2000*1250*300</v>
      </c>
      <c r="S628" s="34" t="str">
        <f>VLOOKUP(O628,ОТТС!$A$2:$B$3,2,0)</f>
        <v>ТС KZ Е-KZ.0317.00251 от 28.02.2023</v>
      </c>
      <c r="T628" s="39">
        <v>350000</v>
      </c>
      <c r="U628" s="36" t="str">
        <f t="shared" si="157"/>
        <v>Алматы</v>
      </c>
    </row>
    <row r="629" spans="1:21" ht="13.2">
      <c r="A629" s="34">
        <v>1836</v>
      </c>
      <c r="B629" s="35">
        <f>VLOOKUP(A629,'Реестр договоров'!$A$2:$D$996,2,0)</f>
        <v>45918</v>
      </c>
      <c r="C629" s="36" t="str">
        <f t="shared" si="148"/>
        <v>Черкашин</v>
      </c>
      <c r="D629" s="36" t="str">
        <f t="shared" si="149"/>
        <v>Николай</v>
      </c>
      <c r="E629" s="36" t="str">
        <f t="shared" si="160"/>
        <v>Николаевич</v>
      </c>
      <c r="F629" s="36" t="str">
        <f t="shared" si="150"/>
        <v>051236243</v>
      </c>
      <c r="G629" s="37">
        <f>VLOOKUP(F629,Покупатели!$F$2:$N$762,2,0)</f>
        <v>44757</v>
      </c>
      <c r="H629" s="36" t="str">
        <f>VLOOKUP(F629,Покупатели!$F$2:$N$762,3,0)</f>
        <v>МВД РК</v>
      </c>
      <c r="I629" s="36">
        <f>VLOOKUP(C629,Покупатели!$C$2:$M$805,7,0)</f>
        <v>870611301525</v>
      </c>
      <c r="J629" s="36" t="str">
        <f ca="1">IFERROR(__xludf.DUMMYFUNCTION("JOIN("" "", VLOOKUP(C629,Покупатели,8,0),VLOOKUP(C629,Покупатели,9,0),VLOOKUP(C629,Покупатели,10,0),VLOOKUP(C629,Покупатели,11,0))"),"г.Алматы, ул. Жандарбекова, д.193/1")</f>
        <v>г.Алматы, ул. Жандарбекова, д.193/1</v>
      </c>
      <c r="K629" s="36">
        <f t="shared" si="151"/>
        <v>87076030561</v>
      </c>
      <c r="L629" s="36" t="str">
        <f t="shared" si="152"/>
        <v>MX4000002S0002310</v>
      </c>
      <c r="M629" s="36" t="str">
        <f t="shared" ca="1" si="159"/>
        <v>002-2013E50Q13-OK</v>
      </c>
      <c r="N629" s="36" t="str">
        <f t="shared" si="158"/>
        <v>Прицеп 2,0*1,25 м  (до 750 кг.)</v>
      </c>
      <c r="O629" s="36" t="str">
        <f t="shared" si="153"/>
        <v>1 ось</v>
      </c>
      <c r="P629" s="36">
        <f t="shared" si="154"/>
        <v>2025</v>
      </c>
      <c r="Q629" s="34" t="str">
        <f t="shared" ca="1" si="156"/>
        <v>3150*1700*1070</v>
      </c>
      <c r="R629" s="36" t="str">
        <f t="shared" ca="1" si="155"/>
        <v>2000*1250*500</v>
      </c>
      <c r="S629" s="34" t="str">
        <f>VLOOKUP(O629,ОТТС!$A$2:$B$3,2,0)</f>
        <v>ТС KZ Е-KZ.0317.00251 от 28.02.2023</v>
      </c>
      <c r="T629" s="39">
        <v>420000</v>
      </c>
      <c r="U629" s="36" t="str">
        <f t="shared" si="157"/>
        <v>Алматы</v>
      </c>
    </row>
    <row r="630" spans="1:21" ht="13.2">
      <c r="A630" s="34">
        <v>1837</v>
      </c>
      <c r="B630" s="35">
        <f>VLOOKUP(A630,'Реестр договоров'!$A$2:$D$996,2,0)</f>
        <v>45918</v>
      </c>
      <c r="C630" s="36" t="str">
        <f t="shared" si="148"/>
        <v>Голубь</v>
      </c>
      <c r="D630" s="36" t="str">
        <f t="shared" si="149"/>
        <v>Александр</v>
      </c>
      <c r="E630" s="36" t="str">
        <f t="shared" si="160"/>
        <v>Николаевич</v>
      </c>
      <c r="F630" s="36" t="str">
        <f t="shared" si="150"/>
        <v>047498338</v>
      </c>
      <c r="G630" s="37">
        <f>VLOOKUP(F630,Покупатели!$F$2:$N$762,2,0)</f>
        <v>43882</v>
      </c>
      <c r="H630" s="36" t="str">
        <f>VLOOKUP(F630,Покупатели!$F$2:$N$762,3,0)</f>
        <v>МВД РК</v>
      </c>
      <c r="I630" s="36">
        <f>VLOOKUP(C630,Покупатели!$C$2:$M$805,7,0)</f>
        <v>890304350191</v>
      </c>
      <c r="J630" s="36" t="str">
        <f ca="1">IFERROR(__xludf.DUMMYFUNCTION("JOIN("" "", VLOOKUP(C630,Покупатели,8,0),VLOOKUP(C630,Покупатели,9,0),VLOOKUP(C630,Покупатели,10,0),VLOOKUP(C630,Покупатели,11,0))"),"СКО, г. Петропавловск, ул. Батыр Баяна, д.9, кв.42")</f>
        <v>СКО, г. Петропавловск, ул. Батыр Баяна, д.9, кв.42</v>
      </c>
      <c r="K630" s="36">
        <f t="shared" si="151"/>
        <v>87058668881</v>
      </c>
      <c r="L630" s="36" t="str">
        <f t="shared" si="152"/>
        <v>MX4000002S0002332</v>
      </c>
      <c r="M630" s="36" t="str">
        <f t="shared" ca="1" si="159"/>
        <v>002-2013E50Q13-OK</v>
      </c>
      <c r="N630" s="36" t="str">
        <f t="shared" si="158"/>
        <v>Прицеп 2,0*1,25 м  (до 750 кг.)</v>
      </c>
      <c r="O630" s="36" t="str">
        <f t="shared" si="153"/>
        <v>1 ось</v>
      </c>
      <c r="P630" s="36">
        <f t="shared" si="154"/>
        <v>2025</v>
      </c>
      <c r="Q630" s="34" t="str">
        <f t="shared" ca="1" si="156"/>
        <v>3150*1700*1070</v>
      </c>
      <c r="R630" s="36" t="str">
        <f t="shared" ca="1" si="155"/>
        <v>2000*1250*500</v>
      </c>
      <c r="S630" s="34" t="str">
        <f>VLOOKUP(O630,ОТТС!$A$2:$B$3,2,0)</f>
        <v>ТС KZ Е-KZ.0317.00251 от 28.02.2023</v>
      </c>
      <c r="T630" s="39">
        <v>400000</v>
      </c>
      <c r="U630" s="36" t="str">
        <f t="shared" si="157"/>
        <v>Кокшетау</v>
      </c>
    </row>
    <row r="631" spans="1:21" ht="13.2">
      <c r="A631" s="34">
        <v>1838</v>
      </c>
      <c r="B631" s="35">
        <f>VLOOKUP(A631,'Реестр договоров'!$A$2:$D$996,2,0)</f>
        <v>45919</v>
      </c>
      <c r="C631" s="36" t="str">
        <f t="shared" si="148"/>
        <v>Альжанов</v>
      </c>
      <c r="D631" s="36" t="str">
        <f t="shared" si="149"/>
        <v>Беркимбай</v>
      </c>
      <c r="E631" s="36" t="str">
        <f t="shared" si="160"/>
        <v>Орынбаевич</v>
      </c>
      <c r="F631" s="36" t="str">
        <f t="shared" si="150"/>
        <v>042602298</v>
      </c>
      <c r="G631" s="37">
        <f>VLOOKUP(F631,Покупатели!$F$2:$N$762,2,0)</f>
        <v>42843</v>
      </c>
      <c r="H631" s="36" t="str">
        <f>VLOOKUP(F631,Покупатели!$F$2:$N$762,3,0)</f>
        <v>МВД РК</v>
      </c>
      <c r="I631" s="36">
        <f>VLOOKUP(C631,Покупатели!$C$2:$M$805,7,0)</f>
        <v>600411350224</v>
      </c>
      <c r="J631" s="36" t="str">
        <f ca="1">IFERROR(__xludf.DUMMYFUNCTION("JOIN("" "", VLOOKUP(C631,Покупатели,8,0),VLOOKUP(C631,Покупатели,9,0),VLOOKUP(C631,Покупатели,10,0),VLOOKUP(C631,Покупатели,11,0))"),"СКО, г. Тайынша, ул. Куншыгыс, д.237/2")</f>
        <v>СКО, г. Тайынша, ул. Куншыгыс, д.237/2</v>
      </c>
      <c r="K631" s="36">
        <f t="shared" si="151"/>
        <v>87051032393</v>
      </c>
      <c r="L631" s="36" t="str">
        <f t="shared" si="152"/>
        <v>MX4000002S0002333</v>
      </c>
      <c r="M631" s="36" t="str">
        <f t="shared" ca="1" si="159"/>
        <v>002-2013E30Q13-OK60</v>
      </c>
      <c r="N631" s="36" t="str">
        <f t="shared" si="158"/>
        <v>Прицеп 2,0*1,25 м  (до 750 кг.)</v>
      </c>
      <c r="O631" s="36" t="str">
        <f t="shared" si="153"/>
        <v>1 ось</v>
      </c>
      <c r="P631" s="36">
        <f t="shared" si="154"/>
        <v>2025</v>
      </c>
      <c r="Q631" s="34" t="str">
        <f t="shared" ca="1" si="156"/>
        <v>3150*1700*900</v>
      </c>
      <c r="R631" s="36" t="str">
        <f t="shared" ca="1" si="155"/>
        <v>2000*1250*300</v>
      </c>
      <c r="S631" s="34" t="str">
        <f>VLOOKUP(O631,ОТТС!$A$2:$B$3,2,0)</f>
        <v>ТС KZ Е-KZ.0317.00251 от 28.02.2023</v>
      </c>
      <c r="T631" s="39">
        <v>380000</v>
      </c>
      <c r="U631" s="36" t="str">
        <f t="shared" si="157"/>
        <v>Кокшетау</v>
      </c>
    </row>
    <row r="632" spans="1:21" ht="13.2">
      <c r="A632" s="34">
        <v>1840</v>
      </c>
      <c r="B632" s="35">
        <f>VLOOKUP(A632,'Реестр договоров'!$A$2:$D$996,2,0)</f>
        <v>45919</v>
      </c>
      <c r="C632" s="36" t="str">
        <f t="shared" si="148"/>
        <v>Кадырова</v>
      </c>
      <c r="D632" s="36" t="str">
        <f t="shared" si="149"/>
        <v>Эльмира</v>
      </c>
      <c r="E632" s="36" t="str">
        <f t="shared" si="160"/>
        <v>Нуржановна</v>
      </c>
      <c r="F632" s="36" t="str">
        <f t="shared" si="150"/>
        <v>060048805</v>
      </c>
      <c r="G632" s="37">
        <f>VLOOKUP(F632,Покупатели!$F$2:$N$762,2,0)</f>
        <v>45841</v>
      </c>
      <c r="H632" s="36" t="str">
        <f>VLOOKUP(F632,Покупатели!$F$2:$N$762,3,0)</f>
        <v>МВД РК</v>
      </c>
      <c r="I632" s="36">
        <f>VLOOKUP(C632,Покупатели!$C$2:$M$805,7,0)</f>
        <v>900812451053</v>
      </c>
      <c r="J632" s="36" t="str">
        <f ca="1">IFERROR(__xludf.DUMMYFUNCTION("JOIN("" "", VLOOKUP(C632,Покупатели,8,0),VLOOKUP(C632,Покупатели,9,0),VLOOKUP(C632,Покупатели,10,0),VLOOKUP(C632,Покупатели,11,0))"),"Акмолинская область, г. Кокшетау, ул. Вернадского, д.17, кв.21")</f>
        <v>Акмолинская область, г. Кокшетау, ул. Вернадского, д.17, кв.21</v>
      </c>
      <c r="K632" s="36">
        <f t="shared" si="151"/>
        <v>87789395445</v>
      </c>
      <c r="L632" s="36" t="str">
        <f t="shared" si="152"/>
        <v>MX4000002S0002337</v>
      </c>
      <c r="M632" s="36" t="str">
        <f t="shared" ca="1" si="159"/>
        <v>002-2013E50Q13-OK</v>
      </c>
      <c r="N632" s="36" t="str">
        <f t="shared" si="158"/>
        <v>Прицеп 2,0*1,25 м  (до 750 кг.)</v>
      </c>
      <c r="O632" s="36" t="str">
        <f t="shared" si="153"/>
        <v>1 ось</v>
      </c>
      <c r="P632" s="36">
        <f t="shared" si="154"/>
        <v>2025</v>
      </c>
      <c r="Q632" s="34" t="str">
        <f t="shared" ca="1" si="156"/>
        <v>3150*1700*1070</v>
      </c>
      <c r="R632" s="36" t="str">
        <f t="shared" ca="1" si="155"/>
        <v>2000*1250*500</v>
      </c>
      <c r="S632" s="34" t="str">
        <f>VLOOKUP(O632,ОТТС!$A$2:$B$3,2,0)</f>
        <v>ТС KZ Е-KZ.0317.00251 от 28.02.2023</v>
      </c>
      <c r="T632" s="39">
        <v>350000</v>
      </c>
      <c r="U632" s="36" t="str">
        <f t="shared" si="157"/>
        <v>Кокшетау</v>
      </c>
    </row>
    <row r="633" spans="1:21" ht="13.2">
      <c r="A633" s="34">
        <v>1841</v>
      </c>
      <c r="B633" s="35">
        <f>VLOOKUP(A633,'Реестр договоров'!$A$2:$D$996,2,0)</f>
        <v>45921</v>
      </c>
      <c r="C633" s="36" t="str">
        <f t="shared" si="148"/>
        <v>Амренов</v>
      </c>
      <c r="D633" s="36" t="str">
        <f t="shared" si="149"/>
        <v>Руслан</v>
      </c>
      <c r="E633" s="36" t="str">
        <f t="shared" si="160"/>
        <v>Габдыгалиевич</v>
      </c>
      <c r="F633" s="36" t="str">
        <f t="shared" si="150"/>
        <v>045918432</v>
      </c>
      <c r="G633" s="37">
        <f>VLOOKUP(F633,Покупатели!$F$2:$N$762,2,0)</f>
        <v>43607</v>
      </c>
      <c r="H633" s="36" t="str">
        <f>VLOOKUP(F633,Покупатели!$F$2:$N$762,3,0)</f>
        <v>МВД РК</v>
      </c>
      <c r="I633" s="36">
        <f>VLOOKUP(C633,Покупатели!$C$2:$M$805,7,0)</f>
        <v>770626302574</v>
      </c>
      <c r="J633" s="36" t="str">
        <f ca="1">IFERROR(__xludf.DUMMYFUNCTION("JOIN("" "", VLOOKUP(C633,Покупатели,8,0),VLOOKUP(C633,Покупатели,9,0),VLOOKUP(C633,Покупатели,10,0),VLOOKUP(C633,Покупатели,11,0))"),"Область Абай,  район Мақаншы, округ Маканчинский, с. Маканчи,  ул. Панфилова, д.4")</f>
        <v>Область Абай,  район Мақаншы, округ Маканчинский, с. Маканчи,  ул. Панфилова, д.4</v>
      </c>
      <c r="K633" s="36">
        <f t="shared" si="151"/>
        <v>87076260677</v>
      </c>
      <c r="L633" s="36" t="str">
        <f t="shared" si="152"/>
        <v>MX4000004S0002264</v>
      </c>
      <c r="M633" s="36" t="str">
        <f t="shared" ca="1" si="159"/>
        <v>002-2515E50Q13-OK</v>
      </c>
      <c r="N633" s="36" t="str">
        <f t="shared" si="158"/>
        <v>Прицеп 2,5*1,5 м  (до 750 кг.)</v>
      </c>
      <c r="O633" s="36" t="str">
        <f t="shared" si="153"/>
        <v>2 оси</v>
      </c>
      <c r="P633" s="36">
        <f t="shared" si="154"/>
        <v>2025</v>
      </c>
      <c r="Q633" s="34" t="str">
        <f t="shared" ca="1" si="156"/>
        <v>3650*1950*1070</v>
      </c>
      <c r="R633" s="36" t="str">
        <f t="shared" ca="1" si="155"/>
        <v>2500*1500*500</v>
      </c>
      <c r="S633" s="34" t="str">
        <f>VLOOKUP(O633,ОТТС!$A$2:$B$3,2,0)</f>
        <v>ТС KZ Е-KZ.0317.00219.П1 от 17.07.2025</v>
      </c>
      <c r="T633" s="39">
        <v>750000</v>
      </c>
      <c r="U633" s="36" t="str">
        <f t="shared" si="157"/>
        <v>Алматы</v>
      </c>
    </row>
    <row r="634" spans="1:21" ht="13.2">
      <c r="A634" s="34">
        <v>1842</v>
      </c>
      <c r="B634" s="35">
        <f>VLOOKUP(A634,'Реестр договоров'!$A$2:$D$996,2,0)</f>
        <v>45922</v>
      </c>
      <c r="C634" s="36" t="str">
        <f t="shared" si="148"/>
        <v>Мейрамов</v>
      </c>
      <c r="D634" s="36" t="str">
        <f t="shared" si="149"/>
        <v>Алмас</v>
      </c>
      <c r="E634" s="36" t="str">
        <f t="shared" si="160"/>
        <v>Бигельдинович</v>
      </c>
      <c r="F634" s="36" t="str">
        <f t="shared" si="150"/>
        <v>055555738</v>
      </c>
      <c r="G634" s="37">
        <f>VLOOKUP(F634,Покупатели!$F$2:$N$762,2,0)</f>
        <v>45085</v>
      </c>
      <c r="H634" s="36" t="str">
        <f>VLOOKUP(F634,Покупатели!$F$2:$N$762,3,0)</f>
        <v>МВД РК</v>
      </c>
      <c r="I634" s="36">
        <f>VLOOKUP(C634,Покупатели!$C$2:$M$805,7,0)</f>
        <v>860919350536</v>
      </c>
      <c r="J634" s="36" t="str">
        <f ca="1">IFERROR(__xludf.DUMMYFUNCTION("JOIN("" "", VLOOKUP(C634,Покупатели,8,0),VLOOKUP(C634,Покупатели,9,0),VLOOKUP(C634,Покупатели,10,0),VLOOKUP(C634,Покупатели,11,0))"),"Акмолинская область, Зерендинский район, с. Симферопольское, ул. Малика Габдулина, д.16/1")</f>
        <v>Акмолинская область, Зерендинский район, с. Симферопольское, ул. Малика Габдулина, д.16/1</v>
      </c>
      <c r="K634" s="36">
        <f t="shared" si="151"/>
        <v>87055181911</v>
      </c>
      <c r="L634" s="36" t="str">
        <f t="shared" si="152"/>
        <v>MX4000002S0002336</v>
      </c>
      <c r="M634" s="36" t="str">
        <f t="shared" ca="1" si="159"/>
        <v>002-2513E50Q13-OK60</v>
      </c>
      <c r="N634" s="36" t="str">
        <f t="shared" si="158"/>
        <v>Прицеп 2,5*1,25 м  (до 750 кг.)</v>
      </c>
      <c r="O634" s="36" t="str">
        <f t="shared" si="153"/>
        <v>1 ось</v>
      </c>
      <c r="P634" s="36">
        <f t="shared" si="154"/>
        <v>2025</v>
      </c>
      <c r="Q634" s="34" t="str">
        <f t="shared" ca="1" si="156"/>
        <v>3650*1700*1070</v>
      </c>
      <c r="R634" s="36" t="str">
        <f t="shared" ca="1" si="155"/>
        <v>2500*1250*500</v>
      </c>
      <c r="S634" s="34" t="str">
        <f>VLOOKUP(O634,ОТТС!$A$2:$B$3,2,0)</f>
        <v>ТС KZ Е-KZ.0317.00251 от 28.02.2023</v>
      </c>
      <c r="T634" s="39">
        <v>520000</v>
      </c>
      <c r="U634" s="36" t="str">
        <f t="shared" si="157"/>
        <v>Кокшетау</v>
      </c>
    </row>
    <row r="635" spans="1:21" ht="13.2">
      <c r="A635" s="34">
        <v>1843</v>
      </c>
      <c r="B635" s="35">
        <f>VLOOKUP(A635,'Реестр договоров'!$A$2:$D$996,2,0)</f>
        <v>45922</v>
      </c>
      <c r="C635" s="36" t="str">
        <f t="shared" si="148"/>
        <v>Дүйсен</v>
      </c>
      <c r="D635" s="36" t="str">
        <f t="shared" si="149"/>
        <v>Ансар</v>
      </c>
      <c r="E635" s="36" t="str">
        <f t="shared" si="160"/>
        <v>.</v>
      </c>
      <c r="F635" s="36" t="str">
        <f t="shared" si="150"/>
        <v>046281302</v>
      </c>
      <c r="G635" s="37">
        <f>VLOOKUP(F635,Покупатели!$F$2:$N$762,2,0)</f>
        <v>43671</v>
      </c>
      <c r="H635" s="36" t="str">
        <f>VLOOKUP(F635,Покупатели!$F$2:$N$762,3,0)</f>
        <v>ҚР ІІМ</v>
      </c>
      <c r="I635" s="36" t="str">
        <f>VLOOKUP(C635,Покупатели!$C$2:$M$805,7,0)</f>
        <v>030201550671</v>
      </c>
      <c r="J635" s="36" t="str">
        <f ca="1">IFERROR(__xludf.DUMMYFUNCTION("JOIN("" "", VLOOKUP(C635,Покупатели,8,0),VLOOKUP(C635,Покупатели,9,0),VLOOKUP(C635,Покупатели,10,0),VLOOKUP(C635,Покупатели,11,0))"),"Акмолинская область, г.Кокшетау, мкр-н Центральный, д.52, кв.81")</f>
        <v>Акмолинская область, г.Кокшетау, мкр-н Центральный, д.52, кв.81</v>
      </c>
      <c r="K635" s="36">
        <f t="shared" si="151"/>
        <v>87761302562</v>
      </c>
      <c r="L635" s="36" t="str">
        <f t="shared" si="152"/>
        <v>MX4000002S0002339</v>
      </c>
      <c r="M635" s="36" t="str">
        <f t="shared" ca="1" si="159"/>
        <v>002-2013E50Q13-OK</v>
      </c>
      <c r="N635" s="36" t="str">
        <f t="shared" si="158"/>
        <v>Прицеп 2,0*1,25 м  (до 750 кг.)</v>
      </c>
      <c r="O635" s="36" t="str">
        <f t="shared" si="153"/>
        <v>1 ось</v>
      </c>
      <c r="P635" s="36">
        <f t="shared" si="154"/>
        <v>2025</v>
      </c>
      <c r="Q635" s="34" t="str">
        <f t="shared" ca="1" si="156"/>
        <v>3150*1700*1070</v>
      </c>
      <c r="R635" s="36" t="str">
        <f t="shared" ca="1" si="155"/>
        <v>2000*1250*500</v>
      </c>
      <c r="S635" s="34" t="str">
        <f>VLOOKUP(O635,ОТТС!$A$2:$B$3,2,0)</f>
        <v>ТС KZ Е-KZ.0317.00251 от 28.02.2023</v>
      </c>
      <c r="T635" s="39">
        <v>400000</v>
      </c>
      <c r="U635" s="36" t="str">
        <f t="shared" si="157"/>
        <v>Кокшетау</v>
      </c>
    </row>
    <row r="636" spans="1:21" ht="13.2">
      <c r="A636" s="34">
        <v>1844</v>
      </c>
      <c r="B636" s="35">
        <f>VLOOKUP(A636,'Реестр договоров'!$A$2:$D$996,2,0)</f>
        <v>45922</v>
      </c>
      <c r="C636" s="36" t="str">
        <f t="shared" si="148"/>
        <v>Иванов</v>
      </c>
      <c r="D636" s="36" t="str">
        <f t="shared" si="149"/>
        <v>Максим</v>
      </c>
      <c r="E636" s="36" t="str">
        <f t="shared" si="160"/>
        <v>Григорьевич</v>
      </c>
      <c r="F636" s="36" t="str">
        <f t="shared" si="150"/>
        <v>051204842</v>
      </c>
      <c r="G636" s="37">
        <f>VLOOKUP(F636,Покупатели!$F$2:$N$762,2,0)</f>
        <v>44447</v>
      </c>
      <c r="H636" s="36" t="str">
        <f>VLOOKUP(F636,Покупатели!$F$2:$N$762,3,0)</f>
        <v>МВД РК</v>
      </c>
      <c r="I636" s="36">
        <f>VLOOKUP(C636,Покупатели!$C$2:$M$805,7,0)</f>
        <v>860224350716</v>
      </c>
      <c r="J636" s="36" t="str">
        <f ca="1">IFERROR(__xludf.DUMMYFUNCTION("JOIN("" "", VLOOKUP(C636,Покупатели,8,0),VLOOKUP(C636,Покупатели,9,0),VLOOKUP(C636,Покупатели,10,0),VLOOKUP(C636,Покупатели,11,0))"),"Акмолинская область, Сандыктауский район, ул.Чернова, д.30")</f>
        <v>Акмолинская область, Сандыктауский район, ул.Чернова, д.30</v>
      </c>
      <c r="K636" s="36">
        <f t="shared" si="151"/>
        <v>87779578054</v>
      </c>
      <c r="L636" s="36" t="str">
        <f t="shared" si="152"/>
        <v>MX4000002S0002340</v>
      </c>
      <c r="M636" s="36" t="str">
        <f t="shared" ca="1" si="159"/>
        <v>002-2013E50Q13-OK60</v>
      </c>
      <c r="N636" s="36" t="str">
        <f t="shared" si="158"/>
        <v>Прицеп 2,0*1,25 м  (до 750 кг.)</v>
      </c>
      <c r="O636" s="36" t="str">
        <f t="shared" si="153"/>
        <v>1 ось</v>
      </c>
      <c r="P636" s="36">
        <f t="shared" si="154"/>
        <v>2025</v>
      </c>
      <c r="Q636" s="34" t="str">
        <f t="shared" ca="1" si="156"/>
        <v>3150*1700*1070</v>
      </c>
      <c r="R636" s="36" t="str">
        <f t="shared" ca="1" si="155"/>
        <v>2000*1250*500</v>
      </c>
      <c r="S636" s="34" t="str">
        <f>VLOOKUP(O636,ОТТС!$A$2:$B$3,2,0)</f>
        <v>ТС KZ Е-KZ.0317.00251 от 28.02.2023</v>
      </c>
      <c r="T636" s="39">
        <v>400000</v>
      </c>
      <c r="U636" s="36" t="str">
        <f t="shared" si="157"/>
        <v>Кокшетау</v>
      </c>
    </row>
    <row r="637" spans="1:21" ht="13.2">
      <c r="A637" s="34">
        <v>1845</v>
      </c>
      <c r="B637" s="35">
        <f>VLOOKUP(A637,'Реестр договоров'!$A$2:$D$996,2,0)</f>
        <v>45922</v>
      </c>
      <c r="C637" s="36" t="str">
        <f t="shared" si="148"/>
        <v>Габдуллин</v>
      </c>
      <c r="D637" s="36" t="str">
        <f t="shared" si="149"/>
        <v>Дулат</v>
      </c>
      <c r="E637" s="36" t="str">
        <f t="shared" si="160"/>
        <v>Камидуллинович</v>
      </c>
      <c r="F637" s="36" t="str">
        <f t="shared" si="150"/>
        <v>051001298</v>
      </c>
      <c r="G637" s="37">
        <f>VLOOKUP(F637,Покупатели!$F$2:$N$762,2,0)</f>
        <v>44414</v>
      </c>
      <c r="H637" s="36" t="str">
        <f>VLOOKUP(F637,Покупатели!$F$2:$N$762,3,0)</f>
        <v>МВД РК</v>
      </c>
      <c r="I637" s="36">
        <f>VLOOKUP(C637,Покупатели!$C$2:$M$805,7,0)</f>
        <v>660408300708</v>
      </c>
      <c r="J637" s="36" t="str">
        <f ca="1">IFERROR(__xludf.DUMMYFUNCTION("JOIN("" "", VLOOKUP(C637,Покупатели,8,0),VLOOKUP(C637,Покупатели,9,0),VLOOKUP(C637,Покупатели,10,0),VLOOKUP(C637,Покупатели,11,0))"),"Акмолинская область, г.Атбасар, ул.Буденого, д.63")</f>
        <v>Акмолинская область, г.Атбасар, ул.Буденого, д.63</v>
      </c>
      <c r="K637" s="36">
        <f t="shared" si="151"/>
        <v>87052931944</v>
      </c>
      <c r="L637" s="36" t="str">
        <f t="shared" si="152"/>
        <v>MX4000002S0002341</v>
      </c>
      <c r="M637" s="36" t="str">
        <f t="shared" ca="1" si="159"/>
        <v>002-2013E50Q13-OK</v>
      </c>
      <c r="N637" s="36" t="str">
        <f t="shared" si="158"/>
        <v>Прицеп 2,0*1,25 м  (до 750 кг.)</v>
      </c>
      <c r="O637" s="36" t="str">
        <f t="shared" si="153"/>
        <v>1 ось</v>
      </c>
      <c r="P637" s="36">
        <f t="shared" si="154"/>
        <v>2025</v>
      </c>
      <c r="Q637" s="34" t="str">
        <f t="shared" ca="1" si="156"/>
        <v>3150*1700*1070</v>
      </c>
      <c r="R637" s="36" t="str">
        <f t="shared" ca="1" si="155"/>
        <v>2000*1250*500</v>
      </c>
      <c r="S637" s="34" t="str">
        <f>VLOOKUP(O637,ОТТС!$A$2:$B$3,2,0)</f>
        <v>ТС KZ Е-KZ.0317.00251 от 28.02.2023</v>
      </c>
      <c r="T637" s="39">
        <v>350000</v>
      </c>
      <c r="U637" s="36" t="str">
        <f t="shared" si="157"/>
        <v>Кокшетау</v>
      </c>
    </row>
    <row r="638" spans="1:21" ht="13.2">
      <c r="A638" s="34">
        <v>1846</v>
      </c>
      <c r="B638" s="35">
        <f>VLOOKUP(A638,'Реестр договоров'!$A$2:$D$996,2,0)</f>
        <v>45922</v>
      </c>
      <c r="C638" s="36" t="str">
        <f t="shared" si="148"/>
        <v>Алпеисов</v>
      </c>
      <c r="D638" s="36" t="str">
        <f t="shared" si="149"/>
        <v>Жанат</v>
      </c>
      <c r="E638" s="36" t="str">
        <f t="shared" si="160"/>
        <v>Ахмедьянович</v>
      </c>
      <c r="F638" s="36" t="str">
        <f t="shared" si="150"/>
        <v>054741110</v>
      </c>
      <c r="G638" s="37">
        <f>VLOOKUP(F638,Покупатели!$F$2:$N$762,2,0)</f>
        <v>44974</v>
      </c>
      <c r="H638" s="36" t="str">
        <f>VLOOKUP(F638,Покупатели!$F$2:$N$762,3,0)</f>
        <v>МВД РК</v>
      </c>
      <c r="I638" s="36">
        <f>VLOOKUP(C638,Покупатели!$C$2:$M$805,7,0)</f>
        <v>880206350721</v>
      </c>
      <c r="J638" s="36" t="str">
        <f ca="1">IFERROR(__xludf.DUMMYFUNCTION("JOIN("" "", VLOOKUP(C638,Покупатели,8,0),VLOOKUP(C638,Покупатели,9,0),VLOOKUP(C638,Покупатели,10,0),VLOOKUP(C638,Покупатели,11,0))"),"Астана р-н Нура ул. Маметовой д.12, кв.40")</f>
        <v>Астана р-н Нура ул. Маметовой д.12, кв.40</v>
      </c>
      <c r="K638" s="36">
        <f t="shared" si="151"/>
        <v>87787824676</v>
      </c>
      <c r="L638" s="36" t="str">
        <f t="shared" si="152"/>
        <v>MX4000002S0002297</v>
      </c>
      <c r="M638" s="36" t="str">
        <f t="shared" ca="1" si="159"/>
        <v>002-2513E50Q13-OK60</v>
      </c>
      <c r="N638" s="36" t="str">
        <f t="shared" si="158"/>
        <v>Прицеп 2,5*1,25 м  (до 750 кг.)</v>
      </c>
      <c r="O638" s="36" t="str">
        <f t="shared" si="153"/>
        <v>1 ось</v>
      </c>
      <c r="P638" s="36">
        <f t="shared" si="154"/>
        <v>2025</v>
      </c>
      <c r="Q638" s="34" t="str">
        <f t="shared" ca="1" si="156"/>
        <v>3650*1700*1070</v>
      </c>
      <c r="R638" s="36" t="str">
        <f t="shared" ca="1" si="155"/>
        <v>2500*1250*500</v>
      </c>
      <c r="S638" s="34" t="str">
        <f>VLOOKUP(O638,ОТТС!$A$2:$B$3,2,0)</f>
        <v>ТС KZ Е-KZ.0317.00251 от 28.02.2023</v>
      </c>
      <c r="T638" s="39">
        <v>470000</v>
      </c>
      <c r="U638" s="36" t="str">
        <f t="shared" si="157"/>
        <v>Астана</v>
      </c>
    </row>
    <row r="639" spans="1:21" ht="13.2">
      <c r="A639" s="34">
        <v>1847</v>
      </c>
      <c r="B639" s="35">
        <f>VLOOKUP(A639,'Реестр договоров'!$A$2:$D$996,2,0)</f>
        <v>45922</v>
      </c>
      <c r="C639" s="36" t="str">
        <f t="shared" si="148"/>
        <v>Тоганасов</v>
      </c>
      <c r="D639" s="36" t="str">
        <f t="shared" si="149"/>
        <v>Бейбут</v>
      </c>
      <c r="E639" s="36" t="str">
        <f t="shared" si="160"/>
        <v>Кумекович</v>
      </c>
      <c r="F639" s="36" t="str">
        <f t="shared" si="150"/>
        <v>041061848</v>
      </c>
      <c r="G639" s="37">
        <f>VLOOKUP(F639,Покупатели!$F$2:$N$762,2,0)</f>
        <v>42479</v>
      </c>
      <c r="H639" s="36" t="str">
        <f>VLOOKUP(F639,Покупатели!$F$2:$N$762,3,0)</f>
        <v>МВД РК</v>
      </c>
      <c r="I639" s="36">
        <f>VLOOKUP(C639,Покупатели!$C$2:$M$805,7,0)</f>
        <v>720428350509</v>
      </c>
      <c r="J639" s="36" t="str">
        <f ca="1">IFERROR(__xludf.DUMMYFUNCTION("JOIN("" "", VLOOKUP(C639,Покупатели,8,0),VLOOKUP(C639,Покупатели,9,0),VLOOKUP(C639,Покупатели,10,0),VLOOKUP(C639,Покупатели,11,0))"),"Акмолинская область, Зерендинский район, с. Еликти, ул. Ортак, д.21")</f>
        <v>Акмолинская область, Зерендинский район, с. Еликти, ул. Ортак, д.21</v>
      </c>
      <c r="K639" s="36">
        <f t="shared" si="151"/>
        <v>87077727796</v>
      </c>
      <c r="L639" s="36" t="str">
        <f t="shared" si="152"/>
        <v>MX4000004S0002342</v>
      </c>
      <c r="M639" s="36" t="str">
        <f t="shared" ca="1" si="159"/>
        <v>002-3015E50Q15-OK120</v>
      </c>
      <c r="N639" s="36" t="str">
        <f t="shared" si="158"/>
        <v>Прицеп 3,0*1,5 м  (до 750 кг.)</v>
      </c>
      <c r="O639" s="36" t="str">
        <f t="shared" si="153"/>
        <v>2 оси</v>
      </c>
      <c r="P639" s="36">
        <f t="shared" si="154"/>
        <v>2025</v>
      </c>
      <c r="Q639" s="34" t="str">
        <f t="shared" ca="1" si="156"/>
        <v>3800*1950*1200</v>
      </c>
      <c r="R639" s="36" t="str">
        <f t="shared" ca="1" si="155"/>
        <v>3000*1500*500</v>
      </c>
      <c r="S639" s="34" t="str">
        <f>VLOOKUP(O639,ОТТС!$A$2:$B$3,2,0)</f>
        <v>ТС KZ Е-KZ.0317.00219.П1 от 17.07.2025</v>
      </c>
      <c r="T639" s="39">
        <v>990000</v>
      </c>
      <c r="U639" s="36" t="str">
        <f t="shared" si="157"/>
        <v>Кокшетау</v>
      </c>
    </row>
    <row r="640" spans="1:21" ht="13.2">
      <c r="A640" s="34">
        <v>1848</v>
      </c>
      <c r="B640" s="35">
        <f>VLOOKUP(A640,'Реестр договоров'!$A$2:$D$996,2,0)</f>
        <v>45922</v>
      </c>
      <c r="C640" s="36" t="str">
        <f t="shared" si="148"/>
        <v>Джапенов</v>
      </c>
      <c r="D640" s="36" t="str">
        <f t="shared" si="149"/>
        <v>Рысбек</v>
      </c>
      <c r="E640" s="36" t="str">
        <f t="shared" si="160"/>
        <v>Жолдангарович</v>
      </c>
      <c r="F640" s="36" t="str">
        <f t="shared" si="150"/>
        <v>047046942</v>
      </c>
      <c r="G640" s="37">
        <f>VLOOKUP(F640,Покупатели!$F$2:$N$762,2,0)</f>
        <v>43817</v>
      </c>
      <c r="H640" s="36" t="str">
        <f>VLOOKUP(F640,Покупатели!$F$2:$N$762,3,0)</f>
        <v>МВД РК</v>
      </c>
      <c r="I640" s="36">
        <f>VLOOKUP(C640,Покупатели!$C$2:$M$805,7,0)</f>
        <v>761202301714</v>
      </c>
      <c r="J640" s="36" t="str">
        <f ca="1">IFERROR(__xludf.DUMMYFUNCTION("JOIN("" "", VLOOKUP(C640,Покупатели,8,0),VLOOKUP(C640,Покупатели,9,0),VLOOKUP(C640,Покупатели,10,0),VLOOKUP(C640,Покупатели,11,0))"),"Акмолинская область, с. Красный Яр, ул.Жидек, д.11")</f>
        <v>Акмолинская область, с. Красный Яр, ул.Жидек, д.11</v>
      </c>
      <c r="K640" s="36">
        <f t="shared" si="151"/>
        <v>87016046778</v>
      </c>
      <c r="L640" s="36" t="str">
        <f t="shared" si="152"/>
        <v>MX4000002S0002343</v>
      </c>
      <c r="M640" s="36" t="str">
        <f t="shared" ca="1" si="159"/>
        <v>002-2513E50Q13-OK</v>
      </c>
      <c r="N640" s="36" t="str">
        <f t="shared" si="158"/>
        <v>Прицеп 2,5*1,25 м  (до 750 кг.)</v>
      </c>
      <c r="O640" s="36" t="str">
        <f t="shared" si="153"/>
        <v>1 ось</v>
      </c>
      <c r="P640" s="36">
        <f t="shared" si="154"/>
        <v>2025</v>
      </c>
      <c r="Q640" s="34" t="str">
        <f t="shared" ca="1" si="156"/>
        <v>3650*1700*1070</v>
      </c>
      <c r="R640" s="36" t="str">
        <f t="shared" ca="1" si="155"/>
        <v>2500*1250*500</v>
      </c>
      <c r="S640" s="34" t="str">
        <f>VLOOKUP(O640,ОТТС!$A$2:$B$3,2,0)</f>
        <v>ТС KZ Е-KZ.0317.00251 от 28.02.2023</v>
      </c>
      <c r="T640" s="39">
        <v>460000</v>
      </c>
      <c r="U640" s="36" t="str">
        <f t="shared" si="157"/>
        <v>Кокшетау</v>
      </c>
    </row>
    <row r="641" spans="1:21" ht="13.2">
      <c r="A641" s="34">
        <v>1849</v>
      </c>
      <c r="B641" s="35">
        <f>VLOOKUP(A641,'Реестр договоров'!$A$2:$D$996,2,0)</f>
        <v>45922</v>
      </c>
      <c r="C641" s="36" t="str">
        <f t="shared" si="148"/>
        <v>Оспанов</v>
      </c>
      <c r="D641" s="36" t="str">
        <f t="shared" si="149"/>
        <v>Нуржан</v>
      </c>
      <c r="E641" s="36" t="str">
        <f t="shared" si="160"/>
        <v>Бексултанович</v>
      </c>
      <c r="F641" s="36" t="str">
        <f t="shared" si="150"/>
        <v>043991795</v>
      </c>
      <c r="G641" s="37">
        <f>VLOOKUP(F641,Покупатели!$F$2:$N$762,2,0)</f>
        <v>43495</v>
      </c>
      <c r="H641" s="36" t="str">
        <f>VLOOKUP(F641,Покупатели!$F$2:$N$762,3,0)</f>
        <v>МВД РК</v>
      </c>
      <c r="I641" s="36">
        <f>VLOOKUP(C641,Покупатели!$C$2:$M$805,7,0)</f>
        <v>820719301068</v>
      </c>
      <c r="J641" s="36" t="str">
        <f ca="1">IFERROR(__xludf.DUMMYFUNCTION("JOIN("" "", VLOOKUP(C641,Покупатели,8,0),VLOOKUP(C641,Покупатели,9,0),VLOOKUP(C641,Покупатели,10,0),VLOOKUP(C641,Покупатели,11,0))"),"Алматинская область, Карасайский район, п. Коксай, ул. Ардагер, д.114")</f>
        <v>Алматинская область, Карасайский район, п. Коксай, ул. Ардагер, д.114</v>
      </c>
      <c r="K641" s="36">
        <f t="shared" si="151"/>
        <v>87776666713</v>
      </c>
      <c r="L641" s="36" t="str">
        <f t="shared" si="152"/>
        <v>MX4000002S0002281</v>
      </c>
      <c r="M641" s="36" t="str">
        <f t="shared" ca="1" si="159"/>
        <v>002-2013E30Q13-OK</v>
      </c>
      <c r="N641" s="36" t="str">
        <f t="shared" si="158"/>
        <v>Прицеп 2,0*1,25 м  (до 750 кг.)</v>
      </c>
      <c r="O641" s="36" t="str">
        <f t="shared" si="153"/>
        <v>1 ось</v>
      </c>
      <c r="P641" s="36">
        <f t="shared" si="154"/>
        <v>2025</v>
      </c>
      <c r="Q641" s="34" t="str">
        <f t="shared" ca="1" si="156"/>
        <v>3150*1700*900</v>
      </c>
      <c r="R641" s="36" t="str">
        <f t="shared" ca="1" si="155"/>
        <v>2000*1250*300</v>
      </c>
      <c r="S641" s="34" t="str">
        <f>VLOOKUP(O641,ОТТС!$A$2:$B$3,2,0)</f>
        <v>ТС KZ Е-KZ.0317.00251 от 28.02.2023</v>
      </c>
      <c r="T641" s="39">
        <v>400000</v>
      </c>
      <c r="U641" s="36" t="str">
        <f t="shared" si="157"/>
        <v>Алматы</v>
      </c>
    </row>
    <row r="642" spans="1:21" ht="13.2">
      <c r="A642" s="34">
        <v>1850</v>
      </c>
      <c r="B642" s="35">
        <f>VLOOKUP(A642,'Реестр договоров'!$A$2:$D$996,2,0)</f>
        <v>45923</v>
      </c>
      <c r="C642" s="36" t="str">
        <f t="shared" ref="C642:C705" si="161">VLOOKUP(A642,Реестр_Договоров,3,0)</f>
        <v>Ким</v>
      </c>
      <c r="D642" s="36" t="str">
        <f t="shared" ref="D642:D705" si="162">VLOOKUP(C642,Покупатели,2,0)</f>
        <v>Юрий</v>
      </c>
      <c r="E642" s="36" t="str">
        <f t="shared" si="160"/>
        <v>Вячеславович</v>
      </c>
      <c r="F642" s="36" t="str">
        <f t="shared" ref="F642:F705" si="163">VLOOKUP(C642,Покупатели,4,0)</f>
        <v>042861575</v>
      </c>
      <c r="G642" s="37">
        <f>VLOOKUP(F642,Покупатели!$F$2:$N$762,2,0)</f>
        <v>43195</v>
      </c>
      <c r="H642" s="36" t="str">
        <f>VLOOKUP(F642,Покупатели!$F$2:$N$762,3,0)</f>
        <v>МВД РК</v>
      </c>
      <c r="I642" s="36">
        <f>VLOOKUP(C642,Покупатели!$C$2:$M$805,7,0)</f>
        <v>840422303201</v>
      </c>
      <c r="J642" s="36" t="str">
        <f ca="1">IFERROR(__xludf.DUMMYFUNCTION("JOIN("" "", VLOOKUP(C642,Покупатели,8,0),VLOOKUP(C642,Покупатели,9,0),VLOOKUP(C642,Покупатели,10,0),VLOOKUP(C642,Покупатели,11,0))"),"Жетысуская область, Каратальский район, город Уштобе, ул. Толеукул батыра, дом 48 КВ.2")</f>
        <v>Жетысуская область, Каратальский район, город Уштобе, ул. Толеукул батыра, дом 48 КВ.2</v>
      </c>
      <c r="K642" s="36">
        <f t="shared" ref="K642:K705" si="164">VLOOKUP(C642,Покупатели,12,0)</f>
        <v>87086978722</v>
      </c>
      <c r="L642" s="36" t="str">
        <f t="shared" ref="L642:L705" si="165">VLOOKUP(A642,Реестр_Договоров,4,0)</f>
        <v>MX4000002S0002060</v>
      </c>
      <c r="M642" s="36" t="str">
        <f t="shared" ca="1" si="159"/>
        <v>002-2013E50Q13-OK</v>
      </c>
      <c r="N642" s="36" t="str">
        <f t="shared" si="158"/>
        <v>Прицеп 2,0*1,25 м  (до 750 кг.)</v>
      </c>
      <c r="O642" s="36" t="str">
        <f t="shared" ref="O642:O705" si="166">VLOOKUP(L642,ПРИЦЕПЫ,10,0)</f>
        <v>1 ось</v>
      </c>
      <c r="P642" s="36">
        <f t="shared" ref="P642:P705" si="167">YEAR(VLOOKUP(L642,ПРИЦЕПЫ,7,0))</f>
        <v>2025</v>
      </c>
      <c r="Q642" s="34" t="str">
        <f t="shared" ca="1" si="156"/>
        <v>3150*1700*1070</v>
      </c>
      <c r="R642" s="36" t="str">
        <f t="shared" ca="1" si="155"/>
        <v>2000*1250*500</v>
      </c>
      <c r="S642" s="34" t="str">
        <f>VLOOKUP(O642,ОТТС!$A$2:$B$3,2,0)</f>
        <v>ТС KZ Е-KZ.0317.00251 от 28.02.2023</v>
      </c>
      <c r="T642" s="39">
        <v>340000</v>
      </c>
      <c r="U642" s="36" t="str">
        <f t="shared" si="157"/>
        <v>Алматы</v>
      </c>
    </row>
    <row r="643" spans="1:21" ht="13.2">
      <c r="A643" s="34">
        <v>1851</v>
      </c>
      <c r="B643" s="35">
        <f>VLOOKUP(A643,'Реестр договоров'!$A$2:$D$996,2,0)</f>
        <v>45924</v>
      </c>
      <c r="C643" s="36" t="str">
        <f t="shared" si="161"/>
        <v>Бакин</v>
      </c>
      <c r="D643" s="36" t="str">
        <f t="shared" si="162"/>
        <v>Артём</v>
      </c>
      <c r="E643" s="36" t="str">
        <f t="shared" si="160"/>
        <v>Юрьевич</v>
      </c>
      <c r="F643" s="36" t="str">
        <f t="shared" si="163"/>
        <v>045505713</v>
      </c>
      <c r="G643" s="37">
        <f>VLOOKUP(F643,Покупатели!$F$2:$N$762,2,0)</f>
        <v>43819</v>
      </c>
      <c r="H643" s="36" t="str">
        <f>VLOOKUP(F643,Покупатели!$F$2:$N$762,3,0)</f>
        <v>МВД РК</v>
      </c>
      <c r="I643" s="36">
        <f>VLOOKUP(C643,Покупатели!$C$2:$M$805,7,0)</f>
        <v>890625300160</v>
      </c>
      <c r="J643" s="36" t="str">
        <f ca="1">IFERROR(__xludf.DUMMYFUNCTION("JOIN("" "", VLOOKUP(C643,Покупатели,8,0),VLOOKUP(C643,Покупатели,9,0),VLOOKUP(C643,Покупатели,10,0),VLOOKUP(C643,Покупатели,11,0))"),"г. Алматы, ул.Осипенко, д.26, кв.2")</f>
        <v>г. Алматы, ул.Осипенко, д.26, кв.2</v>
      </c>
      <c r="K643" s="36">
        <f t="shared" si="164"/>
        <v>87474933269</v>
      </c>
      <c r="L643" s="36" t="str">
        <f t="shared" si="165"/>
        <v>MX4000002S0002266</v>
      </c>
      <c r="M643" s="36" t="str">
        <f t="shared" ca="1" si="159"/>
        <v>002-3515E30Q13-OK</v>
      </c>
      <c r="N643" s="36" t="str">
        <f t="shared" si="158"/>
        <v>Прицеп 3,5*1,5 м  (до 750 кг.)</v>
      </c>
      <c r="O643" s="36" t="str">
        <f t="shared" si="166"/>
        <v>1 ось</v>
      </c>
      <c r="P643" s="36">
        <f t="shared" si="167"/>
        <v>2025</v>
      </c>
      <c r="Q643" s="34" t="str">
        <f t="shared" ca="1" si="156"/>
        <v>3800*1950*900</v>
      </c>
      <c r="R643" s="36" t="str">
        <f t="shared" ca="1" si="155"/>
        <v>3500*1500*300</v>
      </c>
      <c r="S643" s="34" t="str">
        <f>VLOOKUP(O643,ОТТС!$A$2:$B$3,2,0)</f>
        <v>ТС KZ Е-KZ.0317.00251 от 28.02.2023</v>
      </c>
      <c r="T643" s="39">
        <v>720000</v>
      </c>
      <c r="U643" s="36" t="str">
        <f t="shared" si="157"/>
        <v>Алматы</v>
      </c>
    </row>
    <row r="644" spans="1:21" ht="13.2">
      <c r="A644" s="34">
        <v>1852</v>
      </c>
      <c r="B644" s="35">
        <f>VLOOKUP(A644,'Реестр договоров'!$A$2:$D$996,2,0)</f>
        <v>45925</v>
      </c>
      <c r="C644" s="36" t="str">
        <f t="shared" si="161"/>
        <v>Бекмаганбет</v>
      </c>
      <c r="D644" s="36" t="str">
        <f t="shared" si="162"/>
        <v>Әліби</v>
      </c>
      <c r="E644" s="36" t="str">
        <f t="shared" si="160"/>
        <v>Маратұлы</v>
      </c>
      <c r="F644" s="36" t="str">
        <f t="shared" si="163"/>
        <v>042506202</v>
      </c>
      <c r="G644" s="37">
        <f>VLOOKUP(F644,Покупатели!$F$2:$N$762,2,0)</f>
        <v>42823</v>
      </c>
      <c r="H644" s="36" t="str">
        <f>VLOOKUP(F644,Покупатели!$F$2:$N$762,3,0)</f>
        <v>ҚР ІІМ</v>
      </c>
      <c r="I644" s="36">
        <f>VLOOKUP(C644,Покупатели!$C$2:$M$805,7,0)</f>
        <v>920318351500</v>
      </c>
      <c r="J644" s="36" t="str">
        <f ca="1">IFERROR(__xludf.DUMMYFUNCTION("JOIN("" "", VLOOKUP(C644,Покупатели,8,0),VLOOKUP(C644,Покупатели,9,0),VLOOKUP(C644,Покупатели,10,0),VLOOKUP(C644,Покупатели,11,0))"),"Акмолинская обл р-н Кургальджинский, с. Коргалжын ул.Ш.Аубакирова д.30/1")</f>
        <v>Акмолинская обл р-н Кургальджинский, с. Коргалжын ул.Ш.Аубакирова д.30/1</v>
      </c>
      <c r="K644" s="36">
        <f t="shared" si="164"/>
        <v>87787398171</v>
      </c>
      <c r="L644" s="36" t="str">
        <f t="shared" si="165"/>
        <v>MX4000002S0002301</v>
      </c>
      <c r="M644" s="36" t="str">
        <f t="shared" ca="1" si="159"/>
        <v>002-2013E50Q13-OK</v>
      </c>
      <c r="N644" s="36" t="str">
        <f t="shared" si="158"/>
        <v>Прицеп 2,0*1,25 м  (до 750 кг.)</v>
      </c>
      <c r="O644" s="36" t="str">
        <f t="shared" si="166"/>
        <v>1 ось</v>
      </c>
      <c r="P644" s="36">
        <f t="shared" si="167"/>
        <v>2025</v>
      </c>
      <c r="Q644" s="34" t="str">
        <f t="shared" ca="1" si="156"/>
        <v>3150*1700*1070</v>
      </c>
      <c r="R644" s="36" t="str">
        <f t="shared" ca="1" si="155"/>
        <v>2000*1250*500</v>
      </c>
      <c r="S644" s="34" t="str">
        <f>VLOOKUP(O644,ОТТС!$A$2:$B$3,2,0)</f>
        <v>ТС KZ Е-KZ.0317.00251 от 28.02.2023</v>
      </c>
      <c r="T644" s="39">
        <v>410000</v>
      </c>
      <c r="U644" s="36" t="str">
        <f t="shared" si="157"/>
        <v>Астана</v>
      </c>
    </row>
    <row r="645" spans="1:21" ht="13.2">
      <c r="A645" s="34">
        <v>1853</v>
      </c>
      <c r="B645" s="35">
        <f>VLOOKUP(A645,'Реестр договоров'!$A$2:$D$996,2,0)</f>
        <v>45925</v>
      </c>
      <c r="C645" s="36" t="str">
        <f t="shared" si="161"/>
        <v>Шакиров</v>
      </c>
      <c r="D645" s="36" t="str">
        <f t="shared" si="162"/>
        <v>Турсынжан</v>
      </c>
      <c r="E645" s="36" t="str">
        <f t="shared" si="160"/>
        <v>-</v>
      </c>
      <c r="F645" s="36" t="str">
        <f t="shared" si="163"/>
        <v>046703767</v>
      </c>
      <c r="G645" s="37">
        <f>VLOOKUP(F645,Покупатели!$F$2:$N$762,2,0)</f>
        <v>44040</v>
      </c>
      <c r="H645" s="36" t="str">
        <f>VLOOKUP(F645,Покупатели!$F$2:$N$762,3,0)</f>
        <v>МВД РК</v>
      </c>
      <c r="I645" s="36">
        <f>VLOOKUP(C645,Покупатели!$C$2:$M$805,7,0)</f>
        <v>710425301423</v>
      </c>
      <c r="J645" s="36" t="str">
        <f ca="1">IFERROR(__xludf.DUMMYFUNCTION("JOIN("" "", VLOOKUP(C645,Покупатели,8,0),VLOOKUP(C645,Покупатели,9,0),VLOOKUP(C645,Покупатели,10,0),VLOOKUP(C645,Покупатели,11,0))"),"Алматинская область, Райымбекский район, сельский округ Узак батыра, село Сарыбастау, ул. Сарыбастау, дом № 61")</f>
        <v>Алматинская область, Райымбекский район, сельский округ Узак батыра, село Сарыбастау, ул. Сарыбастау, дом № 61</v>
      </c>
      <c r="K645" s="36" t="str">
        <f t="shared" si="164"/>
        <v>+7 747 456 6923</v>
      </c>
      <c r="L645" s="36" t="str">
        <f t="shared" si="165"/>
        <v>MX4000002S0002288</v>
      </c>
      <c r="M645" s="36" t="str">
        <f t="shared" ca="1" si="159"/>
        <v>002-2513E50Q13-OK</v>
      </c>
      <c r="N645" s="36" t="str">
        <f t="shared" si="158"/>
        <v>Прицеп 2,5*1,25 м  (до 750 кг.)</v>
      </c>
      <c r="O645" s="36" t="str">
        <f t="shared" si="166"/>
        <v>1 ось</v>
      </c>
      <c r="P645" s="36">
        <f t="shared" si="167"/>
        <v>2025</v>
      </c>
      <c r="Q645" s="34" t="str">
        <f t="shared" ca="1" si="156"/>
        <v>3650*1700*1070</v>
      </c>
      <c r="R645" s="36" t="str">
        <f t="shared" ca="1" si="155"/>
        <v>2500*1250*500</v>
      </c>
      <c r="S645" s="34" t="str">
        <f>VLOOKUP(O645,ОТТС!$A$2:$B$3,2,0)</f>
        <v>ТС KZ Е-KZ.0317.00251 от 28.02.2023</v>
      </c>
      <c r="T645" s="39">
        <v>100000</v>
      </c>
      <c r="U645" s="36" t="str">
        <f t="shared" si="157"/>
        <v>Алматы</v>
      </c>
    </row>
    <row r="646" spans="1:21" ht="13.2">
      <c r="A646" s="34">
        <v>1854</v>
      </c>
      <c r="B646" s="35">
        <f>VLOOKUP(A646,'Реестр договоров'!$A$2:$D$996,2,0)</f>
        <v>45926</v>
      </c>
      <c r="C646" s="36" t="str">
        <f t="shared" si="161"/>
        <v>Лапко</v>
      </c>
      <c r="D646" s="36" t="str">
        <f t="shared" si="162"/>
        <v>Дмитрий</v>
      </c>
      <c r="E646" s="36" t="str">
        <f t="shared" si="160"/>
        <v>Анатольевич</v>
      </c>
      <c r="F646" s="36" t="str">
        <f t="shared" si="163"/>
        <v>057670790</v>
      </c>
      <c r="G646" s="37">
        <f>VLOOKUP(F646,Покупатели!$F$2:$N$762,2,0)</f>
        <v>45384</v>
      </c>
      <c r="H646" s="36" t="str">
        <f>VLOOKUP(F646,Покупатели!$F$2:$N$762,3,0)</f>
        <v>МВД РК</v>
      </c>
      <c r="I646" s="36">
        <f>VLOOKUP(C646,Покупатели!$C$2:$M$805,7,0)</f>
        <v>770701301038</v>
      </c>
      <c r="J646" s="36" t="str">
        <f ca="1">IFERROR(__xludf.DUMMYFUNCTION("JOIN("" "", VLOOKUP(C646,Покупатели,8,0),VLOOKUP(C646,Покупатели,9,0),VLOOKUP(C646,Покупатели,10,0),VLOOKUP(C646,Покупатели,11,0))"),"Акмолинская область, Бурабайский район, г. Щучинск, ул. Батыс, д.80")</f>
        <v>Акмолинская область, Бурабайский район, г. Щучинск, ул. Батыс, д.80</v>
      </c>
      <c r="K646" s="36">
        <f t="shared" si="164"/>
        <v>87009840271</v>
      </c>
      <c r="L646" s="36" t="str">
        <f t="shared" si="165"/>
        <v>MX4000002S0002344</v>
      </c>
      <c r="M646" s="36" t="str">
        <f t="shared" ca="1" si="159"/>
        <v>002-2013E30Q13-OK90</v>
      </c>
      <c r="N646" s="36" t="str">
        <f t="shared" si="158"/>
        <v>Прицеп 2,0*1,25 м  (до 750 кг.)</v>
      </c>
      <c r="O646" s="36" t="str">
        <f t="shared" si="166"/>
        <v>1 ось</v>
      </c>
      <c r="P646" s="36">
        <f t="shared" si="167"/>
        <v>2025</v>
      </c>
      <c r="Q646" s="34" t="str">
        <f t="shared" ca="1" si="156"/>
        <v>3150*1700*900</v>
      </c>
      <c r="R646" s="36" t="str">
        <f t="shared" ca="1" si="155"/>
        <v>2000*1250*300</v>
      </c>
      <c r="S646" s="34" t="str">
        <f>VLOOKUP(O646,ОТТС!$A$2:$B$3,2,0)</f>
        <v>ТС KZ Е-KZ.0317.00251 от 28.02.2023</v>
      </c>
      <c r="T646" s="39">
        <v>395000</v>
      </c>
      <c r="U646" s="36" t="str">
        <f t="shared" si="157"/>
        <v>Кокшетау</v>
      </c>
    </row>
    <row r="647" spans="1:21" ht="13.2">
      <c r="A647" s="34">
        <v>1855</v>
      </c>
      <c r="B647" s="35">
        <f>VLOOKUP(A647,'Реестр договоров'!$A$2:$D$996,2,0)</f>
        <v>45926</v>
      </c>
      <c r="C647" s="36" t="str">
        <f t="shared" si="161"/>
        <v>Сейтказинов</v>
      </c>
      <c r="D647" s="36" t="str">
        <f t="shared" si="162"/>
        <v>Меиржан</v>
      </c>
      <c r="E647" s="36" t="str">
        <f t="shared" si="160"/>
        <v>Талгатович</v>
      </c>
      <c r="F647" s="36" t="str">
        <f t="shared" si="163"/>
        <v>042793014</v>
      </c>
      <c r="G647" s="37">
        <f>VLOOKUP(F647,Покупатели!$F$2:$N$762,2,0)</f>
        <v>42886</v>
      </c>
      <c r="H647" s="36" t="str">
        <f>VLOOKUP(F647,Покупатели!$F$2:$N$762,3,0)</f>
        <v>МВД РК</v>
      </c>
      <c r="I647" s="36" t="str">
        <f>VLOOKUP(C647,Покупатели!$C$2:$M$805,7,0)</f>
        <v>010430550079</v>
      </c>
      <c r="J647" s="36" t="str">
        <f ca="1">IFERROR(__xludf.DUMMYFUNCTION("JOIN("" "", VLOOKUP(C647,Покупатели,8,0),VLOOKUP(C647,Покупатели,9,0),VLOOKUP(C647,Покупатели,10,0),VLOOKUP(C647,Покупатели,11,0))"),"Акмолинская область, Ерейментауский район, с.Майлан, ул.Калыкова, д.25")</f>
        <v>Акмолинская область, Ерейментауский район, с.Майлан, ул.Калыкова, д.25</v>
      </c>
      <c r="K647" s="36">
        <f t="shared" si="164"/>
        <v>87715921295</v>
      </c>
      <c r="L647" s="36" t="str">
        <f t="shared" si="165"/>
        <v>MX4000002S0002345</v>
      </c>
      <c r="M647" s="36" t="str">
        <f t="shared" ca="1" si="159"/>
        <v>002-2013E30Q13-OK30</v>
      </c>
      <c r="N647" s="36" t="str">
        <f t="shared" si="158"/>
        <v>Прицеп 2,0*1,25 м  (до 750 кг.)</v>
      </c>
      <c r="O647" s="36" t="str">
        <f t="shared" si="166"/>
        <v>1 ось</v>
      </c>
      <c r="P647" s="36">
        <f t="shared" si="167"/>
        <v>2025</v>
      </c>
      <c r="Q647" s="34" t="str">
        <f t="shared" ca="1" si="156"/>
        <v>3150*1700*900</v>
      </c>
      <c r="R647" s="36" t="str">
        <f t="shared" ca="1" si="155"/>
        <v>2000*1250*300</v>
      </c>
      <c r="S647" s="34" t="str">
        <f>VLOOKUP(O647,ОТТС!$A$2:$B$3,2,0)</f>
        <v>ТС KZ Е-KZ.0317.00251 от 28.02.2023</v>
      </c>
      <c r="T647" s="39">
        <v>360000</v>
      </c>
      <c r="U647" s="36" t="str">
        <f t="shared" si="157"/>
        <v>Кокшетау</v>
      </c>
    </row>
    <row r="648" spans="1:21" ht="13.2">
      <c r="A648" s="34">
        <v>1856</v>
      </c>
      <c r="B648" s="35">
        <f>VLOOKUP(A648,'Реестр договоров'!$A$2:$D$996,2,0)</f>
        <v>45929</v>
      </c>
      <c r="C648" s="36" t="str">
        <f t="shared" si="161"/>
        <v>Хазиев</v>
      </c>
      <c r="D648" s="36" t="str">
        <f t="shared" si="162"/>
        <v>Нури</v>
      </c>
      <c r="E648" s="36" t="str">
        <f t="shared" si="160"/>
        <v>Алиевич</v>
      </c>
      <c r="F648" s="36" t="str">
        <f t="shared" si="163"/>
        <v>043460611</v>
      </c>
      <c r="G648" s="37">
        <f>VLOOKUP(F648,Покупатели!$F$2:$N$762,2,0)</f>
        <v>43354</v>
      </c>
      <c r="H648" s="36" t="str">
        <f>VLOOKUP(F648,Покупатели!$F$2:$N$762,3,0)</f>
        <v>МВД РК</v>
      </c>
      <c r="I648" s="36">
        <f>VLOOKUP(C648,Покупатели!$C$2:$M$805,7,0)</f>
        <v>600824302399</v>
      </c>
      <c r="J648" s="36" t="str">
        <f ca="1">IFERROR(__xludf.DUMMYFUNCTION("JOIN("" "", VLOOKUP(C648,Покупатели,8,0),VLOOKUP(C648,Покупатели,9,0),VLOOKUP(C648,Покупатели,10,0),VLOOKUP(C648,Покупатели,11,0))"),"Жамбылская область, район Кордай, с. Кайнар,  ул. Шанырак, д.22")</f>
        <v>Жамбылская область, район Кордай, с. Кайнар,  ул. Шанырак, д.22</v>
      </c>
      <c r="K648" s="36">
        <f t="shared" si="164"/>
        <v>87754365473</v>
      </c>
      <c r="L648" s="36" t="str">
        <f t="shared" si="165"/>
        <v>MX4000002S0001943</v>
      </c>
      <c r="M648" s="36" t="str">
        <f t="shared" ca="1" si="159"/>
        <v>002-2513E50Q13-OK</v>
      </c>
      <c r="N648" s="36" t="str">
        <f t="shared" si="158"/>
        <v>Прицеп 2,5*1,25 м  (до 750 кг.)</v>
      </c>
      <c r="O648" s="36" t="str">
        <f t="shared" si="166"/>
        <v>1 ось</v>
      </c>
      <c r="P648" s="36">
        <f t="shared" si="167"/>
        <v>2025</v>
      </c>
      <c r="Q648" s="34" t="str">
        <f t="shared" ca="1" si="156"/>
        <v>3650*1700*1070</v>
      </c>
      <c r="R648" s="36" t="str">
        <f t="shared" ca="1" si="155"/>
        <v>2500*1250*500</v>
      </c>
      <c r="S648" s="34" t="str">
        <f>VLOOKUP(O648,ОТТС!$A$2:$B$3,2,0)</f>
        <v>ТС KZ Е-KZ.0317.00251 от 28.02.2023</v>
      </c>
      <c r="T648" s="39">
        <v>410000</v>
      </c>
      <c r="U648" s="36" t="str">
        <f t="shared" si="157"/>
        <v>Алматы</v>
      </c>
    </row>
    <row r="649" spans="1:21" ht="13.2">
      <c r="A649" s="34">
        <v>1857</v>
      </c>
      <c r="B649" s="35">
        <f>VLOOKUP(A649,'Реестр договоров'!$A$2:$D$996,2,0)</f>
        <v>45929</v>
      </c>
      <c r="C649" s="36" t="str">
        <f t="shared" si="161"/>
        <v>Қарабатыр</v>
      </c>
      <c r="D649" s="36" t="str">
        <f t="shared" si="162"/>
        <v>Ербол</v>
      </c>
      <c r="E649" s="36" t="str">
        <f t="shared" si="160"/>
        <v>Елемесұлы</v>
      </c>
      <c r="F649" s="36" t="str">
        <f t="shared" si="163"/>
        <v>046595852</v>
      </c>
      <c r="G649" s="37">
        <f>VLOOKUP(F649,Покупатели!$F$2:$N$762,2,0)</f>
        <v>43732</v>
      </c>
      <c r="H649" s="36" t="str">
        <f>VLOOKUP(F649,Покупатели!$F$2:$N$762,3,0)</f>
        <v>ҚР ІІМ</v>
      </c>
      <c r="I649" s="36">
        <f>VLOOKUP(C649,Покупатели!$C$2:$M$805,7,0)</f>
        <v>940610350513</v>
      </c>
      <c r="J649" s="36" t="str">
        <f ca="1">IFERROR(__xludf.DUMMYFUNCTION("JOIN("" "", VLOOKUP(C649,Покупатели,8,0),VLOOKUP(C649,Покупатели,9,0),VLOOKUP(C649,Покупатели,10,0),VLOOKUP(C649,Покупатели,11,0))")," МАҢҒЫСТАУ ОБЛЫСЫ, г. Актау, мкр-н 31б, д.32, кв.8")</f>
        <v xml:space="preserve"> МАҢҒЫСТАУ ОБЛЫСЫ, г. Актау, мкр-н 31б, д.32, кв.8</v>
      </c>
      <c r="K649" s="36">
        <f t="shared" si="164"/>
        <v>87761100094</v>
      </c>
      <c r="L649" s="36" t="str">
        <f t="shared" si="165"/>
        <v>MX4000004S0002139</v>
      </c>
      <c r="M649" s="36" t="str">
        <f t="shared" ca="1" si="159"/>
        <v>002-2515E30Q13-OK</v>
      </c>
      <c r="N649" s="36" t="str">
        <f t="shared" si="158"/>
        <v>Прицеп 2,5*1,5 м  (до 750 кг.)</v>
      </c>
      <c r="O649" s="36" t="str">
        <f t="shared" si="166"/>
        <v>2 оси</v>
      </c>
      <c r="P649" s="36">
        <f t="shared" si="167"/>
        <v>2025</v>
      </c>
      <c r="Q649" s="34" t="str">
        <f t="shared" ca="1" si="156"/>
        <v>3650*1950*900</v>
      </c>
      <c r="R649" s="36" t="str">
        <f t="shared" ca="1" si="155"/>
        <v>2500*1500*300</v>
      </c>
      <c r="S649" s="34" t="str">
        <f>VLOOKUP(O649,ОТТС!$A$2:$B$3,2,0)</f>
        <v>ТС KZ Е-KZ.0317.00219.П1 от 17.07.2025</v>
      </c>
      <c r="T649" s="39">
        <v>670000</v>
      </c>
      <c r="U649" s="36" t="str">
        <f t="shared" si="157"/>
        <v>Алматы</v>
      </c>
    </row>
    <row r="650" spans="1:21" ht="13.2">
      <c r="A650" s="34">
        <v>1858</v>
      </c>
      <c r="B650" s="35">
        <f>VLOOKUP(A650,'Реестр договоров'!$A$2:$D$996,2,0)</f>
        <v>45929</v>
      </c>
      <c r="C650" s="36" t="str">
        <f t="shared" si="161"/>
        <v>Айдарханов</v>
      </c>
      <c r="D650" s="36" t="str">
        <f t="shared" si="162"/>
        <v>Абылай</v>
      </c>
      <c r="E650" s="36" t="str">
        <f t="shared" si="160"/>
        <v>Мейрамбаевич</v>
      </c>
      <c r="F650" s="36" t="str">
        <f t="shared" si="163"/>
        <v>053938056</v>
      </c>
      <c r="G650" s="37">
        <f>VLOOKUP(F650,Покупатели!$F$2:$N$762,2,0)</f>
        <v>44848</v>
      </c>
      <c r="H650" s="36" t="str">
        <f>VLOOKUP(F650,Покупатели!$F$2:$N$762,3,0)</f>
        <v>МВД РК</v>
      </c>
      <c r="I650" s="36">
        <f>VLOOKUP(C650,Покупатели!$C$2:$M$805,7,0)</f>
        <v>910730351484</v>
      </c>
      <c r="J650" s="36" t="str">
        <f ca="1">IFERROR(__xludf.DUMMYFUNCTION("JOIN("" "", VLOOKUP(C650,Покупатели,8,0),VLOOKUP(C650,Покупатели,9,0),VLOOKUP(C650,Покупатели,10,0),VLOOKUP(C650,Покупатели,11,0))"),"Акмолинская область, г. Кокшетау, мкр-н Васильковка, д.16/2, д.53")</f>
        <v>Акмолинская область, г. Кокшетау, мкр-н Васильковка, д.16/2, д.53</v>
      </c>
      <c r="K650" s="36">
        <f t="shared" si="164"/>
        <v>87774210744</v>
      </c>
      <c r="L650" s="36" t="str">
        <f t="shared" si="165"/>
        <v>MX4000002S0002348</v>
      </c>
      <c r="M650" s="36" t="str">
        <f t="shared" ca="1" si="159"/>
        <v>002-2513E50Q13-OK90</v>
      </c>
      <c r="N650" s="36" t="str">
        <f t="shared" si="158"/>
        <v>Прицеп 2,5*1,25 м  (до 750 кг.)</v>
      </c>
      <c r="O650" s="36" t="str">
        <f t="shared" si="166"/>
        <v>1 ось</v>
      </c>
      <c r="P650" s="36">
        <f t="shared" si="167"/>
        <v>2025</v>
      </c>
      <c r="Q650" s="34" t="str">
        <f t="shared" ca="1" si="156"/>
        <v>3650*1700*1070</v>
      </c>
      <c r="R650" s="36" t="str">
        <f t="shared" ca="1" si="155"/>
        <v>2500*1250*500</v>
      </c>
      <c r="S650" s="34" t="str">
        <f>VLOOKUP(O650,ОТТС!$A$2:$B$3,2,0)</f>
        <v>ТС KZ Е-KZ.0317.00251 от 28.02.2023</v>
      </c>
      <c r="T650" s="39">
        <v>470000</v>
      </c>
      <c r="U650" s="36" t="str">
        <f t="shared" si="157"/>
        <v>Кокшетау</v>
      </c>
    </row>
    <row r="651" spans="1:21" ht="13.2">
      <c r="A651" s="34">
        <v>1859</v>
      </c>
      <c r="B651" s="35">
        <f>VLOOKUP(A651,'Реестр договоров'!$A$2:$D$996,2,0)</f>
        <v>45930</v>
      </c>
      <c r="C651" s="36" t="str">
        <f t="shared" si="161"/>
        <v>Хуршудов</v>
      </c>
      <c r="D651" s="36" t="str">
        <f t="shared" si="162"/>
        <v>Курбан</v>
      </c>
      <c r="E651" s="36" t="str">
        <f t="shared" si="160"/>
        <v>Яшаевич</v>
      </c>
      <c r="F651" s="36" t="str">
        <f t="shared" si="163"/>
        <v>048528781</v>
      </c>
      <c r="G651" s="37">
        <f>VLOOKUP(F651,Покупатели!$F$2:$N$762,2,0)</f>
        <v>44349</v>
      </c>
      <c r="H651" s="36" t="str">
        <f>VLOOKUP(F651,Покупатели!$F$2:$N$762,3,0)</f>
        <v>МВД РК</v>
      </c>
      <c r="I651" s="36">
        <f>VLOOKUP(C651,Покупатели!$C$2:$M$805,7,0)</f>
        <v>840910301044</v>
      </c>
      <c r="J651" s="36" t="str">
        <f ca="1">IFERROR(__xludf.DUMMYFUNCTION("JOIN("" "", VLOOKUP(C651,Покупатели,8,0),VLOOKUP(C651,Покупатели,9,0),VLOOKUP(C651,Покупатели,10,0),VLOOKUP(C651,Покупатели,11,0))"),"Талгарский район, поселок Енбекши, ул. Достык, д.10")</f>
        <v>Талгарский район, поселок Енбекши, ул. Достык, д.10</v>
      </c>
      <c r="K651" s="36">
        <f t="shared" si="164"/>
        <v>87772216768</v>
      </c>
      <c r="L651" s="36" t="str">
        <f t="shared" si="165"/>
        <v>MX4000002S0002274</v>
      </c>
      <c r="M651" s="36" t="str">
        <f t="shared" ca="1" si="159"/>
        <v>002-2013E50Q13-OK</v>
      </c>
      <c r="N651" s="36" t="str">
        <f t="shared" si="158"/>
        <v>Прицеп 2,0*1,25 м  (до 750 кг.)</v>
      </c>
      <c r="O651" s="36" t="str">
        <f t="shared" si="166"/>
        <v>1 ось</v>
      </c>
      <c r="P651" s="36">
        <f t="shared" si="167"/>
        <v>2025</v>
      </c>
      <c r="Q651" s="34" t="str">
        <f t="shared" ca="1" si="156"/>
        <v>3150*1700*1070</v>
      </c>
      <c r="R651" s="36" t="str">
        <f t="shared" ca="1" si="155"/>
        <v>2000*1250*500</v>
      </c>
      <c r="S651" s="34" t="str">
        <f>VLOOKUP(O651,ОТТС!$A$2:$B$3,2,0)</f>
        <v>ТС KZ Е-KZ.0317.00251 от 28.02.2023</v>
      </c>
      <c r="T651" s="39">
        <v>360000</v>
      </c>
      <c r="U651" s="36" t="str">
        <f t="shared" si="157"/>
        <v>Алматы</v>
      </c>
    </row>
    <row r="652" spans="1:21" ht="13.2">
      <c r="A652" s="34">
        <v>1860</v>
      </c>
      <c r="B652" s="35">
        <f>VLOOKUP(A652,'Реестр договоров'!$A$2:$D$996,2,0)</f>
        <v>45930</v>
      </c>
      <c r="C652" s="36" t="str">
        <f t="shared" si="161"/>
        <v>Мұса</v>
      </c>
      <c r="D652" s="36" t="str">
        <f t="shared" si="162"/>
        <v>Мұратбек</v>
      </c>
      <c r="E652" s="36" t="str">
        <f t="shared" si="160"/>
        <v>Күсетұлы</v>
      </c>
      <c r="F652" s="36" t="str">
        <f t="shared" si="163"/>
        <v>054713168</v>
      </c>
      <c r="G652" s="37">
        <f>VLOOKUP(F652,Покупатели!$F$2:$N$762,2,0)</f>
        <v>44965</v>
      </c>
      <c r="H652" s="36" t="str">
        <f>VLOOKUP(F652,Покупатели!$F$2:$N$762,3,0)</f>
        <v>ҚР ІІМ</v>
      </c>
      <c r="I652" s="36">
        <f>VLOOKUP(C652,Покупатели!$C$2:$M$805,7,0)</f>
        <v>720223301229</v>
      </c>
      <c r="J652" s="36" t="str">
        <f ca="1">IFERROR(__xludf.DUMMYFUNCTION("JOIN("" "", VLOOKUP(C652,Покупатели,8,0),VLOOKUP(C652,Покупатели,9,0),VLOOKUP(C652,Покупатели,10,0),VLOOKUP(C652,Покупатели,11,0))"),"Акмолинская обл. Ерементауский р-н, с.Кызылту ул.Байтерек д.21")</f>
        <v>Акмолинская обл. Ерементауский р-н, с.Кызылту ул.Байтерек д.21</v>
      </c>
      <c r="K652" s="36">
        <f t="shared" si="164"/>
        <v>87776565111</v>
      </c>
      <c r="L652" s="36" t="str">
        <f t="shared" si="165"/>
        <v>MX4000002S0002334</v>
      </c>
      <c r="M652" s="36" t="str">
        <f t="shared" ca="1" si="159"/>
        <v>002-2013E50Q13-OK</v>
      </c>
      <c r="N652" s="36" t="str">
        <f t="shared" si="158"/>
        <v>Прицеп 2,0*1,25 м  (до 750 кг.)</v>
      </c>
      <c r="O652" s="36" t="str">
        <f t="shared" si="166"/>
        <v>1 ось</v>
      </c>
      <c r="P652" s="36">
        <f t="shared" si="167"/>
        <v>2025</v>
      </c>
      <c r="Q652" s="34" t="str">
        <f t="shared" ca="1" si="156"/>
        <v>3150*1700*1070</v>
      </c>
      <c r="R652" s="36" t="str">
        <f t="shared" ca="1" si="155"/>
        <v>2000*1250*500</v>
      </c>
      <c r="S652" s="34" t="str">
        <f>VLOOKUP(O652,ОТТС!$A$2:$B$3,2,0)</f>
        <v>ТС KZ Е-KZ.0317.00251 от 28.02.2023</v>
      </c>
      <c r="T652" s="39">
        <v>360000</v>
      </c>
      <c r="U652" s="36" t="str">
        <f t="shared" si="157"/>
        <v>Астана</v>
      </c>
    </row>
    <row r="653" spans="1:21" ht="13.2">
      <c r="A653" s="34">
        <v>1861</v>
      </c>
      <c r="B653" s="35">
        <f>VLOOKUP(A653,'Реестр договоров'!$A$2:$D$996,2,0)</f>
        <v>45932</v>
      </c>
      <c r="C653" s="36" t="str">
        <f t="shared" si="161"/>
        <v>Сыздыков</v>
      </c>
      <c r="D653" s="36" t="str">
        <f t="shared" si="162"/>
        <v>Кайдар</v>
      </c>
      <c r="E653" s="36" t="str">
        <f t="shared" si="160"/>
        <v>Аужанович</v>
      </c>
      <c r="F653" s="36" t="str">
        <f t="shared" si="163"/>
        <v>061404848</v>
      </c>
      <c r="G653" s="37">
        <f>VLOOKUP(F653,Покупатели!$F$2:$N$762,2,0)</f>
        <v>45899</v>
      </c>
      <c r="H653" s="36" t="str">
        <f>VLOOKUP(F653,Покупатели!$F$2:$N$762,3,0)</f>
        <v>МВД РК</v>
      </c>
      <c r="I653" s="36">
        <f>VLOOKUP(C653,Покупатели!$C$2:$M$805,7,0)</f>
        <v>620925350568</v>
      </c>
      <c r="J653" s="36" t="str">
        <f ca="1">IFERROR(__xludf.DUMMYFUNCTION("JOIN("" "", VLOOKUP(C653,Покупатели,8,0),VLOOKUP(C653,Покупатели,9,0),VLOOKUP(C653,Покупатели,10,0),VLOOKUP(C653,Покупатели,11,0))"),"Акмолинская область, Зерендинский район, с. Зеренда, ул. Буденого, д.76")</f>
        <v>Акмолинская область, Зерендинский район, с. Зеренда, ул. Буденого, д.76</v>
      </c>
      <c r="K653" s="36">
        <f t="shared" si="164"/>
        <v>87029082095</v>
      </c>
      <c r="L653" s="36" t="str">
        <f t="shared" si="165"/>
        <v>MX4000002S0002346</v>
      </c>
      <c r="M653" s="36" t="str">
        <f t="shared" ca="1" si="159"/>
        <v>002-2013E50Q13-OK90</v>
      </c>
      <c r="N653" s="36" t="str">
        <f t="shared" si="158"/>
        <v>Прицеп 2,0*1,25 м  (до 750 кг.)</v>
      </c>
      <c r="O653" s="36" t="str">
        <f t="shared" si="166"/>
        <v>1 ось</v>
      </c>
      <c r="P653" s="36">
        <f t="shared" si="167"/>
        <v>2025</v>
      </c>
      <c r="Q653" s="34" t="str">
        <f t="shared" ca="1" si="156"/>
        <v>3150*1700*1070</v>
      </c>
      <c r="R653" s="36" t="str">
        <f t="shared" ca="1" si="155"/>
        <v>2000*1250*500</v>
      </c>
      <c r="S653" s="34" t="str">
        <f>VLOOKUP(O653,ОТТС!$A$2:$B$3,2,0)</f>
        <v>ТС KZ Е-KZ.0317.00251 от 28.02.2023</v>
      </c>
      <c r="T653" s="39">
        <v>415000</v>
      </c>
      <c r="U653" s="36" t="str">
        <f t="shared" si="157"/>
        <v>Кокшетау</v>
      </c>
    </row>
    <row r="654" spans="1:21" ht="13.2">
      <c r="A654" s="34">
        <v>1862</v>
      </c>
      <c r="B654" s="35">
        <f>VLOOKUP(A654,'Реестр договоров'!$A$2:$D$996,2,0)</f>
        <v>45933</v>
      </c>
      <c r="C654" s="36" t="str">
        <f t="shared" si="161"/>
        <v>Нугуманов</v>
      </c>
      <c r="D654" s="36" t="str">
        <f t="shared" si="162"/>
        <v>Тимур</v>
      </c>
      <c r="E654" s="36" t="str">
        <f t="shared" si="160"/>
        <v>Тимурланович</v>
      </c>
      <c r="F654" s="36" t="str">
        <f t="shared" si="163"/>
        <v>059319194</v>
      </c>
      <c r="G654" s="37">
        <f>VLOOKUP(F654,Покупатели!$F$2:$N$762,2,0)</f>
        <v>45601</v>
      </c>
      <c r="H654" s="36" t="str">
        <f>VLOOKUP(F654,Покупатели!$F$2:$N$762,3,0)</f>
        <v>МВД РК</v>
      </c>
      <c r="I654" s="36">
        <f>VLOOKUP(C654,Покупатели!$C$2:$M$805,7,0)</f>
        <v>891030350125</v>
      </c>
      <c r="J654" s="36" t="str">
        <f ca="1">IFERROR(__xludf.DUMMYFUNCTION("JOIN("" "", VLOOKUP(C654,Покупатели,8,0),VLOOKUP(C654,Покупатели,9,0),VLOOKUP(C654,Покупатели,10,0),VLOOKUP(C654,Покупатели,11,0))"),"Карагандинская обл. г.Темиртау ул.Чернышевского д.88")</f>
        <v>Карагандинская обл. г.Темиртау ул.Чернышевского д.88</v>
      </c>
      <c r="K654" s="36">
        <f t="shared" si="164"/>
        <v>87022152927</v>
      </c>
      <c r="L654" s="36" t="str">
        <f t="shared" si="165"/>
        <v>MX4000002S0002349</v>
      </c>
      <c r="M654" s="36" t="str">
        <f t="shared" ca="1" si="159"/>
        <v>002-3515E50Q15-OK120</v>
      </c>
      <c r="N654" s="36" t="str">
        <f t="shared" si="158"/>
        <v>Прицеп 3,5*1,5 м  (до 750 кг.)</v>
      </c>
      <c r="O654" s="36" t="str">
        <f t="shared" si="166"/>
        <v>1 ось</v>
      </c>
      <c r="P654" s="36">
        <f t="shared" si="167"/>
        <v>2025</v>
      </c>
      <c r="Q654" s="34" t="str">
        <f t="shared" ca="1" si="156"/>
        <v>3800*1950*1200</v>
      </c>
      <c r="R654" s="36" t="str">
        <f t="shared" ca="1" si="155"/>
        <v>3500*1500*500</v>
      </c>
      <c r="S654" s="34" t="str">
        <f>VLOOKUP(O654,ОТТС!$A$2:$B$3,2,0)</f>
        <v>ТС KZ Е-KZ.0317.00251 от 28.02.2023</v>
      </c>
      <c r="T654" s="39">
        <v>470000</v>
      </c>
      <c r="U654" s="36" t="str">
        <f t="shared" si="157"/>
        <v>Астана</v>
      </c>
    </row>
    <row r="655" spans="1:21" ht="13.2">
      <c r="A655" s="34">
        <v>1863</v>
      </c>
      <c r="B655" s="35">
        <f>VLOOKUP(A655,'Реестр договоров'!$A$2:$D$996,2,0)</f>
        <v>45933</v>
      </c>
      <c r="C655" s="36" t="str">
        <f t="shared" si="161"/>
        <v>Калугина</v>
      </c>
      <c r="D655" s="36" t="str">
        <f t="shared" si="162"/>
        <v>Маргарита</v>
      </c>
      <c r="E655" s="36" t="str">
        <f t="shared" si="160"/>
        <v>Игоревна</v>
      </c>
      <c r="F655" s="36" t="str">
        <f t="shared" si="163"/>
        <v>051043053</v>
      </c>
      <c r="G655" s="37">
        <f>VLOOKUP(F655,Покупатели!$F$2:$N$762,2,0)</f>
        <v>44733</v>
      </c>
      <c r="H655" s="36" t="str">
        <f>VLOOKUP(F655,Покупатели!$F$2:$N$762,3,0)</f>
        <v>МВД РК</v>
      </c>
      <c r="I655" s="36">
        <f>VLOOKUP(C655,Покупатели!$C$2:$M$805,7,0)</f>
        <v>860922400146</v>
      </c>
      <c r="J655" s="36" t="str">
        <f ca="1">IFERROR(__xludf.DUMMYFUNCTION("JOIN("" "", VLOOKUP(C655,Покупатели,8,0),VLOOKUP(C655,Покупатели,9,0),VLOOKUP(C655,Покупатели,10,0),VLOOKUP(C655,Покупатели,11,0))"),"Алматинская область, Алатауский район, ул. Моцарта, д.8")</f>
        <v>Алматинская область, Алатауский район, ул. Моцарта, д.8</v>
      </c>
      <c r="K655" s="36">
        <f t="shared" si="164"/>
        <v>87053303830</v>
      </c>
      <c r="L655" s="36" t="str">
        <f t="shared" si="165"/>
        <v>MX4000002R0001597</v>
      </c>
      <c r="M655" s="36" t="str">
        <f t="shared" ca="1" si="159"/>
        <v>002-2513E50Q13-OK</v>
      </c>
      <c r="N655" s="36" t="str">
        <f t="shared" si="158"/>
        <v>Прицеп 2,5*1,25 м  (до 750 кг.)</v>
      </c>
      <c r="O655" s="36" t="str">
        <f t="shared" si="166"/>
        <v>1 ось</v>
      </c>
      <c r="P655" s="36">
        <f t="shared" si="167"/>
        <v>2024</v>
      </c>
      <c r="Q655" s="34" t="str">
        <f t="shared" ca="1" si="156"/>
        <v>3650*1700*1070</v>
      </c>
      <c r="R655" s="36" t="str">
        <f t="shared" ref="R655:R666" ca="1" si="168">VLOOKUP(M655,матрица,17,0)</f>
        <v>2500*1250*500</v>
      </c>
      <c r="S655" s="34" t="str">
        <f>VLOOKUP(O655,ОТТС!$A$2:$B$3,2,0)</f>
        <v>ТС KZ Е-KZ.0317.00251 от 28.02.2023</v>
      </c>
      <c r="T655" s="39">
        <v>400000</v>
      </c>
      <c r="U655" s="36" t="str">
        <f t="shared" si="157"/>
        <v>Алматы</v>
      </c>
    </row>
    <row r="656" spans="1:21" ht="13.2">
      <c r="A656" s="34">
        <v>1864</v>
      </c>
      <c r="B656" s="35">
        <f>VLOOKUP(A656,'Реестр договоров'!$A$2:$D$996,2,0)</f>
        <v>45933</v>
      </c>
      <c r="C656" s="36" t="str">
        <f t="shared" si="161"/>
        <v>Югай</v>
      </c>
      <c r="D656" s="36" t="str">
        <f t="shared" si="162"/>
        <v>Владислав</v>
      </c>
      <c r="E656" s="36" t="str">
        <f t="shared" si="160"/>
        <v>Юрьевич</v>
      </c>
      <c r="F656" s="36" t="str">
        <f t="shared" si="163"/>
        <v>042731065</v>
      </c>
      <c r="G656" s="37">
        <f>VLOOKUP(F656,Покупатели!$F$2:$N$762,2,0)</f>
        <v>43153</v>
      </c>
      <c r="H656" s="36" t="str">
        <f>VLOOKUP(F656,Покупатели!$F$2:$N$762,3,0)</f>
        <v>МВД РК</v>
      </c>
      <c r="I656" s="36">
        <f>VLOOKUP(C656,Покупатели!$C$2:$M$805,7,0)</f>
        <v>950409300497</v>
      </c>
      <c r="J656" s="36" t="str">
        <f ca="1">IFERROR(__xludf.DUMMYFUNCTION("JOIN("" "", VLOOKUP(C656,Покупатели,8,0),VLOOKUP(C656,Покупатели,9,0),VLOOKUP(C656,Покупатели,10,0),VLOOKUP(C656,Покупатели,11,0))"),"Жетысуская область, Г.Талдыкорган, ул.Акын Сара д. 186, кв. 4")</f>
        <v>Жетысуская область, Г.Талдыкорган, ул.Акын Сара д. 186, кв. 4</v>
      </c>
      <c r="K656" s="36">
        <f t="shared" si="164"/>
        <v>87771110547</v>
      </c>
      <c r="L656" s="36" t="str">
        <f t="shared" si="165"/>
        <v>MX4000002S0001901</v>
      </c>
      <c r="M656" s="36" t="str">
        <f t="shared" ca="1" si="159"/>
        <v>002-2013E30Q13-OK</v>
      </c>
      <c r="N656" s="36" t="str">
        <f t="shared" si="158"/>
        <v>Прицеп 2,0*1,25 м  (до 750 кг.)</v>
      </c>
      <c r="O656" s="36" t="str">
        <f t="shared" si="166"/>
        <v>1 ось</v>
      </c>
      <c r="P656" s="36">
        <f t="shared" si="167"/>
        <v>2025</v>
      </c>
      <c r="Q656" s="34" t="str">
        <f t="shared" ca="1" si="156"/>
        <v>3150*1700*900</v>
      </c>
      <c r="R656" s="36" t="str">
        <f t="shared" ca="1" si="168"/>
        <v>2000*1250*300</v>
      </c>
      <c r="S656" s="34" t="str">
        <f>VLOOKUP(O656,ОТТС!$A$2:$B$3,2,0)</f>
        <v>ТС KZ Е-KZ.0317.00251 от 28.02.2023</v>
      </c>
      <c r="T656" s="39">
        <v>330000</v>
      </c>
      <c r="U656" s="36" t="str">
        <f t="shared" si="157"/>
        <v>Алматы</v>
      </c>
    </row>
    <row r="657" spans="1:21" ht="13.2">
      <c r="A657" s="34">
        <v>1865</v>
      </c>
      <c r="B657" s="35">
        <f>VLOOKUP(A657,'Реестр договоров'!$A$2:$D$996,2,0)</f>
        <v>45936</v>
      </c>
      <c r="C657" s="36" t="str">
        <f t="shared" si="161"/>
        <v>Ескендиров</v>
      </c>
      <c r="D657" s="36" t="str">
        <f t="shared" si="162"/>
        <v>Азат</v>
      </c>
      <c r="E657" s="36" t="str">
        <f t="shared" si="160"/>
        <v>Агзамович</v>
      </c>
      <c r="F657" s="36" t="str">
        <f t="shared" si="163"/>
        <v>059889470</v>
      </c>
      <c r="G657" s="37">
        <f>VLOOKUP(F657,Покупатели!$F$2:$N$762,2,0)</f>
        <v>45693</v>
      </c>
      <c r="H657" s="36" t="str">
        <f>VLOOKUP(F657,Покупатели!$F$2:$N$762,3,0)</f>
        <v>МВД РК</v>
      </c>
      <c r="I657" s="36">
        <f>VLOOKUP(C657,Покупатели!$C$2:$M$805,7,0)</f>
        <v>930223350151</v>
      </c>
      <c r="J657" s="36" t="str">
        <f ca="1">IFERROR(__xludf.DUMMYFUNCTION("JOIN("" "", VLOOKUP(C657,Покупатели,8,0),VLOOKUP(C657,Покупатели,9,0),VLOOKUP(C657,Покупатели,10,0),VLOOKUP(C657,Покупатели,11,0))"),"Акмолинская область, г.Кокшетау, проспект Назарбаева, д.55, кв.14")</f>
        <v>Акмолинская область, г.Кокшетау, проспект Назарбаева, д.55, кв.14</v>
      </c>
      <c r="K657" s="36">
        <f t="shared" si="164"/>
        <v>87719712242</v>
      </c>
      <c r="L657" s="36" t="str">
        <f t="shared" si="165"/>
        <v>MX4000002S0002328</v>
      </c>
      <c r="M657" s="36" t="str">
        <f t="shared" ca="1" si="159"/>
        <v>002-2513E50Q13-OK60</v>
      </c>
      <c r="N657" s="36" t="str">
        <f t="shared" si="158"/>
        <v>Прицеп 2,5*1,25 м  (до 750 кг.)</v>
      </c>
      <c r="O657" s="36" t="str">
        <f t="shared" si="166"/>
        <v>1 ось</v>
      </c>
      <c r="P657" s="36">
        <f t="shared" si="167"/>
        <v>2025</v>
      </c>
      <c r="Q657" s="34" t="str">
        <f t="shared" ref="Q657:Q666" ca="1" si="169">VLOOKUP(M657,матрица,16,0)</f>
        <v>3650*1700*1070</v>
      </c>
      <c r="R657" s="36" t="str">
        <f t="shared" ca="1" si="168"/>
        <v>2500*1250*500</v>
      </c>
      <c r="S657" s="34" t="str">
        <f>VLOOKUP(O657,ОТТС!$A$2:$B$3,2,0)</f>
        <v>ТС KZ Е-KZ.0317.00251 от 28.02.2023</v>
      </c>
      <c r="T657" s="39">
        <v>460000</v>
      </c>
      <c r="U657" s="36" t="str">
        <f t="shared" si="157"/>
        <v>Кокшетау</v>
      </c>
    </row>
    <row r="658" spans="1:21" ht="13.2">
      <c r="A658" s="34">
        <v>1866</v>
      </c>
      <c r="B658" s="35">
        <f>VLOOKUP(A658,'Реестр договоров'!$A$2:$D$996,2,0)</f>
        <v>45936</v>
      </c>
      <c r="C658" s="36" t="str">
        <f t="shared" si="161"/>
        <v>Кошкимбаев</v>
      </c>
      <c r="D658" s="36" t="str">
        <f t="shared" si="162"/>
        <v>Ануар</v>
      </c>
      <c r="E658" s="36" t="str">
        <f t="shared" si="160"/>
        <v>Бауыржанович</v>
      </c>
      <c r="F658" s="36" t="str">
        <f t="shared" si="163"/>
        <v>054422195</v>
      </c>
      <c r="G658" s="37">
        <f>VLOOKUP(F658,Покупатели!$F$2:$N$762,2,0)</f>
        <v>45180</v>
      </c>
      <c r="H658" s="36" t="str">
        <f>VLOOKUP(F658,Покупатели!$F$2:$N$762,3,0)</f>
        <v>МВД РК</v>
      </c>
      <c r="I658" s="36">
        <f>VLOOKUP(C658,Покупатели!$C$2:$M$805,7,0)</f>
        <v>880810301965</v>
      </c>
      <c r="J658" s="36" t="str">
        <f ca="1">IFERROR(__xludf.DUMMYFUNCTION("JOIN("" "", VLOOKUP(C658,Покупатели,8,0),VLOOKUP(C658,Покупатели,9,0),VLOOKUP(C658,Покупатели,10,0),VLOOKUP(C658,Покупатели,11,0))"),"Жетысуская область, район Сарканский, Лепсинский сельский округ, с. Лепси, ул.Құлакын, д.28")</f>
        <v>Жетысуская область, район Сарканский, Лепсинский сельский округ, с. Лепси, ул.Құлакын, д.28</v>
      </c>
      <c r="K658" s="36">
        <f t="shared" si="164"/>
        <v>87714395172</v>
      </c>
      <c r="L658" s="36" t="str">
        <f t="shared" si="165"/>
        <v>MX4000002S0002323</v>
      </c>
      <c r="M658" s="36" t="str">
        <f t="shared" ca="1" si="159"/>
        <v>002-2013E50Q13-OK</v>
      </c>
      <c r="N658" s="36" t="str">
        <f t="shared" si="158"/>
        <v>Прицеп 2,0*1,25 м  (до 750 кг.)</v>
      </c>
      <c r="O658" s="36" t="str">
        <f t="shared" si="166"/>
        <v>1 ось</v>
      </c>
      <c r="P658" s="36">
        <f t="shared" si="167"/>
        <v>2025</v>
      </c>
      <c r="Q658" s="34" t="str">
        <f t="shared" ca="1" si="169"/>
        <v>3150*1700*1070</v>
      </c>
      <c r="R658" s="36" t="str">
        <f t="shared" ca="1" si="168"/>
        <v>2000*1250*500</v>
      </c>
      <c r="S658" s="34" t="str">
        <f>VLOOKUP(O658,ОТТС!$A$2:$B$3,2,0)</f>
        <v>ТС KZ Е-KZ.0317.00251 от 28.02.2023</v>
      </c>
      <c r="T658" s="39">
        <v>360000</v>
      </c>
      <c r="U658" s="36" t="str">
        <f t="shared" ref="U658:U721" si="170">VLOOKUP(L658,ПРИЦЕПЫ,9,0)</f>
        <v>Алматы</v>
      </c>
    </row>
    <row r="659" spans="1:21" ht="13.2">
      <c r="A659" s="34">
        <v>1867</v>
      </c>
      <c r="B659" s="35">
        <f>VLOOKUP(A659,'Реестр договоров'!$A$2:$D$996,2,0)</f>
        <v>45937</v>
      </c>
      <c r="C659" s="36" t="str">
        <f t="shared" si="161"/>
        <v>Хан</v>
      </c>
      <c r="D659" s="36" t="str">
        <f t="shared" si="162"/>
        <v>Лев</v>
      </c>
      <c r="E659" s="36" t="str">
        <f t="shared" si="160"/>
        <v>Владимирович</v>
      </c>
      <c r="F659" s="36" t="str">
        <f t="shared" si="163"/>
        <v>039990923</v>
      </c>
      <c r="G659" s="37">
        <f>VLOOKUP(F659,Покупатели!$F$2:$N$762,2,0)</f>
        <v>42473</v>
      </c>
      <c r="H659" s="36" t="str">
        <f>VLOOKUP(F659,Покупатели!$F$2:$N$762,3,0)</f>
        <v>МВД РК</v>
      </c>
      <c r="I659" s="36">
        <f>VLOOKUP(C659,Покупатели!$C$2:$M$805,7,0)</f>
        <v>550914301163</v>
      </c>
      <c r="J659" s="36" t="str">
        <f ca="1">IFERROR(__xludf.DUMMYFUNCTION("JOIN("" "", VLOOKUP(C659,Покупатели,8,0),VLOOKUP(C659,Покупатели,9,0),VLOOKUP(C659,Покупатели,10,0),VLOOKUP(C659,Покупатели,11,0))"),"Жетысуская область, Каратальский район, с. Бастобе, ул. Гастелло, д.31а")</f>
        <v>Жетысуская область, Каратальский район, с. Бастобе, ул. Гастелло, д.31а</v>
      </c>
      <c r="K659" s="36">
        <f t="shared" si="164"/>
        <v>87773979606</v>
      </c>
      <c r="L659" s="36" t="str">
        <f t="shared" si="165"/>
        <v>MX4000002S0002272</v>
      </c>
      <c r="M659" s="36" t="str">
        <f t="shared" ca="1" si="159"/>
        <v>002-2013E50Q13-OK</v>
      </c>
      <c r="N659" s="36" t="str">
        <f t="shared" si="158"/>
        <v>Прицеп 2,0*1,25 м  (до 750 кг.)</v>
      </c>
      <c r="O659" s="36" t="str">
        <f t="shared" si="166"/>
        <v>1 ось</v>
      </c>
      <c r="P659" s="36">
        <f t="shared" si="167"/>
        <v>2025</v>
      </c>
      <c r="Q659" s="34" t="str">
        <f t="shared" ca="1" si="169"/>
        <v>3150*1700*1070</v>
      </c>
      <c r="R659" s="36" t="str">
        <f t="shared" ca="1" si="168"/>
        <v>2000*1250*500</v>
      </c>
      <c r="S659" s="34" t="str">
        <f>VLOOKUP(O659,ОТТС!$A$2:$B$3,2,0)</f>
        <v>ТС KZ Е-KZ.0317.00251 от 28.02.2023</v>
      </c>
      <c r="T659" s="39">
        <v>350000</v>
      </c>
      <c r="U659" s="36" t="str">
        <f t="shared" si="170"/>
        <v>Алматы</v>
      </c>
    </row>
    <row r="660" spans="1:21" ht="13.2">
      <c r="A660" s="34">
        <v>1868</v>
      </c>
      <c r="B660" s="35">
        <f>VLOOKUP(A660,'Реестр договоров'!$A$2:$D$996,2,0)</f>
        <v>45937</v>
      </c>
      <c r="C660" s="36" t="str">
        <f t="shared" si="161"/>
        <v>Кабылов</v>
      </c>
      <c r="D660" s="36" t="str">
        <f t="shared" si="162"/>
        <v>Бакытжан</v>
      </c>
      <c r="E660" s="36" t="str">
        <f t="shared" si="160"/>
        <v>Бауыржанович</v>
      </c>
      <c r="F660" s="36" t="str">
        <f t="shared" si="163"/>
        <v>051177738</v>
      </c>
      <c r="G660" s="37">
        <f>VLOOKUP(F660,Покупатели!$F$2:$N$762,2,0)</f>
        <v>44446</v>
      </c>
      <c r="H660" s="36" t="str">
        <f>VLOOKUP(F660,Покупатели!$F$2:$N$762,3,0)</f>
        <v>МВД РК</v>
      </c>
      <c r="I660" s="36">
        <f>VLOOKUP(C660,Покупатели!$C$2:$M$805,7,0)</f>
        <v>790518350293</v>
      </c>
      <c r="J660" s="36" t="str">
        <f ca="1">IFERROR(__xludf.DUMMYFUNCTION("JOIN("" "", VLOOKUP(C660,Покупатели,8,0),VLOOKUP(C660,Покупатели,9,0),VLOOKUP(C660,Покупатели,10,0),VLOOKUP(C660,Покупатели,11,0))"),"Акмолинская область, г. Кокшетау, мкр-н Берлик, д.3В")</f>
        <v>Акмолинская область, г. Кокшетау, мкр-н Берлик, д.3В</v>
      </c>
      <c r="K660" s="36">
        <f t="shared" si="164"/>
        <v>87072393544</v>
      </c>
      <c r="L660" s="36" t="str">
        <f t="shared" si="165"/>
        <v>MX4000002S0002300</v>
      </c>
      <c r="M660" s="36" t="str">
        <f t="shared" ca="1" si="159"/>
        <v>002-2515E50Q13-OK</v>
      </c>
      <c r="N660" s="36" t="str">
        <f t="shared" si="158"/>
        <v>Прицеп 2,5*1,5 м  (до 750 кг.)</v>
      </c>
      <c r="O660" s="36" t="str">
        <f t="shared" si="166"/>
        <v>1 ось</v>
      </c>
      <c r="P660" s="36">
        <f t="shared" si="167"/>
        <v>2025</v>
      </c>
      <c r="Q660" s="34" t="str">
        <f t="shared" ca="1" si="169"/>
        <v>3650*1950*1070</v>
      </c>
      <c r="R660" s="36" t="str">
        <f t="shared" ca="1" si="168"/>
        <v>2500*1500*500</v>
      </c>
      <c r="S660" s="34" t="str">
        <f>VLOOKUP(O660,ОТТС!$A$2:$B$3,2,0)</f>
        <v>ТС KZ Е-KZ.0317.00251 от 28.02.2023</v>
      </c>
      <c r="T660" s="39">
        <v>480000</v>
      </c>
      <c r="U660" s="36" t="str">
        <f t="shared" si="170"/>
        <v>Кокшетау</v>
      </c>
    </row>
    <row r="661" spans="1:21" ht="13.2">
      <c r="A661" s="34">
        <v>1869</v>
      </c>
      <c r="B661" s="35">
        <f>VLOOKUP(A661,'Реестр договоров'!$A$2:$D$996,2,0)</f>
        <v>45939</v>
      </c>
      <c r="C661" s="36" t="str">
        <f t="shared" si="161"/>
        <v>Почепко</v>
      </c>
      <c r="D661" s="36" t="str">
        <f t="shared" si="162"/>
        <v>Тарас</v>
      </c>
      <c r="E661" s="36" t="str">
        <f t="shared" si="160"/>
        <v>Андреевич</v>
      </c>
      <c r="F661" s="36" t="str">
        <f t="shared" si="163"/>
        <v>040961834</v>
      </c>
      <c r="G661" s="37">
        <f>VLOOKUP(F661,Покупатели!$F$2:$N$762,2,0)</f>
        <v>42459</v>
      </c>
      <c r="H661" s="36" t="str">
        <f>VLOOKUP(F661,Покупатели!$F$2:$N$762,3,0)</f>
        <v>МВД РК</v>
      </c>
      <c r="I661" s="36" t="str">
        <f>VLOOKUP(C661,Покупатели!$C$2:$M$805,7,0)</f>
        <v>000318550810</v>
      </c>
      <c r="J661" s="36" t="str">
        <f ca="1">IFERROR(__xludf.DUMMYFUNCTION("JOIN("" "", VLOOKUP(C661,Покупатели,8,0),VLOOKUP(C661,Покупатели,9,0),VLOOKUP(C661,Покупатели,10,0),VLOOKUP(C661,Покупатели,11,0))"),"СКО, Айыртауский район, с. Саумалколь, ул. Кусаинова, д.18")</f>
        <v>СКО, Айыртауский район, с. Саумалколь, ул. Кусаинова, д.18</v>
      </c>
      <c r="K661" s="36">
        <f t="shared" si="164"/>
        <v>87025076734</v>
      </c>
      <c r="L661" s="36" t="str">
        <f t="shared" si="165"/>
        <v>MX4000002S0001954</v>
      </c>
      <c r="M661" s="36" t="str">
        <f t="shared" ca="1" si="159"/>
        <v>002-2013E30Q13-OK</v>
      </c>
      <c r="N661" s="36" t="str">
        <f t="shared" si="158"/>
        <v>Прицеп 2,0*1,25 м  (до 750 кг.)</v>
      </c>
      <c r="O661" s="36" t="str">
        <f t="shared" si="166"/>
        <v>1 ось</v>
      </c>
      <c r="P661" s="36">
        <f t="shared" si="167"/>
        <v>2025</v>
      </c>
      <c r="Q661" s="34" t="str">
        <f t="shared" ca="1" si="169"/>
        <v>3150*1700*900</v>
      </c>
      <c r="R661" s="36" t="str">
        <f t="shared" ca="1" si="168"/>
        <v>2000*1250*300</v>
      </c>
      <c r="S661" s="34" t="str">
        <f>VLOOKUP(O661,ОТТС!$A$2:$B$3,2,0)</f>
        <v>ТС KZ Е-KZ.0317.00251 от 28.02.2023</v>
      </c>
      <c r="T661" s="39">
        <v>330000</v>
      </c>
      <c r="U661" s="36" t="str">
        <f t="shared" si="170"/>
        <v>Кокшетау</v>
      </c>
    </row>
    <row r="662" spans="1:21" ht="13.2">
      <c r="A662" s="34">
        <v>1870</v>
      </c>
      <c r="B662" s="35">
        <f>VLOOKUP(A662,'Реестр договоров'!$A$2:$D$996,2,0)</f>
        <v>45939</v>
      </c>
      <c r="C662" s="36" t="str">
        <f t="shared" si="161"/>
        <v>Зуев</v>
      </c>
      <c r="D662" s="36" t="str">
        <f t="shared" si="162"/>
        <v>Олег</v>
      </c>
      <c r="E662" s="36" t="str">
        <f t="shared" si="160"/>
        <v>Викторович</v>
      </c>
      <c r="F662" s="36" t="str">
        <f t="shared" si="163"/>
        <v>059809592</v>
      </c>
      <c r="G662" s="37">
        <f>VLOOKUP(F662,Покупатели!$F$2:$N$762,2,0)</f>
        <v>45692</v>
      </c>
      <c r="H662" s="36" t="str">
        <f>VLOOKUP(F662,Покупатели!$F$2:$N$762,3,0)</f>
        <v>МВД РК</v>
      </c>
      <c r="I662" s="36">
        <f>VLOOKUP(C662,Покупатели!$C$2:$M$805,7,0)</f>
        <v>800205350236</v>
      </c>
      <c r="J662" s="36" t="str">
        <f ca="1">IFERROR(__xludf.DUMMYFUNCTION("JOIN("" "", VLOOKUP(C662,Покупатели,8,0),VLOOKUP(C662,Покупатели,9,0),VLOOKUP(C662,Покупатели,10,0),VLOOKUP(C662,Покупатели,11,0))"),"г.Астана р-н Уркер ул.М. Бабажанова  д.35")</f>
        <v>г.Астана р-н Уркер ул.М. Бабажанова  д.35</v>
      </c>
      <c r="K662" s="36">
        <f t="shared" si="164"/>
        <v>87013861858</v>
      </c>
      <c r="L662" s="36" t="str">
        <f t="shared" si="165"/>
        <v>MX4000002S0002311</v>
      </c>
      <c r="M662" s="36" t="str">
        <f t="shared" ca="1" si="159"/>
        <v>002-2013E30Q13-OK</v>
      </c>
      <c r="N662" s="36" t="str">
        <f t="shared" si="158"/>
        <v>Прицеп 2,0*1,25 м  (до 750 кг.)</v>
      </c>
      <c r="O662" s="36" t="str">
        <f t="shared" si="166"/>
        <v>1 ось</v>
      </c>
      <c r="P662" s="36">
        <f t="shared" si="167"/>
        <v>2025</v>
      </c>
      <c r="Q662" s="34" t="str">
        <f t="shared" ca="1" si="169"/>
        <v>3150*1700*900</v>
      </c>
      <c r="R662" s="36" t="str">
        <f t="shared" ca="1" si="168"/>
        <v>2000*1250*300</v>
      </c>
      <c r="S662" s="34" t="str">
        <f>VLOOKUP(O662,ОТТС!$A$2:$B$3,2,0)</f>
        <v>ТС KZ Е-KZ.0317.00251 от 28.02.2023</v>
      </c>
      <c r="T662" s="39">
        <v>390000</v>
      </c>
      <c r="U662" s="36" t="str">
        <f t="shared" si="170"/>
        <v>Астана</v>
      </c>
    </row>
    <row r="663" spans="1:21" ht="13.2">
      <c r="A663" s="34">
        <v>1871</v>
      </c>
      <c r="B663" s="35">
        <f>VLOOKUP(A663,'Реестр договоров'!$A$2:$D$996,2,0)</f>
        <v>45939</v>
      </c>
      <c r="C663" s="36" t="str">
        <f t="shared" si="161"/>
        <v>Норбаев</v>
      </c>
      <c r="D663" s="36" t="str">
        <f t="shared" si="162"/>
        <v>Айтпай</v>
      </c>
      <c r="E663" s="36" t="str">
        <f t="shared" si="160"/>
        <v>Будаевич</v>
      </c>
      <c r="F663" s="36" t="str">
        <f t="shared" si="163"/>
        <v>050444828</v>
      </c>
      <c r="G663" s="37">
        <f>VLOOKUP(F663,Покупатели!$F$2:$N$762,2,0)</f>
        <v>44334</v>
      </c>
      <c r="H663" s="36" t="str">
        <f>VLOOKUP(F663,Покупатели!$F$2:$N$762,3,0)</f>
        <v>МВД РК</v>
      </c>
      <c r="I663" s="36">
        <f>VLOOKUP(C663,Покупатели!$C$2:$M$805,7,0)</f>
        <v>590415300562</v>
      </c>
      <c r="J663" s="36" t="str">
        <f ca="1">IFERROR(__xludf.DUMMYFUNCTION("JOIN("" "", VLOOKUP(C663,Покупатели,8,0),VLOOKUP(C663,Покупатели,9,0),VLOOKUP(C663,Покупатели,10,0),VLOOKUP(C663,Покупатели,11,0))"),"Акмолинская область, Бурабайский район, с. Баянбай, ул. Степная, д.5")</f>
        <v>Акмолинская область, Бурабайский район, с. Баянбай, ул. Степная, д.5</v>
      </c>
      <c r="K663" s="36">
        <f t="shared" si="164"/>
        <v>87014504026</v>
      </c>
      <c r="L663" s="36" t="str">
        <f t="shared" si="165"/>
        <v>MX4000002S0002360</v>
      </c>
      <c r="M663" s="36" t="str">
        <f t="shared" ca="1" si="159"/>
        <v>002-2013E50Q13-OK30</v>
      </c>
      <c r="N663" s="36" t="str">
        <f t="shared" si="158"/>
        <v>Прицеп 2,0*1,25 м  (до 750 кг.)</v>
      </c>
      <c r="O663" s="36" t="str">
        <f t="shared" si="166"/>
        <v>1 ось</v>
      </c>
      <c r="P663" s="36">
        <f t="shared" si="167"/>
        <v>2025</v>
      </c>
      <c r="Q663" s="34" t="str">
        <f t="shared" ca="1" si="169"/>
        <v>3150*1700*1070</v>
      </c>
      <c r="R663" s="36" t="str">
        <f t="shared" ca="1" si="168"/>
        <v>2000*1250*500</v>
      </c>
      <c r="S663" s="34" t="str">
        <f>VLOOKUP(O663,ОТТС!$A$2:$B$3,2,0)</f>
        <v>ТС KZ Е-KZ.0317.00251 от 28.02.2023</v>
      </c>
      <c r="T663" s="39">
        <v>402000</v>
      </c>
      <c r="U663" s="36" t="str">
        <f t="shared" si="170"/>
        <v>Кокшетау</v>
      </c>
    </row>
    <row r="664" spans="1:21" ht="13.2">
      <c r="A664" s="34">
        <v>1872</v>
      </c>
      <c r="B664" s="35">
        <f>VLOOKUP(A664,'Реестр договоров'!$A$2:$D$996,2,0)</f>
        <v>45939</v>
      </c>
      <c r="C664" s="36" t="str">
        <f t="shared" si="161"/>
        <v>Бектимисов</v>
      </c>
      <c r="D664" s="36" t="str">
        <f t="shared" si="162"/>
        <v>Айбын</v>
      </c>
      <c r="E664" s="36" t="str">
        <f t="shared" si="160"/>
        <v>Муратбекович</v>
      </c>
      <c r="F664" s="36" t="str">
        <f t="shared" si="163"/>
        <v>042168293</v>
      </c>
      <c r="G664" s="37">
        <f>VLOOKUP(F664,Покупатели!$F$2:$N$762,2,0)</f>
        <v>43013</v>
      </c>
      <c r="H664" s="36" t="str">
        <f>VLOOKUP(F664,Покупатели!$F$2:$N$762,3,0)</f>
        <v>МВД РК</v>
      </c>
      <c r="I664" s="36">
        <f>VLOOKUP(C664,Покупатели!$C$2:$M$805,7,0)</f>
        <v>10928500525</v>
      </c>
      <c r="J664" s="36" t="str">
        <f ca="1">IFERROR(__xludf.DUMMYFUNCTION("JOIN("" "", VLOOKUP(C664,Покупатели,8,0),VLOOKUP(C664,Покупатели,9,0),VLOOKUP(C664,Покупатели,10,0),VLOOKUP(C664,Покупатели,11,0))"),"г. Талдыкорган, 5 мкр-н Самал 13а, д.42 кв.42")</f>
        <v>г. Талдыкорган, 5 мкр-н Самал 13а, д.42 кв.42</v>
      </c>
      <c r="K664" s="36">
        <f t="shared" si="164"/>
        <v>87761479737</v>
      </c>
      <c r="L664" s="36" t="str">
        <f t="shared" si="165"/>
        <v>MX4000002S0002316</v>
      </c>
      <c r="M664" s="36" t="str">
        <f t="shared" ca="1" si="159"/>
        <v>002-2013E50Q13-OK</v>
      </c>
      <c r="N664" s="36" t="str">
        <f t="shared" si="158"/>
        <v>Прицеп 2,0*1,25 м  (до 750 кг.)</v>
      </c>
      <c r="O664" s="36" t="str">
        <f t="shared" si="166"/>
        <v>1 ось</v>
      </c>
      <c r="P664" s="36">
        <f t="shared" si="167"/>
        <v>2025</v>
      </c>
      <c r="Q664" s="34" t="str">
        <f t="shared" ca="1" si="169"/>
        <v>3150*1700*1070</v>
      </c>
      <c r="R664" s="36" t="str">
        <f t="shared" ca="1" si="168"/>
        <v>2000*1250*500</v>
      </c>
      <c r="S664" s="34" t="str">
        <f>VLOOKUP(O664,ОТТС!$A$2:$B$3,2,0)</f>
        <v>ТС KZ Е-KZ.0317.00251 от 28.02.2023</v>
      </c>
      <c r="T664" s="39">
        <v>340000</v>
      </c>
      <c r="U664" s="36" t="str">
        <f t="shared" si="170"/>
        <v>Алматы</v>
      </c>
    </row>
    <row r="665" spans="1:21" ht="13.2">
      <c r="A665" s="34">
        <v>1873</v>
      </c>
      <c r="B665" s="35">
        <f>VLOOKUP(A665,'Реестр договоров'!$A$2:$D$996,2,0)</f>
        <v>45940</v>
      </c>
      <c r="C665" s="36" t="str">
        <f t="shared" si="161"/>
        <v>Шакимов</v>
      </c>
      <c r="D665" s="36" t="str">
        <f t="shared" si="162"/>
        <v>Дастан</v>
      </c>
      <c r="E665" s="36" t="str">
        <f t="shared" si="160"/>
        <v>Асаинович</v>
      </c>
      <c r="F665" s="36" t="str">
        <f t="shared" si="163"/>
        <v>058089748</v>
      </c>
      <c r="G665" s="37">
        <f>VLOOKUP(F665,Покупатели!$F$2:$N$762,2,0)</f>
        <v>45446</v>
      </c>
      <c r="H665" s="36" t="str">
        <f>VLOOKUP(F665,Покупатели!$F$2:$N$762,3,0)</f>
        <v>МВД РК</v>
      </c>
      <c r="I665" s="36">
        <f>VLOOKUP(C665,Покупатели!$C$2:$M$805,7,0)</f>
        <v>891026351479</v>
      </c>
      <c r="J665" s="36" t="str">
        <f ca="1">IFERROR(__xludf.DUMMYFUNCTION("JOIN("" "", VLOOKUP(C665,Покупатели,8,0),VLOOKUP(C665,Покупатели,9,0),VLOOKUP(C665,Покупатели,10,0),VLOOKUP(C665,Покупатели,11,0))"),"г.Астана Сарыарка ул.Е.Серкебаева д.41, кв.34")</f>
        <v>г.Астана Сарыарка ул.Е.Серкебаева д.41, кв.34</v>
      </c>
      <c r="K665" s="36">
        <f t="shared" si="164"/>
        <v>87766687567</v>
      </c>
      <c r="L665" s="36" t="str">
        <f t="shared" si="165"/>
        <v>MX4000002S0002313</v>
      </c>
      <c r="M665" s="36" t="str">
        <f t="shared" ca="1" si="159"/>
        <v>002-2513E50Q13-OK60</v>
      </c>
      <c r="N665" s="36" t="str">
        <f t="shared" ref="N665:N728" si="171">VLOOKUP(L665,ПРИЦЕПЫ,2,0)</f>
        <v>Прицеп 2,5*1,25 м  (до 750 кг.)</v>
      </c>
      <c r="O665" s="36" t="str">
        <f t="shared" si="166"/>
        <v>1 ось</v>
      </c>
      <c r="P665" s="36">
        <f t="shared" si="167"/>
        <v>2025</v>
      </c>
      <c r="Q665" s="34" t="str">
        <f t="shared" ca="1" si="169"/>
        <v>3650*1700*1070</v>
      </c>
      <c r="R665" s="36" t="str">
        <f t="shared" ca="1" si="168"/>
        <v>2500*1250*500</v>
      </c>
      <c r="S665" s="34" t="str">
        <f>VLOOKUP(O665,ОТТС!$A$2:$B$3,2,0)</f>
        <v>ТС KZ Е-KZ.0317.00251 от 28.02.2023</v>
      </c>
      <c r="T665" s="39">
        <v>470000</v>
      </c>
      <c r="U665" s="36" t="str">
        <f t="shared" si="170"/>
        <v>Астана</v>
      </c>
    </row>
    <row r="666" spans="1:21" ht="13.2">
      <c r="A666" s="34">
        <v>1874</v>
      </c>
      <c r="B666" s="35">
        <f>VLOOKUP(A666,'Реестр договоров'!$A$2:$D$996,2,0)</f>
        <v>45940</v>
      </c>
      <c r="C666" s="36" t="str">
        <f t="shared" si="161"/>
        <v>Ержанов</v>
      </c>
      <c r="D666" s="36" t="str">
        <f t="shared" si="162"/>
        <v>Рауан</v>
      </c>
      <c r="E666" s="36" t="str">
        <f t="shared" si="160"/>
        <v>Ризабекович</v>
      </c>
      <c r="F666" s="36" t="str">
        <f t="shared" si="163"/>
        <v>057380220</v>
      </c>
      <c r="G666" s="37">
        <f>VLOOKUP(F666,Покупатели!$F$2:$N$762,2,0)</f>
        <v>45338</v>
      </c>
      <c r="H666" s="36" t="str">
        <f>VLOOKUP(F666,Покупатели!$F$2:$N$762,3,0)</f>
        <v>МВД РК</v>
      </c>
      <c r="I666" s="36">
        <f>VLOOKUP(C666,Покупатели!$C$2:$M$805,7,0)</f>
        <v>900502350102</v>
      </c>
      <c r="J666" s="36" t="str">
        <f ca="1">IFERROR(__xludf.DUMMYFUNCTION("JOIN("" "", VLOOKUP(C666,Покупатели,8,0),VLOOKUP(C666,Покупатели,9,0),VLOOKUP(C666,Покупатели,10,0),VLOOKUP(C666,Покупатели,11,0))"),"Акмолинская область, Бурабайский район, г.Щучинск, ул. Аскартау, д.64")</f>
        <v>Акмолинская область, Бурабайский район, г.Щучинск, ул. Аскартау, д.64</v>
      </c>
      <c r="K666" s="36">
        <f t="shared" si="164"/>
        <v>87086901139</v>
      </c>
      <c r="L666" s="36" t="str">
        <f t="shared" si="165"/>
        <v>MX4000002S0002361</v>
      </c>
      <c r="M666" s="36" t="str">
        <f t="shared" ca="1" si="159"/>
        <v>002-2513E30Q13-OK</v>
      </c>
      <c r="N666" s="36" t="str">
        <f t="shared" si="171"/>
        <v>Прицеп 2,5*1,25 м  (до 750 кг.)</v>
      </c>
      <c r="O666" s="36" t="str">
        <f t="shared" si="166"/>
        <v>1 ось</v>
      </c>
      <c r="P666" s="36">
        <f t="shared" si="167"/>
        <v>2025</v>
      </c>
      <c r="Q666" s="34" t="str">
        <f t="shared" ca="1" si="169"/>
        <v>3650*1700*900</v>
      </c>
      <c r="R666" s="36" t="str">
        <f t="shared" ca="1" si="168"/>
        <v>2500*1250*300</v>
      </c>
      <c r="S666" s="34" t="str">
        <f>VLOOKUP(O666,ОТТС!$A$2:$B$3,2,0)</f>
        <v>ТС KZ Е-KZ.0317.00251 от 28.02.2023</v>
      </c>
      <c r="T666" s="39">
        <v>340000</v>
      </c>
      <c r="U666" s="36" t="str">
        <f t="shared" si="170"/>
        <v>Кокшетау</v>
      </c>
    </row>
    <row r="667" spans="1:21" ht="13.2">
      <c r="A667" s="34">
        <v>1875</v>
      </c>
      <c r="B667" s="35">
        <f>VLOOKUP(A667,'Реестр договоров'!$A$2:$D$996,2,0)</f>
        <v>45941</v>
      </c>
      <c r="C667" s="36" t="str">
        <f t="shared" si="161"/>
        <v>Нурсултан</v>
      </c>
      <c r="D667" s="36" t="str">
        <f t="shared" si="162"/>
        <v>Ерболат</v>
      </c>
      <c r="E667" s="36">
        <f t="shared" si="160"/>
        <v>0</v>
      </c>
      <c r="F667" s="36" t="str">
        <f t="shared" si="163"/>
        <v>053386458</v>
      </c>
      <c r="G667" s="37">
        <f>VLOOKUP(F667,Покупатели!$F$2:$N$762,2,0)</f>
        <v>44763</v>
      </c>
      <c r="H667" s="36" t="str">
        <f>VLOOKUP(F667,Покупатели!$F$2:$N$762,3,0)</f>
        <v>МВД РК</v>
      </c>
      <c r="I667" s="36">
        <f>VLOOKUP(C667,Покупатели!$C$2:$M$805,7,0)</f>
        <v>810720350081</v>
      </c>
      <c r="J667" s="36" t="str">
        <f ca="1">IFERROR(__xludf.DUMMYFUNCTION("JOIN("" "", VLOOKUP(C667,Покупатели,8,0),VLOOKUP(C667,Покупатели,9,0),VLOOKUP(C667,Покупатели,10,0),VLOOKUP(C667,Покупатели,11,0))"),"г.Астана Сарайшык ул.А.Храпатова д.21, кв.41")</f>
        <v>г.Астана Сарайшык ул.А.Храпатова д.21, кв.41</v>
      </c>
      <c r="K667" s="36">
        <f t="shared" si="164"/>
        <v>87017743649</v>
      </c>
      <c r="L667" s="36" t="str">
        <f t="shared" si="165"/>
        <v>MX4000004S0002362</v>
      </c>
      <c r="M667" s="36" t="str">
        <f t="shared" si="159"/>
        <v>004-3515E30Q13-OK120</v>
      </c>
      <c r="N667" s="36" t="str">
        <f t="shared" si="171"/>
        <v>Прицеп 3,5*1,5 м  (до 750 кг.)</v>
      </c>
      <c r="O667" s="36" t="str">
        <f t="shared" si="166"/>
        <v>2 оси</v>
      </c>
      <c r="P667" s="36">
        <f t="shared" si="167"/>
        <v>2025</v>
      </c>
      <c r="Q667" s="34" t="s">
        <v>927</v>
      </c>
      <c r="R667" s="34" t="s">
        <v>933</v>
      </c>
      <c r="S667" s="34" t="str">
        <f>VLOOKUP(O667,ОТТС!$A$2:$B$3,2,0)</f>
        <v>ТС KZ Е-KZ.0317.00219.П1 от 17.07.2025</v>
      </c>
      <c r="T667" s="39">
        <v>850000</v>
      </c>
      <c r="U667" s="36" t="str">
        <f t="shared" si="170"/>
        <v>Астана</v>
      </c>
    </row>
    <row r="668" spans="1:21" ht="13.2">
      <c r="A668" s="34">
        <v>1876</v>
      </c>
      <c r="B668" s="35">
        <f>VLOOKUP(A668,'Реестр договоров'!$A$2:$D$996,2,0)</f>
        <v>45943</v>
      </c>
      <c r="C668" s="36" t="str">
        <f t="shared" si="161"/>
        <v>Колмаков</v>
      </c>
      <c r="D668" s="36" t="str">
        <f t="shared" si="162"/>
        <v>Иван</v>
      </c>
      <c r="E668" s="36" t="str">
        <f t="shared" si="160"/>
        <v>Иванович</v>
      </c>
      <c r="F668" s="36" t="str">
        <f t="shared" si="163"/>
        <v>061175208</v>
      </c>
      <c r="G668" s="37">
        <f>VLOOKUP(F668,Покупатели!$F$2:$N$762,2,0)</f>
        <v>45877</v>
      </c>
      <c r="H668" s="36" t="str">
        <f>VLOOKUP(F668,Покупатели!$F$2:$N$762,3,0)</f>
        <v>МВД РК</v>
      </c>
      <c r="I668" s="36">
        <f>VLOOKUP(C668,Покупатели!$C$2:$M$805,7,0)</f>
        <v>910516350309</v>
      </c>
      <c r="J668" s="36" t="str">
        <f ca="1">IFERROR(__xludf.DUMMYFUNCTION("JOIN("" "", VLOOKUP(C668,Покупатели,8,0),VLOOKUP(C668,Покупатели,9,0),VLOOKUP(C668,Покупатели,10,0),VLOOKUP(C668,Покупатели,11,0))"),"Павлодарская обл. г.Экибастуз пер.11 Южный д.4")</f>
        <v>Павлодарская обл. г.Экибастуз пер.11 Южный д.4</v>
      </c>
      <c r="K668" s="36">
        <f t="shared" si="164"/>
        <v>87789356691</v>
      </c>
      <c r="L668" s="36" t="str">
        <f t="shared" si="165"/>
        <v>MX4000002S0002335</v>
      </c>
      <c r="M668" s="36" t="str">
        <f t="shared" ref="M668:M731" ca="1" si="172">VLOOKUP(L668,ПРИЦЕПЫ,11,0)</f>
        <v>002-2013E50Q13-OK</v>
      </c>
      <c r="N668" s="36" t="str">
        <f t="shared" si="171"/>
        <v>Прицеп 2,0*1,25 м  (до 750 кг.)</v>
      </c>
      <c r="O668" s="36" t="str">
        <f t="shared" si="166"/>
        <v>1 ось</v>
      </c>
      <c r="P668" s="36">
        <f t="shared" si="167"/>
        <v>2025</v>
      </c>
      <c r="Q668" s="34" t="str">
        <f ca="1">VLOOKUP(M668,матрица,16,0)</f>
        <v>3150*1700*1070</v>
      </c>
      <c r="R668" s="36" t="str">
        <f ca="1">VLOOKUP(M668,матрица,17,0)</f>
        <v>2000*1250*500</v>
      </c>
      <c r="S668" s="34" t="str">
        <f>VLOOKUP(O668,ОТТС!$A$2:$B$3,2,0)</f>
        <v>ТС KZ Е-KZ.0317.00251 от 28.02.2023</v>
      </c>
      <c r="T668" s="39">
        <v>410000</v>
      </c>
      <c r="U668" s="36" t="str">
        <f t="shared" si="170"/>
        <v>Астана</v>
      </c>
    </row>
    <row r="669" spans="1:21" ht="13.2">
      <c r="A669" s="34">
        <v>1877</v>
      </c>
      <c r="B669" s="35">
        <f>VLOOKUP(A669,'Реестр договоров'!$A$2:$D$996,2,0)</f>
        <v>45943</v>
      </c>
      <c r="C669" s="36" t="str">
        <f t="shared" si="161"/>
        <v>Гаппарова</v>
      </c>
      <c r="D669" s="36" t="str">
        <f t="shared" si="162"/>
        <v>Мухабат</v>
      </c>
      <c r="E669" s="36" t="str">
        <f t="shared" si="160"/>
        <v>Султановна</v>
      </c>
      <c r="F669" s="36" t="str">
        <f t="shared" si="163"/>
        <v>050786833</v>
      </c>
      <c r="G669" s="37">
        <f>VLOOKUP(F669,Покупатели!$F$2:$N$762,2,0)</f>
        <v>44704</v>
      </c>
      <c r="H669" s="36" t="str">
        <f>VLOOKUP(F669,Покупатели!$F$2:$N$762,3,0)</f>
        <v>МВД РК</v>
      </c>
      <c r="I669" s="36">
        <f>VLOOKUP(C669,Покупатели!$C$2:$M$805,7,0)</f>
        <v>770527400090</v>
      </c>
      <c r="J669" s="36" t="str">
        <f ca="1">IFERROR(__xludf.DUMMYFUNCTION("JOIN("" "", VLOOKUP(C669,Покупатели,8,0),VLOOKUP(C669,Покупатели,9,0),VLOOKUP(C669,Покупатели,10,0),VLOOKUP(C669,Покупатели,11,0))"),"Алматы, Бостандыкский район, ул. Габдуллина, д.88/81, кв.35")</f>
        <v>Алматы, Бостандыкский район, ул. Габдуллина, д.88/81, кв.35</v>
      </c>
      <c r="K669" s="36">
        <f t="shared" si="164"/>
        <v>87074559820</v>
      </c>
      <c r="L669" s="36" t="str">
        <f t="shared" si="165"/>
        <v>MX4000002S0002271</v>
      </c>
      <c r="M669" s="36" t="str">
        <f t="shared" ca="1" si="172"/>
        <v>002-2515E30Q13-OK</v>
      </c>
      <c r="N669" s="36" t="str">
        <f t="shared" si="171"/>
        <v>Прицеп 2,5*1,5 м  (до 750 кг.)</v>
      </c>
      <c r="O669" s="36" t="str">
        <f t="shared" si="166"/>
        <v>1 ось</v>
      </c>
      <c r="P669" s="36">
        <f t="shared" si="167"/>
        <v>2025</v>
      </c>
      <c r="Q669" s="34" t="str">
        <f ca="1">VLOOKUP(M669,матрица,16,0)</f>
        <v>3650*1950*900</v>
      </c>
      <c r="R669" s="36" t="str">
        <f ca="1">VLOOKUP(M669,матрица,17,0)</f>
        <v>2500*1500*300</v>
      </c>
      <c r="S669" s="34" t="str">
        <f>VLOOKUP(O669,ОТТС!$A$2:$B$3,2,0)</f>
        <v>ТС KZ Е-KZ.0317.00251 от 28.02.2023</v>
      </c>
      <c r="T669" s="39">
        <v>480000</v>
      </c>
      <c r="U669" s="36" t="str">
        <f t="shared" si="170"/>
        <v>Алматы</v>
      </c>
    </row>
    <row r="670" spans="1:21" ht="13.2">
      <c r="A670" s="34">
        <v>1878</v>
      </c>
      <c r="B670" s="35">
        <f>VLOOKUP(A670,'Реестр договоров'!$A$2:$D$996,2,0)</f>
        <v>45944</v>
      </c>
      <c r="C670" s="36" t="str">
        <f t="shared" si="161"/>
        <v>Абсатаров</v>
      </c>
      <c r="D670" s="36" t="str">
        <f t="shared" si="162"/>
        <v>Серик</v>
      </c>
      <c r="E670" s="36" t="str">
        <f t="shared" si="160"/>
        <v>Бектурганович</v>
      </c>
      <c r="F670" s="36" t="str">
        <f t="shared" si="163"/>
        <v>052900403</v>
      </c>
      <c r="G670" s="37">
        <f>VLOOKUP(F670,Покупатели!$F$2:$N$762,2,0)</f>
        <v>45015</v>
      </c>
      <c r="H670" s="36" t="str">
        <f>VLOOKUP(F670,Покупатели!$F$2:$N$762,3,0)</f>
        <v>МВД РК</v>
      </c>
      <c r="I670" s="36">
        <f>VLOOKUP(C670,Покупатели!$C$2:$M$805,7,0)</f>
        <v>780413300125</v>
      </c>
      <c r="J670" s="36" t="str">
        <f ca="1">IFERROR(__xludf.DUMMYFUNCTION("JOIN("" "", VLOOKUP(C670,Покупатели,8,0),VLOOKUP(C670,Покупатели,9,0),VLOOKUP(C670,Покупатели,10,0),VLOOKUP(C670,Покупатели,11,0))"),"г.Алматы, Наурызбайский район, мкр-н Шұғыла,  д.340/8, кв.21")</f>
        <v>г.Алматы, Наурызбайский район, мкр-н Шұғыла,  д.340/8, кв.21</v>
      </c>
      <c r="K670" s="36">
        <f t="shared" si="164"/>
        <v>87078129026</v>
      </c>
      <c r="L670" s="36" t="str">
        <f t="shared" si="165"/>
        <v>MX4000004S0002262</v>
      </c>
      <c r="M670" s="36" t="str">
        <f t="shared" si="172"/>
        <v>004-3015E30Q13-OK</v>
      </c>
      <c r="N670" s="36" t="str">
        <f t="shared" si="171"/>
        <v>Прицеп 3,0*1,5 м  (до 750 кг.)</v>
      </c>
      <c r="O670" s="36" t="str">
        <f t="shared" si="166"/>
        <v>2 оси</v>
      </c>
      <c r="P670" s="36">
        <f t="shared" si="167"/>
        <v>2025</v>
      </c>
      <c r="Q670" s="34" t="s">
        <v>921</v>
      </c>
      <c r="R670" s="34" t="s">
        <v>945</v>
      </c>
      <c r="S670" s="34" t="str">
        <f>VLOOKUP(O670,ОТТС!$A$2:$B$3,2,0)</f>
        <v>ТС KZ Е-KZ.0317.00219.П1 от 17.07.2025</v>
      </c>
      <c r="T670" s="39">
        <v>720000</v>
      </c>
      <c r="U670" s="36" t="str">
        <f t="shared" si="170"/>
        <v>Алматы</v>
      </c>
    </row>
    <row r="671" spans="1:21" ht="13.2">
      <c r="A671" s="34">
        <v>1879</v>
      </c>
      <c r="B671" s="35">
        <f>VLOOKUP(A671,'Реестр договоров'!$A$2:$D$996,2,0)</f>
        <v>45944</v>
      </c>
      <c r="C671" s="36" t="str">
        <f t="shared" si="161"/>
        <v>Бушенов</v>
      </c>
      <c r="D671" s="36" t="str">
        <f t="shared" si="162"/>
        <v>Бекмурат</v>
      </c>
      <c r="E671" s="36" t="str">
        <f t="shared" si="160"/>
        <v>Мухтарханович</v>
      </c>
      <c r="F671" s="36" t="str">
        <f t="shared" si="163"/>
        <v>059840971</v>
      </c>
      <c r="G671" s="37">
        <f>VLOOKUP(F671,Покупатели!$F$2:$N$762,2,0)</f>
        <v>45820</v>
      </c>
      <c r="H671" s="36" t="str">
        <f>VLOOKUP(F671,Покупатели!$F$2:$N$762,3,0)</f>
        <v>МВД РК</v>
      </c>
      <c r="I671" s="36">
        <f>VLOOKUP(C671,Покупатели!$C$2:$M$805,7,0)</f>
        <v>910117301084</v>
      </c>
      <c r="J671" s="36" t="str">
        <f ca="1">IFERROR(__xludf.DUMMYFUNCTION("JOIN("" "", VLOOKUP(C671,Покупатели,8,0),VLOOKUP(C671,Покупатели,9,0),VLOOKUP(C671,Покупатели,10,0),VLOOKUP(C671,Покупатели,11,0))"),"Алматинская область, Талгарский район, с. Жаңалық, ул. Өтеген батыр, д.382")</f>
        <v>Алматинская область, Талгарский район, с. Жаңалық, ул. Өтеген батыр, д.382</v>
      </c>
      <c r="K671" s="36">
        <f t="shared" si="164"/>
        <v>87471657075</v>
      </c>
      <c r="L671" s="36" t="str">
        <f t="shared" si="165"/>
        <v>MX4000004S0002261</v>
      </c>
      <c r="M671" s="36" t="str">
        <f t="shared" si="172"/>
        <v>004-3515E30Q13-OK</v>
      </c>
      <c r="N671" s="36" t="str">
        <f t="shared" si="171"/>
        <v>Прицеп 3,5*1,5 м  (до 750 кг.)</v>
      </c>
      <c r="O671" s="36" t="str">
        <f t="shared" si="166"/>
        <v>2 оси</v>
      </c>
      <c r="P671" s="36">
        <f t="shared" si="167"/>
        <v>2025</v>
      </c>
      <c r="Q671" s="34" t="s">
        <v>921</v>
      </c>
      <c r="R671" s="34" t="s">
        <v>933</v>
      </c>
      <c r="S671" s="34" t="str">
        <f>VLOOKUP(O671,ОТТС!$A$2:$B$3,2,0)</f>
        <v>ТС KZ Е-KZ.0317.00219.П1 от 17.07.2025</v>
      </c>
      <c r="T671" s="39">
        <v>770000</v>
      </c>
      <c r="U671" s="36" t="str">
        <f t="shared" si="170"/>
        <v>Алматы</v>
      </c>
    </row>
    <row r="672" spans="1:21" ht="13.2">
      <c r="A672" s="34">
        <v>1880</v>
      </c>
      <c r="B672" s="35">
        <f>VLOOKUP(A672,'Реестр договоров'!$A$2:$D$996,2,0)</f>
        <v>45944</v>
      </c>
      <c r="C672" s="36" t="str">
        <f t="shared" si="161"/>
        <v>Маханбетұлы</v>
      </c>
      <c r="D672" s="36" t="str">
        <f t="shared" si="162"/>
        <v>Жанғали</v>
      </c>
      <c r="E672" s="36" t="str">
        <f t="shared" si="160"/>
        <v>.</v>
      </c>
      <c r="F672" s="36" t="str">
        <f t="shared" si="163"/>
        <v>052367153</v>
      </c>
      <c r="G672" s="37">
        <f>VLOOKUP(F672,Покупатели!$F$2:$N$762,2,0)</f>
        <v>44939</v>
      </c>
      <c r="H672" s="36" t="str">
        <f>VLOOKUP(F672,Покупатели!$F$2:$N$762,3,0)</f>
        <v>ҚР ІІМ</v>
      </c>
      <c r="I672" s="36">
        <f>VLOOKUP(C672,Покупатели!$C$2:$M$805,7,0)</f>
        <v>841023301388</v>
      </c>
      <c r="J672" s="36" t="str">
        <f ca="1">IFERROR(__xludf.DUMMYFUNCTION("JOIN("" "", VLOOKUP(C672,Покупатели,8,0),VLOOKUP(C672,Покупатели,9,0),VLOOKUP(C672,Покупатели,10,0),VLOOKUP(C672,Покупатели,11,0))"),"Алматинская область, Илийский район,  Ащибулакский сельский округ, с.Коккайнар, отделение 2, Бірлік 12")</f>
        <v>Алматинская область, Илийский район,  Ащибулакский сельский округ, с.Коккайнар, отделение 2, Бірлік 12</v>
      </c>
      <c r="K672" s="36">
        <f t="shared" si="164"/>
        <v>87470647095</v>
      </c>
      <c r="L672" s="36" t="str">
        <f t="shared" si="165"/>
        <v>MX4000002S0002293</v>
      </c>
      <c r="M672" s="36" t="str">
        <f t="shared" ca="1" si="172"/>
        <v>002-2513E30Q13-OK</v>
      </c>
      <c r="N672" s="36" t="str">
        <f t="shared" si="171"/>
        <v>Прицеп 2,5*1,25 м  (до 750 кг.)</v>
      </c>
      <c r="O672" s="36" t="str">
        <f t="shared" si="166"/>
        <v>1 ось</v>
      </c>
      <c r="P672" s="36">
        <f t="shared" si="167"/>
        <v>2025</v>
      </c>
      <c r="Q672" s="34" t="str">
        <f t="shared" ref="Q672:Q709" ca="1" si="173">VLOOKUP(M672,матрица,16,0)</f>
        <v>3650*1700*900</v>
      </c>
      <c r="R672" s="34" t="str">
        <f t="shared" ref="R672:R709" ca="1" si="174">VLOOKUP(M672,матрица,17,0)</f>
        <v>2500*1250*300</v>
      </c>
      <c r="S672" s="34" t="str">
        <f>VLOOKUP(O672,ОТТС!$A$2:$B$3,2,0)</f>
        <v>ТС KZ Е-KZ.0317.00251 от 28.02.2023</v>
      </c>
      <c r="T672" s="39">
        <v>400000</v>
      </c>
      <c r="U672" s="36" t="str">
        <f t="shared" si="170"/>
        <v>Алматы</v>
      </c>
    </row>
    <row r="673" spans="1:21" ht="13.2">
      <c r="A673" s="34">
        <v>1881</v>
      </c>
      <c r="B673" s="35">
        <f>VLOOKUP(A673,'Реестр договоров'!$A$2:$D$996,2,0)</f>
        <v>45945</v>
      </c>
      <c r="C673" s="36" t="str">
        <f t="shared" si="161"/>
        <v>Алиева</v>
      </c>
      <c r="D673" s="36" t="str">
        <f t="shared" si="162"/>
        <v>Гозел</v>
      </c>
      <c r="E673" s="36" t="str">
        <f t="shared" si="160"/>
        <v>Торуновна</v>
      </c>
      <c r="F673" s="36" t="str">
        <f t="shared" si="163"/>
        <v>044335507</v>
      </c>
      <c r="G673" s="37">
        <f>VLOOKUP(F673,Покупатели!$F$2:$N$762,2,0)</f>
        <v>43578</v>
      </c>
      <c r="H673" s="36" t="str">
        <f>VLOOKUP(F673,Покупатели!$F$2:$N$762,3,0)</f>
        <v>МВД РК</v>
      </c>
      <c r="I673" s="36">
        <f>VLOOKUP(C673,Покупатели!$C$2:$M$805,7,0)</f>
        <v>740131401526</v>
      </c>
      <c r="J673" s="36" t="str">
        <f ca="1">IFERROR(__xludf.DUMMYFUNCTION("JOIN("" "", VLOOKUP(C673,Покупатели,8,0),VLOOKUP(C673,Покупатели,9,0),VLOOKUP(C673,Покупатели,10,0),VLOOKUP(C673,Покупатели,11,0))"),"Алматинская область, Талгарский район, пос. Панфилова, ул. Жетысуйская, д.11")</f>
        <v>Алматинская область, Талгарский район, пос. Панфилова, ул. Жетысуйская, д.11</v>
      </c>
      <c r="K673" s="36">
        <f t="shared" si="164"/>
        <v>87476892266</v>
      </c>
      <c r="L673" s="36" t="str">
        <f t="shared" si="165"/>
        <v>MX4000002S0002322</v>
      </c>
      <c r="M673" s="36" t="str">
        <f t="shared" ca="1" si="172"/>
        <v>002-2013E50Q13-OK</v>
      </c>
      <c r="N673" s="36" t="str">
        <f t="shared" si="171"/>
        <v>Прицеп 2,0*1,25 м  (до 750 кг.)</v>
      </c>
      <c r="O673" s="36" t="str">
        <f t="shared" si="166"/>
        <v>1 ось</v>
      </c>
      <c r="P673" s="36">
        <f t="shared" si="167"/>
        <v>2025</v>
      </c>
      <c r="Q673" s="34" t="str">
        <f t="shared" ca="1" si="173"/>
        <v>3150*1700*1070</v>
      </c>
      <c r="R673" s="34" t="str">
        <f t="shared" ca="1" si="174"/>
        <v>2000*1250*500</v>
      </c>
      <c r="S673" s="34" t="str">
        <f>VLOOKUP(O673,ОТТС!$A$2:$B$3,2,0)</f>
        <v>ТС KZ Е-KZ.0317.00251 от 28.02.2023</v>
      </c>
      <c r="T673" s="39">
        <v>420000</v>
      </c>
      <c r="U673" s="36" t="str">
        <f t="shared" si="170"/>
        <v>Алматы</v>
      </c>
    </row>
    <row r="674" spans="1:21" ht="13.2">
      <c r="A674" s="34">
        <v>1883</v>
      </c>
      <c r="B674" s="35">
        <f>VLOOKUP(A674,'Реестр договоров'!$A$2:$D$996,2,0)</f>
        <v>45946</v>
      </c>
      <c r="C674" s="36" t="str">
        <f t="shared" si="161"/>
        <v>Иманболов</v>
      </c>
      <c r="D674" s="36" t="str">
        <f t="shared" si="162"/>
        <v>Рустем</v>
      </c>
      <c r="E674" s="36" t="str">
        <f t="shared" si="160"/>
        <v>Канатович</v>
      </c>
      <c r="F674" s="36" t="str">
        <f t="shared" si="163"/>
        <v>057355587</v>
      </c>
      <c r="G674" s="37">
        <f>VLOOKUP(F674,Покупатели!$F$2:$N$762,2,0)</f>
        <v>45499</v>
      </c>
      <c r="H674" s="36" t="str">
        <f>VLOOKUP(F674,Покупатели!$F$2:$N$762,3,0)</f>
        <v>МВД РК</v>
      </c>
      <c r="I674" s="36">
        <f>VLOOKUP(C674,Покупатели!$C$2:$M$805,7,0)</f>
        <v>880511350412</v>
      </c>
      <c r="J674" s="36" t="str">
        <f ca="1">IFERROR(__xludf.DUMMYFUNCTION("JOIN("" "", VLOOKUP(C674,Покупатели,8,0),VLOOKUP(C674,Покупатели,9,0),VLOOKUP(C674,Покупатели,10,0),VLOOKUP(C674,Покупатели,11,0))"),"Жетысуская область, Ескельдинский район, с. Шымыр, ул.Аубакирова, д.10/2")</f>
        <v>Жетысуская область, Ескельдинский район, с. Шымыр, ул.Аубакирова, д.10/2</v>
      </c>
      <c r="K674" s="36">
        <f t="shared" si="164"/>
        <v>87476371065</v>
      </c>
      <c r="L674" s="36" t="str">
        <f t="shared" si="165"/>
        <v>MX4000002S0002319</v>
      </c>
      <c r="M674" s="36" t="str">
        <f t="shared" ca="1" si="172"/>
        <v>002-2013E50Q13-OK</v>
      </c>
      <c r="N674" s="36" t="str">
        <f t="shared" si="171"/>
        <v>Прицеп 2,0*1,25 м  (до 750 кг.)</v>
      </c>
      <c r="O674" s="36" t="str">
        <f t="shared" si="166"/>
        <v>1 ось</v>
      </c>
      <c r="P674" s="36">
        <f t="shared" si="167"/>
        <v>2025</v>
      </c>
      <c r="Q674" s="34" t="str">
        <f t="shared" ca="1" si="173"/>
        <v>3150*1700*1070</v>
      </c>
      <c r="R674" s="34" t="str">
        <f t="shared" ca="1" si="174"/>
        <v>2000*1250*500</v>
      </c>
      <c r="S674" s="34" t="str">
        <f>VLOOKUP(O674,ОТТС!$A$2:$B$3,2,0)</f>
        <v>ТС KZ Е-KZ.0317.00251 от 28.02.2023</v>
      </c>
      <c r="T674" s="39">
        <v>350000</v>
      </c>
      <c r="U674" s="36" t="str">
        <f t="shared" si="170"/>
        <v>Алматы</v>
      </c>
    </row>
    <row r="675" spans="1:21" ht="13.2">
      <c r="A675" s="34">
        <v>1884</v>
      </c>
      <c r="B675" s="35">
        <f>VLOOKUP(A675,'Реестр договоров'!$A$2:$D$996,2,0)</f>
        <v>45947</v>
      </c>
      <c r="C675" s="36" t="str">
        <f t="shared" si="161"/>
        <v>Кушьялов</v>
      </c>
      <c r="D675" s="36" t="str">
        <f t="shared" si="162"/>
        <v>Александр</v>
      </c>
      <c r="E675" s="36" t="str">
        <f t="shared" si="160"/>
        <v>Владимирович</v>
      </c>
      <c r="F675" s="36" t="str">
        <f t="shared" si="163"/>
        <v>050543632</v>
      </c>
      <c r="G675" s="37">
        <f>VLOOKUP(F675,Покупатели!$F$2:$N$762,2,0)</f>
        <v>44349</v>
      </c>
      <c r="H675" s="36" t="str">
        <f>VLOOKUP(F675,Покупатели!$F$2:$N$762,3,0)</f>
        <v>МВД РК</v>
      </c>
      <c r="I675" s="36">
        <f>VLOOKUP(C675,Покупатели!$C$2:$M$805,7,0)</f>
        <v>860518350144</v>
      </c>
      <c r="J675" s="36" t="str">
        <f ca="1">IFERROR(__xludf.DUMMYFUNCTION("JOIN("" "", VLOOKUP(C675,Покупатели,8,0),VLOOKUP(C675,Покупатели,9,0),VLOOKUP(C675,Покупатели,10,0),VLOOKUP(C675,Покупатели,11,0))"),"Акмолинская обл. Целиноградский р-н, с.Акмол мкр.3 уч.133")</f>
        <v>Акмолинская обл. Целиноградский р-н, с.Акмол мкр.3 уч.133</v>
      </c>
      <c r="K675" s="36">
        <f t="shared" si="164"/>
        <v>87019706641</v>
      </c>
      <c r="L675" s="36" t="str">
        <f t="shared" si="165"/>
        <v>MX4000002S0002365</v>
      </c>
      <c r="M675" s="36" t="str">
        <f t="shared" ca="1" si="172"/>
        <v>002-2013E50Q13-OK</v>
      </c>
      <c r="N675" s="36" t="str">
        <f t="shared" si="171"/>
        <v>Прицеп 2,0*1,25 м  (до 750 кг.)</v>
      </c>
      <c r="O675" s="36" t="str">
        <f t="shared" si="166"/>
        <v>1 ось</v>
      </c>
      <c r="P675" s="36">
        <f t="shared" si="167"/>
        <v>2025</v>
      </c>
      <c r="Q675" s="34" t="str">
        <f t="shared" ca="1" si="173"/>
        <v>3150*1700*1070</v>
      </c>
      <c r="R675" s="34" t="str">
        <f t="shared" ca="1" si="174"/>
        <v>2000*1250*500</v>
      </c>
      <c r="S675" s="34" t="str">
        <f>VLOOKUP(O675,ОТТС!$A$2:$B$3,2,0)</f>
        <v>ТС KZ Е-KZ.0317.00251 от 28.02.2023</v>
      </c>
      <c r="T675" s="39">
        <v>410000</v>
      </c>
      <c r="U675" s="36" t="str">
        <f t="shared" si="170"/>
        <v>Астана</v>
      </c>
    </row>
    <row r="676" spans="1:21" ht="13.2">
      <c r="A676" s="34">
        <v>1885</v>
      </c>
      <c r="B676" s="35">
        <f>VLOOKUP(A676,'Реестр договоров'!$A$2:$D$996,2,0)</f>
        <v>45947</v>
      </c>
      <c r="C676" s="36" t="str">
        <f t="shared" si="161"/>
        <v>Валеев</v>
      </c>
      <c r="D676" s="36" t="str">
        <f t="shared" si="162"/>
        <v>Илгизар</v>
      </c>
      <c r="E676" s="36" t="str">
        <f t="shared" si="160"/>
        <v>Миндыбаевич</v>
      </c>
      <c r="F676" s="36" t="str">
        <f t="shared" si="163"/>
        <v>046215229</v>
      </c>
      <c r="G676" s="37">
        <f>VLOOKUP(F676,Покупатели!$F$2:$N$762,2,0)</f>
        <v>43978</v>
      </c>
      <c r="H676" s="36" t="str">
        <f>VLOOKUP(F676,Покупатели!$F$2:$N$762,3,0)</f>
        <v>МВД РК</v>
      </c>
      <c r="I676" s="36">
        <f>VLOOKUP(C676,Покупатели!$C$2:$M$805,7,0)</f>
        <v>70522301648</v>
      </c>
      <c r="J676" s="36" t="str">
        <f ca="1">IFERROR(__xludf.DUMMYFUNCTION("JOIN("" "", VLOOKUP(C676,Покупатели,8,0),VLOOKUP(C676,Покупатели,9,0),VLOOKUP(C676,Покупатели,10,0),VLOOKUP(C676,Покупатели,11,0))"),"Жетысуская область,  Каратальский район, г.Уштобе, пер.Алдабергенова, д.5/1")</f>
        <v>Жетысуская область,  Каратальский район, г.Уштобе, пер.Алдабергенова, д.5/1</v>
      </c>
      <c r="K676" s="36">
        <f t="shared" si="164"/>
        <v>87779605140</v>
      </c>
      <c r="L676" s="36" t="str">
        <f t="shared" si="165"/>
        <v>MX4000002S0002273</v>
      </c>
      <c r="M676" s="36" t="str">
        <f t="shared" ca="1" si="172"/>
        <v>002-2013E30Q13-OK</v>
      </c>
      <c r="N676" s="36" t="str">
        <f t="shared" si="171"/>
        <v>Прицеп 2,0*1,25 м  (до 750 кг.)</v>
      </c>
      <c r="O676" s="36" t="str">
        <f t="shared" si="166"/>
        <v>1 ось</v>
      </c>
      <c r="P676" s="36">
        <f t="shared" si="167"/>
        <v>2025</v>
      </c>
      <c r="Q676" s="34" t="str">
        <f t="shared" ca="1" si="173"/>
        <v>3150*1700*900</v>
      </c>
      <c r="R676" s="34" t="str">
        <f t="shared" ca="1" si="174"/>
        <v>2000*1250*300</v>
      </c>
      <c r="S676" s="34" t="str">
        <f>VLOOKUP(O676,ОТТС!$A$2:$B$3,2,0)</f>
        <v>ТС KZ Е-KZ.0317.00251 от 28.02.2023</v>
      </c>
      <c r="T676" s="39">
        <v>330000</v>
      </c>
      <c r="U676" s="36" t="str">
        <f t="shared" si="170"/>
        <v>Алматы</v>
      </c>
    </row>
    <row r="677" spans="1:21" ht="13.2">
      <c r="A677" s="34">
        <v>1886</v>
      </c>
      <c r="B677" s="35">
        <f>VLOOKUP(A677,'Реестр договоров'!$A$2:$D$996,2,0)</f>
        <v>45950</v>
      </c>
      <c r="C677" s="36" t="str">
        <f t="shared" si="161"/>
        <v>Хасенов</v>
      </c>
      <c r="D677" s="36" t="str">
        <f t="shared" si="162"/>
        <v>Аслан</v>
      </c>
      <c r="E677" s="36" t="str">
        <f t="shared" si="160"/>
        <v>Галиханович</v>
      </c>
      <c r="F677" s="36" t="str">
        <f t="shared" si="163"/>
        <v>051656142</v>
      </c>
      <c r="G677" s="37">
        <f>VLOOKUP(F677,Покупатели!$F$2:$N$762,2,0)</f>
        <v>44517</v>
      </c>
      <c r="H677" s="36" t="str">
        <f>VLOOKUP(F677,Покупатели!$F$2:$N$762,3,0)</f>
        <v>МВД РК</v>
      </c>
      <c r="I677" s="36">
        <f>VLOOKUP(C677,Покупатели!$C$2:$M$805,7,0)</f>
        <v>861118350178</v>
      </c>
      <c r="J677" s="36" t="str">
        <f ca="1">IFERROR(__xludf.DUMMYFUNCTION("JOIN("" "", VLOOKUP(C677,Покупатели,8,0),VLOOKUP(C677,Покупатели,9,0),VLOOKUP(C677,Покупатели,10,0),VLOOKUP(C677,Покупатели,11,0))"),"г.Астана р-н Сарыарка ул.Бартольд д.14")</f>
        <v>г.Астана р-н Сарыарка ул.Бартольд д.14</v>
      </c>
      <c r="K677" s="36">
        <f t="shared" si="164"/>
        <v>87751178707</v>
      </c>
      <c r="L677" s="36" t="str">
        <f t="shared" si="165"/>
        <v>MX4000002S0002363</v>
      </c>
      <c r="M677" s="36" t="str">
        <f t="shared" ca="1" si="172"/>
        <v>002-2013E50Q13-OK</v>
      </c>
      <c r="N677" s="36" t="str">
        <f t="shared" si="171"/>
        <v>Прицеп 2,0*1,25 м  (до 750 кг.)</v>
      </c>
      <c r="O677" s="36" t="str">
        <f t="shared" si="166"/>
        <v>1 ось</v>
      </c>
      <c r="P677" s="36">
        <f t="shared" si="167"/>
        <v>2025</v>
      </c>
      <c r="Q677" s="34" t="str">
        <f t="shared" ca="1" si="173"/>
        <v>3150*1700*1070</v>
      </c>
      <c r="R677" s="34" t="str">
        <f t="shared" ca="1" si="174"/>
        <v>2000*1250*500</v>
      </c>
      <c r="S677" s="34" t="str">
        <f>VLOOKUP(O677,ОТТС!$A$2:$B$3,2,0)</f>
        <v>ТС KZ Е-KZ.0317.00251 от 28.02.2023</v>
      </c>
      <c r="T677" s="39">
        <v>360000</v>
      </c>
      <c r="U677" s="36" t="str">
        <f t="shared" si="170"/>
        <v>Астана</v>
      </c>
    </row>
    <row r="678" spans="1:21" ht="13.2">
      <c r="A678" s="34">
        <v>1887</v>
      </c>
      <c r="B678" s="35">
        <f>VLOOKUP(A678,'Реестр договоров'!$A$2:$D$996,2,0)</f>
        <v>45950</v>
      </c>
      <c r="C678" s="36" t="str">
        <f t="shared" si="161"/>
        <v>Боблян</v>
      </c>
      <c r="D678" s="36" t="str">
        <f t="shared" si="162"/>
        <v>Евгений</v>
      </c>
      <c r="E678" s="36" t="str">
        <f t="shared" si="160"/>
        <v>Викторович</v>
      </c>
      <c r="F678" s="36" t="str">
        <f t="shared" si="163"/>
        <v>048202482</v>
      </c>
      <c r="G678" s="37">
        <f>VLOOKUP(F678,Покупатели!$F$2:$N$762,2,0)</f>
        <v>44014</v>
      </c>
      <c r="H678" s="36" t="str">
        <f>VLOOKUP(F678,Покупатели!$F$2:$N$762,3,0)</f>
        <v>МВД РК</v>
      </c>
      <c r="I678" s="36">
        <f>VLOOKUP(C678,Покупатели!$C$2:$M$805,7,0)</f>
        <v>830828350526</v>
      </c>
      <c r="J678" s="36" t="str">
        <f ca="1">IFERROR(__xludf.DUMMYFUNCTION("JOIN("" "", VLOOKUP(C678,Покупатели,8,0),VLOOKUP(C678,Покупатели,9,0),VLOOKUP(C678,Покупатели,10,0),VLOOKUP(C678,Покупатели,11,0))"),"СКО, г. Тайынша, ул. Зебницкого, д.69")</f>
        <v>СКО, г. Тайынша, ул. Зебницкого, д.69</v>
      </c>
      <c r="K678" s="36">
        <f t="shared" si="164"/>
        <v>87052666097</v>
      </c>
      <c r="L678" s="36" t="str">
        <f t="shared" si="165"/>
        <v>MX4000002S0002364</v>
      </c>
      <c r="M678" s="36" t="str">
        <f t="shared" ca="1" si="172"/>
        <v>002-2013E50Q13-OK30</v>
      </c>
      <c r="N678" s="36" t="str">
        <f t="shared" si="171"/>
        <v>Прицеп 2,0*1,25 м  (до 750 кг.)</v>
      </c>
      <c r="O678" s="36" t="str">
        <f t="shared" si="166"/>
        <v>1 ось</v>
      </c>
      <c r="P678" s="36">
        <f t="shared" si="167"/>
        <v>2025</v>
      </c>
      <c r="Q678" s="34" t="str">
        <f t="shared" ca="1" si="173"/>
        <v>3150*1700*1070</v>
      </c>
      <c r="R678" s="34" t="str">
        <f t="shared" ca="1" si="174"/>
        <v>2000*1250*500</v>
      </c>
      <c r="S678" s="34" t="str">
        <f>VLOOKUP(O678,ОТТС!$A$2:$B$3,2,0)</f>
        <v>ТС KZ Е-KZ.0317.00251 от 28.02.2023</v>
      </c>
      <c r="T678" s="39">
        <v>380000</v>
      </c>
      <c r="U678" s="36" t="str">
        <f t="shared" si="170"/>
        <v>Кокшетау</v>
      </c>
    </row>
    <row r="679" spans="1:21" ht="13.2">
      <c r="A679" s="34">
        <v>1888</v>
      </c>
      <c r="B679" s="35">
        <f>VLOOKUP(A679,'Реестр договоров'!$A$2:$D$996,2,0)</f>
        <v>45950</v>
      </c>
      <c r="C679" s="36" t="str">
        <f t="shared" si="161"/>
        <v>Ибдиев</v>
      </c>
      <c r="D679" s="36" t="str">
        <f t="shared" si="162"/>
        <v>Инамжан</v>
      </c>
      <c r="E679" s="36" t="str">
        <f t="shared" ref="E679:E737" si="175">VLOOKUP(C679,Покупатели,3,0)</f>
        <v>Иминжанович</v>
      </c>
      <c r="F679" s="36" t="str">
        <f t="shared" si="163"/>
        <v>051222053</v>
      </c>
      <c r="G679" s="37">
        <f>VLOOKUP(F679,Покупатели!$F$2:$N$762,2,0)</f>
        <v>44757</v>
      </c>
      <c r="H679" s="36" t="str">
        <f>VLOOKUP(F679,Покупатели!$F$2:$N$762,3,0)</f>
        <v>МВД РК</v>
      </c>
      <c r="I679" s="36">
        <f>VLOOKUP(C679,Покупатели!$C$2:$M$805,7,0)</f>
        <v>870619300759</v>
      </c>
      <c r="J679" s="36" t="str">
        <f ca="1">IFERROR(__xludf.DUMMYFUNCTION("JOIN("" "", VLOOKUP(C679,Покупатели,8,0),VLOOKUP(C679,Покупатели,9,0),VLOOKUP(C679,Покупатели,10,0),VLOOKUP(C679,Покупатели,11,0))"),"обл.Жетысу р-н Панфиловский, г.Жаркент ул.Пушкина д.171")</f>
        <v>обл.Жетысу р-н Панфиловский, г.Жаркент ул.Пушкина д.171</v>
      </c>
      <c r="K679" s="36" t="str">
        <f t="shared" si="164"/>
        <v>+77029322253</v>
      </c>
      <c r="L679" s="36" t="str">
        <f t="shared" si="165"/>
        <v>MX4000002S0002280</v>
      </c>
      <c r="M679" s="36" t="str">
        <f t="shared" ca="1" si="172"/>
        <v>002-2013E30Q13-OK</v>
      </c>
      <c r="N679" s="36" t="str">
        <f t="shared" si="171"/>
        <v>Прицеп 2,0*1,25 м  (до 750 кг.)</v>
      </c>
      <c r="O679" s="36" t="str">
        <f t="shared" si="166"/>
        <v>1 ось</v>
      </c>
      <c r="P679" s="36">
        <f t="shared" si="167"/>
        <v>2025</v>
      </c>
      <c r="Q679" s="34" t="str">
        <f t="shared" ca="1" si="173"/>
        <v>3150*1700*900</v>
      </c>
      <c r="R679" s="34" t="str">
        <f t="shared" ca="1" si="174"/>
        <v>2000*1250*300</v>
      </c>
      <c r="S679" s="34" t="str">
        <f>VLOOKUP(O679,ОТТС!$A$2:$B$3,2,0)</f>
        <v>ТС KZ Е-KZ.0317.00251 от 28.02.2023</v>
      </c>
      <c r="T679" s="39">
        <v>350000</v>
      </c>
      <c r="U679" s="36" t="str">
        <f t="shared" si="170"/>
        <v>Алматы</v>
      </c>
    </row>
    <row r="680" spans="1:21" ht="13.2">
      <c r="A680" s="34">
        <v>1889</v>
      </c>
      <c r="B680" s="35">
        <f>VLOOKUP(A680,'Реестр договоров'!$A$2:$D$996,2,0)</f>
        <v>45950</v>
      </c>
      <c r="C680" s="36" t="str">
        <f t="shared" si="161"/>
        <v>Кемал</v>
      </c>
      <c r="D680" s="36" t="str">
        <f t="shared" si="162"/>
        <v>Ерболат</v>
      </c>
      <c r="E680" s="36" t="str">
        <f t="shared" si="175"/>
        <v>Бақытжанұлы</v>
      </c>
      <c r="F680" s="36" t="str">
        <f t="shared" si="163"/>
        <v>050550153</v>
      </c>
      <c r="G680" s="37">
        <f>VLOOKUP(F680,Покупатели!$F$2:$N$762,2,0)</f>
        <v>44670</v>
      </c>
      <c r="H680" s="36" t="str">
        <f>VLOOKUP(F680,Покупатели!$F$2:$N$762,3,0)</f>
        <v>ҚР ІІМ</v>
      </c>
      <c r="I680" s="36">
        <f>VLOOKUP(C680,Покупатели!$C$2:$M$805,7,0)</f>
        <v>841014301785</v>
      </c>
      <c r="J680" s="36" t="str">
        <f ca="1">IFERROR(__xludf.DUMMYFUNCTION("JOIN("" "", VLOOKUP(C680,Покупатели,8,0),VLOOKUP(C680,Покупатели,9,0),VLOOKUP(C680,Покупатели,10,0),VLOOKUP(C680,Покупатели,11,0))"),"Алматинская область, Жамбылский район, с.о. Каргалинский, с.Каргалы, ул. Сейфулина, д.26а")</f>
        <v>Алматинская область, Жамбылский район, с.о. Каргалинский, с.Каргалы, ул. Сейфулина, д.26а</v>
      </c>
      <c r="K680" s="36">
        <f t="shared" si="164"/>
        <v>87076368008</v>
      </c>
      <c r="L680" s="36" t="str">
        <f t="shared" si="165"/>
        <v>MX4000002S0002324</v>
      </c>
      <c r="M680" s="36" t="str">
        <f t="shared" ca="1" si="172"/>
        <v>002-2013E50Q13-OK</v>
      </c>
      <c r="N680" s="36" t="str">
        <f t="shared" si="171"/>
        <v>Прицеп 2,0*1,25 м  (до 750 кг.)</v>
      </c>
      <c r="O680" s="36" t="str">
        <f t="shared" si="166"/>
        <v>1 ось</v>
      </c>
      <c r="P680" s="36">
        <f t="shared" si="167"/>
        <v>2025</v>
      </c>
      <c r="Q680" s="34" t="str">
        <f t="shared" ca="1" si="173"/>
        <v>3150*1700*1070</v>
      </c>
      <c r="R680" s="34" t="str">
        <f t="shared" ca="1" si="174"/>
        <v>2000*1250*500</v>
      </c>
      <c r="S680" s="34" t="str">
        <f>VLOOKUP(O680,ОТТС!$A$2:$B$3,2,0)</f>
        <v>ТС KZ Е-KZ.0317.00251 от 28.02.2023</v>
      </c>
      <c r="T680" s="39">
        <v>360000</v>
      </c>
      <c r="U680" s="36" t="str">
        <f t="shared" si="170"/>
        <v>Алматы</v>
      </c>
    </row>
    <row r="681" spans="1:21" ht="13.2">
      <c r="A681" s="34">
        <v>1890</v>
      </c>
      <c r="B681" s="35">
        <f>VLOOKUP(A681,'Реестр договоров'!$A$2:$D$996,2,0)</f>
        <v>45951</v>
      </c>
      <c r="C681" s="36" t="str">
        <f t="shared" si="161"/>
        <v>Пашин</v>
      </c>
      <c r="D681" s="36" t="str">
        <f t="shared" si="162"/>
        <v>Иван</v>
      </c>
      <c r="E681" s="36" t="str">
        <f t="shared" si="175"/>
        <v>Викторович</v>
      </c>
      <c r="F681" s="36" t="str">
        <f t="shared" si="163"/>
        <v>052797928</v>
      </c>
      <c r="G681" s="37">
        <f>VLOOKUP(F681,Покупатели!$F$2:$N$762,2,0)</f>
        <v>44693</v>
      </c>
      <c r="H681" s="36" t="str">
        <f>VLOOKUP(F681,Покупатели!$F$2:$N$762,3,0)</f>
        <v>МВД РК</v>
      </c>
      <c r="I681" s="36">
        <f>VLOOKUP(C681,Покупатели!$C$2:$M$805,7,0)</f>
        <v>880804350792</v>
      </c>
      <c r="J681" s="36" t="str">
        <f ca="1">IFERROR(__xludf.DUMMYFUNCTION("JOIN("" "", VLOOKUP(C681,Покупатели,8,0),VLOOKUP(C681,Покупатели,9,0),VLOOKUP(C681,Покупатели,10,0),VLOOKUP(C681,Покупатели,11,0))"),"г.Астана р-н Сарыарка Ул.Б.Хмельницкого д.8")</f>
        <v>г.Астана р-н Сарыарка Ул.Б.Хмельницкого д.8</v>
      </c>
      <c r="K681" s="36">
        <f t="shared" si="164"/>
        <v>87014898106</v>
      </c>
      <c r="L681" s="36" t="str">
        <f t="shared" si="165"/>
        <v>MX4000002S0002347</v>
      </c>
      <c r="M681" s="36" t="str">
        <f t="shared" ca="1" si="172"/>
        <v>002-2013E50Q13-OK30</v>
      </c>
      <c r="N681" s="36" t="str">
        <f t="shared" si="171"/>
        <v>Прицеп 2,0*1,25 м  (до 750 кг.)</v>
      </c>
      <c r="O681" s="36" t="str">
        <f t="shared" si="166"/>
        <v>1 ось</v>
      </c>
      <c r="P681" s="36">
        <f t="shared" si="167"/>
        <v>2025</v>
      </c>
      <c r="Q681" s="34" t="str">
        <f t="shared" ca="1" si="173"/>
        <v>3150*1700*1070</v>
      </c>
      <c r="R681" s="34" t="str">
        <f t="shared" ca="1" si="174"/>
        <v>2000*1250*500</v>
      </c>
      <c r="S681" s="34" t="str">
        <f>VLOOKUP(O681,ОТТС!$A$2:$B$3,2,0)</f>
        <v>ТС KZ Е-KZ.0317.00251 от 28.02.2023</v>
      </c>
      <c r="T681" s="39">
        <v>390000</v>
      </c>
      <c r="U681" s="36" t="str">
        <f t="shared" si="170"/>
        <v>Астана</v>
      </c>
    </row>
    <row r="682" spans="1:21" ht="13.2">
      <c r="A682" s="34">
        <v>1891</v>
      </c>
      <c r="B682" s="35">
        <f>VLOOKUP(A682,'Реестр договоров'!$A$2:$D$996,2,0)</f>
        <v>45952</v>
      </c>
      <c r="C682" s="36" t="str">
        <f t="shared" si="161"/>
        <v>Бекеев</v>
      </c>
      <c r="D682" s="36" t="str">
        <f t="shared" si="162"/>
        <v>Бауыржан</v>
      </c>
      <c r="E682" s="36" t="str">
        <f t="shared" si="175"/>
        <v>Умирбекович</v>
      </c>
      <c r="F682" s="36" t="str">
        <f t="shared" si="163"/>
        <v>053104536</v>
      </c>
      <c r="G682" s="37">
        <f>VLOOKUP(F682,Покупатели!$F$2:$N$762,2,0)</f>
        <v>44733</v>
      </c>
      <c r="H682" s="36" t="str">
        <f>VLOOKUP(F682,Покупатели!$F$2:$N$762,3,0)</f>
        <v>МВД РК</v>
      </c>
      <c r="I682" s="36">
        <f>VLOOKUP(C682,Покупатели!$C$2:$M$805,7,0)</f>
        <v>691201300710</v>
      </c>
      <c r="J682" s="36" t="str">
        <f ca="1">IFERROR(__xludf.DUMMYFUNCTION("JOIN("" "", VLOOKUP(C682,Покупатели,8,0),VLOOKUP(C682,Покупатели,9,0),VLOOKUP(C682,Покупатели,10,0),VLOOKUP(C682,Покупатели,11,0))"),"Акмолинская область, г. Кокшетау,  ул. Ашимова,  д. 140, кв. 75")</f>
        <v>Акмолинская область, г. Кокшетау,  ул. Ашимова,  д. 140, кв. 75</v>
      </c>
      <c r="K682" s="36">
        <f t="shared" si="164"/>
        <v>87771806465</v>
      </c>
      <c r="L682" s="36" t="str">
        <f t="shared" si="165"/>
        <v>MX4000002S0002395</v>
      </c>
      <c r="M682" s="36" t="str">
        <f t="shared" ca="1" si="172"/>
        <v>002-2013E50Q13-OK30</v>
      </c>
      <c r="N682" s="36" t="str">
        <f t="shared" si="171"/>
        <v>Прицеп 2,0*1,25 м  (до 750 кг.)</v>
      </c>
      <c r="O682" s="36" t="str">
        <f t="shared" si="166"/>
        <v>1 ось</v>
      </c>
      <c r="P682" s="36">
        <f t="shared" si="167"/>
        <v>2025</v>
      </c>
      <c r="Q682" s="34" t="str">
        <f t="shared" ca="1" si="173"/>
        <v>3150*1700*1070</v>
      </c>
      <c r="R682" s="34" t="str">
        <f t="shared" ca="1" si="174"/>
        <v>2000*1250*500</v>
      </c>
      <c r="S682" s="34" t="str">
        <f>VLOOKUP(O682,ОТТС!$A$2:$B$3,2,0)</f>
        <v>ТС KZ Е-KZ.0317.00251 от 28.02.2023</v>
      </c>
      <c r="T682" s="39">
        <v>380000</v>
      </c>
      <c r="U682" s="36" t="str">
        <f t="shared" si="170"/>
        <v>Кокшетау</v>
      </c>
    </row>
    <row r="683" spans="1:21" ht="13.2">
      <c r="A683" s="34">
        <v>1892</v>
      </c>
      <c r="B683" s="35">
        <f>VLOOKUP(A683,'Реестр договоров'!$A$2:$D$996,2,0)</f>
        <v>45954</v>
      </c>
      <c r="C683" s="36" t="str">
        <f t="shared" si="161"/>
        <v>Ахметжанов</v>
      </c>
      <c r="D683" s="36" t="str">
        <f t="shared" si="162"/>
        <v>Кайрат</v>
      </c>
      <c r="E683" s="36" t="str">
        <f t="shared" si="175"/>
        <v>Омарсерикович</v>
      </c>
      <c r="F683" s="36" t="str">
        <f t="shared" si="163"/>
        <v>042304006</v>
      </c>
      <c r="G683" s="37">
        <f>VLOOKUP(F683,Покупатели!$F$2:$N$762,2,0)</f>
        <v>42772</v>
      </c>
      <c r="H683" s="36" t="str">
        <f>VLOOKUP(F683,Покупатели!$F$2:$N$762,3,0)</f>
        <v>МВД РК</v>
      </c>
      <c r="I683" s="36">
        <f>VLOOKUP(C683,Покупатели!$C$2:$M$805,7,0)</f>
        <v>660126301486</v>
      </c>
      <c r="J683" s="36" t="str">
        <f ca="1">IFERROR(__xludf.DUMMYFUNCTION("JOIN("" "", VLOOKUP(C683,Покупатели,8,0),VLOOKUP(C683,Покупатели,9,0),VLOOKUP(C683,Покупатели,10,0),VLOOKUP(C683,Покупатели,11,0))"),"г.Астана р-н Алматы ул.Мусрепова д.4/2, кв.49")</f>
        <v>г.Астана р-н Алматы ул.Мусрепова д.4/2, кв.49</v>
      </c>
      <c r="K683" s="36">
        <f t="shared" si="164"/>
        <v>87073255020</v>
      </c>
      <c r="L683" s="36" t="str">
        <f t="shared" si="165"/>
        <v>MX4000002S0002394</v>
      </c>
      <c r="M683" s="36" t="str">
        <f t="shared" ca="1" si="172"/>
        <v>002-2013E50Q13-OK</v>
      </c>
      <c r="N683" s="36" t="str">
        <f t="shared" si="171"/>
        <v>Прицеп 2,0*1,25 м  (до 750 кг.)</v>
      </c>
      <c r="O683" s="36" t="str">
        <f t="shared" si="166"/>
        <v>1 ось</v>
      </c>
      <c r="P683" s="36">
        <f t="shared" si="167"/>
        <v>2025</v>
      </c>
      <c r="Q683" s="34" t="str">
        <f t="shared" ca="1" si="173"/>
        <v>3150*1700*1070</v>
      </c>
      <c r="R683" s="34" t="str">
        <f t="shared" ca="1" si="174"/>
        <v>2000*1250*500</v>
      </c>
      <c r="S683" s="34" t="str">
        <f>VLOOKUP(O683,ОТТС!$A$2:$B$3,2,0)</f>
        <v>ТС KZ Е-KZ.0317.00251 от 28.02.2023</v>
      </c>
      <c r="T683" s="39">
        <v>360000</v>
      </c>
      <c r="U683" s="36" t="str">
        <f t="shared" si="170"/>
        <v>Астана</v>
      </c>
    </row>
    <row r="684" spans="1:21" ht="13.2">
      <c r="A684" s="34">
        <v>1893</v>
      </c>
      <c r="B684" s="35">
        <f>VLOOKUP(A684,'Реестр договоров'!$A$2:$D$996,2,0)</f>
        <v>45958</v>
      </c>
      <c r="C684" s="36" t="str">
        <f t="shared" si="161"/>
        <v>Мергембаев</v>
      </c>
      <c r="D684" s="36" t="str">
        <f t="shared" si="162"/>
        <v>Серик</v>
      </c>
      <c r="E684" s="36" t="str">
        <f t="shared" si="175"/>
        <v>Кемалбаевич</v>
      </c>
      <c r="F684" s="36" t="str">
        <f t="shared" si="163"/>
        <v>047880142</v>
      </c>
      <c r="G684" s="37">
        <f>VLOOKUP(F684,Покупатели!$F$2:$N$762,2,0)</f>
        <v>43976</v>
      </c>
      <c r="H684" s="36" t="str">
        <f>VLOOKUP(F684,Покупатели!$F$2:$N$762,3,0)</f>
        <v>МВД РК</v>
      </c>
      <c r="I684" s="36">
        <f>VLOOKUP(C684,Покупатели!$C$2:$M$805,7,0)</f>
        <v>890210351486</v>
      </c>
      <c r="J684" s="36" t="str">
        <f ca="1">IFERROR(__xludf.DUMMYFUNCTION("JOIN("" "", VLOOKUP(C684,Покупатели,8,0),VLOOKUP(C684,Покупатели,9,0),VLOOKUP(C684,Покупатели,10,0),VLOOKUP(C684,Покупатели,11,0))"),"г.Астана, ул. Литейная, д.1")</f>
        <v>г.Астана, ул. Литейная, д.1</v>
      </c>
      <c r="K684" s="36">
        <f t="shared" si="164"/>
        <v>87006006028</v>
      </c>
      <c r="L684" s="36" t="str">
        <f t="shared" si="165"/>
        <v>MX4000002S0002397</v>
      </c>
      <c r="M684" s="36" t="str">
        <f t="shared" ca="1" si="172"/>
        <v>002-2013E50Q13-OK</v>
      </c>
      <c r="N684" s="36" t="str">
        <f t="shared" si="171"/>
        <v>Прицеп 2,0*1,25 м  (до 750 кг.)</v>
      </c>
      <c r="O684" s="36" t="str">
        <f t="shared" si="166"/>
        <v>1 ось</v>
      </c>
      <c r="P684" s="36">
        <f t="shared" si="167"/>
        <v>2025</v>
      </c>
      <c r="Q684" s="34" t="str">
        <f t="shared" ca="1" si="173"/>
        <v>3150*1700*1070</v>
      </c>
      <c r="R684" s="34" t="str">
        <f t="shared" ca="1" si="174"/>
        <v>2000*1250*500</v>
      </c>
      <c r="S684" s="34" t="str">
        <f>VLOOKUP(O684,ОТТС!$A$2:$B$3,2,0)</f>
        <v>ТС KZ Е-KZ.0317.00251 от 28.02.2023</v>
      </c>
      <c r="T684" s="39">
        <v>350000</v>
      </c>
      <c r="U684" s="36" t="str">
        <f t="shared" si="170"/>
        <v>Кокшетау</v>
      </c>
    </row>
    <row r="685" spans="1:21" ht="13.2">
      <c r="A685" s="34">
        <v>1894</v>
      </c>
      <c r="B685" s="35">
        <f>VLOOKUP(A685,'Реестр договоров'!$A$2:$D$996,2,0)</f>
        <v>45958</v>
      </c>
      <c r="C685" s="36" t="str">
        <f t="shared" si="161"/>
        <v>Дюсенова</v>
      </c>
      <c r="D685" s="36" t="str">
        <f t="shared" si="162"/>
        <v>Ирина</v>
      </c>
      <c r="E685" s="36" t="str">
        <f t="shared" si="175"/>
        <v>Алексеевна</v>
      </c>
      <c r="F685" s="36" t="str">
        <f t="shared" si="163"/>
        <v>059516874</v>
      </c>
      <c r="G685" s="37">
        <f>VLOOKUP(F685,Покупатели!$F$2:$N$762,2,0)</f>
        <v>45635</v>
      </c>
      <c r="H685" s="36" t="str">
        <f>VLOOKUP(F685,Покупатели!$F$2:$N$762,3,0)</f>
        <v>МВД РК</v>
      </c>
      <c r="I685" s="36">
        <f>VLOOKUP(C685,Покупатели!$C$2:$M$805,7,0)</f>
        <v>830716451353</v>
      </c>
      <c r="J685" s="36" t="str">
        <f ca="1">IFERROR(__xludf.DUMMYFUNCTION("JOIN("" "", VLOOKUP(C685,Покупатели,8,0),VLOOKUP(C685,Покупатели,9,0),VLOOKUP(C685,Покупатели,10,0),VLOOKUP(C685,Покупатели,11,0))"),"Акмолинская область, г.Кокшетау, ул. Канай би, д.40")</f>
        <v>Акмолинская область, г.Кокшетау, ул. Канай би, д.40</v>
      </c>
      <c r="K685" s="36">
        <f t="shared" si="164"/>
        <v>87059604125</v>
      </c>
      <c r="L685" s="36" t="str">
        <f t="shared" si="165"/>
        <v>MX4000002S0002396</v>
      </c>
      <c r="M685" s="36" t="str">
        <f t="shared" ca="1" si="172"/>
        <v>002-2013E50Q13-OK</v>
      </c>
      <c r="N685" s="36" t="str">
        <f t="shared" si="171"/>
        <v>Прицеп 2,0*1,25 м  (до 750 кг.)</v>
      </c>
      <c r="O685" s="36" t="str">
        <f t="shared" si="166"/>
        <v>1 ось</v>
      </c>
      <c r="P685" s="36">
        <f t="shared" si="167"/>
        <v>2025</v>
      </c>
      <c r="Q685" s="34" t="str">
        <f t="shared" ca="1" si="173"/>
        <v>3150*1700*1070</v>
      </c>
      <c r="R685" s="34" t="str">
        <f t="shared" ca="1" si="174"/>
        <v>2000*1250*500</v>
      </c>
      <c r="S685" s="34" t="str">
        <f>VLOOKUP(O685,ОТТС!$A$2:$B$3,2,0)</f>
        <v>ТС KZ Е-KZ.0317.00251 от 28.02.2023</v>
      </c>
      <c r="T685" s="39">
        <v>400000</v>
      </c>
      <c r="U685" s="36" t="str">
        <f t="shared" si="170"/>
        <v>Кокшетау</v>
      </c>
    </row>
    <row r="686" spans="1:21" ht="13.2">
      <c r="A686" s="34">
        <v>1895</v>
      </c>
      <c r="B686" s="35">
        <f>VLOOKUP(A686,'Реестр договоров'!$A$2:$D$996,2,0)</f>
        <v>45959</v>
      </c>
      <c r="C686" s="36" t="str">
        <f t="shared" si="161"/>
        <v>Тайгараева</v>
      </c>
      <c r="D686" s="36" t="str">
        <f t="shared" si="162"/>
        <v>Акмарал</v>
      </c>
      <c r="E686" s="36" t="str">
        <f t="shared" si="175"/>
        <v>Алтынбековна</v>
      </c>
      <c r="F686" s="36" t="str">
        <f t="shared" si="163"/>
        <v>040056601</v>
      </c>
      <c r="G686" s="37">
        <f>VLOOKUP(F686,Покупатели!$F$2:$N$762,2,0)</f>
        <v>42488</v>
      </c>
      <c r="H686" s="36" t="str">
        <f>VLOOKUP(F686,Покупатели!$F$2:$N$762,3,0)</f>
        <v>МВД РК</v>
      </c>
      <c r="I686" s="36">
        <f>VLOOKUP(C686,Покупатели!$C$2:$M$805,7,0)</f>
        <v>910424401832</v>
      </c>
      <c r="J686" s="36" t="str">
        <f ca="1">IFERROR(__xludf.DUMMYFUNCTION("JOIN("" "", VLOOKUP(C686,Покупатели,8,0),VLOOKUP(C686,Покупатели,9,0),VLOOKUP(C686,Покупатели,10,0),VLOOKUP(C686,Покупатели,11,0))"),"Г.Астана р-н Сарайшык ул.Нажимиденова д.4, кв.2208")</f>
        <v>Г.Астана р-н Сарайшык ул.Нажимиденова д.4, кв.2208</v>
      </c>
      <c r="K686" s="36">
        <f t="shared" si="164"/>
        <v>87476661472</v>
      </c>
      <c r="L686" s="36" t="str">
        <f t="shared" si="165"/>
        <v>MX4000002S0002366</v>
      </c>
      <c r="M686" s="36" t="str">
        <f t="shared" ca="1" si="172"/>
        <v>002-2013E30Q13-OK</v>
      </c>
      <c r="N686" s="36" t="str">
        <f t="shared" si="171"/>
        <v>Прицеп 2,0*1,25 м  (до 750 кг.)</v>
      </c>
      <c r="O686" s="36" t="str">
        <f t="shared" si="166"/>
        <v>1 ось</v>
      </c>
      <c r="P686" s="36">
        <f t="shared" si="167"/>
        <v>2025</v>
      </c>
      <c r="Q686" s="34" t="str">
        <f t="shared" ca="1" si="173"/>
        <v>3150*1700*900</v>
      </c>
      <c r="R686" s="34" t="str">
        <f t="shared" ca="1" si="174"/>
        <v>2000*1250*300</v>
      </c>
      <c r="S686" s="34" t="str">
        <f>VLOOKUP(O686,ОТТС!$A$2:$B$3,2,0)</f>
        <v>ТС KZ Е-KZ.0317.00251 от 28.02.2023</v>
      </c>
      <c r="T686" s="39">
        <v>360000</v>
      </c>
      <c r="U686" s="36" t="str">
        <f t="shared" si="170"/>
        <v>Астана</v>
      </c>
    </row>
    <row r="687" spans="1:21" ht="13.2">
      <c r="A687" s="34">
        <v>1896</v>
      </c>
      <c r="B687" s="35">
        <f>VLOOKUP(A687,'Реестр договоров'!$A$2:$D$996,2,0)</f>
        <v>45959</v>
      </c>
      <c r="C687" s="36" t="str">
        <f t="shared" si="161"/>
        <v>Алиев</v>
      </c>
      <c r="D687" s="36" t="str">
        <f t="shared" si="162"/>
        <v>Хасан</v>
      </c>
      <c r="E687" s="36" t="str">
        <f t="shared" si="175"/>
        <v>Суликоевич</v>
      </c>
      <c r="F687" s="36" t="str">
        <f t="shared" si="163"/>
        <v>055221971</v>
      </c>
      <c r="G687" s="37">
        <f>VLOOKUP(F687,Покупатели!$F$2:$N$762,2,0)</f>
        <v>45279</v>
      </c>
      <c r="H687" s="36" t="str">
        <f>VLOOKUP(F687,Покупатели!$F$2:$N$762,3,0)</f>
        <v>МВД РК</v>
      </c>
      <c r="I687" s="36">
        <f>VLOOKUP(C687,Покупатели!$C$2:$M$805,7,0)</f>
        <v>750411302551</v>
      </c>
      <c r="J687" s="36" t="str">
        <f ca="1">IFERROR(__xludf.DUMMYFUNCTION("JOIN("" "", VLOOKUP(C687,Покупатели,8,0),VLOOKUP(C687,Покупатели,9,0),VLOOKUP(C687,Покупатели,10,0),VLOOKUP(C687,Покупатели,11,0))"),"Акмолинская обл. Енбекшиказахский р-н, с.Аймен ул.Школьная д.35")</f>
        <v>Акмолинская обл. Енбекшиказахский р-н, с.Аймен ул.Школьная д.35</v>
      </c>
      <c r="K687" s="36">
        <f t="shared" si="164"/>
        <v>87051523565</v>
      </c>
      <c r="L687" s="36" t="str">
        <f t="shared" si="165"/>
        <v>MX4000002S0002317</v>
      </c>
      <c r="M687" s="36" t="str">
        <f t="shared" ca="1" si="172"/>
        <v>002-2013E50Q13-OK</v>
      </c>
      <c r="N687" s="36" t="str">
        <f t="shared" si="171"/>
        <v>Прицеп 2,0*1,25 м  (до 750 кг.)</v>
      </c>
      <c r="O687" s="36" t="str">
        <f t="shared" si="166"/>
        <v>1 ось</v>
      </c>
      <c r="P687" s="36">
        <f t="shared" si="167"/>
        <v>2025</v>
      </c>
      <c r="Q687" s="34" t="str">
        <f t="shared" ca="1" si="173"/>
        <v>3150*1700*1070</v>
      </c>
      <c r="R687" s="34" t="str">
        <f t="shared" ca="1" si="174"/>
        <v>2000*1250*500</v>
      </c>
      <c r="S687" s="34" t="str">
        <f>VLOOKUP(O687,ОТТС!$A$2:$B$3,2,0)</f>
        <v>ТС KZ Е-KZ.0317.00251 от 28.02.2023</v>
      </c>
      <c r="T687" s="39">
        <v>320000</v>
      </c>
      <c r="U687" s="36" t="str">
        <f t="shared" si="170"/>
        <v>Астана</v>
      </c>
    </row>
    <row r="688" spans="1:21" ht="13.2">
      <c r="A688" s="34">
        <v>1897</v>
      </c>
      <c r="B688" s="35">
        <f>VLOOKUP(A688,'Реестр договоров'!$A$2:$D$996,2,0)</f>
        <v>45959</v>
      </c>
      <c r="C688" s="36" t="str">
        <f t="shared" si="161"/>
        <v>Балабатырова</v>
      </c>
      <c r="D688" s="36" t="str">
        <f t="shared" si="162"/>
        <v>Гульнара</v>
      </c>
      <c r="E688" s="36" t="str">
        <f t="shared" si="175"/>
        <v>Жумагаликызы</v>
      </c>
      <c r="F688" s="36" t="str">
        <f t="shared" si="163"/>
        <v>061103074</v>
      </c>
      <c r="G688" s="37">
        <f>VLOOKUP(F688,Покупатели!$F$2:$N$762,2,0)</f>
        <v>45860</v>
      </c>
      <c r="H688" s="36" t="str">
        <f>VLOOKUP(F688,Покупатели!$F$2:$N$762,3,0)</f>
        <v>МВД РК</v>
      </c>
      <c r="I688" s="36">
        <f>VLOOKUP(C688,Покупатели!$C$2:$M$805,7,0)</f>
        <v>930310451317</v>
      </c>
      <c r="J688" s="36" t="str">
        <f ca="1">IFERROR(__xludf.DUMMYFUNCTION("JOIN("" "", VLOOKUP(C688,Покупатели,8,0),VLOOKUP(C688,Покупатели,9,0),VLOOKUP(C688,Покупатели,10,0),VLOOKUP(C688,Покупатели,11,0))"),"Астана р-н Байконыр ул.Отырар д.15/8")</f>
        <v>Астана р-н Байконыр ул.Отырар д.15/8</v>
      </c>
      <c r="K688" s="36">
        <f t="shared" si="164"/>
        <v>87056163983</v>
      </c>
      <c r="L688" s="36" t="str">
        <f t="shared" si="165"/>
        <v>MX4000005P0001296</v>
      </c>
      <c r="M688" s="36" t="str">
        <f t="shared" ca="1" si="172"/>
        <v>002-3015Q13-OK</v>
      </c>
      <c r="N688" s="36" t="str">
        <f t="shared" si="171"/>
        <v>Прицеп 3,0*1,5 м  (до 750 кг.)</v>
      </c>
      <c r="O688" s="36" t="str">
        <f t="shared" si="166"/>
        <v>2 оси</v>
      </c>
      <c r="P688" s="36">
        <f t="shared" si="167"/>
        <v>2023</v>
      </c>
      <c r="Q688" s="34" t="str">
        <f t="shared" ca="1" si="173"/>
        <v>4150*1950*650</v>
      </c>
      <c r="R688" s="34" t="str">
        <f t="shared" ca="1" si="174"/>
        <v>3000*1500*0</v>
      </c>
      <c r="S688" s="34" t="str">
        <f>VLOOKUP(O688,ОТТС!$A$2:$B$3,2,0)</f>
        <v>ТС KZ Е-KZ.0317.00219.П1 от 17.07.2025</v>
      </c>
      <c r="T688" s="39">
        <v>400000</v>
      </c>
      <c r="U688" s="36" t="str">
        <f t="shared" si="170"/>
        <v>Астана</v>
      </c>
    </row>
    <row r="689" spans="1:21" ht="13.2">
      <c r="A689" s="34">
        <v>1898</v>
      </c>
      <c r="B689" s="35">
        <f>VLOOKUP(A689,'Реестр договоров'!$A$2:$D$996,2,0)</f>
        <v>45960</v>
      </c>
      <c r="C689" s="36" t="str">
        <f t="shared" si="161"/>
        <v>Ахмаров</v>
      </c>
      <c r="D689" s="36" t="str">
        <f t="shared" si="162"/>
        <v>Иршат</v>
      </c>
      <c r="E689" s="36" t="str">
        <f t="shared" si="175"/>
        <v>Жамелевич</v>
      </c>
      <c r="F689" s="36" t="str">
        <f t="shared" si="163"/>
        <v>049826709</v>
      </c>
      <c r="G689" s="37">
        <f>VLOOKUP(F689,Покупатели!$F$2:$N$762,2,0)</f>
        <v>44559</v>
      </c>
      <c r="H689" s="36" t="str">
        <f>VLOOKUP(F689,Покупатели!$F$2:$N$762,3,0)</f>
        <v>МВД РК</v>
      </c>
      <c r="I689" s="36">
        <f>VLOOKUP(C689,Покупатели!$C$2:$M$805,7,0)</f>
        <v>760927300949</v>
      </c>
      <c r="J689" s="36" t="str">
        <f ca="1">IFERROR(__xludf.DUMMYFUNCTION("JOIN("" "", VLOOKUP(C689,Покупатели,8,0),VLOOKUP(C689,Покупатели,9,0),VLOOKUP(C689,Покупатели,10,0),VLOOKUP(C689,Покупатели,11,0))"),"Алматинская область, Жанбулский район, село Убеталы, ул Наурыз, д.31")</f>
        <v>Алматинская область, Жанбулский район, село Убеталы, ул Наурыз, д.31</v>
      </c>
      <c r="K689" s="36">
        <f t="shared" si="164"/>
        <v>87778156355</v>
      </c>
      <c r="L689" s="36" t="str">
        <f t="shared" si="165"/>
        <v>MX4000002S0002292</v>
      </c>
      <c r="M689" s="36" t="str">
        <f t="shared" ca="1" si="172"/>
        <v>002-2513E30Q13-OK</v>
      </c>
      <c r="N689" s="36" t="str">
        <f t="shared" si="171"/>
        <v>Прицеп 2,5*1,25 м  (до 750 кг.)</v>
      </c>
      <c r="O689" s="36" t="str">
        <f t="shared" si="166"/>
        <v>1 ось</v>
      </c>
      <c r="P689" s="36">
        <f t="shared" si="167"/>
        <v>2025</v>
      </c>
      <c r="Q689" s="34" t="str">
        <f t="shared" ca="1" si="173"/>
        <v>3650*1700*900</v>
      </c>
      <c r="R689" s="34" t="str">
        <f t="shared" ca="1" si="174"/>
        <v>2500*1250*300</v>
      </c>
      <c r="S689" s="34" t="str">
        <f>VLOOKUP(O689,ОТТС!$A$2:$B$3,2,0)</f>
        <v>ТС KZ Е-KZ.0317.00251 от 28.02.2023</v>
      </c>
      <c r="T689" s="39">
        <v>460000</v>
      </c>
      <c r="U689" s="36" t="str">
        <f t="shared" si="170"/>
        <v>Алматы</v>
      </c>
    </row>
    <row r="690" spans="1:21" ht="13.2">
      <c r="A690" s="34">
        <v>1899</v>
      </c>
      <c r="B690" s="35">
        <f>VLOOKUP(A690,'Реестр договоров'!$A$2:$D$996,2,0)</f>
        <v>45960</v>
      </c>
      <c r="C690" s="36" t="str">
        <f t="shared" si="161"/>
        <v>Байжуманов</v>
      </c>
      <c r="D690" s="36" t="str">
        <f t="shared" si="162"/>
        <v>Ербол</v>
      </c>
      <c r="E690" s="36" t="str">
        <f t="shared" si="175"/>
        <v>Ертаевич</v>
      </c>
      <c r="F690" s="36" t="str">
        <f t="shared" si="163"/>
        <v>039230081</v>
      </c>
      <c r="G690" s="37">
        <f>VLOOKUP(F690,Покупатели!$F$2:$N$762,2,0)</f>
        <v>42325</v>
      </c>
      <c r="H690" s="36" t="str">
        <f>VLOOKUP(F690,Покупатели!$F$2:$N$762,3,0)</f>
        <v>МВД РК</v>
      </c>
      <c r="I690" s="36">
        <f>VLOOKUP(C690,Покупатели!$C$2:$M$805,7,0)</f>
        <v>830410301387</v>
      </c>
      <c r="J690" s="36" t="str">
        <f ca="1">IFERROR(__xludf.DUMMYFUNCTION("JOIN("" "", VLOOKUP(C690,Покупатели,8,0),VLOOKUP(C690,Покупатели,9,0),VLOOKUP(C690,Покупатели,10,0),VLOOKUP(C690,Покупатели,11,0))"),"Алматинская обл. Уштобе, с.Бастобе ул.Мусабека д.13")</f>
        <v>Алматинская обл. Уштобе, с.Бастобе ул.Мусабека д.13</v>
      </c>
      <c r="K690" s="36">
        <f t="shared" si="164"/>
        <v>87085871035</v>
      </c>
      <c r="L690" s="36" t="str">
        <f t="shared" si="165"/>
        <v>MX4000002S0002320</v>
      </c>
      <c r="M690" s="36" t="str">
        <f t="shared" ca="1" si="172"/>
        <v>002-2013E30Q13-OK</v>
      </c>
      <c r="N690" s="36" t="str">
        <f t="shared" si="171"/>
        <v>Прицеп 2,0*1,25 м  (до 750 кг.)</v>
      </c>
      <c r="O690" s="36" t="str">
        <f t="shared" si="166"/>
        <v>1 ось</v>
      </c>
      <c r="P690" s="36">
        <f t="shared" si="167"/>
        <v>2025</v>
      </c>
      <c r="Q690" s="34" t="str">
        <f t="shared" ca="1" si="173"/>
        <v>3150*1700*900</v>
      </c>
      <c r="R690" s="34" t="str">
        <f t="shared" ca="1" si="174"/>
        <v>2000*1250*300</v>
      </c>
      <c r="S690" s="34" t="str">
        <f>VLOOKUP(O690,ОТТС!$A$2:$B$3,2,0)</f>
        <v>ТС KZ Е-KZ.0317.00251 от 28.02.2023</v>
      </c>
      <c r="T690" s="39">
        <v>330000</v>
      </c>
      <c r="U690" s="36" t="str">
        <f t="shared" si="170"/>
        <v>Алматы</v>
      </c>
    </row>
    <row r="691" spans="1:21" ht="13.2">
      <c r="A691" s="34">
        <v>1900</v>
      </c>
      <c r="B691" s="35">
        <f>VLOOKUP(A691,'Реестр договоров'!$A$2:$D$996,2,0)</f>
        <v>45961</v>
      </c>
      <c r="C691" s="36" t="str">
        <f t="shared" si="161"/>
        <v>Хрипунов</v>
      </c>
      <c r="D691" s="36" t="str">
        <f t="shared" si="162"/>
        <v>Анатолий</v>
      </c>
      <c r="E691" s="36" t="str">
        <f t="shared" si="175"/>
        <v>Владимирович</v>
      </c>
      <c r="F691" s="36" t="str">
        <f t="shared" si="163"/>
        <v>052472297</v>
      </c>
      <c r="G691" s="37">
        <f>VLOOKUP(F691,Покупатели!$F$2:$N$762,2,0)</f>
        <v>44942</v>
      </c>
      <c r="H691" s="36" t="str">
        <f>VLOOKUP(F691,Покупатели!$F$2:$N$762,3,0)</f>
        <v>МВД РК</v>
      </c>
      <c r="I691" s="36">
        <f>VLOOKUP(C691,Покупатели!$C$2:$M$805,7,0)</f>
        <v>890605300885</v>
      </c>
      <c r="J691" s="36" t="str">
        <f ca="1">IFERROR(__xludf.DUMMYFUNCTION("JOIN("" "", VLOOKUP(C691,Покупатели,8,0),VLOOKUP(C691,Покупатели,9,0),VLOOKUP(C691,Покупатели,10,0),VLOOKUP(C691,Покупатели,11,0))"),"г.  Алматы, ул. Тимирязева, д.30, кв.5")</f>
        <v>г.  Алматы, ул. Тимирязева, д.30, кв.5</v>
      </c>
      <c r="K691" s="36">
        <f t="shared" si="164"/>
        <v>87479558823</v>
      </c>
      <c r="L691" s="36" t="str">
        <f t="shared" si="165"/>
        <v>MX4000002S0002318</v>
      </c>
      <c r="M691" s="36" t="str">
        <f t="shared" ca="1" si="172"/>
        <v>002-2013E30Q13-OK</v>
      </c>
      <c r="N691" s="36" t="str">
        <f t="shared" si="171"/>
        <v>Прицеп 2,0*1,25 м  (до 750 кг.)</v>
      </c>
      <c r="O691" s="36" t="str">
        <f t="shared" si="166"/>
        <v>1 ось</v>
      </c>
      <c r="P691" s="36">
        <f t="shared" si="167"/>
        <v>2025</v>
      </c>
      <c r="Q691" s="34" t="str">
        <f t="shared" ca="1" si="173"/>
        <v>3150*1700*900</v>
      </c>
      <c r="R691" s="34" t="str">
        <f t="shared" ca="1" si="174"/>
        <v>2000*1250*300</v>
      </c>
      <c r="S691" s="34" t="str">
        <f>VLOOKUP(O691,ОТТС!$A$2:$B$3,2,0)</f>
        <v>ТС KZ Е-KZ.0317.00251 от 28.02.2023</v>
      </c>
      <c r="T691" s="39">
        <v>350000</v>
      </c>
      <c r="U691" s="36" t="str">
        <f t="shared" si="170"/>
        <v>Алматы</v>
      </c>
    </row>
    <row r="692" spans="1:21" ht="13.2">
      <c r="A692" s="34">
        <v>1901</v>
      </c>
      <c r="B692" s="35">
        <f>VLOOKUP(A692,'Реестр договоров'!$A$2:$D$996,2,0)</f>
        <v>45964</v>
      </c>
      <c r="C692" s="36" t="str">
        <f t="shared" si="161"/>
        <v>Тұрғынбай</v>
      </c>
      <c r="D692" s="36" t="str">
        <f t="shared" si="162"/>
        <v>Аскар</v>
      </c>
      <c r="E692" s="36" t="str">
        <f t="shared" si="175"/>
        <v>.</v>
      </c>
      <c r="F692" s="36" t="str">
        <f t="shared" si="163"/>
        <v>042786973</v>
      </c>
      <c r="G692" s="37">
        <f>VLOOKUP(F692,Покупатели!$F$2:$N$762,2,0)</f>
        <v>43173</v>
      </c>
      <c r="H692" s="36" t="str">
        <f>VLOOKUP(F692,Покупатели!$F$2:$N$762,3,0)</f>
        <v>ҚР ІІМ</v>
      </c>
      <c r="I692" s="36">
        <f>VLOOKUP(C692,Покупатели!$C$2:$M$805,7,0)</f>
        <v>921030301768</v>
      </c>
      <c r="J692" s="36" t="str">
        <f ca="1">IFERROR(__xludf.DUMMYFUNCTION("JOIN("" "", VLOOKUP(C692,Покупатели,8,0),VLOOKUP(C692,Покупатели,9,0),VLOOKUP(C692,Покупатели,10,0),VLOOKUP(C692,Покупатели,11,0))"),"Алматинская область, Жамбылский район,  с. Аккайнар, ул. Жамбыл, д.80")</f>
        <v>Алматинская область, Жамбылский район,  с. Аккайнар, ул. Жамбыл, д.80</v>
      </c>
      <c r="K692" s="36">
        <f t="shared" si="164"/>
        <v>87773810606</v>
      </c>
      <c r="L692" s="36" t="str">
        <f t="shared" si="165"/>
        <v>MX4000002S0002286</v>
      </c>
      <c r="M692" s="36" t="str">
        <f t="shared" ca="1" si="172"/>
        <v>002-2513E30Q13-OK</v>
      </c>
      <c r="N692" s="36" t="str">
        <f t="shared" si="171"/>
        <v>Прицеп 2,5*1,25 м  (до 750 кг.)</v>
      </c>
      <c r="O692" s="36" t="str">
        <f t="shared" si="166"/>
        <v>1 ось</v>
      </c>
      <c r="P692" s="36">
        <f t="shared" si="167"/>
        <v>2025</v>
      </c>
      <c r="Q692" s="34" t="str">
        <f t="shared" ca="1" si="173"/>
        <v>3650*1700*900</v>
      </c>
      <c r="R692" s="34" t="str">
        <f t="shared" ca="1" si="174"/>
        <v>2500*1250*300</v>
      </c>
      <c r="S692" s="34" t="str">
        <f>VLOOKUP(O692,ОТТС!$A$2:$B$3,2,0)</f>
        <v>ТС KZ Е-KZ.0317.00251 от 28.02.2023</v>
      </c>
      <c r="T692" s="39">
        <v>395000</v>
      </c>
      <c r="U692" s="36" t="str">
        <f t="shared" si="170"/>
        <v>Алматы</v>
      </c>
    </row>
    <row r="693" spans="1:21" ht="13.2">
      <c r="A693" s="34">
        <v>1902</v>
      </c>
      <c r="B693" s="35">
        <f>VLOOKUP(A693,'Реестр договоров'!$A$2:$D$996,2,0)</f>
        <v>45965</v>
      </c>
      <c r="C693" s="36" t="str">
        <f t="shared" si="161"/>
        <v>Кусаинов</v>
      </c>
      <c r="D693" s="36" t="str">
        <f t="shared" si="162"/>
        <v>Азат</v>
      </c>
      <c r="E693" s="36" t="str">
        <f t="shared" si="175"/>
        <v>Касымкулович</v>
      </c>
      <c r="F693" s="36" t="str">
        <f t="shared" si="163"/>
        <v>043948379</v>
      </c>
      <c r="G693" s="37">
        <f>VLOOKUP(F693,Покупатели!$F$2:$N$762,2,0)</f>
        <v>43486</v>
      </c>
      <c r="H693" s="36" t="str">
        <f>VLOOKUP(F693,Покупатели!$F$2:$N$762,3,0)</f>
        <v>МВД РК</v>
      </c>
      <c r="I693" s="36">
        <f>VLOOKUP(C693,Покупатели!$C$2:$M$805,7,0)</f>
        <v>790220302838</v>
      </c>
      <c r="J693" s="36" t="str">
        <f ca="1">IFERROR(__xludf.DUMMYFUNCTION("JOIN("" "", VLOOKUP(C693,Покупатели,8,0),VLOOKUP(C693,Покупатели,9,0),VLOOKUP(C693,Покупатели,10,0),VLOOKUP(C693,Покупатели,11,0))"),"Жетысу область, г. Текели, ул. Подхозная, д.8")</f>
        <v>Жетысу область, г. Текели, ул. Подхозная, д.8</v>
      </c>
      <c r="K693" s="36">
        <f t="shared" si="164"/>
        <v>87774007700</v>
      </c>
      <c r="L693" s="36" t="str">
        <f t="shared" si="165"/>
        <v>MX4000002S0002321</v>
      </c>
      <c r="M693" s="36" t="str">
        <f t="shared" ca="1" si="172"/>
        <v>002-2013E30Q13-OK</v>
      </c>
      <c r="N693" s="36" t="str">
        <f t="shared" si="171"/>
        <v>Прицеп 2,0*1,25 м  (до 750 кг.)</v>
      </c>
      <c r="O693" s="36" t="str">
        <f t="shared" si="166"/>
        <v>1 ось</v>
      </c>
      <c r="P693" s="36">
        <f t="shared" si="167"/>
        <v>2025</v>
      </c>
      <c r="Q693" s="34" t="str">
        <f t="shared" ca="1" si="173"/>
        <v>3150*1700*900</v>
      </c>
      <c r="R693" s="34" t="str">
        <f t="shared" ca="1" si="174"/>
        <v>2000*1250*300</v>
      </c>
      <c r="S693" s="34" t="str">
        <f>VLOOKUP(O693,ОТТС!$A$2:$B$3,2,0)</f>
        <v>ТС KZ Е-KZ.0317.00251 от 28.02.2023</v>
      </c>
      <c r="T693" s="39">
        <v>330000</v>
      </c>
      <c r="U693" s="36" t="str">
        <f t="shared" si="170"/>
        <v>Алматы</v>
      </c>
    </row>
    <row r="694" spans="1:21" ht="13.2">
      <c r="A694" s="34">
        <v>1903</v>
      </c>
      <c r="B694" s="35">
        <f>VLOOKUP(A694,'Реестр договоров'!$A$2:$D$996,2,0)</f>
        <v>45966</v>
      </c>
      <c r="C694" s="36" t="str">
        <f t="shared" si="161"/>
        <v>Емерхан</v>
      </c>
      <c r="D694" s="36" t="str">
        <f t="shared" si="162"/>
        <v>Кайрбек</v>
      </c>
      <c r="E694" s="36" t="str">
        <f t="shared" si="175"/>
        <v>.</v>
      </c>
      <c r="F694" s="36" t="str">
        <f t="shared" si="163"/>
        <v>049680408</v>
      </c>
      <c r="G694" s="37">
        <f>VLOOKUP(F694,Покупатели!$F$2:$N$762,2,0)</f>
        <v>44217</v>
      </c>
      <c r="H694" s="36" t="str">
        <f>VLOOKUP(F694,Покупатели!$F$2:$N$762,3,0)</f>
        <v>МВД РК</v>
      </c>
      <c r="I694" s="36">
        <f>VLOOKUP(C694,Покупатели!$C$2:$M$805,7,0)</f>
        <v>770411302753</v>
      </c>
      <c r="J694" s="36" t="str">
        <f ca="1">IFERROR(__xludf.DUMMYFUNCTION("JOIN("" "", VLOOKUP(C694,Покупатели,8,0),VLOOKUP(C694,Покупатели,9,0),VLOOKUP(C694,Покупатели,10,0),VLOOKUP(C694,Покупатели,11,0))"),"Акмолинская область, Буландинский район, г. Макинск, ул. Чапаева, д.3")</f>
        <v>Акмолинская область, Буландинский район, г. Макинск, ул. Чапаева, д.3</v>
      </c>
      <c r="K694" s="36">
        <f t="shared" si="164"/>
        <v>87024141049</v>
      </c>
      <c r="L694" s="36" t="str">
        <f t="shared" si="165"/>
        <v>MX4000002S0002406</v>
      </c>
      <c r="M694" s="36" t="str">
        <f t="shared" ca="1" si="172"/>
        <v>002-2013E50Q13-OK60</v>
      </c>
      <c r="N694" s="36" t="str">
        <f t="shared" si="171"/>
        <v>Прицеп 2,0*1,25 м  (до 750 кг.)</v>
      </c>
      <c r="O694" s="36" t="str">
        <f t="shared" si="166"/>
        <v>1 ось</v>
      </c>
      <c r="P694" s="36">
        <f t="shared" si="167"/>
        <v>2025</v>
      </c>
      <c r="Q694" s="34" t="str">
        <f t="shared" ca="1" si="173"/>
        <v>3150*1700*1070</v>
      </c>
      <c r="R694" s="34" t="str">
        <f t="shared" ca="1" si="174"/>
        <v>2000*1250*500</v>
      </c>
      <c r="S694" s="34" t="str">
        <f>VLOOKUP(O694,ОТТС!$A$2:$B$3,2,0)</f>
        <v>ТС KZ Е-KZ.0317.00251 от 28.02.2023</v>
      </c>
      <c r="T694" s="39">
        <v>450000</v>
      </c>
      <c r="U694" s="36" t="str">
        <f t="shared" si="170"/>
        <v>Кокшетау</v>
      </c>
    </row>
    <row r="695" spans="1:21" ht="13.2">
      <c r="A695" s="34">
        <v>1904</v>
      </c>
      <c r="B695" s="35">
        <f>VLOOKUP(A695,'Реестр договоров'!$A$2:$D$996,2,0)</f>
        <v>45966</v>
      </c>
      <c r="C695" s="36" t="str">
        <f t="shared" si="161"/>
        <v>Жаксыбаев</v>
      </c>
      <c r="D695" s="36" t="str">
        <f t="shared" si="162"/>
        <v>Нурлан</v>
      </c>
      <c r="E695" s="36" t="str">
        <f t="shared" si="175"/>
        <v>Сегизбаевич</v>
      </c>
      <c r="F695" s="36" t="str">
        <f t="shared" si="163"/>
        <v>044631843</v>
      </c>
      <c r="G695" s="37">
        <f>VLOOKUP(F695,Покупатели!$F$2:$N$762,2,0)</f>
        <v>43643</v>
      </c>
      <c r="H695" s="36" t="str">
        <f>VLOOKUP(F695,Покупатели!$F$2:$N$762,3,0)</f>
        <v>МВД РК</v>
      </c>
      <c r="I695" s="36">
        <f>VLOOKUP(C695,Покупатели!$C$2:$M$805,7,0)</f>
        <v>740623302176</v>
      </c>
      <c r="J695" s="36" t="str">
        <f ca="1">IFERROR(__xludf.DUMMYFUNCTION("JOIN("" "", VLOOKUP(C695,Покупатели,8,0),VLOOKUP(C695,Покупатели,9,0),VLOOKUP(C695,Покупатели,10,0),VLOOKUP(C695,Покупатели,11,0))"),"г.Алматы, Алатауский район, мкр-н Зердели, д.33, кв.3")</f>
        <v>г.Алматы, Алатауский район, мкр-н Зердели, д.33, кв.3</v>
      </c>
      <c r="K695" s="36">
        <f t="shared" si="164"/>
        <v>87014097598</v>
      </c>
      <c r="L695" s="36" t="str">
        <f t="shared" si="165"/>
        <v>MX4000002S0002287</v>
      </c>
      <c r="M695" s="36" t="str">
        <f t="shared" ca="1" si="172"/>
        <v>002-2513E50Q13-OK</v>
      </c>
      <c r="N695" s="36" t="str">
        <f t="shared" si="171"/>
        <v>Прицеп 2,5*1,25 м  (до 750 кг.)</v>
      </c>
      <c r="O695" s="36" t="str">
        <f t="shared" si="166"/>
        <v>1 ось</v>
      </c>
      <c r="P695" s="36">
        <f t="shared" si="167"/>
        <v>2025</v>
      </c>
      <c r="Q695" s="34" t="str">
        <f t="shared" ca="1" si="173"/>
        <v>3650*1700*1070</v>
      </c>
      <c r="R695" s="34" t="str">
        <f t="shared" ca="1" si="174"/>
        <v>2500*1250*500</v>
      </c>
      <c r="S695" s="34" t="str">
        <f>VLOOKUP(O695,ОТТС!$A$2:$B$3,2,0)</f>
        <v>ТС KZ Е-KZ.0317.00251 от 28.02.2023</v>
      </c>
      <c r="T695" s="39">
        <v>410000</v>
      </c>
      <c r="U695" s="36" t="str">
        <f t="shared" si="170"/>
        <v>Алматы</v>
      </c>
    </row>
    <row r="696" spans="1:21" ht="13.2">
      <c r="A696" s="34">
        <v>1905</v>
      </c>
      <c r="B696" s="35">
        <f>VLOOKUP(A696,'Реестр договоров'!$A$2:$D$996,2,0)</f>
        <v>45967</v>
      </c>
      <c r="C696" s="36" t="str">
        <f t="shared" si="161"/>
        <v>Ансабаев</v>
      </c>
      <c r="D696" s="36" t="str">
        <f t="shared" si="162"/>
        <v>Жубан</v>
      </c>
      <c r="E696" s="36" t="str">
        <f t="shared" si="175"/>
        <v>Даулетбекович</v>
      </c>
      <c r="F696" s="36" t="str">
        <f t="shared" si="163"/>
        <v>046149488</v>
      </c>
      <c r="G696" s="37">
        <f>VLOOKUP(F696,Покупатели!$F$2:$N$762,2,0)</f>
        <v>43648</v>
      </c>
      <c r="H696" s="36" t="str">
        <f>VLOOKUP(F696,Покупатели!$F$2:$N$762,3,0)</f>
        <v>МВД РК</v>
      </c>
      <c r="I696" s="36">
        <f>VLOOKUP(C696,Покупатели!$C$2:$M$805,7,0)</f>
        <v>820410351391</v>
      </c>
      <c r="J696" s="36" t="str">
        <f ca="1">IFERROR(__xludf.DUMMYFUNCTION("JOIN("" "", VLOOKUP(C696,Покупатели,8,0),VLOOKUP(C696,Покупатели,9,0),VLOOKUP(C696,Покупатели,10,0),VLOOKUP(C696,Покупатели,11,0))"),"Акмолинская область, Бурабайский район, с. Кенесары, ул. Школьная, д.50а")</f>
        <v>Акмолинская область, Бурабайский район, с. Кенесары, ул. Школьная, д.50а</v>
      </c>
      <c r="K696" s="36">
        <f t="shared" si="164"/>
        <v>87079052546</v>
      </c>
      <c r="L696" s="36" t="str">
        <f t="shared" si="165"/>
        <v>MX4000002S0002421</v>
      </c>
      <c r="M696" s="36" t="str">
        <f t="shared" ca="1" si="172"/>
        <v>002-2013E50Q13-OK</v>
      </c>
      <c r="N696" s="36" t="str">
        <f t="shared" si="171"/>
        <v>Прицеп 2,0*1,25 м  (до 750 кг.)</v>
      </c>
      <c r="O696" s="36" t="str">
        <f t="shared" si="166"/>
        <v>1 ось</v>
      </c>
      <c r="P696" s="36">
        <f t="shared" si="167"/>
        <v>2025</v>
      </c>
      <c r="Q696" s="34" t="str">
        <f t="shared" ca="1" si="173"/>
        <v>3150*1700*1070</v>
      </c>
      <c r="R696" s="34" t="str">
        <f t="shared" ca="1" si="174"/>
        <v>2000*1250*500</v>
      </c>
      <c r="S696" s="34" t="str">
        <f>VLOOKUP(O696,ОТТС!$A$2:$B$3,2,0)</f>
        <v>ТС KZ Е-KZ.0317.00251 от 28.02.2023</v>
      </c>
      <c r="T696" s="39">
        <v>400000</v>
      </c>
      <c r="U696" s="36" t="str">
        <f t="shared" si="170"/>
        <v>Кокшетау</v>
      </c>
    </row>
    <row r="697" spans="1:21" ht="13.2">
      <c r="A697" s="34">
        <v>1906</v>
      </c>
      <c r="B697" s="35">
        <f>VLOOKUP(A697,'Реестр договоров'!$A$2:$D$996,2,0)</f>
        <v>45967</v>
      </c>
      <c r="C697" s="36" t="str">
        <f t="shared" si="161"/>
        <v>Набатов</v>
      </c>
      <c r="D697" s="36" t="str">
        <f t="shared" si="162"/>
        <v>Евгений</v>
      </c>
      <c r="E697" s="36" t="str">
        <f t="shared" si="175"/>
        <v>Борисович</v>
      </c>
      <c r="F697" s="36" t="str">
        <f t="shared" si="163"/>
        <v>057291730</v>
      </c>
      <c r="G697" s="37">
        <f>VLOOKUP(F697,Покупатели!$F$2:$N$762,2,0)</f>
        <v>45330</v>
      </c>
      <c r="H697" s="36" t="str">
        <f>VLOOKUP(F697,Покупатели!$F$2:$N$762,3,0)</f>
        <v>МВД РК</v>
      </c>
      <c r="I697" s="36">
        <f>VLOOKUP(C697,Покупатели!$C$2:$M$805,7,0)</f>
        <v>890130350057</v>
      </c>
      <c r="J697" s="36" t="str">
        <f ca="1">IFERROR(__xludf.DUMMYFUNCTION("JOIN("" "", VLOOKUP(C697,Покупатели,8,0),VLOOKUP(C697,Покупатели,9,0),VLOOKUP(C697,Покупатели,10,0),VLOOKUP(C697,Покупатели,11,0))"),"г.Астана, ул. Ташенова, д.17/1, кв.93")</f>
        <v>г.Астана, ул. Ташенова, д.17/1, кв.93</v>
      </c>
      <c r="K697" s="36">
        <f t="shared" si="164"/>
        <v>87770020173</v>
      </c>
      <c r="L697" s="36" t="str">
        <f t="shared" si="165"/>
        <v>MX4000004S0001987</v>
      </c>
      <c r="M697" s="36" t="str">
        <f t="shared" ca="1" si="172"/>
        <v>002-2515E50Q13-OK</v>
      </c>
      <c r="N697" s="36" t="str">
        <f t="shared" si="171"/>
        <v>Прицеп 2,5*1,5 м  (до 750 кг.)</v>
      </c>
      <c r="O697" s="36" t="str">
        <f t="shared" si="166"/>
        <v>2 оси</v>
      </c>
      <c r="P697" s="36">
        <f t="shared" si="167"/>
        <v>2025</v>
      </c>
      <c r="Q697" s="34" t="str">
        <f t="shared" ca="1" si="173"/>
        <v>3650*1950*1070</v>
      </c>
      <c r="R697" s="34" t="str">
        <f t="shared" ca="1" si="174"/>
        <v>2500*1500*500</v>
      </c>
      <c r="S697" s="34" t="str">
        <f>VLOOKUP(O697,ОТТС!$A$2:$B$3,2,0)</f>
        <v>ТС KZ Е-KZ.0317.00219.П1 от 17.07.2025</v>
      </c>
      <c r="T697" s="39">
        <v>730000</v>
      </c>
      <c r="U697" s="36" t="str">
        <f t="shared" si="170"/>
        <v>Астана</v>
      </c>
    </row>
    <row r="698" spans="1:21" ht="13.2">
      <c r="A698" s="34">
        <v>1907</v>
      </c>
      <c r="B698" s="35">
        <f>VLOOKUP(A698,'Реестр договоров'!$A$2:$D$996,2,0)</f>
        <v>45967</v>
      </c>
      <c r="C698" s="36" t="str">
        <f t="shared" si="161"/>
        <v>Мустафин</v>
      </c>
      <c r="D698" s="36" t="str">
        <f t="shared" si="162"/>
        <v>Ерхан</v>
      </c>
      <c r="E698" s="36" t="str">
        <f t="shared" si="175"/>
        <v>Тартыпович</v>
      </c>
      <c r="F698" s="36" t="str">
        <f t="shared" si="163"/>
        <v>058355682</v>
      </c>
      <c r="G698" s="37">
        <f>VLOOKUP(F698,Покупатели!$F$2:$N$762,2,0)</f>
        <v>45468</v>
      </c>
      <c r="H698" s="36" t="str">
        <f>VLOOKUP(F698,Покупатели!$F$2:$N$762,3,0)</f>
        <v>МВД РК</v>
      </c>
      <c r="I698" s="36">
        <f>VLOOKUP(C698,Покупатели!$C$2:$M$805,7,0)</f>
        <v>790622300847</v>
      </c>
      <c r="J698" s="36" t="str">
        <f ca="1">IFERROR(__xludf.DUMMYFUNCTION("JOIN("" "", VLOOKUP(C698,Покупатели,8,0),VLOOKUP(C698,Покупатели,9,0),VLOOKUP(C698,Покупатели,10,0),VLOOKUP(C698,Покупатели,11,0))"),"Астана р-н Нура ул.Сыганак д.14, кв.325")</f>
        <v>Астана р-н Нура ул.Сыганак д.14, кв.325</v>
      </c>
      <c r="K698" s="36">
        <f t="shared" si="164"/>
        <v>87718888947</v>
      </c>
      <c r="L698" s="36" t="str">
        <f t="shared" si="165"/>
        <v>MX4000002S0002237</v>
      </c>
      <c r="M698" s="36" t="str">
        <f t="shared" ca="1" si="172"/>
        <v>002-2013E30Q13-OK</v>
      </c>
      <c r="N698" s="36" t="str">
        <f t="shared" si="171"/>
        <v>Прицеп 2,0*1,25 м  (до 750 кг.)</v>
      </c>
      <c r="O698" s="36" t="str">
        <f t="shared" si="166"/>
        <v>1 ось</v>
      </c>
      <c r="P698" s="36">
        <f t="shared" si="167"/>
        <v>2025</v>
      </c>
      <c r="Q698" s="34" t="str">
        <f t="shared" ca="1" si="173"/>
        <v>3150*1700*900</v>
      </c>
      <c r="R698" s="34" t="str">
        <f t="shared" ca="1" si="174"/>
        <v>2000*1250*300</v>
      </c>
      <c r="S698" s="34" t="str">
        <f>VLOOKUP(O698,ОТТС!$A$2:$B$3,2,0)</f>
        <v>ТС KZ Е-KZ.0317.00251 от 28.02.2023</v>
      </c>
      <c r="T698" s="39">
        <v>340000</v>
      </c>
      <c r="U698" s="36" t="str">
        <f t="shared" si="170"/>
        <v>Астана</v>
      </c>
    </row>
    <row r="699" spans="1:21" ht="13.2">
      <c r="A699" s="34">
        <v>1908</v>
      </c>
      <c r="B699" s="35">
        <f>VLOOKUP(A699,'Реестр договоров'!$A$2:$D$996,2,0)</f>
        <v>45971</v>
      </c>
      <c r="C699" s="36" t="str">
        <f t="shared" si="161"/>
        <v>Баймагамбетов</v>
      </c>
      <c r="D699" s="36" t="str">
        <f t="shared" si="162"/>
        <v>Серик</v>
      </c>
      <c r="E699" s="36" t="str">
        <f t="shared" si="175"/>
        <v>Токтарович</v>
      </c>
      <c r="F699" s="36" t="str">
        <f t="shared" si="163"/>
        <v>051341004</v>
      </c>
      <c r="G699" s="37">
        <f>VLOOKUP(F699,Покупатели!$F$2:$N$762,2,0)</f>
        <v>44470</v>
      </c>
      <c r="H699" s="36" t="str">
        <f>VLOOKUP(F699,Покупатели!$F$2:$N$762,3,0)</f>
        <v>МВД РК</v>
      </c>
      <c r="I699" s="36">
        <f>VLOOKUP(C699,Покупатели!$C$2:$M$805,7,0)</f>
        <v>760601350417</v>
      </c>
      <c r="J699" s="36" t="str">
        <f ca="1">IFERROR(__xludf.DUMMYFUNCTION("JOIN("" "", VLOOKUP(C699,Покупатели,8,0),VLOOKUP(C699,Покупатели,9,0),VLOOKUP(C699,Покупатели,10,0),VLOOKUP(C699,Покупатели,11,0))"),"Акмолинская область, Бурабайский район, с. Кенесары, ул. Габдуллина, д.46")</f>
        <v>Акмолинская область, Бурабайский район, с. Кенесары, ул. Габдуллина, д.46</v>
      </c>
      <c r="K699" s="36">
        <f t="shared" si="164"/>
        <v>87776586876</v>
      </c>
      <c r="L699" s="36" t="str">
        <f t="shared" si="165"/>
        <v>MX4000002S0002432</v>
      </c>
      <c r="M699" s="36" t="str">
        <f t="shared" ca="1" si="172"/>
        <v>002-2013E50Q13-OK</v>
      </c>
      <c r="N699" s="36" t="str">
        <f t="shared" si="171"/>
        <v>Прицеп 2,0*1,25 м  (до 750 кг.)</v>
      </c>
      <c r="O699" s="36" t="str">
        <f t="shared" si="166"/>
        <v>1 ось</v>
      </c>
      <c r="P699" s="36">
        <f t="shared" si="167"/>
        <v>2025</v>
      </c>
      <c r="Q699" s="34" t="str">
        <f t="shared" ca="1" si="173"/>
        <v>3150*1700*1070</v>
      </c>
      <c r="R699" s="34" t="str">
        <f t="shared" ca="1" si="174"/>
        <v>2000*1250*500</v>
      </c>
      <c r="S699" s="34" t="str">
        <f>VLOOKUP(O699,ОТТС!$A$2:$B$3,2,0)</f>
        <v>ТС KZ Е-KZ.0317.00251 от 28.02.2023</v>
      </c>
      <c r="T699" s="39">
        <v>400000</v>
      </c>
      <c r="U699" s="36" t="str">
        <f t="shared" si="170"/>
        <v>Кокшетау</v>
      </c>
    </row>
    <row r="700" spans="1:21" ht="13.2">
      <c r="A700" s="34">
        <v>1909</v>
      </c>
      <c r="B700" s="35">
        <f>VLOOKUP(A700,'Реестр договоров'!$A$2:$D$996,2,0)</f>
        <v>45972</v>
      </c>
      <c r="C700" s="36" t="str">
        <f t="shared" si="161"/>
        <v>Машин</v>
      </c>
      <c r="D700" s="36" t="str">
        <f t="shared" si="162"/>
        <v>Никита</v>
      </c>
      <c r="E700" s="36" t="str">
        <f t="shared" si="175"/>
        <v>Викторович</v>
      </c>
      <c r="F700" s="36" t="str">
        <f t="shared" si="163"/>
        <v>047428607</v>
      </c>
      <c r="G700" s="37">
        <f>VLOOKUP(F700,Покупатели!$F$2:$N$762,2,0)</f>
        <v>44159</v>
      </c>
      <c r="H700" s="36" t="str">
        <f>VLOOKUP(F700,Покупатели!$F$2:$N$762,3,0)</f>
        <v>МВД РК</v>
      </c>
      <c r="I700" s="36">
        <f>VLOOKUP(C700,Покупатели!$C$2:$M$805,7,0)</f>
        <v>940226301032</v>
      </c>
      <c r="J700" s="36" t="str">
        <f ca="1">IFERROR(__xludf.DUMMYFUNCTION("JOIN("" "", VLOOKUP(C700,Покупатели,8,0),VLOOKUP(C700,Покупатели,9,0),VLOOKUP(C700,Покупатели,10,0),VLOOKUP(C700,Покупатели,11,0))"),"г.Алматы, Наурызбайский район,  мкр-н Тастыбулак, ул. Таутаган, д.72")</f>
        <v>г.Алматы, Наурызбайский район,  мкр-н Тастыбулак, ул. Таутаган, д.72</v>
      </c>
      <c r="K700" s="36">
        <f t="shared" si="164"/>
        <v>87079933550</v>
      </c>
      <c r="L700" s="36" t="str">
        <f t="shared" si="165"/>
        <v>MX4000002S0002291</v>
      </c>
      <c r="M700" s="36" t="str">
        <f t="shared" ca="1" si="172"/>
        <v>002-2513E30Q13-OK</v>
      </c>
      <c r="N700" s="36" t="str">
        <f t="shared" si="171"/>
        <v>Прицеп 2,5*1,25 м  (до 750 кг.)</v>
      </c>
      <c r="O700" s="36" t="str">
        <f t="shared" si="166"/>
        <v>1 ось</v>
      </c>
      <c r="P700" s="36">
        <f t="shared" si="167"/>
        <v>2025</v>
      </c>
      <c r="Q700" s="34" t="str">
        <f t="shared" ca="1" si="173"/>
        <v>3650*1700*900</v>
      </c>
      <c r="R700" s="34" t="str">
        <f t="shared" ca="1" si="174"/>
        <v>2500*1250*300</v>
      </c>
      <c r="S700" s="34" t="str">
        <f>VLOOKUP(O700,ОТТС!$A$2:$B$3,2,0)</f>
        <v>ТС KZ Е-KZ.0317.00251 от 28.02.2023</v>
      </c>
      <c r="T700" s="39">
        <v>460000</v>
      </c>
      <c r="U700" s="36" t="str">
        <f t="shared" si="170"/>
        <v>Алматы</v>
      </c>
    </row>
    <row r="701" spans="1:21" ht="13.2">
      <c r="A701" s="34">
        <v>1910</v>
      </c>
      <c r="B701" s="35">
        <f>VLOOKUP(A701,'Реестр договоров'!$A$2:$D$996,2,0)</f>
        <v>45972</v>
      </c>
      <c r="C701" s="36" t="str">
        <f t="shared" si="161"/>
        <v>Доненов</v>
      </c>
      <c r="D701" s="36" t="str">
        <f t="shared" si="162"/>
        <v>Ержан</v>
      </c>
      <c r="E701" s="36" t="str">
        <f t="shared" si="175"/>
        <v>Кайнарбаевич</v>
      </c>
      <c r="F701" s="36" t="str">
        <f t="shared" si="163"/>
        <v>048036507</v>
      </c>
      <c r="G701" s="37">
        <f>VLOOKUP(F701,Покупатели!$F$2:$N$762,2,0)</f>
        <v>44270</v>
      </c>
      <c r="H701" s="36" t="str">
        <f>VLOOKUP(F701,Покупатели!$F$2:$N$762,3,0)</f>
        <v>МВД РК</v>
      </c>
      <c r="I701" s="36">
        <f>VLOOKUP(C701,Покупатели!$C$2:$M$805,7,0)</f>
        <v>640904301611</v>
      </c>
      <c r="J701" s="36" t="str">
        <f ca="1">IFERROR(__xludf.DUMMYFUNCTION("JOIN("" "", VLOOKUP(C701,Покупатели,8,0),VLOOKUP(C701,Покупатели,9,0),VLOOKUP(C701,Покупатели,10,0),VLOOKUP(C701,Покупатели,11,0))"),"Алматинскпя обл Жамбыльский р-н, пос.Сункар ул.Карасай батыра д.49")</f>
        <v>Алматинскпя обл Жамбыльский р-н, пос.Сункар ул.Карасай батыра д.49</v>
      </c>
      <c r="K701" s="36">
        <f t="shared" si="164"/>
        <v>87015851111</v>
      </c>
      <c r="L701" s="36" t="str">
        <f t="shared" si="165"/>
        <v>MX4000002S0002400</v>
      </c>
      <c r="M701" s="36" t="str">
        <f t="shared" ca="1" si="172"/>
        <v>002-2013E50Q13-OK</v>
      </c>
      <c r="N701" s="36" t="str">
        <f t="shared" si="171"/>
        <v>Прицеп 2,0*1,25 м  (до 750 кг.)</v>
      </c>
      <c r="O701" s="36" t="str">
        <f t="shared" si="166"/>
        <v>1 ось</v>
      </c>
      <c r="P701" s="36">
        <f t="shared" si="167"/>
        <v>2025</v>
      </c>
      <c r="Q701" s="34" t="str">
        <f t="shared" ca="1" si="173"/>
        <v>3150*1700*1070</v>
      </c>
      <c r="R701" s="34" t="str">
        <f t="shared" ca="1" si="174"/>
        <v>2000*1250*500</v>
      </c>
      <c r="S701" s="34" t="str">
        <f>VLOOKUP(O701,ОТТС!$A$2:$B$3,2,0)</f>
        <v>ТС KZ Е-KZ.0317.00251 от 28.02.2023</v>
      </c>
      <c r="T701" s="39">
        <v>420000</v>
      </c>
      <c r="U701" s="36" t="str">
        <f t="shared" si="170"/>
        <v>Алматы</v>
      </c>
    </row>
    <row r="702" spans="1:21" ht="13.2">
      <c r="A702" s="34">
        <v>1911</v>
      </c>
      <c r="B702" s="35">
        <f>VLOOKUP(A702,'Реестр договоров'!$A$2:$D$996,2,0)</f>
        <v>45972</v>
      </c>
      <c r="C702" s="36" t="str">
        <f t="shared" si="161"/>
        <v>Аскарбаев</v>
      </c>
      <c r="D702" s="36" t="str">
        <f t="shared" si="162"/>
        <v>Еркын</v>
      </c>
      <c r="E702" s="36" t="str">
        <f t="shared" si="175"/>
        <v>Толеуович</v>
      </c>
      <c r="F702" s="36" t="str">
        <f t="shared" si="163"/>
        <v>047556608</v>
      </c>
      <c r="G702" s="37">
        <f>VLOOKUP(F702,Покупатели!$F$2:$N$762,2,0)</f>
        <v>43892</v>
      </c>
      <c r="H702" s="36" t="str">
        <f>VLOOKUP(F702,Покупатели!$F$2:$N$762,3,0)</f>
        <v>МВД РК</v>
      </c>
      <c r="I702" s="36">
        <f>VLOOKUP(C702,Покупатели!$C$2:$M$805,7,0)</f>
        <v>610608300687</v>
      </c>
      <c r="J702" s="36" t="str">
        <f ca="1">IFERROR(__xludf.DUMMYFUNCTION("JOIN("" "", VLOOKUP(C702,Покупатели,8,0),VLOOKUP(C702,Покупатели,9,0),VLOOKUP(C702,Покупатели,10,0),VLOOKUP(C702,Покупатели,11,0))"),"Астана Сарыарка пр.Республика д.49, кв.50")</f>
        <v>Астана Сарыарка пр.Республика д.49, кв.50</v>
      </c>
      <c r="K702" s="36">
        <f t="shared" si="164"/>
        <v>87058303332</v>
      </c>
      <c r="L702" s="36" t="str">
        <f t="shared" si="165"/>
        <v>MX4000002S0002430</v>
      </c>
      <c r="M702" s="36" t="str">
        <f t="shared" ca="1" si="172"/>
        <v>002-2013E50Q13-OK</v>
      </c>
      <c r="N702" s="36" t="str">
        <f t="shared" si="171"/>
        <v>Прицеп 2,0*1,25 м  (до 750 кг.)</v>
      </c>
      <c r="O702" s="36" t="str">
        <f t="shared" si="166"/>
        <v>1 ось</v>
      </c>
      <c r="P702" s="36">
        <f t="shared" si="167"/>
        <v>2025</v>
      </c>
      <c r="Q702" s="34" t="str">
        <f t="shared" ca="1" si="173"/>
        <v>3150*1700*1070</v>
      </c>
      <c r="R702" s="34" t="str">
        <f t="shared" ca="1" si="174"/>
        <v>2000*1250*500</v>
      </c>
      <c r="S702" s="34" t="str">
        <f>VLOOKUP(O702,ОТТС!$A$2:$B$3,2,0)</f>
        <v>ТС KZ Е-KZ.0317.00251 от 28.02.2023</v>
      </c>
      <c r="T702" s="39">
        <v>410000</v>
      </c>
      <c r="U702" s="36" t="str">
        <f t="shared" si="170"/>
        <v>Астана</v>
      </c>
    </row>
    <row r="703" spans="1:21" ht="13.2">
      <c r="A703" s="34">
        <v>1912</v>
      </c>
      <c r="B703" s="35">
        <f>VLOOKUP(A703,'Реестр договоров'!$A$2:$D$996,2,0)</f>
        <v>45973</v>
      </c>
      <c r="C703" s="36" t="str">
        <f t="shared" si="161"/>
        <v>Абдрахманов</v>
      </c>
      <c r="D703" s="36" t="str">
        <f t="shared" si="162"/>
        <v>Азамат</v>
      </c>
      <c r="E703" s="36" t="str">
        <f t="shared" si="175"/>
        <v>Нурланович</v>
      </c>
      <c r="F703" s="36" t="str">
        <f t="shared" si="163"/>
        <v>042184418</v>
      </c>
      <c r="G703" s="37">
        <f>VLOOKUP(F703,Покупатели!$F$2:$N$762,2,0)</f>
        <v>42747</v>
      </c>
      <c r="H703" s="36" t="str">
        <f>VLOOKUP(F703,Покупатели!$F$2:$N$762,3,0)</f>
        <v>МВД РК</v>
      </c>
      <c r="I703" s="36">
        <f>VLOOKUP(C703,Покупатели!$C$2:$M$805,7,0)</f>
        <v>720127350176</v>
      </c>
      <c r="J703" s="36" t="str">
        <f ca="1">IFERROR(__xludf.DUMMYFUNCTION("JOIN("" "", VLOOKUP(C703,Покупатели,8,0),VLOOKUP(C703,Покупатели,9,0),VLOOKUP(C703,Покупатели,10,0),VLOOKUP(C703,Покупатели,11,0))"),"Акмолинская область, г.Щучинск, ул. Думан, д.39/2")</f>
        <v>Акмолинская область, г.Щучинск, ул. Думан, д.39/2</v>
      </c>
      <c r="K703" s="36">
        <f t="shared" si="164"/>
        <v>87771821824</v>
      </c>
      <c r="L703" s="36" t="str">
        <f t="shared" si="165"/>
        <v>MX4000002S0002436</v>
      </c>
      <c r="M703" s="36" t="str">
        <f t="shared" ca="1" si="172"/>
        <v>002-2013E50Q13-OK60</v>
      </c>
      <c r="N703" s="36" t="str">
        <f t="shared" si="171"/>
        <v>Прицеп 2,0*1,25 м  (до 750 кг.)</v>
      </c>
      <c r="O703" s="36" t="str">
        <f t="shared" si="166"/>
        <v>1 ось</v>
      </c>
      <c r="P703" s="36">
        <f t="shared" si="167"/>
        <v>2025</v>
      </c>
      <c r="Q703" s="34" t="str">
        <f t="shared" ca="1" si="173"/>
        <v>3150*1700*1070</v>
      </c>
      <c r="R703" s="34" t="str">
        <f t="shared" ca="1" si="174"/>
        <v>2000*1250*500</v>
      </c>
      <c r="S703" s="34" t="str">
        <f>VLOOKUP(O703,ОТТС!$A$2:$B$3,2,0)</f>
        <v>ТС KZ Е-KZ.0317.00251 от 28.02.2023</v>
      </c>
      <c r="T703" s="39">
        <v>400000</v>
      </c>
      <c r="U703" s="36" t="str">
        <f t="shared" si="170"/>
        <v>Кокшетау</v>
      </c>
    </row>
    <row r="704" spans="1:21" ht="13.2">
      <c r="A704" s="34">
        <v>1913</v>
      </c>
      <c r="B704" s="35">
        <f>VLOOKUP(A704,'Реестр договоров'!$A$2:$D$996,2,0)</f>
        <v>45973</v>
      </c>
      <c r="C704" s="36" t="str">
        <f t="shared" si="161"/>
        <v>Музейко</v>
      </c>
      <c r="D704" s="36" t="str">
        <f t="shared" si="162"/>
        <v>Евгений</v>
      </c>
      <c r="E704" s="36" t="str">
        <f t="shared" si="175"/>
        <v>Владимирович</v>
      </c>
      <c r="F704" s="36" t="str">
        <f t="shared" si="163"/>
        <v>051436836</v>
      </c>
      <c r="G704" s="37">
        <f>VLOOKUP(F704,Покупатели!$F$2:$N$762,2,0)</f>
        <v>44483</v>
      </c>
      <c r="H704" s="36" t="str">
        <f>VLOOKUP(F704,Покупатели!$F$2:$N$762,3,0)</f>
        <v>МВД РК</v>
      </c>
      <c r="I704" s="36">
        <f>VLOOKUP(C704,Покупатели!$C$2:$M$805,7,0)</f>
        <v>781014300763</v>
      </c>
      <c r="J704" s="36" t="str">
        <f ca="1">IFERROR(__xludf.DUMMYFUNCTION("JOIN("" "", VLOOKUP(C704,Покупатели,8,0),VLOOKUP(C704,Покупатели,9,0),VLOOKUP(C704,Покупатели,10,0),VLOOKUP(C704,Покупатели,11,0))"),"Акмолинская область, г.Кокшетау, пр-к Назарбаева, д.8, кв.23")</f>
        <v>Акмолинская область, г.Кокшетау, пр-к Назарбаева, д.8, кв.23</v>
      </c>
      <c r="K704" s="36">
        <f t="shared" si="164"/>
        <v>87075453386</v>
      </c>
      <c r="L704" s="36" t="str">
        <f t="shared" si="165"/>
        <v>MX4000002S0002437</v>
      </c>
      <c r="M704" s="36" t="str">
        <f t="shared" ca="1" si="172"/>
        <v>002-2013E50Q13-OK30</v>
      </c>
      <c r="N704" s="36" t="str">
        <f t="shared" si="171"/>
        <v>Прицеп 2,0*1,25 м  (до 750 кг.)</v>
      </c>
      <c r="O704" s="36" t="str">
        <f t="shared" si="166"/>
        <v>1 ось</v>
      </c>
      <c r="P704" s="36">
        <f t="shared" si="167"/>
        <v>2025</v>
      </c>
      <c r="Q704" s="34" t="str">
        <f t="shared" ca="1" si="173"/>
        <v>3150*1700*1070</v>
      </c>
      <c r="R704" s="34" t="str">
        <f t="shared" ca="1" si="174"/>
        <v>2000*1250*500</v>
      </c>
      <c r="S704" s="34" t="str">
        <f>VLOOKUP(O704,ОТТС!$A$2:$B$3,2,0)</f>
        <v>ТС KZ Е-KZ.0317.00251 от 28.02.2023</v>
      </c>
      <c r="T704" s="39">
        <v>380000</v>
      </c>
      <c r="U704" s="36" t="str">
        <f t="shared" si="170"/>
        <v>Кокшетау</v>
      </c>
    </row>
    <row r="705" spans="1:21" ht="13.2">
      <c r="A705" s="34">
        <v>1914</v>
      </c>
      <c r="B705" s="35">
        <f>VLOOKUP(A705,'Реестр договоров'!$A$2:$D$996,2,0)</f>
        <v>45974</v>
      </c>
      <c r="C705" s="36" t="str">
        <f t="shared" si="161"/>
        <v>Бердиханов</v>
      </c>
      <c r="D705" s="36" t="str">
        <f t="shared" si="162"/>
        <v>Полаткалий</v>
      </c>
      <c r="E705" s="36" t="str">
        <f t="shared" si="175"/>
        <v>Нурдаулетович</v>
      </c>
      <c r="F705" s="36" t="str">
        <f t="shared" si="163"/>
        <v>055060113</v>
      </c>
      <c r="G705" s="37">
        <f>VLOOKUP(F705,Покупатели!$F$2:$N$762,2,0)</f>
        <v>45261</v>
      </c>
      <c r="H705" s="36" t="str">
        <f>VLOOKUP(F705,Покупатели!$F$2:$N$762,3,0)</f>
        <v>МВД РК</v>
      </c>
      <c r="I705" s="36">
        <f>VLOOKUP(C705,Покупатели!$C$2:$M$805,7,0)</f>
        <v>810522303061</v>
      </c>
      <c r="J705" s="36" t="str">
        <f ca="1">IFERROR(__xludf.DUMMYFUNCTION("JOIN("" "", VLOOKUP(C705,Покупатели,8,0),VLOOKUP(C705,Покупатели,9,0),VLOOKUP(C705,Покупатели,10,0),VLOOKUP(C705,Покупатели,11,0))"),"Жамбылская область, Байзакский район, с. Сарыкемер, ул. Орынкулова, д.119а, 1 переулок")</f>
        <v>Жамбылская область, Байзакский район, с. Сарыкемер, ул. Орынкулова, д.119а, 1 переулок</v>
      </c>
      <c r="K705" s="36">
        <f t="shared" si="164"/>
        <v>87087435052</v>
      </c>
      <c r="L705" s="36" t="str">
        <f t="shared" si="165"/>
        <v>MX4000002S0002355</v>
      </c>
      <c r="M705" s="36" t="str">
        <f t="shared" ca="1" si="172"/>
        <v>002-2013E30Q13-OK</v>
      </c>
      <c r="N705" s="36" t="str">
        <f t="shared" si="171"/>
        <v>Прицеп 2,0*1,25 м  (до 750 кг.)</v>
      </c>
      <c r="O705" s="36" t="str">
        <f t="shared" si="166"/>
        <v>1 ось</v>
      </c>
      <c r="P705" s="36">
        <f t="shared" si="167"/>
        <v>2025</v>
      </c>
      <c r="Q705" s="34" t="str">
        <f t="shared" ca="1" si="173"/>
        <v>3150*1700*900</v>
      </c>
      <c r="R705" s="34" t="str">
        <f t="shared" ca="1" si="174"/>
        <v>2000*1250*300</v>
      </c>
      <c r="S705" s="34" t="str">
        <f>VLOOKUP(O705,ОТТС!$A$2:$B$3,2,0)</f>
        <v>ТС KZ Е-KZ.0317.00251 от 28.02.2023</v>
      </c>
      <c r="T705" s="39">
        <v>325000</v>
      </c>
      <c r="U705" s="36" t="str">
        <f t="shared" si="170"/>
        <v>Алматы</v>
      </c>
    </row>
    <row r="706" spans="1:21" ht="13.2">
      <c r="A706" s="34">
        <v>1915</v>
      </c>
      <c r="B706" s="35">
        <f>VLOOKUP(A706,'Реестр договоров'!$A$2:$D$996,2,0)</f>
        <v>45974</v>
      </c>
      <c r="C706" s="36" t="str">
        <f t="shared" ref="C706:C737" si="176">VLOOKUP(A706,Реестр_Договоров,3,0)</f>
        <v>Исламова</v>
      </c>
      <c r="D706" s="36" t="str">
        <f t="shared" ref="D706:D737" si="177">VLOOKUP(C706,Покупатели,2,0)</f>
        <v>Гульмира</v>
      </c>
      <c r="E706" s="36" t="str">
        <f t="shared" si="175"/>
        <v>Маратовна</v>
      </c>
      <c r="F706" s="36" t="str">
        <f t="shared" ref="F706:F737" si="178">VLOOKUP(C706,Покупатели,4,0)</f>
        <v>046057256</v>
      </c>
      <c r="G706" s="37">
        <f>VLOOKUP(F706,Покупатели!$F$2:$N$762,2,0)</f>
        <v>45974</v>
      </c>
      <c r="H706" s="36" t="str">
        <f>VLOOKUP(F706,Покупатели!$F$2:$N$762,3,0)</f>
        <v>МВД РК</v>
      </c>
      <c r="I706" s="36">
        <f>VLOOKUP(C706,Покупатели!$C$2:$M$805,7,0)</f>
        <v>800416402785</v>
      </c>
      <c r="J706" s="36" t="str">
        <f ca="1">IFERROR(__xludf.DUMMYFUNCTION("JOIN("" "", VLOOKUP(C706,Покупатели,8,0),VLOOKUP(C706,Покупатели,9,0),VLOOKUP(C706,Покупатели,10,0),VLOOKUP(C706,Покупатели,11,0))"),"г.Астана р-н Сарыарка ул.Богенбай батыра д.43/2, кв.35")</f>
        <v>г.Астана р-н Сарыарка ул.Богенбай батыра д.43/2, кв.35</v>
      </c>
      <c r="K706" s="36">
        <f t="shared" ref="K706:K724" si="179">VLOOKUP(C706,Покупатели,12,0)</f>
        <v>87783728842</v>
      </c>
      <c r="L706" s="36" t="str">
        <f t="shared" ref="L706:L737" si="180">VLOOKUP(A706,Реестр_Договоров,4,0)</f>
        <v>MX4000002S0002405</v>
      </c>
      <c r="M706" s="36" t="str">
        <f t="shared" ca="1" si="172"/>
        <v>002-2513E50Q13-OK60</v>
      </c>
      <c r="N706" s="36" t="str">
        <f t="shared" si="171"/>
        <v>Прицеп 2,5*1,25 м  (до 750 кг.)</v>
      </c>
      <c r="O706" s="36" t="str">
        <f t="shared" ref="O706:O737" si="181">VLOOKUP(L706,ПРИЦЕПЫ,10,0)</f>
        <v>1 ось</v>
      </c>
      <c r="P706" s="36">
        <f t="shared" ref="P706:P737" si="182">YEAR(VLOOKUP(L706,ПРИЦЕПЫ,7,0))</f>
        <v>2025</v>
      </c>
      <c r="Q706" s="34" t="str">
        <f t="shared" ca="1" si="173"/>
        <v>3650*1700*1070</v>
      </c>
      <c r="R706" s="34" t="str">
        <f t="shared" ca="1" si="174"/>
        <v>2500*1250*500</v>
      </c>
      <c r="S706" s="34" t="str">
        <f>VLOOKUP(O706,ОТТС!$A$2:$B$3,2,0)</f>
        <v>ТС KZ Е-KZ.0317.00251 от 28.02.2023</v>
      </c>
      <c r="T706" s="39">
        <v>520000</v>
      </c>
      <c r="U706" s="36" t="str">
        <f t="shared" si="170"/>
        <v>Астана</v>
      </c>
    </row>
    <row r="707" spans="1:21" ht="13.2">
      <c r="A707" s="34">
        <v>1916</v>
      </c>
      <c r="B707" s="35">
        <f>VLOOKUP(A707,'Реестр договоров'!$A$2:$D$996,2,0)</f>
        <v>45975</v>
      </c>
      <c r="C707" s="36" t="str">
        <f t="shared" si="176"/>
        <v>Токулова</v>
      </c>
      <c r="D707" s="36" t="str">
        <f t="shared" si="177"/>
        <v>Калида</v>
      </c>
      <c r="E707" s="36" t="str">
        <f t="shared" si="175"/>
        <v>Айтмухамедовна</v>
      </c>
      <c r="F707" s="36" t="str">
        <f t="shared" si="178"/>
        <v>047809707</v>
      </c>
      <c r="G707" s="37">
        <f>VLOOKUP(F707,Покупатели!$F$2:$N$762,2,0)</f>
        <v>44231</v>
      </c>
      <c r="H707" s="36" t="str">
        <f>VLOOKUP(F707,Покупатели!$F$2:$N$762,3,0)</f>
        <v>МВД РК</v>
      </c>
      <c r="I707" s="36">
        <f>VLOOKUP(C707,Покупатели!$C$2:$M$805,7,0)</f>
        <v>611201403281</v>
      </c>
      <c r="J707" s="36" t="str">
        <f ca="1">IFERROR(__xludf.DUMMYFUNCTION("JOIN("" "", VLOOKUP(C707,Покупатели,8,0),VLOOKUP(C707,Покупатели,9,0),VLOOKUP(C707,Покупатели,10,0),VLOOKUP(C707,Покупатели,11,0))"),"Жетысу область, г. Талдыкорган, с. Еркин, ул. Момышулы, д.105")</f>
        <v>Жетысу область, г. Талдыкорган, с. Еркин, ул. Момышулы, д.105</v>
      </c>
      <c r="K707" s="36">
        <f t="shared" si="179"/>
        <v>87079208661</v>
      </c>
      <c r="L707" s="36" t="str">
        <f t="shared" si="180"/>
        <v>MX4000002S0002399</v>
      </c>
      <c r="M707" s="36" t="str">
        <f t="shared" ca="1" si="172"/>
        <v>002-2013E30Q13-OK</v>
      </c>
      <c r="N707" s="36" t="str">
        <f t="shared" si="171"/>
        <v>Прицеп 2,0*1,25 м  (до 750 кг.)</v>
      </c>
      <c r="O707" s="36" t="str">
        <f t="shared" si="181"/>
        <v>1 ось</v>
      </c>
      <c r="P707" s="36">
        <f t="shared" si="182"/>
        <v>2025</v>
      </c>
      <c r="Q707" s="34" t="str">
        <f t="shared" ca="1" si="173"/>
        <v>3150*1700*900</v>
      </c>
      <c r="R707" s="34" t="str">
        <f t="shared" ca="1" si="174"/>
        <v>2000*1250*300</v>
      </c>
      <c r="S707" s="34" t="str">
        <f>VLOOKUP(O707,ОТТС!$A$2:$B$3,2,0)</f>
        <v>ТС KZ Е-KZ.0317.00251 от 28.02.2023</v>
      </c>
      <c r="T707" s="39">
        <v>330000</v>
      </c>
      <c r="U707" s="36" t="str">
        <f t="shared" si="170"/>
        <v>Алматы</v>
      </c>
    </row>
    <row r="708" spans="1:21" ht="13.2">
      <c r="A708" s="34">
        <v>1917</v>
      </c>
      <c r="B708" s="35">
        <f>VLOOKUP(A708,'Реестр договоров'!$A$2:$D$996,2,0)</f>
        <v>45975</v>
      </c>
      <c r="C708" s="36" t="str">
        <f t="shared" si="176"/>
        <v>Байрамов</v>
      </c>
      <c r="D708" s="36" t="str">
        <f t="shared" si="177"/>
        <v>Сабир</v>
      </c>
      <c r="E708" s="36" t="str">
        <f t="shared" si="175"/>
        <v>Мамедович</v>
      </c>
      <c r="F708" s="36" t="str">
        <f t="shared" si="178"/>
        <v>056191715</v>
      </c>
      <c r="G708" s="37">
        <f>VLOOKUP(F708,Покупатели!$F$2:$N$762,2,0)</f>
        <v>45397</v>
      </c>
      <c r="H708" s="36" t="str">
        <f>VLOOKUP(F708,Покупатели!$F$2:$N$762,3,0)</f>
        <v>МВД РК</v>
      </c>
      <c r="I708" s="36">
        <f>VLOOKUP(C708,Покупатели!$C$2:$M$805,7,0)</f>
        <v>750525301147</v>
      </c>
      <c r="J708" s="36" t="str">
        <f ca="1">IFERROR(__xludf.DUMMYFUNCTION("JOIN("" "", VLOOKUP(C708,Покупатели,8,0),VLOOKUP(C708,Покупатели,9,0),VLOOKUP(C708,Покупатели,10,0),VLOOKUP(C708,Покупатели,11,0))"),"Алматинская область,  Енбекшиказахский район, г. Есик, ул. Амурская, д.12")</f>
        <v>Алматинская область,  Енбекшиказахский район, г. Есик, ул. Амурская, д.12</v>
      </c>
      <c r="K708" s="36">
        <f t="shared" si="179"/>
        <v>87021674252</v>
      </c>
      <c r="L708" s="36" t="str">
        <f t="shared" si="180"/>
        <v>MX4000002S0002427</v>
      </c>
      <c r="M708" s="36" t="str">
        <f t="shared" ca="1" si="172"/>
        <v>002-2515E30Q13-OK</v>
      </c>
      <c r="N708" s="36" t="str">
        <f t="shared" si="171"/>
        <v>Прицеп 2,5*1,5 м  (до 750 кг.)</v>
      </c>
      <c r="O708" s="36" t="str">
        <f t="shared" si="181"/>
        <v>1 ось</v>
      </c>
      <c r="P708" s="36">
        <f t="shared" si="182"/>
        <v>2025</v>
      </c>
      <c r="Q708" s="34" t="str">
        <f t="shared" ca="1" si="173"/>
        <v>3650*1950*900</v>
      </c>
      <c r="R708" s="34" t="str">
        <f t="shared" ca="1" si="174"/>
        <v>2500*1500*300</v>
      </c>
      <c r="S708" s="34" t="str">
        <f>VLOOKUP(O708,ОТТС!$A$2:$B$3,2,0)</f>
        <v>ТС KZ Е-KZ.0317.00251 от 28.02.2023</v>
      </c>
      <c r="T708" s="39">
        <v>550000</v>
      </c>
      <c r="U708" s="36" t="str">
        <f t="shared" si="170"/>
        <v>Алматы</v>
      </c>
    </row>
    <row r="709" spans="1:21" ht="13.2">
      <c r="A709" s="34">
        <v>1918</v>
      </c>
      <c r="B709" s="35">
        <f>VLOOKUP(A709,'Реестр договоров'!$A$2:$D$996,2,0)</f>
        <v>45978</v>
      </c>
      <c r="C709" s="36" t="str">
        <f t="shared" si="176"/>
        <v>Бегзал</v>
      </c>
      <c r="D709" s="36" t="str">
        <f t="shared" si="177"/>
        <v>Байбазар</v>
      </c>
      <c r="E709" s="36" t="str">
        <f t="shared" si="175"/>
        <v>.</v>
      </c>
      <c r="F709" s="36" t="str">
        <f t="shared" si="178"/>
        <v>056424682</v>
      </c>
      <c r="G709" s="37">
        <f>VLOOKUP(F709,Покупатели!$F$2:$N$762,2,0)</f>
        <v>45195</v>
      </c>
      <c r="H709" s="36" t="str">
        <f>VLOOKUP(F709,Покупатели!$F$2:$N$762,3,0)</f>
        <v>МВД РК</v>
      </c>
      <c r="I709" s="36">
        <f>VLOOKUP(C709,Покупатели!$C$2:$M$805,7,0)</f>
        <v>991201000388</v>
      </c>
      <c r="J709" s="36" t="str">
        <f ca="1">IFERROR(__xludf.DUMMYFUNCTION("JOIN("" "", VLOOKUP(C709,Покупатели,8,0),VLOOKUP(C709,Покупатели,9,0),VLOOKUP(C709,Покупатели,10,0),VLOOKUP(C709,Покупатели,11,0))"),"г.Астана р-н Нура ул.Сыганак 18")</f>
        <v>г.Астана р-н Нура ул.Сыганак 18</v>
      </c>
      <c r="K709" s="36">
        <f t="shared" si="179"/>
        <v>87071900247</v>
      </c>
      <c r="L709" s="36" t="str">
        <f t="shared" si="180"/>
        <v>MX4000002S0002434</v>
      </c>
      <c r="M709" s="36" t="str">
        <f t="shared" ca="1" si="172"/>
        <v>002-2013E50Q13-OK30</v>
      </c>
      <c r="N709" s="36" t="str">
        <f t="shared" si="171"/>
        <v>Прицеп 2,0*1,25 м  (до 750 кг.)</v>
      </c>
      <c r="O709" s="36" t="str">
        <f t="shared" si="181"/>
        <v>1 ось</v>
      </c>
      <c r="P709" s="36">
        <f t="shared" si="182"/>
        <v>2025</v>
      </c>
      <c r="Q709" s="34" t="str">
        <f t="shared" ca="1" si="173"/>
        <v>3150*1700*1070</v>
      </c>
      <c r="R709" s="34" t="str">
        <f t="shared" ca="1" si="174"/>
        <v>2000*1250*500</v>
      </c>
      <c r="S709" s="34" t="str">
        <f>VLOOKUP(O709,ОТТС!$A$2:$B$3,2,0)</f>
        <v>ТС KZ Е-KZ.0317.00251 от 28.02.2023</v>
      </c>
      <c r="T709" s="39">
        <v>440000</v>
      </c>
      <c r="U709" s="36" t="str">
        <f t="shared" si="170"/>
        <v>Астана</v>
      </c>
    </row>
    <row r="710" spans="1:21" ht="13.2">
      <c r="A710" s="34">
        <v>1919</v>
      </c>
      <c r="B710" s="35">
        <f>VLOOKUP(A710,'Реестр договоров'!$A$2:$D$996,2,0)</f>
        <v>45979</v>
      </c>
      <c r="C710" s="36" t="str">
        <f t="shared" si="176"/>
        <v>Төлеген</v>
      </c>
      <c r="D710" s="36" t="str">
        <f t="shared" si="177"/>
        <v>Қанат</v>
      </c>
      <c r="E710" s="36" t="str">
        <f t="shared" si="175"/>
        <v>Қуандықұлы</v>
      </c>
      <c r="F710" s="36" t="str">
        <f t="shared" si="178"/>
        <v>052728484</v>
      </c>
      <c r="G710" s="37">
        <f>VLOOKUP(F710,Покупатели!$F$2:$N$762,2,0)</f>
        <v>44680</v>
      </c>
      <c r="H710" s="36" t="str">
        <f>VLOOKUP(F710,Покупатели!$F$2:$N$762,3,0)</f>
        <v>ҚР ІІМ</v>
      </c>
      <c r="I710" s="36">
        <f>VLOOKUP(C710,Покупатели!$C$2:$M$805,7,0)</f>
        <v>981104351015</v>
      </c>
      <c r="J710" s="36" t="str">
        <f ca="1">IFERROR(__xludf.DUMMYFUNCTION("JOIN("" "", VLOOKUP(C710,Покупатели,8,0),VLOOKUP(C710,Покупатели,9,0),VLOOKUP(C710,Покупатели,10,0),VLOOKUP(C710,Покупатели,11,0))"),"г.Астана, ул. Маралсай, д. 1")</f>
        <v>г.Астана, ул. Маралсай, д. 1</v>
      </c>
      <c r="K710" s="36">
        <f t="shared" si="179"/>
        <v>87759928997</v>
      </c>
      <c r="L710" s="36" t="str">
        <f t="shared" si="180"/>
        <v>MX4000004S0002431</v>
      </c>
      <c r="M710" s="36" t="str">
        <f t="shared" si="172"/>
        <v>004-3015E50Q13-OK</v>
      </c>
      <c r="N710" s="36" t="str">
        <f t="shared" si="171"/>
        <v>Прицеп 3,0*1,5 м  (до 750 кг.)</v>
      </c>
      <c r="O710" s="36" t="str">
        <f t="shared" si="181"/>
        <v>2 оси</v>
      </c>
      <c r="P710" s="36">
        <f t="shared" si="182"/>
        <v>2025</v>
      </c>
      <c r="Q710" s="34" t="s">
        <v>946</v>
      </c>
      <c r="R710" s="34" t="s">
        <v>926</v>
      </c>
      <c r="S710" s="34" t="str">
        <f>VLOOKUP(O710,ОТТС!$A$2:$B$3,2,0)</f>
        <v>ТС KZ Е-KZ.0317.00219.П1 от 17.07.2025</v>
      </c>
      <c r="T710" s="39">
        <v>930000</v>
      </c>
      <c r="U710" s="36" t="str">
        <f t="shared" si="170"/>
        <v>Астана</v>
      </c>
    </row>
    <row r="711" spans="1:21" ht="13.2">
      <c r="A711" s="34">
        <v>1920</v>
      </c>
      <c r="B711" s="35">
        <f>VLOOKUP(A711,'Реестр договоров'!$A$2:$D$996,2,0)</f>
        <v>45979</v>
      </c>
      <c r="C711" s="36" t="str">
        <f t="shared" si="176"/>
        <v>Зырянов</v>
      </c>
      <c r="D711" s="36" t="str">
        <f t="shared" si="177"/>
        <v>Игорь</v>
      </c>
      <c r="E711" s="36" t="str">
        <f t="shared" si="175"/>
        <v>Владимирович</v>
      </c>
      <c r="F711" s="36" t="str">
        <f t="shared" si="178"/>
        <v>043900133</v>
      </c>
      <c r="G711" s="37">
        <f>VLOOKUP(F711,Покупатели!$F$2:$N$762,2,0)</f>
        <v>43475</v>
      </c>
      <c r="H711" s="36" t="str">
        <f>VLOOKUP(F711,Покупатели!$F$2:$N$762,3,0)</f>
        <v>МВД РК</v>
      </c>
      <c r="I711" s="36">
        <f>VLOOKUP(C711,Покупатели!$C$2:$M$805,7,0)</f>
        <v>890121300399</v>
      </c>
      <c r="J711" s="36" t="str">
        <f ca="1">IFERROR(__xludf.DUMMYFUNCTION("JOIN("" "", VLOOKUP(C711,Покупатели,8,0),VLOOKUP(C711,Покупатели,9,0),VLOOKUP(C711,Покупатели,10,0),VLOOKUP(C711,Покупатели,11,0))"),"Жетысуская область, г.Текели, ул. Чайковского, д.78")</f>
        <v>Жетысуская область, г.Текели, ул. Чайковского, д.78</v>
      </c>
      <c r="K711" s="36">
        <f t="shared" si="179"/>
        <v>87059907871</v>
      </c>
      <c r="L711" s="36" t="str">
        <f t="shared" si="180"/>
        <v>MX4000002S0002285</v>
      </c>
      <c r="M711" s="36" t="str">
        <f t="shared" ca="1" si="172"/>
        <v>002-2513E50Q13-OK</v>
      </c>
      <c r="N711" s="36" t="str">
        <f t="shared" si="171"/>
        <v>Прицеп 2,5*1,25 м  (до 750 кг.)</v>
      </c>
      <c r="O711" s="36" t="str">
        <f t="shared" si="181"/>
        <v>1 ось</v>
      </c>
      <c r="P711" s="36">
        <f t="shared" si="182"/>
        <v>2025</v>
      </c>
      <c r="Q711" s="34" t="str">
        <f t="shared" ref="Q711:Q722" ca="1" si="183">VLOOKUP(M711,матрица,16,0)</f>
        <v>3650*1700*1070</v>
      </c>
      <c r="R711" s="34" t="str">
        <f t="shared" ref="R711:R722" ca="1" si="184">VLOOKUP(M711,матрица,17,0)</f>
        <v>2500*1250*500</v>
      </c>
      <c r="S711" s="34" t="str">
        <f>VLOOKUP(O711,ОТТС!$A$2:$B$3,2,0)</f>
        <v>ТС KZ Е-KZ.0317.00251 от 28.02.2023</v>
      </c>
      <c r="T711" s="39">
        <v>400000</v>
      </c>
      <c r="U711" s="36" t="str">
        <f t="shared" si="170"/>
        <v>Алматы</v>
      </c>
    </row>
    <row r="712" spans="1:21" ht="13.2">
      <c r="A712" s="34">
        <v>1921</v>
      </c>
      <c r="B712" s="35">
        <f>VLOOKUP(A712,'Реестр договоров'!$A$2:$D$996,2,0)</f>
        <v>45980</v>
      </c>
      <c r="C712" s="36" t="str">
        <f t="shared" si="176"/>
        <v>Иманжанов</v>
      </c>
      <c r="D712" s="36" t="str">
        <f t="shared" si="177"/>
        <v>Валихан</v>
      </c>
      <c r="E712" s="36" t="str">
        <f t="shared" si="175"/>
        <v>Серикович</v>
      </c>
      <c r="F712" s="36" t="str">
        <f t="shared" si="178"/>
        <v>054406320</v>
      </c>
      <c r="G712" s="37">
        <f>VLOOKUP(F712,Покупатели!$F$2:$N$762,2,0)</f>
        <v>44921</v>
      </c>
      <c r="H712" s="36" t="str">
        <f>VLOOKUP(F712,Покупатели!$F$2:$N$762,3,0)</f>
        <v>МВД РК</v>
      </c>
      <c r="I712" s="36">
        <f>VLOOKUP(C712,Покупатели!$C$2:$M$805,7,0)</f>
        <v>960406351487</v>
      </c>
      <c r="J712" s="36" t="str">
        <f ca="1">IFERROR(__xludf.DUMMYFUNCTION("JOIN("" "", VLOOKUP(C712,Покупатели,8,0),VLOOKUP(C712,Покупатели,9,0),VLOOKUP(C712,Покупатели,10,0),VLOOKUP(C712,Покупатели,11,0))"),"Акмолинская область, Бурабайский район, ул. Бірлік, д.21/2")</f>
        <v>Акмолинская область, Бурабайский район, ул. Бірлік, д.21/2</v>
      </c>
      <c r="K712" s="36">
        <f t="shared" si="179"/>
        <v>87761138349</v>
      </c>
      <c r="L712" s="36" t="str">
        <f t="shared" si="180"/>
        <v>MX4000005S0002440</v>
      </c>
      <c r="M712" s="36" t="str">
        <f t="shared" ca="1" si="172"/>
        <v>002-2515Q13-OK</v>
      </c>
      <c r="N712" s="36" t="str">
        <f t="shared" si="171"/>
        <v>Прицеп 2,5*1,5 м  (до 750 кг.)</v>
      </c>
      <c r="O712" s="36" t="str">
        <f t="shared" si="181"/>
        <v>2 оси</v>
      </c>
      <c r="P712" s="36">
        <f t="shared" si="182"/>
        <v>2025</v>
      </c>
      <c r="Q712" s="34" t="str">
        <f t="shared" ca="1" si="183"/>
        <v>4000*1950*650</v>
      </c>
      <c r="R712" s="34" t="str">
        <f t="shared" ca="1" si="184"/>
        <v>2500*1500*0</v>
      </c>
      <c r="S712" s="34" t="str">
        <f>VLOOKUP(O712,ОТТС!$A$2:$B$3,2,0)</f>
        <v>ТС KZ Е-KZ.0317.00219.П1 от 17.07.2025</v>
      </c>
      <c r="T712" s="39">
        <v>380000</v>
      </c>
      <c r="U712" s="36" t="str">
        <f t="shared" si="170"/>
        <v>Кокшетау</v>
      </c>
    </row>
    <row r="713" spans="1:21" ht="13.2">
      <c r="A713" s="34">
        <v>1922</v>
      </c>
      <c r="B713" s="35">
        <f>VLOOKUP(A713,'Реестр договоров'!$A$2:$D$996,2,0)</f>
        <v>45981</v>
      </c>
      <c r="C713" s="36" t="str">
        <f t="shared" si="176"/>
        <v>Ашихмин 1</v>
      </c>
      <c r="D713" s="36" t="str">
        <f t="shared" si="177"/>
        <v>Виталий</v>
      </c>
      <c r="E713" s="36" t="str">
        <f t="shared" si="175"/>
        <v>Дмитриевич</v>
      </c>
      <c r="F713" s="36" t="str">
        <f t="shared" si="178"/>
        <v>048241789</v>
      </c>
      <c r="G713" s="37">
        <f>VLOOKUP(F713,Покупатели!$F$2:$N$762,2,0)</f>
        <v>44300</v>
      </c>
      <c r="H713" s="36" t="str">
        <f>VLOOKUP(F713,Покупатели!$F$2:$N$762,3,0)</f>
        <v>МВД РК</v>
      </c>
      <c r="I713" s="36">
        <f>VLOOKUP(C713,Покупатели!$C$2:$M$805,7,0)</f>
        <v>860123301104</v>
      </c>
      <c r="J713" s="36" t="str">
        <f ca="1">IFERROR(__xludf.DUMMYFUNCTION("JOIN("" "", VLOOKUP(C713,Покупатели,8,0),VLOOKUP(C713,Покупатели,9,0),VLOOKUP(C713,Покупатели,10,0),VLOOKUP(C713,Покупатели,11,0))"),"Жетісу  г.Талдыкорган, ул. Вишневая, дом 1")</f>
        <v>Жетісу  г.Талдыкорган, ул. Вишневая, дом 1</v>
      </c>
      <c r="K713" s="36">
        <f t="shared" si="179"/>
        <v>87074407843</v>
      </c>
      <c r="L713" s="36" t="str">
        <f t="shared" si="180"/>
        <v>MX4000002S0002401</v>
      </c>
      <c r="M713" s="36" t="str">
        <f t="shared" ca="1" si="172"/>
        <v>002-2013E50Q13-OK</v>
      </c>
      <c r="N713" s="36" t="str">
        <f t="shared" si="171"/>
        <v>Прицеп 2,0*1,25 м  (до 750 кг.)</v>
      </c>
      <c r="O713" s="36" t="str">
        <f t="shared" si="181"/>
        <v>1 ось</v>
      </c>
      <c r="P713" s="36">
        <f t="shared" si="182"/>
        <v>2025</v>
      </c>
      <c r="Q713" s="34" t="str">
        <f t="shared" ca="1" si="183"/>
        <v>3150*1700*1070</v>
      </c>
      <c r="R713" s="34" t="str">
        <f t="shared" ca="1" si="184"/>
        <v>2000*1250*500</v>
      </c>
      <c r="S713" s="34" t="str">
        <f>VLOOKUP(O713,ОТТС!$A$2:$B$3,2,0)</f>
        <v>ТС KZ Е-KZ.0317.00251 от 28.02.2023</v>
      </c>
      <c r="T713" s="39">
        <v>360000</v>
      </c>
      <c r="U713" s="36" t="str">
        <f t="shared" si="170"/>
        <v>Алматы</v>
      </c>
    </row>
    <row r="714" spans="1:21" ht="13.2">
      <c r="A714" s="34">
        <v>1923</v>
      </c>
      <c r="B714" s="35">
        <f>VLOOKUP(A714,'Реестр договоров'!$A$2:$D$996,2,0)</f>
        <v>45982</v>
      </c>
      <c r="C714" s="36" t="str">
        <f t="shared" si="176"/>
        <v>Костюков</v>
      </c>
      <c r="D714" s="36" t="str">
        <f t="shared" si="177"/>
        <v>Ян</v>
      </c>
      <c r="E714" s="36" t="str">
        <f t="shared" si="175"/>
        <v>Иванович</v>
      </c>
      <c r="F714" s="36" t="str">
        <f t="shared" si="178"/>
        <v>059458344</v>
      </c>
      <c r="G714" s="37">
        <f>VLOOKUP(F714,Покупатели!$F$2:$N$762,2,0)</f>
        <v>45394</v>
      </c>
      <c r="H714" s="36" t="str">
        <f>VLOOKUP(F714,Покупатели!$F$2:$N$762,3,0)</f>
        <v>МВД РК</v>
      </c>
      <c r="I714" s="36">
        <f>VLOOKUP(C714,Покупатели!$C$2:$M$805,7,0)</f>
        <v>890917351360</v>
      </c>
      <c r="J714" s="36" t="str">
        <f ca="1">IFERROR(__xludf.DUMMYFUNCTION("JOIN("" "", VLOOKUP(C714,Покупатели,8,0),VLOOKUP(C714,Покупатели,9,0),VLOOKUP(C714,Покупатели,10,0),VLOOKUP(C714,Покупатели,11,0))"),"г.Астана р-н Сарыарка ул.Шубина д.22")</f>
        <v>г.Астана р-н Сарыарка ул.Шубина д.22</v>
      </c>
      <c r="K714" s="36">
        <f t="shared" si="179"/>
        <v>87751342787</v>
      </c>
      <c r="L714" s="36" t="str">
        <f t="shared" si="180"/>
        <v>MX4000002S0002367</v>
      </c>
      <c r="M714" s="36" t="str">
        <f t="shared" ca="1" si="172"/>
        <v>002-2513E50Q13-OK</v>
      </c>
      <c r="N714" s="36" t="str">
        <f t="shared" si="171"/>
        <v>Прицеп 2,5*1,25 м  (до 750 кг.)</v>
      </c>
      <c r="O714" s="36" t="str">
        <f t="shared" si="181"/>
        <v>1 ось</v>
      </c>
      <c r="P714" s="36">
        <f t="shared" si="182"/>
        <v>2025</v>
      </c>
      <c r="Q714" s="34" t="str">
        <f t="shared" ca="1" si="183"/>
        <v>3650*1700*1070</v>
      </c>
      <c r="R714" s="34" t="str">
        <f t="shared" ca="1" si="184"/>
        <v>2500*1250*500</v>
      </c>
      <c r="S714" s="34" t="str">
        <f>VLOOKUP(O714,ОТТС!$A$2:$B$3,2,0)</f>
        <v>ТС KZ Е-KZ.0317.00251 от 28.02.2023</v>
      </c>
      <c r="T714" s="39">
        <v>470000</v>
      </c>
      <c r="U714" s="36" t="str">
        <f t="shared" si="170"/>
        <v>Астана</v>
      </c>
    </row>
    <row r="715" spans="1:21" ht="13.2">
      <c r="A715" s="34">
        <v>1924</v>
      </c>
      <c r="B715" s="35">
        <f>VLOOKUP(A715,'Реестр договоров'!$A$2:$D$996,2,0)</f>
        <v>45983</v>
      </c>
      <c r="C715" s="36" t="str">
        <f t="shared" si="176"/>
        <v>Уалиев</v>
      </c>
      <c r="D715" s="36" t="str">
        <f t="shared" si="177"/>
        <v>Азамат</v>
      </c>
      <c r="E715" s="36" t="str">
        <f t="shared" si="175"/>
        <v>Рыскелдіұлы</v>
      </c>
      <c r="F715" s="36" t="str">
        <f t="shared" si="178"/>
        <v>047551925</v>
      </c>
      <c r="G715" s="37">
        <f>VLOOKUP(F715,Покупатели!$F$2:$N$762,2,0)</f>
        <v>44180</v>
      </c>
      <c r="H715" s="36" t="str">
        <f>VLOOKUP(F715,Покупатели!$F$2:$N$762,3,0)</f>
        <v>ҚР ІІМ</v>
      </c>
      <c r="I715" s="36">
        <f>VLOOKUP(C715,Покупатели!$C$2:$M$805,7,0)</f>
        <v>851022300653</v>
      </c>
      <c r="J715" s="36" t="str">
        <f ca="1">IFERROR(__xludf.DUMMYFUNCTION("JOIN("" "", VLOOKUP(C715,Покупатели,8,0),VLOOKUP(C715,Покупатели,9,0),VLOOKUP(C715,Покупатели,10,0),VLOOKUP(C715,Покупатели,11,0))"),"обл.Жетысу р-н Коксу, с.Мамбет ул.Кыстаубаева д.24")</f>
        <v>обл.Жетысу р-н Коксу, с.Мамбет ул.Кыстаубаева д.24</v>
      </c>
      <c r="K715" s="36">
        <f t="shared" si="179"/>
        <v>87086987411</v>
      </c>
      <c r="L715" s="36" t="str">
        <f t="shared" si="180"/>
        <v>MX4000002S0002402</v>
      </c>
      <c r="M715" s="36" t="str">
        <f t="shared" ca="1" si="172"/>
        <v>002-2013E50Q13-OK</v>
      </c>
      <c r="N715" s="36" t="str">
        <f t="shared" si="171"/>
        <v>Прицеп 2,0*1,25 м  (до 750 кг.)</v>
      </c>
      <c r="O715" s="36" t="str">
        <f t="shared" si="181"/>
        <v>1 ось</v>
      </c>
      <c r="P715" s="36">
        <f t="shared" si="182"/>
        <v>2025</v>
      </c>
      <c r="Q715" s="34" t="str">
        <f t="shared" ca="1" si="183"/>
        <v>3150*1700*1070</v>
      </c>
      <c r="R715" s="34" t="str">
        <f t="shared" ca="1" si="184"/>
        <v>2000*1250*500</v>
      </c>
      <c r="S715" s="34" t="str">
        <f>VLOOKUP(O715,ОТТС!$A$2:$B$3,2,0)</f>
        <v>ТС KZ Е-KZ.0317.00251 от 28.02.2023</v>
      </c>
      <c r="T715" s="39">
        <v>580000</v>
      </c>
      <c r="U715" s="36" t="str">
        <f t="shared" si="170"/>
        <v>Астана</v>
      </c>
    </row>
    <row r="716" spans="1:21" ht="13.2">
      <c r="A716" s="34">
        <v>1925</v>
      </c>
      <c r="B716" s="35">
        <f>VLOOKUP(A716,'Реестр договоров'!$A$2:$D$996,2,0)</f>
        <v>45984</v>
      </c>
      <c r="C716" s="36" t="str">
        <f t="shared" si="176"/>
        <v>Оңалбеков</v>
      </c>
      <c r="D716" s="36" t="str">
        <f t="shared" si="177"/>
        <v>Нұрбол</v>
      </c>
      <c r="E716" s="36" t="str">
        <f t="shared" si="175"/>
        <v>Оңалбекұлы</v>
      </c>
      <c r="F716" s="36" t="str">
        <f t="shared" si="178"/>
        <v>059001730</v>
      </c>
      <c r="G716" s="37">
        <f>VLOOKUP(F716,Покупатели!$F$2:$N$762,2,0)</f>
        <v>45554</v>
      </c>
      <c r="H716" s="36" t="str">
        <f>VLOOKUP(F716,Покупатели!$F$2:$N$762,3,0)</f>
        <v>ҚР ІІМ</v>
      </c>
      <c r="I716" s="36">
        <f>VLOOKUP(C716,Покупатели!$C$2:$M$805,7,0)</f>
        <v>860501302107</v>
      </c>
      <c r="J716" s="36" t="str">
        <f ca="1">IFERROR(__xludf.DUMMYFUNCTION("JOIN("" "", VLOOKUP(C716,Покупатели,8,0),VLOOKUP(C716,Покупатели,9,0),VLOOKUP(C716,Покупатели,10,0),VLOOKUP(C716,Покупатели,11,0))"),"Астана р-н Алматы ул.Ш.Кудайбердиева д.23, кв.456")</f>
        <v>Астана р-н Алматы ул.Ш.Кудайбердиева д.23, кв.456</v>
      </c>
      <c r="K716" s="36">
        <f t="shared" si="179"/>
        <v>87471777524</v>
      </c>
      <c r="L716" s="36" t="str">
        <f t="shared" si="180"/>
        <v>MX4000004S0002305</v>
      </c>
      <c r="M716" s="36" t="str">
        <f t="shared" ca="1" si="172"/>
        <v>002-3515E30Q13-OK</v>
      </c>
      <c r="N716" s="36" t="str">
        <f t="shared" si="171"/>
        <v>Прицеп 3,5*1,5 м  (до 750 кг.)</v>
      </c>
      <c r="O716" s="36" t="str">
        <f t="shared" si="181"/>
        <v>2 оси</v>
      </c>
      <c r="P716" s="36">
        <f t="shared" si="182"/>
        <v>2025</v>
      </c>
      <c r="Q716" s="34" t="str">
        <f t="shared" ca="1" si="183"/>
        <v>3800*1950*900</v>
      </c>
      <c r="R716" s="34" t="str">
        <f t="shared" ca="1" si="184"/>
        <v>3500*1500*300</v>
      </c>
      <c r="S716" s="34" t="str">
        <f>VLOOKUP(O716,ОТТС!$A$2:$B$3,2,0)</f>
        <v>ТС KZ Е-KZ.0317.00219.П1 от 17.07.2025</v>
      </c>
      <c r="T716" s="39">
        <v>890000</v>
      </c>
      <c r="U716" s="36" t="str">
        <f t="shared" si="170"/>
        <v>Астана</v>
      </c>
    </row>
    <row r="717" spans="1:21" ht="13.2">
      <c r="A717" s="34">
        <v>1926</v>
      </c>
      <c r="B717" s="35">
        <f>VLOOKUP(A717,'Реестр договоров'!$A$2:$D$996,2,0)</f>
        <v>45984</v>
      </c>
      <c r="C717" s="36" t="str">
        <f t="shared" si="176"/>
        <v>Аманжолов</v>
      </c>
      <c r="D717" s="36" t="str">
        <f t="shared" si="177"/>
        <v>Мадияр</v>
      </c>
      <c r="E717" s="36" t="str">
        <f t="shared" si="175"/>
        <v>Сайлауович</v>
      </c>
      <c r="F717" s="36" t="str">
        <f t="shared" si="178"/>
        <v>058882958</v>
      </c>
      <c r="G717" s="37">
        <f>VLOOKUP(F717,Покупатели!$F$2:$N$762,2,0)</f>
        <v>45532</v>
      </c>
      <c r="H717" s="36" t="str">
        <f>VLOOKUP(F717,Покупатели!$F$2:$N$762,3,0)</f>
        <v>МВД РК</v>
      </c>
      <c r="I717" s="36">
        <f>VLOOKUP(C717,Покупатели!$C$2:$M$805,7,0)</f>
        <v>891022350786</v>
      </c>
      <c r="J717" s="36" t="str">
        <f ca="1">IFERROR(__xludf.DUMMYFUNCTION("JOIN("" "", VLOOKUP(C717,Покупатели,8,0),VLOOKUP(C717,Покупатели,9,0),VLOOKUP(C717,Покупатели,10,0),VLOOKUP(C717,Покупатели,11,0))"),"Карагандинская обл Нуринский р-н, п.Нура ул.Балабиева д.3")</f>
        <v>Карагандинская обл Нуринский р-н, п.Нура ул.Балабиева д.3</v>
      </c>
      <c r="K717" s="36">
        <f t="shared" si="179"/>
        <v>87774841313</v>
      </c>
      <c r="L717" s="36" t="str">
        <f t="shared" si="180"/>
        <v>MX4000002S0002404</v>
      </c>
      <c r="M717" s="36" t="str">
        <f t="shared" ca="1" si="172"/>
        <v>002-2513E50Q13-OK</v>
      </c>
      <c r="N717" s="36" t="str">
        <f t="shared" si="171"/>
        <v>Прицеп 2,5*1,25 м  (до 750 кг.)</v>
      </c>
      <c r="O717" s="36" t="str">
        <f t="shared" si="181"/>
        <v>1 ось</v>
      </c>
      <c r="P717" s="36">
        <f t="shared" si="182"/>
        <v>2025</v>
      </c>
      <c r="Q717" s="34" t="str">
        <f t="shared" ca="1" si="183"/>
        <v>3650*1700*1070</v>
      </c>
      <c r="R717" s="34" t="str">
        <f t="shared" ca="1" si="184"/>
        <v>2500*1250*500</v>
      </c>
      <c r="S717" s="34" t="str">
        <f>VLOOKUP(O717,ОТТС!$A$2:$B$3,2,0)</f>
        <v>ТС KZ Е-KZ.0317.00251 от 28.02.2023</v>
      </c>
      <c r="T717" s="39">
        <v>410000</v>
      </c>
      <c r="U717" s="36" t="str">
        <f t="shared" si="170"/>
        <v>Астана</v>
      </c>
    </row>
    <row r="718" spans="1:21" ht="13.2">
      <c r="A718" s="34">
        <v>1927</v>
      </c>
      <c r="B718" s="35">
        <f>VLOOKUP(A718,'Реестр договоров'!$A$2:$D$996,2,0)</f>
        <v>45985</v>
      </c>
      <c r="C718" s="36" t="str">
        <f t="shared" si="176"/>
        <v>Артемьев</v>
      </c>
      <c r="D718" s="36" t="str">
        <f t="shared" si="177"/>
        <v>Максим</v>
      </c>
      <c r="E718" s="36" t="str">
        <f t="shared" si="175"/>
        <v>Петрович</v>
      </c>
      <c r="F718" s="36" t="str">
        <f t="shared" si="178"/>
        <v>046913921</v>
      </c>
      <c r="G718" s="37">
        <f>VLOOKUP(F718,Покупатели!$F$2:$N$762,2,0)</f>
        <v>44075</v>
      </c>
      <c r="H718" s="36" t="str">
        <f>VLOOKUP(F718,Покупатели!$F$2:$N$762,3,0)</f>
        <v>МВД РК</v>
      </c>
      <c r="I718" s="36">
        <f>VLOOKUP(C718,Покупатели!$C$2:$M$805,7,0)</f>
        <v>791207300437</v>
      </c>
      <c r="J718" s="36" t="str">
        <f ca="1">IFERROR(__xludf.DUMMYFUNCTION("JOIN("" "", VLOOKUP(C718,Покупатели,8,0),VLOOKUP(C718,Покупатели,9,0),VLOOKUP(C718,Покупатели,10,0),VLOOKUP(C718,Покупатели,11,0))"),"г. Талдыкорган, ул. Кошевого, д.8, кв.1")</f>
        <v>г. Талдыкорган, ул. Кошевого, д.8, кв.1</v>
      </c>
      <c r="K718" s="36">
        <f t="shared" si="179"/>
        <v>87052906750</v>
      </c>
      <c r="L718" s="36" t="str">
        <f t="shared" si="180"/>
        <v>MX4000002S0002350</v>
      </c>
      <c r="M718" s="36" t="str">
        <f t="shared" ca="1" si="172"/>
        <v>002-2013E50Q13-OK</v>
      </c>
      <c r="N718" s="36" t="str">
        <f t="shared" si="171"/>
        <v>Прицеп 2,0*1,25 м  (до 750 кг.)</v>
      </c>
      <c r="O718" s="36" t="str">
        <f t="shared" si="181"/>
        <v>1 ось</v>
      </c>
      <c r="P718" s="36">
        <f t="shared" si="182"/>
        <v>2025</v>
      </c>
      <c r="Q718" s="34" t="str">
        <f t="shared" ca="1" si="183"/>
        <v>3150*1700*1070</v>
      </c>
      <c r="R718" s="34" t="str">
        <f t="shared" ca="1" si="184"/>
        <v>2000*1250*500</v>
      </c>
      <c r="S718" s="34" t="str">
        <f>VLOOKUP(O718,ОТТС!$A$2:$B$3,2,0)</f>
        <v>ТС KZ Е-KZ.0317.00251 от 28.02.2023</v>
      </c>
      <c r="T718" s="39">
        <v>350000</v>
      </c>
      <c r="U718" s="36" t="str">
        <f t="shared" si="170"/>
        <v>Алматы</v>
      </c>
    </row>
    <row r="719" spans="1:21" ht="13.2">
      <c r="A719" s="34">
        <v>1928</v>
      </c>
      <c r="B719" s="35">
        <f>VLOOKUP(A719,'Реестр договоров'!$A$2:$D$996,2,0)</f>
        <v>45986</v>
      </c>
      <c r="C719" s="36" t="str">
        <f t="shared" si="176"/>
        <v>Михайдаров</v>
      </c>
      <c r="D719" s="36" t="str">
        <f t="shared" si="177"/>
        <v>Дамир</v>
      </c>
      <c r="E719" s="36" t="str">
        <f t="shared" si="175"/>
        <v>Серикпаевич</v>
      </c>
      <c r="F719" s="36" t="str">
        <f t="shared" si="178"/>
        <v>051224490</v>
      </c>
      <c r="G719" s="37">
        <f>VLOOKUP(F719,Покупатели!$F$2:$N$762,2,0)</f>
        <v>44449</v>
      </c>
      <c r="H719" s="36" t="str">
        <f>VLOOKUP(F719,Покупатели!$F$2:$N$762,3,0)</f>
        <v>МВД РК</v>
      </c>
      <c r="I719" s="36">
        <f>VLOOKUP(C719,Покупатели!$C$2:$M$805,7,0)</f>
        <v>950823350622</v>
      </c>
      <c r="J719" s="36" t="str">
        <f ca="1">IFERROR(__xludf.DUMMYFUNCTION("JOIN("" "", VLOOKUP(C719,Покупатели,8,0),VLOOKUP(C719,Покупатели,9,0),VLOOKUP(C719,Покупатели,10,0),VLOOKUP(C719,Покупатели,11,0))"),"Акмолинская обл. Буландинский р-н, с.Никольское ул.Павленко д.11")</f>
        <v>Акмолинская обл. Буландинский р-н, с.Никольское ул.Павленко д.11</v>
      </c>
      <c r="K719" s="36">
        <f t="shared" si="179"/>
        <v>87761316489</v>
      </c>
      <c r="L719" s="36" t="str">
        <f t="shared" si="180"/>
        <v>MX4000002S0002403</v>
      </c>
      <c r="M719" s="36" t="str">
        <f t="shared" ca="1" si="172"/>
        <v>002-2013E30Q13-OK</v>
      </c>
      <c r="N719" s="36" t="str">
        <f t="shared" si="171"/>
        <v>Прицеп 2,0*1,25 м  (до 750 кг.)</v>
      </c>
      <c r="O719" s="36" t="str">
        <f t="shared" si="181"/>
        <v>1 ось</v>
      </c>
      <c r="P719" s="36">
        <f t="shared" si="182"/>
        <v>2025</v>
      </c>
      <c r="Q719" s="34" t="str">
        <f t="shared" ca="1" si="183"/>
        <v>3150*1700*900</v>
      </c>
      <c r="R719" s="34" t="str">
        <f t="shared" ca="1" si="184"/>
        <v>2000*1250*300</v>
      </c>
      <c r="S719" s="34" t="str">
        <f>VLOOKUP(O719,ОТТС!$A$2:$B$3,2,0)</f>
        <v>ТС KZ Е-KZ.0317.00251 от 28.02.2023</v>
      </c>
      <c r="T719" s="39">
        <v>390000</v>
      </c>
      <c r="U719" s="36" t="str">
        <f t="shared" si="170"/>
        <v>Астана</v>
      </c>
    </row>
    <row r="720" spans="1:21" ht="13.2">
      <c r="A720" s="34">
        <v>1929</v>
      </c>
      <c r="B720" s="35">
        <f>VLOOKUP(A720,'Реестр договоров'!$A$2:$D$996,2,0)</f>
        <v>45986</v>
      </c>
      <c r="C720" s="36" t="str">
        <f t="shared" si="176"/>
        <v>Палатченко</v>
      </c>
      <c r="D720" s="36" t="str">
        <f t="shared" si="177"/>
        <v>Ирина</v>
      </c>
      <c r="E720" s="36" t="str">
        <f t="shared" si="175"/>
        <v>Викторовна</v>
      </c>
      <c r="F720" s="36" t="str">
        <f t="shared" si="178"/>
        <v>047856912</v>
      </c>
      <c r="G720" s="37">
        <f>VLOOKUP(F720,Покупатели!$F$2:$N$762,2,0)</f>
        <v>43973</v>
      </c>
      <c r="H720" s="36" t="str">
        <f>VLOOKUP(F720,Покупатели!$F$2:$N$762,3,0)</f>
        <v>МВД РК</v>
      </c>
      <c r="I720" s="36">
        <f>VLOOKUP(C720,Покупатели!$C$2:$M$805,7,0)</f>
        <v>931115450817</v>
      </c>
      <c r="J720" s="36" t="str">
        <f ca="1">IFERROR(__xludf.DUMMYFUNCTION("JOIN("" "", VLOOKUP(C720,Покупатели,8,0),VLOOKUP(C720,Покупатели,9,0),VLOOKUP(C720,Покупатели,10,0),VLOOKUP(C720,Покупатели,11,0))"),"Акмолинская область, г. Кокшетау, ул. Ауельбекова, д.41, кв.65")</f>
        <v>Акмолинская область, г. Кокшетау, ул. Ауельбекова, д.41, кв.65</v>
      </c>
      <c r="K720" s="36">
        <f t="shared" si="179"/>
        <v>87751371630</v>
      </c>
      <c r="L720" s="36" t="str">
        <f t="shared" si="180"/>
        <v>MX4000002S0002447</v>
      </c>
      <c r="M720" s="36" t="str">
        <f t="shared" ca="1" si="172"/>
        <v>002-2013E50Q13-OK60</v>
      </c>
      <c r="N720" s="36" t="str">
        <f t="shared" si="171"/>
        <v>Прицеп 2,0*1,25 м  (до 750 кг.)</v>
      </c>
      <c r="O720" s="36" t="str">
        <f t="shared" si="181"/>
        <v>1 ось</v>
      </c>
      <c r="P720" s="36">
        <f t="shared" si="182"/>
        <v>2025</v>
      </c>
      <c r="Q720" s="34" t="str">
        <f t="shared" ca="1" si="183"/>
        <v>3150*1700*1070</v>
      </c>
      <c r="R720" s="34" t="str">
        <f t="shared" ca="1" si="184"/>
        <v>2000*1250*500</v>
      </c>
      <c r="S720" s="34" t="str">
        <f>VLOOKUP(O720,ОТТС!$A$2:$B$3,2,0)</f>
        <v>ТС KZ Е-KZ.0317.00251 от 28.02.2023</v>
      </c>
      <c r="T720" s="39">
        <v>460000</v>
      </c>
      <c r="U720" s="36" t="str">
        <f t="shared" si="170"/>
        <v>Кокшетау</v>
      </c>
    </row>
    <row r="721" spans="1:21" ht="13.2">
      <c r="A721" s="34">
        <v>1930</v>
      </c>
      <c r="B721" s="35">
        <f>VLOOKUP(A721,'Реестр договоров'!$A$2:$D$996,2,0)</f>
        <v>45987</v>
      </c>
      <c r="C721" s="36" t="str">
        <f t="shared" si="176"/>
        <v>Кулимбетов</v>
      </c>
      <c r="D721" s="36" t="str">
        <f t="shared" si="177"/>
        <v>Ерик</v>
      </c>
      <c r="E721" s="36" t="str">
        <f t="shared" si="175"/>
        <v>Тлектесович</v>
      </c>
      <c r="F721" s="36" t="str">
        <f t="shared" si="178"/>
        <v>055341947</v>
      </c>
      <c r="G721" s="37">
        <f>VLOOKUP(F721,Покупатели!$F$2:$N$762,2,0)</f>
        <v>45301</v>
      </c>
      <c r="H721" s="36" t="str">
        <f>VLOOKUP(F721,Покупатели!$F$2:$N$762,3,0)</f>
        <v>МВД РК</v>
      </c>
      <c r="I721" s="36">
        <f>VLOOKUP(C721,Покупатели!$C$2:$M$805,7,0)</f>
        <v>890113301333</v>
      </c>
      <c r="J721" s="36" t="str">
        <f ca="1">IFERROR(__xludf.DUMMYFUNCTION("JOIN("" "", VLOOKUP(C721,Покупатели,8,0),VLOOKUP(C721,Покупатели,9,0),VLOOKUP(C721,Покупатели,10,0),VLOOKUP(C721,Покупатели,11,0))"),"Жетысу область, Каратауский район, с. Алматы, ул.Абая, д.41")</f>
        <v>Жетысу область, Каратауский район, с. Алматы, ул.Абая, д.41</v>
      </c>
      <c r="K721" s="36">
        <f t="shared" si="179"/>
        <v>87777348244</v>
      </c>
      <c r="L721" s="36" t="str">
        <f t="shared" si="180"/>
        <v>MX4000002S0002351</v>
      </c>
      <c r="M721" s="36" t="str">
        <f t="shared" ca="1" si="172"/>
        <v>002-2013E50Q13-OK</v>
      </c>
      <c r="N721" s="36" t="str">
        <f t="shared" si="171"/>
        <v>Прицеп 2,0*1,25 м  (до 750 кг.)</v>
      </c>
      <c r="O721" s="36" t="str">
        <f t="shared" si="181"/>
        <v>1 ось</v>
      </c>
      <c r="P721" s="36">
        <f t="shared" si="182"/>
        <v>2025</v>
      </c>
      <c r="Q721" s="34" t="str">
        <f t="shared" ca="1" si="183"/>
        <v>3150*1700*1070</v>
      </c>
      <c r="R721" s="34" t="str">
        <f t="shared" ca="1" si="184"/>
        <v>2000*1250*500</v>
      </c>
      <c r="S721" s="34" t="str">
        <f>VLOOKUP(O721,ОТТС!$A$2:$B$3,2,0)</f>
        <v>ТС KZ Е-KZ.0317.00251 от 28.02.2023</v>
      </c>
      <c r="T721" s="39">
        <v>360000</v>
      </c>
      <c r="U721" s="36" t="str">
        <f t="shared" si="170"/>
        <v>Алматы</v>
      </c>
    </row>
    <row r="722" spans="1:21" ht="13.2">
      <c r="A722" s="34">
        <v>1931</v>
      </c>
      <c r="B722" s="35">
        <f>VLOOKUP(A722,'Реестр договоров'!$A$2:$D$996,2,0)</f>
        <v>45987</v>
      </c>
      <c r="C722" s="36" t="str">
        <f t="shared" si="176"/>
        <v>Нұрымбет</v>
      </c>
      <c r="D722" s="36" t="str">
        <f t="shared" si="177"/>
        <v>Басеми</v>
      </c>
      <c r="E722" s="36" t="str">
        <f t="shared" si="175"/>
        <v>Адырбекұлы</v>
      </c>
      <c r="F722" s="36" t="str">
        <f t="shared" si="178"/>
        <v>056710856</v>
      </c>
      <c r="G722" s="37">
        <f>VLOOKUP(F722,Покупатели!$F$2:$N$762,2,0)</f>
        <v>45247</v>
      </c>
      <c r="H722" s="36" t="str">
        <f>VLOOKUP(F722,Покупатели!$F$2:$N$762,3,0)</f>
        <v>ҚР ІІМ</v>
      </c>
      <c r="I722" s="36">
        <f>VLOOKUP(C722,Покупатели!$C$2:$M$805,7,0)</f>
        <v>600211302009</v>
      </c>
      <c r="J722" s="36" t="str">
        <f ca="1">IFERROR(__xludf.DUMMYFUNCTION("JOIN("" "", VLOOKUP(C722,Покупатели,8,0),VLOOKUP(C722,Покупатели,9,0),VLOOKUP(C722,Покупатели,10,0),VLOOKUP(C722,Покупатели,11,0))"),"Астана р-н Есиль ул.Е652 д.18")</f>
        <v>Астана р-н Есиль ул.Е652 д.18</v>
      </c>
      <c r="K722" s="36">
        <f t="shared" si="179"/>
        <v>87056134048</v>
      </c>
      <c r="L722" s="36" t="str">
        <f t="shared" si="180"/>
        <v>MX4000002S0002441</v>
      </c>
      <c r="M722" s="36" t="str">
        <f t="shared" ca="1" si="172"/>
        <v>002-2013E50Q13-OK</v>
      </c>
      <c r="N722" s="36" t="str">
        <f t="shared" si="171"/>
        <v>Прицеп 2,0*1,25 м  (до 750 кг.)</v>
      </c>
      <c r="O722" s="36" t="str">
        <f t="shared" si="181"/>
        <v>1 ось</v>
      </c>
      <c r="P722" s="36">
        <f t="shared" si="182"/>
        <v>2025</v>
      </c>
      <c r="Q722" s="34" t="str">
        <f t="shared" ca="1" si="183"/>
        <v>3150*1700*1070</v>
      </c>
      <c r="R722" s="34" t="str">
        <f t="shared" ca="1" si="184"/>
        <v>2000*1250*500</v>
      </c>
      <c r="S722" s="34" t="str">
        <f>VLOOKUP(O722,ОТТС!$A$2:$B$3,2,0)</f>
        <v>ТС KZ Е-KZ.0317.00251 от 28.02.2023</v>
      </c>
      <c r="T722" s="39">
        <v>410000</v>
      </c>
      <c r="U722" s="36" t="str">
        <f t="shared" ref="U722:U737" si="185">VLOOKUP(L722,ПРИЦЕПЫ,9,0)</f>
        <v>Астана</v>
      </c>
    </row>
    <row r="723" spans="1:21" ht="13.2">
      <c r="A723" s="34">
        <v>1932</v>
      </c>
      <c r="B723" s="35">
        <f>VLOOKUP(A723,'Реестр договоров'!$A$2:$D$996,2,0)</f>
        <v>45987</v>
      </c>
      <c r="C723" s="36" t="str">
        <f t="shared" si="176"/>
        <v>Кононов</v>
      </c>
      <c r="D723" s="36" t="str">
        <f t="shared" si="177"/>
        <v>Егор</v>
      </c>
      <c r="E723" s="36" t="str">
        <f t="shared" si="175"/>
        <v>Юрьевич</v>
      </c>
      <c r="F723" s="36" t="str">
        <f t="shared" si="178"/>
        <v>044939263</v>
      </c>
      <c r="G723" s="37">
        <f>VLOOKUP(F723,Покупатели!$F$2:$N$762,2,0)</f>
        <v>43705</v>
      </c>
      <c r="H723" s="36" t="str">
        <f>VLOOKUP(F723,Покупатели!$F$2:$N$762,3,0)</f>
        <v>МВД РК</v>
      </c>
      <c r="I723" s="36" t="str">
        <f>VLOOKUP(C723,Покупатели!$C$2:$M$805,7,0)</f>
        <v>030802501809</v>
      </c>
      <c r="J723" s="36" t="str">
        <f ca="1">IFERROR(__xludf.DUMMYFUNCTION("JOIN("" "", VLOOKUP(C723,Покупатели,8,0),VLOOKUP(C723,Покупатели,9,0),VLOOKUP(C723,Покупатели,10,0),VLOOKUP(C723,Покупатели,11,0))"),"Туркестанская область г.Кентау ул.Тараз д.12")</f>
        <v>Туркестанская область г.Кентау ул.Тараз д.12</v>
      </c>
      <c r="K723" s="36">
        <f t="shared" si="179"/>
        <v>87478339897</v>
      </c>
      <c r="L723" s="36" t="str">
        <f t="shared" si="180"/>
        <v>MX4000004S0002438</v>
      </c>
      <c r="M723" s="36" t="str">
        <f t="shared" si="172"/>
        <v>004-3015E50Q13-OK</v>
      </c>
      <c r="N723" s="36" t="str">
        <f t="shared" si="171"/>
        <v>Прицеп 3,0*1,5 м  (до 750 кг.)</v>
      </c>
      <c r="O723" s="36" t="str">
        <f t="shared" si="181"/>
        <v>2 оси</v>
      </c>
      <c r="P723" s="36">
        <f t="shared" si="182"/>
        <v>2025</v>
      </c>
      <c r="Q723" s="34" t="s">
        <v>925</v>
      </c>
      <c r="R723" s="34" t="s">
        <v>926</v>
      </c>
      <c r="S723" s="34" t="str">
        <f>VLOOKUP(O723,ОТТС!$A$2:$B$3,2,0)</f>
        <v>ТС KZ Е-KZ.0317.00219.П1 от 17.07.2025</v>
      </c>
      <c r="T723" s="39">
        <v>910000</v>
      </c>
      <c r="U723" s="36" t="str">
        <f t="shared" si="185"/>
        <v>Астана</v>
      </c>
    </row>
    <row r="724" spans="1:21" ht="13.2">
      <c r="A724" s="34">
        <v>1933</v>
      </c>
      <c r="B724" s="35">
        <f>VLOOKUP(A724,'Реестр договоров'!$A$2:$D$996,2,0)</f>
        <v>45987</v>
      </c>
      <c r="C724" s="36" t="str">
        <f t="shared" si="176"/>
        <v>Пастухов</v>
      </c>
      <c r="D724" s="36" t="str">
        <f t="shared" si="177"/>
        <v>Сергей</v>
      </c>
      <c r="E724" s="36" t="str">
        <f t="shared" si="175"/>
        <v>Александрович</v>
      </c>
      <c r="F724" s="36" t="str">
        <f t="shared" si="178"/>
        <v>052033161</v>
      </c>
      <c r="G724" s="37">
        <f>VLOOKUP(F724,Покупатели!$F$2:$N$762,2,0)</f>
        <v>44883</v>
      </c>
      <c r="H724" s="36" t="str">
        <f>VLOOKUP(F724,Покупатели!$F$2:$N$762,3,0)</f>
        <v>МВД РК</v>
      </c>
      <c r="I724" s="36">
        <f>VLOOKUP(C724,Покупатели!$C$2:$M$805,7,0)</f>
        <v>771122300570</v>
      </c>
      <c r="J724" s="36" t="str">
        <f ca="1">IFERROR(__xludf.DUMMYFUNCTION("JOIN("" "", VLOOKUP(C724,Покупатели,8,0),VLOOKUP(C724,Покупатели,9,0),VLOOKUP(C724,Покупатели,10,0),VLOOKUP(C724,Покупатели,11,0))"),"г.Алматы, мкр-н 6, д. 12, кв.23")</f>
        <v>г.Алматы, мкр-н 6, д. 12, кв.23</v>
      </c>
      <c r="K724" s="36">
        <f t="shared" si="179"/>
        <v>87051916523</v>
      </c>
      <c r="L724" s="36" t="str">
        <f t="shared" si="180"/>
        <v>MX4000002S0002356</v>
      </c>
      <c r="M724" s="36" t="str">
        <f t="shared" ca="1" si="172"/>
        <v>002-2013E50Q13-OK</v>
      </c>
      <c r="N724" s="36" t="str">
        <f t="shared" si="171"/>
        <v>Прицеп 2,0*1,25 м  (до 750 кг.)</v>
      </c>
      <c r="O724" s="36" t="str">
        <f t="shared" si="181"/>
        <v>1 ось</v>
      </c>
      <c r="P724" s="36">
        <f t="shared" si="182"/>
        <v>2025</v>
      </c>
      <c r="Q724" s="34" t="str">
        <f t="shared" ref="Q724:Q737" ca="1" si="186">VLOOKUP(M724,матрица,16,0)</f>
        <v>3150*1700*1070</v>
      </c>
      <c r="R724" s="34" t="str">
        <f t="shared" ref="R724:R737" ca="1" si="187">VLOOKUP(M724,матрица,17,0)</f>
        <v>2000*1250*500</v>
      </c>
      <c r="S724" s="34" t="str">
        <f>VLOOKUP(O724,ОТТС!$A$2:$B$3,2,0)</f>
        <v>ТС KZ Е-KZ.0317.00251 от 28.02.2023</v>
      </c>
      <c r="T724" s="39">
        <v>360000</v>
      </c>
      <c r="U724" s="36" t="str">
        <f t="shared" si="185"/>
        <v>Алматы</v>
      </c>
    </row>
    <row r="725" spans="1:21" ht="13.2">
      <c r="A725" s="34">
        <v>1934</v>
      </c>
      <c r="B725" s="35">
        <f>VLOOKUP(A725,'Реестр договоров'!$A$2:$D$996,2,0)</f>
        <v>45988</v>
      </c>
      <c r="C725" s="36" t="str">
        <f t="shared" si="176"/>
        <v>Айтимов</v>
      </c>
      <c r="D725" s="36" t="str">
        <f t="shared" si="177"/>
        <v>Канат</v>
      </c>
      <c r="E725" s="36" t="str">
        <f t="shared" si="175"/>
        <v>Абылайханович</v>
      </c>
      <c r="F725" s="36" t="str">
        <f t="shared" si="178"/>
        <v>041303752</v>
      </c>
      <c r="G725" s="37">
        <f>VLOOKUP(F725,Покупатели!$F$2:$N$762,2,0)</f>
        <v>42535</v>
      </c>
      <c r="H725" s="36" t="str">
        <f>VLOOKUP(F725,Покупатели!$F$2:$N$762,3,0)</f>
        <v>МВД РК</v>
      </c>
      <c r="I725" s="36">
        <f>VLOOKUP(C725,Покупатели!$C$2:$M$805,7,0)</f>
        <v>820925350998</v>
      </c>
      <c r="J725" s="36" t="str">
        <f ca="1">IFERROR(__xludf.DUMMYFUNCTION("JOIN("" "", VLOOKUP(C725,Покупатели,8,0),VLOOKUP(C725,Покупатели,9,0),VLOOKUP(C725,Покупатели,10,0),VLOOKUP(C725,Покупатели,11,0))"),"г.Астана, ул. Магжан Жумабаева, д.12а, кв.13")</f>
        <v>г.Астана, ул. Магжан Жумабаева, д.12а, кв.13</v>
      </c>
      <c r="K725" s="34">
        <v>87771270207</v>
      </c>
      <c r="L725" s="36" t="str">
        <f t="shared" si="180"/>
        <v>MX4000005S0002446</v>
      </c>
      <c r="M725" s="36" t="str">
        <f t="shared" ca="1" si="172"/>
        <v>002-3015Q13-OK</v>
      </c>
      <c r="N725" s="36" t="str">
        <f t="shared" si="171"/>
        <v>Прицеп 3,0*1,5 м  (до 750 кг.)</v>
      </c>
      <c r="O725" s="36" t="str">
        <f t="shared" si="181"/>
        <v>2 оси</v>
      </c>
      <c r="P725" s="36">
        <f t="shared" si="182"/>
        <v>2025</v>
      </c>
      <c r="Q725" s="34" t="str">
        <f t="shared" ca="1" si="186"/>
        <v>4150*1950*650</v>
      </c>
      <c r="R725" s="34" t="str">
        <f t="shared" ca="1" si="187"/>
        <v>3000*1500*0</v>
      </c>
      <c r="S725" s="34" t="str">
        <f>VLOOKUP(O725,ОТТС!$A$2:$B$3,2,0)</f>
        <v>ТС KZ Е-KZ.0317.00219.П1 от 17.07.2025</v>
      </c>
      <c r="T725" s="39">
        <v>690000</v>
      </c>
      <c r="U725" s="36" t="str">
        <f t="shared" si="185"/>
        <v>Астана</v>
      </c>
    </row>
    <row r="726" spans="1:21" ht="13.2">
      <c r="A726" s="34">
        <v>1936</v>
      </c>
      <c r="B726" s="35">
        <f>VLOOKUP(A726,'Реестр договоров'!$A$2:$D$996,2,0)</f>
        <v>45989</v>
      </c>
      <c r="C726" s="36" t="str">
        <f t="shared" si="176"/>
        <v>Көшербай</v>
      </c>
      <c r="D726" s="36" t="str">
        <f t="shared" si="177"/>
        <v>Бексұлтан</v>
      </c>
      <c r="E726" s="36" t="str">
        <f t="shared" si="175"/>
        <v>Айдарұлы</v>
      </c>
      <c r="F726" s="36" t="str">
        <f t="shared" si="178"/>
        <v>045572785</v>
      </c>
      <c r="G726" s="37">
        <f>VLOOKUP(F726,Покупатели!$F$2:$N$762,2,0)</f>
        <v>43836</v>
      </c>
      <c r="H726" s="36" t="str">
        <f>VLOOKUP(F726,Покупатели!$F$2:$N$762,3,0)</f>
        <v>ҚР ІІМ</v>
      </c>
      <c r="I726" s="36">
        <f>VLOOKUP(C726,Покупатели!$C$2:$M$805,7,0)</f>
        <v>931109300762</v>
      </c>
      <c r="J726" s="36" t="str">
        <f ca="1">IFERROR(__xludf.DUMMYFUNCTION("JOIN("" "", VLOOKUP(C726,Покупатели,8,0),VLOOKUP(C726,Покупатели,9,0),VLOOKUP(C726,Покупатели,10,0),VLOOKUP(C726,Покупатели,11,0))"),"Алматинская область, Жамбылский район, с. Дегерес, ул.Райымбек, д.36")</f>
        <v>Алматинская область, Жамбылский район, с. Дегерес, ул.Райымбек, д.36</v>
      </c>
      <c r="K726" s="34">
        <v>87771270207</v>
      </c>
      <c r="L726" s="36" t="str">
        <f t="shared" si="180"/>
        <v>MX4000002S0002352</v>
      </c>
      <c r="M726" s="36" t="str">
        <f t="shared" ca="1" si="172"/>
        <v>002-2013E50Q13-OK</v>
      </c>
      <c r="N726" s="36" t="str">
        <f t="shared" si="171"/>
        <v>Прицеп 2,0*1,25 м  (до 750 кг.)</v>
      </c>
      <c r="O726" s="36" t="str">
        <f t="shared" si="181"/>
        <v>1 ось</v>
      </c>
      <c r="P726" s="36">
        <f t="shared" si="182"/>
        <v>2025</v>
      </c>
      <c r="Q726" s="34" t="str">
        <f t="shared" ca="1" si="186"/>
        <v>3150*1700*1070</v>
      </c>
      <c r="R726" s="34" t="str">
        <f t="shared" ca="1" si="187"/>
        <v>2000*1250*500</v>
      </c>
      <c r="S726" s="34" t="str">
        <f>VLOOKUP(O726,ОТТС!$A$2:$B$3,2,0)</f>
        <v>ТС KZ Е-KZ.0317.00251 от 28.02.2023</v>
      </c>
      <c r="T726" s="39">
        <v>360000</v>
      </c>
      <c r="U726" s="36" t="str">
        <f t="shared" si="185"/>
        <v>Алматы</v>
      </c>
    </row>
    <row r="727" spans="1:21" ht="13.2">
      <c r="A727" s="34">
        <v>1937</v>
      </c>
      <c r="B727" s="35">
        <f>VLOOKUP(A727,'Реестр договоров'!$A$2:$D$996,2,0)</f>
        <v>45989</v>
      </c>
      <c r="C727" s="36" t="str">
        <f t="shared" si="176"/>
        <v>Бендов</v>
      </c>
      <c r="D727" s="36" t="str">
        <f t="shared" si="177"/>
        <v>Виктор</v>
      </c>
      <c r="E727" s="36" t="str">
        <f t="shared" si="175"/>
        <v>Николаевич</v>
      </c>
      <c r="F727" s="36" t="str">
        <f t="shared" si="178"/>
        <v>048576032</v>
      </c>
      <c r="G727" s="37">
        <f>VLOOKUP(F727,Покупатели!$F$2:$N$762,2,0)</f>
        <v>44064</v>
      </c>
      <c r="H727" s="36" t="str">
        <f>VLOOKUP(F727,Покупатели!$F$2:$N$762,3,0)</f>
        <v>МВД РК</v>
      </c>
      <c r="I727" s="36">
        <f>VLOOKUP(C727,Покупатели!$C$2:$M$805,7,0)</f>
        <v>850124350403</v>
      </c>
      <c r="J727" s="36" t="str">
        <f ca="1">IFERROR(__xludf.DUMMYFUNCTION("JOIN("" "", VLOOKUP(C727,Покупатели,8,0),VLOOKUP(C727,Покупатели,9,0),VLOOKUP(C727,Покупатели,10,0),VLOOKUP(C727,Покупатели,11,0))"),"СКО, р-н. Габита Мусрепова, с. Рузаевка, ул. Говорова, д.116")</f>
        <v>СКО, р-н. Габита Мусрепова, с. Рузаевка, ул. Говорова, д.116</v>
      </c>
      <c r="K727" s="34">
        <v>87771270207</v>
      </c>
      <c r="L727" s="36" t="str">
        <f t="shared" si="180"/>
        <v>MX4000002S0002449</v>
      </c>
      <c r="M727" s="36" t="str">
        <f t="shared" ca="1" si="172"/>
        <v>002-2013E50Q13-OK</v>
      </c>
      <c r="N727" s="36" t="str">
        <f t="shared" si="171"/>
        <v>Прицеп 2,0*1,25 м  (до 750 кг.)</v>
      </c>
      <c r="O727" s="36" t="str">
        <f t="shared" si="181"/>
        <v>1 ось</v>
      </c>
      <c r="P727" s="36">
        <f t="shared" si="182"/>
        <v>2025</v>
      </c>
      <c r="Q727" s="34" t="str">
        <f t="shared" ca="1" si="186"/>
        <v>3150*1700*1070</v>
      </c>
      <c r="R727" s="34" t="str">
        <f t="shared" ca="1" si="187"/>
        <v>2000*1250*500</v>
      </c>
      <c r="S727" s="34" t="str">
        <f>VLOOKUP(O727,ОТТС!$A$2:$B$3,2,0)</f>
        <v>ТС KZ Е-KZ.0317.00251 от 28.02.2023</v>
      </c>
      <c r="T727" s="39">
        <v>350000</v>
      </c>
      <c r="U727" s="36" t="str">
        <f t="shared" si="185"/>
        <v>Кокшетау</v>
      </c>
    </row>
    <row r="728" spans="1:21" ht="13.2">
      <c r="A728" s="34">
        <v>1938</v>
      </c>
      <c r="B728" s="35">
        <f>VLOOKUP(A728,'Реестр договоров'!$A$2:$D$996,2,0)</f>
        <v>45992</v>
      </c>
      <c r="C728" s="36" t="str">
        <f t="shared" si="176"/>
        <v>Шешкиль</v>
      </c>
      <c r="D728" s="36" t="str">
        <f t="shared" si="177"/>
        <v>Владимир</v>
      </c>
      <c r="E728" s="36" t="str">
        <f t="shared" si="175"/>
        <v>Георгиевич</v>
      </c>
      <c r="F728" s="36" t="str">
        <f t="shared" si="178"/>
        <v>055744002</v>
      </c>
      <c r="G728" s="37">
        <f>VLOOKUP(F728,Покупатели!$F$2:$N$762,2,0)</f>
        <v>45104</v>
      </c>
      <c r="H728" s="36" t="str">
        <f>VLOOKUP(F728,Покупатели!$F$2:$N$762,3,0)</f>
        <v>МВД РК</v>
      </c>
      <c r="I728" s="36">
        <f>VLOOKUP(C728,Покупатели!$C$2:$M$805,7,0)</f>
        <v>900217350371</v>
      </c>
      <c r="J728" s="36" t="str">
        <f ca="1">IFERROR(__xludf.DUMMYFUNCTION("JOIN("" "", VLOOKUP(C728,Покупатели,8,0),VLOOKUP(C728,Покупатели,9,0),VLOOKUP(C728,Покупатели,10,0),VLOOKUP(C728,Покупатели,11,0))"),"Акмолинская область, г.Кокшетау, ул. Кудайбердиева, д.72, кв.86")</f>
        <v>Акмолинская область, г.Кокшетау, ул. Кудайбердиева, д.72, кв.86</v>
      </c>
      <c r="K728" s="34">
        <v>87771270207</v>
      </c>
      <c r="L728" s="36" t="str">
        <f t="shared" si="180"/>
        <v>MX4000002S0002450</v>
      </c>
      <c r="M728" s="36" t="str">
        <f t="shared" ca="1" si="172"/>
        <v>002-2013E50Q13-OK</v>
      </c>
      <c r="N728" s="36" t="str">
        <f t="shared" si="171"/>
        <v>Прицеп 2,0*1,25 м  (до 750 кг.)</v>
      </c>
      <c r="O728" s="36" t="str">
        <f t="shared" si="181"/>
        <v>1 ось</v>
      </c>
      <c r="P728" s="36">
        <f t="shared" si="182"/>
        <v>2025</v>
      </c>
      <c r="Q728" s="34" t="str">
        <f t="shared" ca="1" si="186"/>
        <v>3150*1700*1070</v>
      </c>
      <c r="R728" s="34" t="str">
        <f t="shared" ca="1" si="187"/>
        <v>2000*1250*500</v>
      </c>
      <c r="S728" s="34" t="str">
        <f>VLOOKUP(O728,ОТТС!$A$2:$B$3,2,0)</f>
        <v>ТС KZ Е-KZ.0317.00251 от 28.02.2023</v>
      </c>
      <c r="T728" s="39">
        <v>350000</v>
      </c>
      <c r="U728" s="36" t="str">
        <f t="shared" si="185"/>
        <v>Кокшетау</v>
      </c>
    </row>
    <row r="729" spans="1:21" ht="13.2">
      <c r="A729" s="34">
        <v>1939</v>
      </c>
      <c r="B729" s="35">
        <f>VLOOKUP(A729,'Реестр договоров'!$A$2:$D$996,2,0)</f>
        <v>45992</v>
      </c>
      <c r="C729" s="36" t="str">
        <f t="shared" si="176"/>
        <v>Шумаков</v>
      </c>
      <c r="D729" s="36" t="str">
        <f t="shared" si="177"/>
        <v>Дмитрий</v>
      </c>
      <c r="E729" s="36" t="str">
        <f t="shared" si="175"/>
        <v>Иванович</v>
      </c>
      <c r="F729" s="36" t="str">
        <f t="shared" si="178"/>
        <v>057983580</v>
      </c>
      <c r="G729" s="37">
        <f>VLOOKUP(F729,Покупатели!$F$2:$N$762,2,0)</f>
        <v>45426</v>
      </c>
      <c r="H729" s="36" t="str">
        <f>VLOOKUP(F729,Покупатели!$F$2:$N$762,3,0)</f>
        <v>МВД РК</v>
      </c>
      <c r="I729" s="36">
        <f>VLOOKUP(C729,Покупатели!$C$2:$M$805,7,0)</f>
        <v>830629350297</v>
      </c>
      <c r="J729" s="36" t="str">
        <f ca="1">IFERROR(__xludf.DUMMYFUNCTION("JOIN("" "", VLOOKUP(C729,Покупатели,8,0),VLOOKUP(C729,Покупатели,9,0),VLOOKUP(C729,Покупатели,10,0),VLOOKUP(C729,Покупатели,11,0))"),"СКО, р-н Габита Мусрепова, с. Рузаевка, ул.Юбилейная, д.5/3")</f>
        <v>СКО, р-н Габита Мусрепова, с. Рузаевка, ул.Юбилейная, д.5/3</v>
      </c>
      <c r="K729" s="34">
        <v>87771270207</v>
      </c>
      <c r="L729" s="36" t="str">
        <f t="shared" si="180"/>
        <v>MX4000002S0002451</v>
      </c>
      <c r="M729" s="36" t="str">
        <f t="shared" ca="1" si="172"/>
        <v>002-2513E50Q13-OK</v>
      </c>
      <c r="N729" s="36" t="str">
        <f t="shared" ref="N729:N737" si="188">VLOOKUP(L729,ПРИЦЕПЫ,2,0)</f>
        <v>Прицеп 2,5*1,25 м  (до 750 кг.)</v>
      </c>
      <c r="O729" s="36" t="str">
        <f t="shared" si="181"/>
        <v>1 ось</v>
      </c>
      <c r="P729" s="36">
        <f t="shared" si="182"/>
        <v>2025</v>
      </c>
      <c r="Q729" s="34" t="str">
        <f t="shared" ca="1" si="186"/>
        <v>3650*1700*1070</v>
      </c>
      <c r="R729" s="34" t="str">
        <f t="shared" ca="1" si="187"/>
        <v>2500*1250*500</v>
      </c>
      <c r="S729" s="34" t="str">
        <f>VLOOKUP(O729,ОТТС!$A$2:$B$3,2,0)</f>
        <v>ТС KZ Е-KZ.0317.00251 от 28.02.2023</v>
      </c>
      <c r="T729" s="39">
        <v>400000</v>
      </c>
      <c r="U729" s="36" t="str">
        <f t="shared" si="185"/>
        <v>Кокшетау</v>
      </c>
    </row>
    <row r="730" spans="1:21" ht="13.2">
      <c r="A730" s="34">
        <v>1940</v>
      </c>
      <c r="B730" s="35">
        <f>VLOOKUP(A730,'Реестр договоров'!$A$2:$D$996,2,0)</f>
        <v>45992</v>
      </c>
      <c r="C730" s="36" t="str">
        <f t="shared" si="176"/>
        <v>Ашихмин</v>
      </c>
      <c r="D730" s="36" t="str">
        <f t="shared" si="177"/>
        <v>Виталий</v>
      </c>
      <c r="E730" s="36" t="str">
        <f t="shared" si="175"/>
        <v>Дмитриевич</v>
      </c>
      <c r="F730" s="36" t="str">
        <f t="shared" si="178"/>
        <v>048241789</v>
      </c>
      <c r="G730" s="37">
        <f>VLOOKUP(F730,Покупатели!$F$2:$N$762,2,0)</f>
        <v>44300</v>
      </c>
      <c r="H730" s="36" t="str">
        <f>VLOOKUP(F730,Покупатели!$F$2:$N$762,3,0)</f>
        <v>МВД РК</v>
      </c>
      <c r="I730" s="36">
        <f>VLOOKUP(C730,Покупатели!$C$2:$M$805,7,0)</f>
        <v>860123301104</v>
      </c>
      <c r="J730" s="36" t="str">
        <f ca="1">IFERROR(__xludf.DUMMYFUNCTION("JOIN("" "", VLOOKUP(C730,Покупатели,8,0),VLOOKUP(C730,Покупатели,9,0),VLOOKUP(C730,Покупатели,10,0),VLOOKUP(C730,Покупатели,11,0))"),"Жетысу область, г. Талдыкорган, ул.Вишневая, д.1")</f>
        <v>Жетысу область, г. Талдыкорган, ул.Вишневая, д.1</v>
      </c>
      <c r="K730" s="34">
        <v>87771270207</v>
      </c>
      <c r="L730" s="36" t="str">
        <f t="shared" si="180"/>
        <v>MX4000002S0002398</v>
      </c>
      <c r="M730" s="36" t="str">
        <f t="shared" ca="1" si="172"/>
        <v>002-2013E50Q13-OK</v>
      </c>
      <c r="N730" s="36" t="str">
        <f t="shared" si="188"/>
        <v>Прицеп 2,0*1,25 м  (до 750 кг.)</v>
      </c>
      <c r="O730" s="36" t="str">
        <f t="shared" si="181"/>
        <v>1 ось</v>
      </c>
      <c r="P730" s="36">
        <f t="shared" si="182"/>
        <v>2025</v>
      </c>
      <c r="Q730" s="34" t="str">
        <f t="shared" ca="1" si="186"/>
        <v>3150*1700*1070</v>
      </c>
      <c r="R730" s="34" t="str">
        <f t="shared" ca="1" si="187"/>
        <v>2000*1250*500</v>
      </c>
      <c r="S730" s="34" t="str">
        <f>VLOOKUP(O730,ОТТС!$A$2:$B$3,2,0)</f>
        <v>ТС KZ Е-KZ.0317.00251 от 28.02.2023</v>
      </c>
      <c r="T730" s="39">
        <v>360000</v>
      </c>
      <c r="U730" s="36" t="str">
        <f t="shared" si="185"/>
        <v>Алматы</v>
      </c>
    </row>
    <row r="731" spans="1:21" ht="13.2">
      <c r="A731" s="34">
        <v>1941</v>
      </c>
      <c r="B731" s="35">
        <f>VLOOKUP(A731,'Реестр договоров'!$A$2:$D$996,2,0)</f>
        <v>45993</v>
      </c>
      <c r="C731" s="36" t="str">
        <f t="shared" si="176"/>
        <v>Иващенко</v>
      </c>
      <c r="D731" s="36" t="str">
        <f t="shared" si="177"/>
        <v>Юрий</v>
      </c>
      <c r="E731" s="36" t="str">
        <f t="shared" si="175"/>
        <v>Андреевич</v>
      </c>
      <c r="F731" s="36" t="str">
        <f t="shared" si="178"/>
        <v>055980265</v>
      </c>
      <c r="G731" s="37">
        <f>VLOOKUP(F731,Покупатели!$F$2:$N$762,2,0)</f>
        <v>45371</v>
      </c>
      <c r="H731" s="36" t="str">
        <f>VLOOKUP(F731,Покупатели!$F$2:$N$762,3,0)</f>
        <v>МВД РК</v>
      </c>
      <c r="I731" s="36">
        <f>VLOOKUP(C731,Покупатели!$C$2:$M$805,7,0)</f>
        <v>890325302265</v>
      </c>
      <c r="J731" s="36" t="str">
        <f ca="1">IFERROR(__xludf.DUMMYFUNCTION("JOIN("" "", VLOOKUP(C731,Покупатели,8,0),VLOOKUP(C731,Покупатели,9,0),VLOOKUP(C731,Покупатели,10,0),VLOOKUP(C731,Покупатели,11,0))"),"г.Алматы, Бостандыкский район,  садоводческое товарищество Энергетик-2, д.34")</f>
        <v>г.Алматы, Бостандыкский район,  садоводческое товарищество Энергетик-2, д.34</v>
      </c>
      <c r="K731" s="34">
        <v>87771270207</v>
      </c>
      <c r="L731" s="36" t="str">
        <f t="shared" si="180"/>
        <v>MX4000002S0002263</v>
      </c>
      <c r="M731" s="36" t="str">
        <f t="shared" ca="1" si="172"/>
        <v>002-3015E50Q13-OK</v>
      </c>
      <c r="N731" s="36" t="str">
        <f t="shared" si="188"/>
        <v>Прицеп 3,0*1,5 м  (до 750 кг.)</v>
      </c>
      <c r="O731" s="36" t="str">
        <f t="shared" si="181"/>
        <v>1 ось</v>
      </c>
      <c r="P731" s="36">
        <f t="shared" si="182"/>
        <v>2025</v>
      </c>
      <c r="Q731" s="34" t="str">
        <f t="shared" ca="1" si="186"/>
        <v>3800*1950*1200</v>
      </c>
      <c r="R731" s="34" t="str">
        <f t="shared" ca="1" si="187"/>
        <v>3000*1500*500</v>
      </c>
      <c r="S731" s="34" t="str">
        <f>VLOOKUP(O731,ОТТС!$A$2:$B$3,2,0)</f>
        <v>ТС KZ Е-KZ.0317.00251 от 28.02.2023</v>
      </c>
      <c r="T731" s="39">
        <v>640000</v>
      </c>
      <c r="U731" s="36" t="str">
        <f t="shared" si="185"/>
        <v>Алматы</v>
      </c>
    </row>
    <row r="732" spans="1:21" ht="13.2">
      <c r="A732" s="34">
        <v>1942</v>
      </c>
      <c r="B732" s="35">
        <f>VLOOKUP(A732,'Реестр договоров'!$A$2:$D$996,2,0)</f>
        <v>45994</v>
      </c>
      <c r="C732" s="36" t="str">
        <f t="shared" si="176"/>
        <v>Сагинбеков</v>
      </c>
      <c r="D732" s="36" t="str">
        <f t="shared" si="177"/>
        <v>Жандос</v>
      </c>
      <c r="E732" s="36" t="str">
        <f t="shared" si="175"/>
        <v>Сансызбаевич</v>
      </c>
      <c r="F732" s="36" t="str">
        <f t="shared" si="178"/>
        <v>060397789</v>
      </c>
      <c r="G732" s="37">
        <f>VLOOKUP(F732,Покупатели!$F$2:$N$762,2,0)</f>
        <v>45876</v>
      </c>
      <c r="H732" s="36" t="str">
        <f>VLOOKUP(F732,Покупатели!$F$2:$N$762,3,0)</f>
        <v>МВД РК</v>
      </c>
      <c r="I732" s="36">
        <f>VLOOKUP(C732,Покупатели!$C$2:$M$805,7,0)</f>
        <v>811223301736</v>
      </c>
      <c r="J732" s="36" t="str">
        <f ca="1">IFERROR(__xludf.DUMMYFUNCTION("JOIN("" "", VLOOKUP(C732,Покупатели,8,0),VLOOKUP(C732,Покупатели,9,0),VLOOKUP(C732,Покупатели,10,0),VLOOKUP(C732,Покупатели,11,0))"),"Алматинская область, Илийский район, п. Жапек батыра,. ул. Тулебаева, д.100в")</f>
        <v>Алматинская область, Илийский район, п. Жапек батыра,. ул. Тулебаева, д.100в</v>
      </c>
      <c r="K732" s="34">
        <v>87771270207</v>
      </c>
      <c r="L732" s="36" t="str">
        <f t="shared" si="180"/>
        <v>MX4000002S0002359</v>
      </c>
      <c r="M732" s="36" t="str">
        <f t="shared" ref="M732:M737" ca="1" si="189">VLOOKUP(L732,ПРИЦЕПЫ,11,0)</f>
        <v>002-2013E50Q13-OK</v>
      </c>
      <c r="N732" s="36" t="str">
        <f t="shared" si="188"/>
        <v>Прицеп 2,0*1,25 м  (до 750 кг.)</v>
      </c>
      <c r="O732" s="36" t="str">
        <f t="shared" si="181"/>
        <v>1 ось</v>
      </c>
      <c r="P732" s="36">
        <f t="shared" si="182"/>
        <v>2025</v>
      </c>
      <c r="Q732" s="34" t="str">
        <f t="shared" ca="1" si="186"/>
        <v>3150*1700*1070</v>
      </c>
      <c r="R732" s="34" t="str">
        <f t="shared" ca="1" si="187"/>
        <v>2000*1250*500</v>
      </c>
      <c r="S732" s="34" t="str">
        <f>VLOOKUP(O732,ОТТС!$A$2:$B$3,2,0)</f>
        <v>ТС KZ Е-KZ.0317.00251 от 28.02.2023</v>
      </c>
      <c r="T732" s="39">
        <v>420000</v>
      </c>
      <c r="U732" s="36" t="str">
        <f t="shared" si="185"/>
        <v>Алматы</v>
      </c>
    </row>
    <row r="733" spans="1:21" ht="13.2">
      <c r="A733" s="34">
        <v>1943</v>
      </c>
      <c r="B733" s="35">
        <f>VLOOKUP(A733,'Реестр договоров'!$A$2:$D$996,2,0)</f>
        <v>45994</v>
      </c>
      <c r="C733" s="36" t="str">
        <f t="shared" si="176"/>
        <v>Галиулин</v>
      </c>
      <c r="D733" s="36" t="str">
        <f t="shared" si="177"/>
        <v>Салават</v>
      </c>
      <c r="E733" s="36" t="str">
        <f t="shared" si="175"/>
        <v>Дамирович</v>
      </c>
      <c r="F733" s="36" t="str">
        <f t="shared" si="178"/>
        <v>054318379</v>
      </c>
      <c r="G733" s="37">
        <f>VLOOKUP(F733,Покупатели!$F$2:$N$762,2,0)</f>
        <v>45183</v>
      </c>
      <c r="H733" s="36" t="str">
        <f>VLOOKUP(F733,Покупатели!$F$2:$N$762,3,0)</f>
        <v>МВД РК</v>
      </c>
      <c r="I733" s="36">
        <f>VLOOKUP(C733,Покупатели!$C$2:$M$805,7,0)</f>
        <v>970909351611</v>
      </c>
      <c r="J733" s="36" t="str">
        <f ca="1">IFERROR(__xludf.DUMMYFUNCTION("JOIN("" "", VLOOKUP(C733,Покупатели,8,0),VLOOKUP(C733,Покупатели,9,0),VLOOKUP(C733,Покупатели,10,0),VLOOKUP(C733,Покупатели,11,0))"),"г. Алматы, Ауэзовский район, мкр-н 11,  д.24, кв.25")</f>
        <v>г. Алматы, Ауэзовский район, мкр-н 11,  д.24, кв.25</v>
      </c>
      <c r="K733" s="34">
        <v>87771270207</v>
      </c>
      <c r="L733" s="36" t="str">
        <f t="shared" si="180"/>
        <v>MX4000004S0002423</v>
      </c>
      <c r="M733" s="36" t="str">
        <f t="shared" ca="1" si="189"/>
        <v>002-3015E30Q13-OK</v>
      </c>
      <c r="N733" s="36" t="str">
        <f t="shared" si="188"/>
        <v>Прицеп 3,0*1,5 м  (до 750 кг.)</v>
      </c>
      <c r="O733" s="36" t="str">
        <f t="shared" si="181"/>
        <v>2 оси</v>
      </c>
      <c r="P733" s="36">
        <f t="shared" si="182"/>
        <v>2025</v>
      </c>
      <c r="Q733" s="34" t="str">
        <f t="shared" ca="1" si="186"/>
        <v>3800*1950*900</v>
      </c>
      <c r="R733" s="34" t="str">
        <f t="shared" ca="1" si="187"/>
        <v>3000*1500*300</v>
      </c>
      <c r="S733" s="34" t="str">
        <f>VLOOKUP(O733,ОТТС!$A$2:$B$3,2,0)</f>
        <v>ТС KZ Е-KZ.0317.00219.П1 от 17.07.2025</v>
      </c>
      <c r="T733" s="39">
        <v>820000</v>
      </c>
      <c r="U733" s="36" t="str">
        <f t="shared" si="185"/>
        <v>Алматы</v>
      </c>
    </row>
    <row r="734" spans="1:21" ht="13.2">
      <c r="A734" s="34">
        <v>1944</v>
      </c>
      <c r="B734" s="35">
        <f>VLOOKUP(A734,'Реестр договоров'!$A$2:$D$996,2,0)</f>
        <v>45996</v>
      </c>
      <c r="C734" s="36" t="str">
        <f t="shared" si="176"/>
        <v>Нурхайдаров</v>
      </c>
      <c r="D734" s="36" t="str">
        <f t="shared" si="177"/>
        <v>Нургали</v>
      </c>
      <c r="E734" s="36" t="str">
        <f t="shared" si="175"/>
        <v>Ахметнурович</v>
      </c>
      <c r="F734" s="36" t="str">
        <f t="shared" si="178"/>
        <v>058156107</v>
      </c>
      <c r="G734" s="37">
        <f>VLOOKUP(F734,Покупатели!$F$2:$N$762,2,0)</f>
        <v>45615</v>
      </c>
      <c r="H734" s="36" t="str">
        <f>VLOOKUP(F734,Покупатели!$F$2:$N$762,3,0)</f>
        <v>МВД РК</v>
      </c>
      <c r="I734" s="36">
        <f>VLOOKUP(C734,Покупатели!$C$2:$M$805,7,0)</f>
        <v>791111300504</v>
      </c>
      <c r="J734" s="36" t="str">
        <f ca="1">IFERROR(__xludf.DUMMYFUNCTION("JOIN("" "", VLOOKUP(C734,Покупатели,8,0),VLOOKUP(C734,Покупатели,9,0),VLOOKUP(C734,Покупатели,10,0),VLOOKUP(C734,Покупатели,11,0))"),"Алматинская область, г. Талгар, ул. Жансугурова, д.11")</f>
        <v>Алматинская область, г. Талгар, ул. Жансугурова, д.11</v>
      </c>
      <c r="K734" s="34">
        <v>87771270207</v>
      </c>
      <c r="L734" s="36" t="str">
        <f t="shared" si="180"/>
        <v>MX4000002S0002354</v>
      </c>
      <c r="M734" s="36" t="str">
        <f t="shared" ca="1" si="189"/>
        <v>002-2013E30Q13-OK</v>
      </c>
      <c r="N734" s="36" t="str">
        <f t="shared" si="188"/>
        <v>Прицеп 2,0*1,25 м  (до 750 кг.)</v>
      </c>
      <c r="O734" s="36" t="str">
        <f t="shared" si="181"/>
        <v>1 ось</v>
      </c>
      <c r="P734" s="36">
        <f t="shared" si="182"/>
        <v>2025</v>
      </c>
      <c r="Q734" s="34" t="str">
        <f t="shared" ca="1" si="186"/>
        <v>3150*1700*900</v>
      </c>
      <c r="R734" s="34" t="str">
        <f t="shared" ca="1" si="187"/>
        <v>2000*1250*300</v>
      </c>
      <c r="S734" s="34" t="str">
        <f>VLOOKUP(O734,ОТТС!$A$2:$B$3,2,0)</f>
        <v>ТС KZ Е-KZ.0317.00251 от 28.02.2023</v>
      </c>
      <c r="T734" s="39">
        <v>400000</v>
      </c>
      <c r="U734" s="36" t="str">
        <f t="shared" si="185"/>
        <v>Алматы</v>
      </c>
    </row>
    <row r="735" spans="1:21" ht="13.2">
      <c r="A735" s="34">
        <v>1945</v>
      </c>
      <c r="B735" s="35">
        <f>VLOOKUP(A735,'Реестр договоров'!$A$2:$D$996,2,0)</f>
        <v>45996</v>
      </c>
      <c r="C735" s="36" t="str">
        <f t="shared" si="176"/>
        <v>Азбасов</v>
      </c>
      <c r="D735" s="36" t="str">
        <f t="shared" si="177"/>
        <v>Талгат</v>
      </c>
      <c r="E735" s="36" t="str">
        <f t="shared" si="175"/>
        <v>Сайлаубекович</v>
      </c>
      <c r="F735" s="36" t="str">
        <f t="shared" si="178"/>
        <v>050084239</v>
      </c>
      <c r="G735" s="37">
        <f>VLOOKUP(F735,Покупатели!$F$2:$N$762,2,0)</f>
        <v>44602</v>
      </c>
      <c r="H735" s="36" t="str">
        <f>VLOOKUP(F735,Покупатели!$F$2:$N$762,3,0)</f>
        <v>МВД РК</v>
      </c>
      <c r="I735" s="36">
        <f>VLOOKUP(C735,Покупатели!$C$2:$M$805,7,0)</f>
        <v>820415302083</v>
      </c>
      <c r="J735" s="36" t="str">
        <f ca="1">IFERROR(__xludf.DUMMYFUNCTION("JOIN("" "", VLOOKUP(C735,Покупатели,8,0),VLOOKUP(C735,Покупатели,9,0),VLOOKUP(C735,Покупатели,10,0),VLOOKUP(C735,Покупатели,11,0))"),"Жетысу обл. г.Уштобе пр-т Кунаева д.5, кв.4")</f>
        <v>Жетысу обл. г.Уштобе пр-т Кунаева д.5, кв.4</v>
      </c>
      <c r="K735" s="34">
        <v>87771270207</v>
      </c>
      <c r="L735" s="36" t="str">
        <f t="shared" si="180"/>
        <v>MX4000002S0002357</v>
      </c>
      <c r="M735" s="36" t="str">
        <f t="shared" ca="1" si="189"/>
        <v>002-2013E50Q13-OK</v>
      </c>
      <c r="N735" s="36" t="str">
        <f t="shared" si="188"/>
        <v>Прицеп 2,0*1,25 м  (до 750 кг.)</v>
      </c>
      <c r="O735" s="36" t="str">
        <f t="shared" si="181"/>
        <v>1 ось</v>
      </c>
      <c r="P735" s="36">
        <f t="shared" si="182"/>
        <v>2025</v>
      </c>
      <c r="Q735" s="34" t="str">
        <f t="shared" ca="1" si="186"/>
        <v>3150*1700*1070</v>
      </c>
      <c r="R735" s="34" t="str">
        <f t="shared" ca="1" si="187"/>
        <v>2000*1250*500</v>
      </c>
      <c r="S735" s="34" t="str">
        <f>VLOOKUP(O735,ОТТС!$A$2:$B$3,2,0)</f>
        <v>ТС KZ Е-KZ.0317.00251 от 28.02.2023</v>
      </c>
      <c r="T735" s="39">
        <v>350000</v>
      </c>
      <c r="U735" s="36" t="str">
        <f t="shared" si="185"/>
        <v>Алматы</v>
      </c>
    </row>
    <row r="736" spans="1:21" ht="13.2">
      <c r="A736" s="34">
        <v>1947</v>
      </c>
      <c r="B736" s="35">
        <f>VLOOKUP(A736,'Реестр договоров'!$A$2:$D$996,2,0)</f>
        <v>45998</v>
      </c>
      <c r="C736" s="36" t="str">
        <f t="shared" si="176"/>
        <v>Копбаев</v>
      </c>
      <c r="D736" s="36" t="str">
        <f t="shared" si="177"/>
        <v>Бакыт</v>
      </c>
      <c r="E736" s="36" t="str">
        <f t="shared" si="175"/>
        <v>Молдатаевич</v>
      </c>
      <c r="F736" s="36" t="str">
        <f t="shared" si="178"/>
        <v>061097603</v>
      </c>
      <c r="G736" s="37">
        <f>VLOOKUP(F736,Покупатели!$F$2:$N$762,2,0)</f>
        <v>45945</v>
      </c>
      <c r="H736" s="36" t="str">
        <f>VLOOKUP(F736,Покупатели!$F$2:$N$762,3,0)</f>
        <v>МВД РК</v>
      </c>
      <c r="I736" s="36">
        <f>VLOOKUP(C736,Покупатели!$C$2:$M$805,7,0)</f>
        <v>570813300671</v>
      </c>
      <c r="J736" s="36" t="str">
        <f ca="1">IFERROR(__xludf.DUMMYFUNCTION("JOIN("" "", VLOOKUP(C736,Покупатели,8,0),VLOOKUP(C736,Покупатели,9,0),VLOOKUP(C736,Покупатели,10,0),VLOOKUP(C736,Покупатели,11,0))"),"Жетысуская область, Коксуский район, с.Бескайнар, ул. Жетысу, д.14")</f>
        <v>Жетысуская область, Коксуский район, с.Бескайнар, ул. Жетысу, д.14</v>
      </c>
      <c r="K736" s="34">
        <v>87771270207</v>
      </c>
      <c r="L736" s="36" t="str">
        <f t="shared" si="180"/>
        <v>MX4000002S0002353</v>
      </c>
      <c r="M736" s="36" t="str">
        <f t="shared" ca="1" si="189"/>
        <v>002-2013E30Q13-OK</v>
      </c>
      <c r="N736" s="36" t="str">
        <f t="shared" si="188"/>
        <v>Прицеп 2,0*1,25 м  (до 750 кг.)</v>
      </c>
      <c r="O736" s="36" t="str">
        <f t="shared" si="181"/>
        <v>1 ось</v>
      </c>
      <c r="P736" s="36">
        <f t="shared" si="182"/>
        <v>2025</v>
      </c>
      <c r="Q736" s="34" t="str">
        <f t="shared" ca="1" si="186"/>
        <v>3150*1700*900</v>
      </c>
      <c r="R736" s="34" t="str">
        <f t="shared" ca="1" si="187"/>
        <v>2000*1250*300</v>
      </c>
      <c r="S736" s="34" t="str">
        <f>VLOOKUP(O736,ОТТС!$A$2:$B$3,2,0)</f>
        <v>ТС KZ Е-KZ.0317.00251 от 28.02.2023</v>
      </c>
      <c r="T736" s="39">
        <v>350000</v>
      </c>
      <c r="U736" s="36" t="str">
        <f t="shared" si="185"/>
        <v>Алматы</v>
      </c>
    </row>
    <row r="737" spans="1:21" ht="13.2">
      <c r="A737" s="34">
        <v>1948</v>
      </c>
      <c r="B737" s="35">
        <f>VLOOKUP(A737,'Реестр договоров'!$A$2:$D$996,2,0)</f>
        <v>45999</v>
      </c>
      <c r="C737" s="36" t="str">
        <f t="shared" si="176"/>
        <v>Ордабаев</v>
      </c>
      <c r="D737" s="36" t="str">
        <f t="shared" si="177"/>
        <v>Сабит</v>
      </c>
      <c r="E737" s="36" t="str">
        <f t="shared" si="175"/>
        <v>Мухаметович</v>
      </c>
      <c r="F737" s="36" t="str">
        <f t="shared" si="178"/>
        <v>049144441</v>
      </c>
      <c r="G737" s="37">
        <f>VLOOKUP(F737,Покупатели!$F$2:$N$762,2,0)</f>
        <v>44447</v>
      </c>
      <c r="H737" s="36" t="str">
        <f>VLOOKUP(F737,Покупатели!$F$2:$N$762,3,0)</f>
        <v>МВД РК</v>
      </c>
      <c r="I737" s="36">
        <f>VLOOKUP(C737,Покупатели!$C$2:$M$805,7,0)</f>
        <v>700612301864</v>
      </c>
      <c r="J737" s="36" t="str">
        <f ca="1">IFERROR(__xludf.DUMMYFUNCTION("JOIN("" "", VLOOKUP(C737,Покупатели,8,0),VLOOKUP(C737,Покупатели,9,0),VLOOKUP(C737,Покупатели,10,0),VLOOKUP(C737,Покупатели,11,0))"),"область Жетісу, Панфиловсский район, аул Атамекен, ул. Уалиханова, д.53")</f>
        <v>область Жетісу, Панфиловсский район, аул Атамекен, ул. Уалиханова, д.53</v>
      </c>
      <c r="K737" s="34">
        <v>87771270207</v>
      </c>
      <c r="L737" s="36" t="str">
        <f t="shared" si="180"/>
        <v>MX4000002S0002389</v>
      </c>
      <c r="M737" s="36" t="str">
        <f t="shared" ca="1" si="189"/>
        <v>002-2013E50Q13-OK</v>
      </c>
      <c r="N737" s="36" t="str">
        <f t="shared" si="188"/>
        <v>Прицеп 2,0*1,25 м  (до 750 кг.)</v>
      </c>
      <c r="O737" s="36" t="str">
        <f t="shared" si="181"/>
        <v>1 ось</v>
      </c>
      <c r="P737" s="36">
        <f t="shared" si="182"/>
        <v>2025</v>
      </c>
      <c r="Q737" s="34" t="str">
        <f t="shared" ca="1" si="186"/>
        <v>3150*1700*1070</v>
      </c>
      <c r="R737" s="34" t="str">
        <f t="shared" ca="1" si="187"/>
        <v>2000*1250*500</v>
      </c>
      <c r="S737" s="34" t="str">
        <f>VLOOKUP(O737,ОТТС!$A$2:$B$3,2,0)</f>
        <v>ТС KZ Е-KZ.0317.00251 от 28.02.2023</v>
      </c>
      <c r="T737" s="39">
        <v>360000</v>
      </c>
      <c r="U737" s="36" t="str">
        <f t="shared" si="185"/>
        <v>Алматы</v>
      </c>
    </row>
  </sheetData>
  <conditionalFormatting sqref="L2:L962">
    <cfRule type="expression" dxfId="4" priority="1">
      <formula>AND(NOT(ISBLANK(L1)), COUNTIF($L$1:$L962, "=" &amp; L1) &gt; 1)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'Реестр договоров'!$A$2:$A$996</xm:f>
          </x14:formula1>
          <xm:sqref>A2:A737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I142"/>
  <sheetViews>
    <sheetView workbookViewId="0">
      <selection sqref="A1:G1"/>
    </sheetView>
  </sheetViews>
  <sheetFormatPr defaultColWidth="12.6640625" defaultRowHeight="15.75" customHeight="1"/>
  <cols>
    <col min="1" max="1" width="11.44140625" customWidth="1"/>
    <col min="2" max="2" width="12.88671875" customWidth="1"/>
    <col min="3" max="3" width="11.109375" customWidth="1"/>
    <col min="4" max="4" width="7.88671875" customWidth="1"/>
    <col min="8" max="8" width="10.33203125" customWidth="1"/>
    <col min="9" max="9" width="16" customWidth="1"/>
  </cols>
  <sheetData>
    <row r="1" spans="1:9" ht="15.6">
      <c r="A1" s="281" t="s">
        <v>947</v>
      </c>
      <c r="B1" s="249"/>
      <c r="C1" s="249"/>
      <c r="D1" s="249"/>
      <c r="E1" s="249"/>
      <c r="F1" s="249"/>
      <c r="G1" s="249"/>
      <c r="H1" s="40">
        <v>1948</v>
      </c>
      <c r="I1" s="41"/>
    </row>
    <row r="2" spans="1:9" ht="15.6">
      <c r="A2" s="42"/>
      <c r="B2" s="43"/>
      <c r="C2" s="43"/>
      <c r="D2" s="43"/>
      <c r="E2" s="43"/>
      <c r="F2" s="43"/>
      <c r="G2" s="43"/>
      <c r="H2" s="43"/>
      <c r="I2" s="43"/>
    </row>
    <row r="3" spans="1:9" ht="15">
      <c r="A3" s="44" t="str">
        <f>VLOOKUP(H1,Сводная_таблица,21,0)</f>
        <v>Алматы</v>
      </c>
      <c r="B3" s="43"/>
      <c r="C3" s="43"/>
      <c r="D3" s="43"/>
      <c r="E3" s="43"/>
      <c r="F3" s="43"/>
      <c r="G3" s="43"/>
      <c r="H3" s="43"/>
      <c r="I3" s="45">
        <f>VLOOKUP(H1,Сводная_таблица,2,0)</f>
        <v>45999</v>
      </c>
    </row>
    <row r="4" spans="1:9" ht="15">
      <c r="A4" s="46"/>
      <c r="B4" s="43"/>
      <c r="C4" s="43"/>
      <c r="D4" s="43"/>
      <c r="E4" s="43"/>
      <c r="F4" s="43"/>
      <c r="G4" s="43"/>
      <c r="H4" s="43"/>
      <c r="I4" s="43"/>
    </row>
    <row r="5" spans="1:9" ht="33" customHeight="1">
      <c r="A5" s="267" t="s">
        <v>948</v>
      </c>
      <c r="B5" s="249"/>
      <c r="C5" s="249"/>
      <c r="D5" s="249"/>
      <c r="E5" s="249"/>
      <c r="F5" s="249"/>
      <c r="G5" s="249"/>
      <c r="H5" s="249"/>
      <c r="I5" s="249"/>
    </row>
    <row r="6" spans="1:9" ht="15.6">
      <c r="A6" s="282" t="str">
        <f>VLOOKUP(H1,Сводная_таблица,3,0)</f>
        <v>Ордабаев</v>
      </c>
      <c r="B6" s="249"/>
      <c r="C6" s="282" t="str">
        <f>VLOOKUP(H1,Сводная_таблица,4,0)</f>
        <v>Сабит</v>
      </c>
      <c r="D6" s="249"/>
      <c r="E6" s="283" t="str">
        <f>VLOOKUP(H1,Сводная_таблица,5,0)</f>
        <v>Мухаметович</v>
      </c>
      <c r="F6" s="249"/>
      <c r="G6" s="249"/>
      <c r="H6" s="43"/>
      <c r="I6" s="43"/>
    </row>
    <row r="7" spans="1:9" ht="15.6">
      <c r="A7" s="44" t="s">
        <v>949</v>
      </c>
      <c r="B7" s="43"/>
      <c r="C7" s="47" t="str">
        <f>VLOOKUP(H1,Сводная_таблица,6,0)</f>
        <v>049144441</v>
      </c>
      <c r="D7" s="48" t="s">
        <v>950</v>
      </c>
      <c r="E7" s="49">
        <f>VLOOKUP(H1,Сводная_таблица,7,0)</f>
        <v>44447</v>
      </c>
      <c r="F7" s="50" t="s">
        <v>951</v>
      </c>
      <c r="G7" s="51" t="str">
        <f>VLOOKUP(H1,Сводная_таблица,8,0)</f>
        <v>МВД РК</v>
      </c>
      <c r="H7" s="43"/>
      <c r="I7" s="48"/>
    </row>
    <row r="8" spans="1:9" ht="13.2">
      <c r="A8" s="284" t="s">
        <v>952</v>
      </c>
      <c r="B8" s="249"/>
      <c r="C8" s="249"/>
      <c r="D8" s="249"/>
      <c r="E8" s="249"/>
      <c r="F8" s="249"/>
      <c r="G8" s="249"/>
      <c r="H8" s="249"/>
      <c r="I8" s="249"/>
    </row>
    <row r="9" spans="1:9" ht="15.6">
      <c r="A9" s="52"/>
      <c r="B9" s="41"/>
      <c r="C9" s="41"/>
      <c r="D9" s="41"/>
      <c r="E9" s="41"/>
      <c r="F9" s="41"/>
      <c r="G9" s="41"/>
      <c r="H9" s="41"/>
      <c r="I9" s="41"/>
    </row>
    <row r="10" spans="1:9" ht="15.6">
      <c r="A10" s="264" t="s">
        <v>953</v>
      </c>
      <c r="B10" s="249"/>
      <c r="C10" s="249"/>
      <c r="D10" s="249"/>
      <c r="E10" s="249"/>
      <c r="F10" s="249"/>
      <c r="G10" s="249"/>
      <c r="H10" s="249"/>
      <c r="I10" s="249"/>
    </row>
    <row r="11" spans="1:9" ht="13.2">
      <c r="A11" s="267" t="s">
        <v>954</v>
      </c>
      <c r="B11" s="249"/>
      <c r="C11" s="249"/>
      <c r="D11" s="249"/>
      <c r="E11" s="249"/>
      <c r="F11" s="249"/>
      <c r="G11" s="249"/>
      <c r="H11" s="249"/>
      <c r="I11" s="249"/>
    </row>
    <row r="12" spans="1:9" ht="13.2">
      <c r="A12" s="267" t="s">
        <v>955</v>
      </c>
      <c r="B12" s="249"/>
      <c r="C12" s="249"/>
      <c r="D12" s="249"/>
      <c r="E12" s="249"/>
      <c r="F12" s="249"/>
      <c r="G12" s="249"/>
      <c r="H12" s="249"/>
      <c r="I12" s="249"/>
    </row>
    <row r="13" spans="1:9" ht="13.2">
      <c r="A13" s="267" t="s">
        <v>956</v>
      </c>
      <c r="B13" s="249"/>
      <c r="C13" s="249"/>
      <c r="D13" s="249"/>
      <c r="E13" s="249"/>
      <c r="F13" s="249"/>
      <c r="G13" s="249"/>
      <c r="H13" s="249"/>
      <c r="I13" s="249"/>
    </row>
    <row r="14" spans="1:9" ht="13.2">
      <c r="A14" s="267" t="s">
        <v>957</v>
      </c>
      <c r="B14" s="249"/>
      <c r="C14" s="249"/>
      <c r="D14" s="249"/>
      <c r="E14" s="249"/>
      <c r="F14" s="249"/>
      <c r="G14" s="249"/>
      <c r="H14" s="249"/>
      <c r="I14" s="249"/>
    </row>
    <row r="15" spans="1:9" ht="13.2">
      <c r="A15" s="267" t="s">
        <v>958</v>
      </c>
      <c r="B15" s="249"/>
      <c r="C15" s="249"/>
      <c r="D15" s="249"/>
      <c r="E15" s="249"/>
      <c r="F15" s="249"/>
      <c r="G15" s="249"/>
      <c r="H15" s="249"/>
      <c r="I15" s="249"/>
    </row>
    <row r="16" spans="1:9" ht="15">
      <c r="A16" s="46"/>
      <c r="B16" s="43"/>
      <c r="C16" s="43"/>
      <c r="D16" s="43"/>
      <c r="E16" s="43"/>
      <c r="F16" s="43"/>
      <c r="G16" s="43"/>
      <c r="H16" s="43"/>
      <c r="I16" s="43"/>
    </row>
    <row r="17" spans="1:9" ht="15.6">
      <c r="A17" s="264" t="s">
        <v>959</v>
      </c>
      <c r="B17" s="249"/>
      <c r="C17" s="249"/>
      <c r="D17" s="249"/>
      <c r="E17" s="249"/>
      <c r="F17" s="249"/>
      <c r="G17" s="249"/>
      <c r="H17" s="249"/>
      <c r="I17" s="249"/>
    </row>
    <row r="18" spans="1:9" ht="15">
      <c r="A18" s="44" t="s">
        <v>960</v>
      </c>
      <c r="B18" s="43"/>
      <c r="C18" s="43"/>
      <c r="D18" s="43"/>
      <c r="E18" s="43"/>
      <c r="F18" s="43"/>
      <c r="G18" s="43"/>
      <c r="H18" s="43"/>
      <c r="I18" s="43"/>
    </row>
    <row r="19" spans="1:9" ht="15">
      <c r="A19" s="44" t="s">
        <v>961</v>
      </c>
      <c r="B19" s="43"/>
      <c r="C19" s="43"/>
      <c r="D19" s="43"/>
      <c r="E19" s="43"/>
      <c r="F19" s="43"/>
      <c r="G19" s="43"/>
      <c r="H19" s="43"/>
      <c r="I19" s="43"/>
    </row>
    <row r="20" spans="1:9" ht="13.2">
      <c r="A20" s="267" t="s">
        <v>962</v>
      </c>
      <c r="B20" s="249"/>
      <c r="C20" s="249"/>
      <c r="D20" s="249"/>
      <c r="E20" s="249"/>
      <c r="F20" s="249"/>
      <c r="G20" s="249"/>
      <c r="H20" s="249"/>
      <c r="I20" s="249"/>
    </row>
    <row r="21" spans="1:9" ht="13.2">
      <c r="A21" s="267" t="s">
        <v>963</v>
      </c>
      <c r="B21" s="249"/>
      <c r="C21" s="249"/>
      <c r="D21" s="249"/>
      <c r="E21" s="249"/>
      <c r="F21" s="249"/>
      <c r="G21" s="249"/>
      <c r="H21" s="249"/>
      <c r="I21" s="249"/>
    </row>
    <row r="22" spans="1:9" ht="13.2">
      <c r="A22" s="267" t="s">
        <v>964</v>
      </c>
      <c r="B22" s="249"/>
      <c r="C22" s="249"/>
      <c r="D22" s="249"/>
      <c r="E22" s="249"/>
      <c r="F22" s="249"/>
      <c r="G22" s="249"/>
      <c r="H22" s="249"/>
      <c r="I22" s="249"/>
    </row>
    <row r="23" spans="1:9" ht="15">
      <c r="A23" s="43"/>
      <c r="B23" s="44" t="s">
        <v>965</v>
      </c>
      <c r="C23" s="44"/>
      <c r="D23" s="43"/>
      <c r="E23" s="43"/>
      <c r="F23" s="43"/>
      <c r="G23" s="43"/>
      <c r="H23" s="43"/>
      <c r="I23" s="43"/>
    </row>
    <row r="24" spans="1:9" ht="15">
      <c r="A24" s="43"/>
      <c r="B24" s="44" t="s">
        <v>966</v>
      </c>
      <c r="C24" s="44"/>
      <c r="D24" s="43"/>
      <c r="E24" s="43"/>
      <c r="F24" s="43"/>
      <c r="G24" s="43"/>
      <c r="H24" s="43"/>
      <c r="I24" s="43"/>
    </row>
    <row r="25" spans="1:9" ht="15">
      <c r="A25" s="43"/>
      <c r="B25" s="44" t="s">
        <v>967</v>
      </c>
      <c r="C25" s="44"/>
      <c r="D25" s="43"/>
      <c r="E25" s="43"/>
      <c r="F25" s="43"/>
      <c r="G25" s="43"/>
      <c r="H25" s="43"/>
      <c r="I25" s="43"/>
    </row>
    <row r="26" spans="1:9" ht="15">
      <c r="A26" s="43"/>
      <c r="B26" s="44" t="s">
        <v>968</v>
      </c>
      <c r="C26" s="44"/>
      <c r="D26" s="43"/>
      <c r="E26" s="43"/>
      <c r="F26" s="43"/>
      <c r="G26" s="43"/>
      <c r="H26" s="43"/>
      <c r="I26" s="43"/>
    </row>
    <row r="27" spans="1:9" ht="15">
      <c r="A27" s="43"/>
      <c r="B27" s="44" t="s">
        <v>969</v>
      </c>
      <c r="C27" s="44"/>
      <c r="D27" s="43"/>
      <c r="E27" s="43"/>
      <c r="F27" s="43"/>
      <c r="G27" s="43"/>
      <c r="H27" s="43"/>
      <c r="I27" s="43"/>
    </row>
    <row r="28" spans="1:9" ht="15">
      <c r="A28" s="43"/>
      <c r="B28" s="44" t="s">
        <v>970</v>
      </c>
      <c r="C28" s="44"/>
      <c r="D28" s="43"/>
      <c r="E28" s="43"/>
      <c r="F28" s="43"/>
      <c r="G28" s="43"/>
      <c r="H28" s="43"/>
      <c r="I28" s="43"/>
    </row>
    <row r="29" spans="1:9" ht="15">
      <c r="A29" s="46"/>
      <c r="B29" s="43"/>
      <c r="C29" s="43"/>
      <c r="D29" s="43"/>
      <c r="E29" s="43"/>
      <c r="F29" s="43"/>
      <c r="G29" s="43"/>
      <c r="H29" s="43"/>
      <c r="I29" s="43"/>
    </row>
    <row r="30" spans="1:9" ht="15.6">
      <c r="A30" s="264" t="s">
        <v>971</v>
      </c>
      <c r="B30" s="249"/>
      <c r="C30" s="249"/>
      <c r="D30" s="249"/>
      <c r="E30" s="249"/>
      <c r="F30" s="249"/>
      <c r="G30" s="249"/>
      <c r="H30" s="249"/>
      <c r="I30" s="249"/>
    </row>
    <row r="31" spans="1:9" ht="13.2">
      <c r="A31" s="267" t="s">
        <v>972</v>
      </c>
      <c r="B31" s="249"/>
      <c r="C31" s="249"/>
      <c r="D31" s="249"/>
      <c r="E31" s="249"/>
      <c r="F31" s="249"/>
      <c r="G31" s="249"/>
      <c r="H31" s="249"/>
      <c r="I31" s="249"/>
    </row>
    <row r="32" spans="1:9" ht="13.2">
      <c r="A32" s="267" t="s">
        <v>973</v>
      </c>
      <c r="B32" s="249"/>
      <c r="C32" s="249"/>
      <c r="D32" s="249"/>
      <c r="E32" s="249"/>
      <c r="F32" s="249"/>
      <c r="G32" s="249"/>
      <c r="H32" s="249"/>
      <c r="I32" s="249"/>
    </row>
    <row r="33" spans="1:9" ht="13.2">
      <c r="A33" s="267" t="s">
        <v>974</v>
      </c>
      <c r="B33" s="249"/>
      <c r="C33" s="249"/>
      <c r="D33" s="249"/>
      <c r="E33" s="249"/>
      <c r="F33" s="249"/>
      <c r="G33" s="249"/>
      <c r="H33" s="249"/>
      <c r="I33" s="249"/>
    </row>
    <row r="34" spans="1:9" ht="13.2">
      <c r="A34" s="267" t="s">
        <v>975</v>
      </c>
      <c r="B34" s="249"/>
      <c r="C34" s="249"/>
      <c r="D34" s="249"/>
      <c r="E34" s="249"/>
      <c r="F34" s="249"/>
      <c r="G34" s="249"/>
      <c r="H34" s="249"/>
      <c r="I34" s="249"/>
    </row>
    <row r="35" spans="1:9" ht="13.2">
      <c r="A35" s="267" t="s">
        <v>976</v>
      </c>
      <c r="B35" s="249"/>
      <c r="C35" s="249"/>
      <c r="D35" s="249"/>
      <c r="E35" s="249"/>
      <c r="F35" s="249"/>
      <c r="G35" s="249"/>
      <c r="H35" s="249"/>
      <c r="I35" s="249"/>
    </row>
    <row r="36" spans="1:9" ht="13.2">
      <c r="A36" s="267" t="s">
        <v>977</v>
      </c>
      <c r="B36" s="249"/>
      <c r="C36" s="249"/>
      <c r="D36" s="249"/>
      <c r="E36" s="249"/>
      <c r="F36" s="249"/>
      <c r="G36" s="249"/>
      <c r="H36" s="249"/>
      <c r="I36" s="249"/>
    </row>
    <row r="37" spans="1:9" ht="13.2">
      <c r="A37" s="267" t="s">
        <v>978</v>
      </c>
      <c r="B37" s="249"/>
      <c r="C37" s="249"/>
      <c r="D37" s="249"/>
      <c r="E37" s="249"/>
      <c r="F37" s="249"/>
      <c r="G37" s="249"/>
      <c r="H37" s="249"/>
      <c r="I37" s="249"/>
    </row>
    <row r="38" spans="1:9" ht="15">
      <c r="A38" s="46"/>
      <c r="B38" s="43"/>
      <c r="C38" s="43"/>
      <c r="D38" s="43"/>
      <c r="E38" s="43"/>
      <c r="F38" s="43"/>
      <c r="G38" s="43"/>
      <c r="H38" s="43"/>
      <c r="I38" s="43"/>
    </row>
    <row r="39" spans="1:9" ht="15.6">
      <c r="A39" s="264" t="s">
        <v>979</v>
      </c>
      <c r="B39" s="249"/>
      <c r="C39" s="249"/>
      <c r="D39" s="249"/>
      <c r="E39" s="249"/>
      <c r="F39" s="249"/>
      <c r="G39" s="249"/>
      <c r="H39" s="249"/>
      <c r="I39" s="249"/>
    </row>
    <row r="40" spans="1:9" ht="13.2">
      <c r="A40" s="267" t="s">
        <v>980</v>
      </c>
      <c r="B40" s="249"/>
      <c r="C40" s="249"/>
      <c r="D40" s="249"/>
      <c r="E40" s="249"/>
      <c r="F40" s="249"/>
      <c r="G40" s="249"/>
      <c r="H40" s="249"/>
      <c r="I40" s="249"/>
    </row>
    <row r="41" spans="1:9" ht="13.2">
      <c r="A41" s="267" t="s">
        <v>981</v>
      </c>
      <c r="B41" s="249"/>
      <c r="C41" s="249"/>
      <c r="D41" s="249"/>
      <c r="E41" s="249"/>
      <c r="F41" s="249"/>
      <c r="G41" s="249"/>
      <c r="H41" s="249"/>
      <c r="I41" s="249"/>
    </row>
    <row r="42" spans="1:9" ht="15">
      <c r="A42" s="46"/>
      <c r="B42" s="43"/>
      <c r="C42" s="43"/>
      <c r="D42" s="43"/>
      <c r="E42" s="43"/>
      <c r="F42" s="43"/>
      <c r="G42" s="43"/>
      <c r="H42" s="43"/>
      <c r="I42" s="43"/>
    </row>
    <row r="43" spans="1:9" ht="15">
      <c r="A43" s="46"/>
      <c r="B43" s="43"/>
      <c r="C43" s="43"/>
      <c r="D43" s="43"/>
      <c r="E43" s="43"/>
      <c r="F43" s="43"/>
      <c r="G43" s="43"/>
      <c r="H43" s="43"/>
      <c r="I43" s="43"/>
    </row>
    <row r="44" spans="1:9" ht="15.6">
      <c r="A44" s="264" t="s">
        <v>982</v>
      </c>
      <c r="B44" s="249"/>
      <c r="C44" s="249"/>
      <c r="D44" s="249"/>
      <c r="E44" s="249"/>
      <c r="F44" s="249"/>
      <c r="G44" s="249"/>
      <c r="H44" s="249"/>
      <c r="I44" s="249"/>
    </row>
    <row r="45" spans="1:9" ht="13.2">
      <c r="A45" s="267" t="s">
        <v>983</v>
      </c>
      <c r="B45" s="249"/>
      <c r="C45" s="249"/>
      <c r="D45" s="249"/>
      <c r="E45" s="249"/>
      <c r="F45" s="249"/>
      <c r="G45" s="249"/>
      <c r="H45" s="249"/>
      <c r="I45" s="249"/>
    </row>
    <row r="46" spans="1:9" ht="13.2">
      <c r="A46" s="267" t="s">
        <v>984</v>
      </c>
      <c r="B46" s="249"/>
      <c r="C46" s="249"/>
      <c r="D46" s="249"/>
      <c r="E46" s="249"/>
      <c r="F46" s="249"/>
      <c r="G46" s="249"/>
      <c r="H46" s="249"/>
      <c r="I46" s="249"/>
    </row>
    <row r="47" spans="1:9" ht="13.2">
      <c r="A47" s="267" t="s">
        <v>985</v>
      </c>
      <c r="B47" s="249"/>
      <c r="C47" s="249"/>
      <c r="D47" s="249"/>
      <c r="E47" s="249"/>
      <c r="F47" s="249"/>
      <c r="G47" s="249"/>
      <c r="H47" s="249"/>
      <c r="I47" s="249"/>
    </row>
    <row r="48" spans="1:9" ht="15">
      <c r="A48" s="46"/>
      <c r="B48" s="43"/>
      <c r="C48" s="43"/>
      <c r="D48" s="43"/>
      <c r="E48" s="43"/>
      <c r="F48" s="43"/>
      <c r="G48" s="43"/>
      <c r="H48" s="43"/>
      <c r="I48" s="43"/>
    </row>
    <row r="49" spans="1:9" ht="15">
      <c r="A49" s="46"/>
      <c r="B49" s="43"/>
      <c r="C49" s="43"/>
      <c r="D49" s="43"/>
      <c r="E49" s="43"/>
      <c r="F49" s="43"/>
      <c r="G49" s="43"/>
      <c r="H49" s="43"/>
      <c r="I49" s="43"/>
    </row>
    <row r="50" spans="1:9" ht="13.8">
      <c r="A50" s="272" t="s">
        <v>986</v>
      </c>
      <c r="B50" s="270"/>
      <c r="C50" s="270"/>
      <c r="D50" s="270"/>
      <c r="E50" s="271"/>
      <c r="F50" s="274" t="s">
        <v>987</v>
      </c>
      <c r="G50" s="246"/>
      <c r="H50" s="246"/>
      <c r="I50" s="247"/>
    </row>
    <row r="51" spans="1:9" ht="15.6">
      <c r="A51" s="275" t="s">
        <v>988</v>
      </c>
      <c r="B51" s="246"/>
      <c r="C51" s="246"/>
      <c r="D51" s="246"/>
      <c r="E51" s="247"/>
      <c r="F51" s="275" t="s">
        <v>989</v>
      </c>
      <c r="G51" s="246"/>
      <c r="H51" s="246"/>
      <c r="I51" s="247"/>
    </row>
    <row r="52" spans="1:9" ht="15.6">
      <c r="A52" s="276"/>
      <c r="B52" s="249"/>
      <c r="C52" s="249"/>
      <c r="D52" s="249"/>
      <c r="E52" s="250"/>
      <c r="F52" s="259" t="str">
        <f>CONCATENATE($A$6," ",$C$6," ",$E$6)</f>
        <v>Ордабаев Сабит Мухаметович</v>
      </c>
      <c r="G52" s="249"/>
      <c r="H52" s="249"/>
      <c r="I52" s="250"/>
    </row>
    <row r="53" spans="1:9" ht="13.8">
      <c r="A53" s="260" t="s">
        <v>990</v>
      </c>
      <c r="B53" s="249"/>
      <c r="C53" s="249"/>
      <c r="D53" s="249"/>
      <c r="E53" s="250"/>
      <c r="F53" s="263" t="str">
        <f ca="1">VLOOKUP($H$1,Сводная_таблица,10,0)</f>
        <v>область Жетісу, Панфиловсский район, аул Атамекен, ул. Уалиханова, д.53</v>
      </c>
      <c r="G53" s="249"/>
      <c r="H53" s="249"/>
      <c r="I53" s="250"/>
    </row>
    <row r="54" spans="1:9" ht="15.6">
      <c r="A54" s="259" t="s">
        <v>991</v>
      </c>
      <c r="B54" s="249"/>
      <c r="C54" s="249"/>
      <c r="D54" s="249"/>
      <c r="E54" s="250"/>
      <c r="F54" s="259" t="str">
        <f>CONCATENATE("ИИН ",VLOOKUP($H$1,Сводная_таблица,9,0))</f>
        <v>ИИН 700612301864</v>
      </c>
      <c r="G54" s="249"/>
      <c r="H54" s="249"/>
      <c r="I54" s="250"/>
    </row>
    <row r="55" spans="1:9" ht="15.6">
      <c r="A55" s="259" t="s">
        <v>992</v>
      </c>
      <c r="B55" s="249"/>
      <c r="C55" s="249"/>
      <c r="D55" s="249"/>
      <c r="E55" s="250"/>
      <c r="F55" s="263" t="str">
        <f>CONCATENATE($A$7," ",$C$7," ",$D$7," ",$E$7," ",$F$7," ",$G$7)</f>
        <v>Удостоверение личности № 049144441 от 44447 выдано МВД РК</v>
      </c>
      <c r="G55" s="249"/>
      <c r="H55" s="249"/>
      <c r="I55" s="250"/>
    </row>
    <row r="56" spans="1:9" ht="15.6">
      <c r="A56" s="260" t="s">
        <v>993</v>
      </c>
      <c r="B56" s="249"/>
      <c r="C56" s="249"/>
      <c r="D56" s="249"/>
      <c r="E56" s="250"/>
      <c r="F56" s="53" t="s">
        <v>994</v>
      </c>
      <c r="G56" s="54">
        <f>VLOOKUP($H$1,Сводная_таблица,11,0)</f>
        <v>87771270207</v>
      </c>
      <c r="H56" s="55"/>
      <c r="I56" s="56"/>
    </row>
    <row r="57" spans="1:9" ht="15.6">
      <c r="A57" s="259" t="s">
        <v>995</v>
      </c>
      <c r="B57" s="249"/>
      <c r="C57" s="249"/>
      <c r="D57" s="249"/>
      <c r="E57" s="250"/>
      <c r="F57" s="57"/>
      <c r="G57" s="55"/>
      <c r="H57" s="55"/>
      <c r="I57" s="56"/>
    </row>
    <row r="58" spans="1:9" ht="15.6">
      <c r="A58" s="260" t="s">
        <v>996</v>
      </c>
      <c r="B58" s="249"/>
      <c r="C58" s="249"/>
      <c r="D58" s="249"/>
      <c r="E58" s="250"/>
      <c r="F58" s="57"/>
      <c r="G58" s="55"/>
      <c r="H58" s="55"/>
      <c r="I58" s="56"/>
    </row>
    <row r="59" spans="1:9" ht="15.6">
      <c r="A59" s="260"/>
      <c r="B59" s="249"/>
      <c r="C59" s="249"/>
      <c r="D59" s="249"/>
      <c r="E59" s="250"/>
      <c r="F59" s="57"/>
      <c r="G59" s="55"/>
      <c r="H59" s="55"/>
      <c r="I59" s="56"/>
    </row>
    <row r="60" spans="1:9" ht="15.6">
      <c r="A60" s="260" t="s">
        <v>997</v>
      </c>
      <c r="B60" s="249"/>
      <c r="C60" s="249"/>
      <c r="D60" s="249"/>
      <c r="E60" s="250"/>
      <c r="F60" s="57"/>
      <c r="G60" s="55"/>
      <c r="H60" s="55"/>
      <c r="I60" s="56"/>
    </row>
    <row r="61" spans="1:9" ht="15.6">
      <c r="A61" s="261" t="s">
        <v>998</v>
      </c>
      <c r="B61" s="252"/>
      <c r="C61" s="252"/>
      <c r="D61" s="252"/>
      <c r="E61" s="253"/>
      <c r="F61" s="57"/>
      <c r="G61" s="55"/>
      <c r="H61" s="55"/>
      <c r="I61" s="56"/>
    </row>
    <row r="62" spans="1:9" ht="13.8">
      <c r="A62" s="262" t="s">
        <v>999</v>
      </c>
      <c r="B62" s="246"/>
      <c r="C62" s="246"/>
      <c r="D62" s="246"/>
      <c r="E62" s="247"/>
      <c r="F62" s="257" t="s">
        <v>1000</v>
      </c>
      <c r="G62" s="246"/>
      <c r="H62" s="246"/>
      <c r="I62" s="247"/>
    </row>
    <row r="63" spans="1:9" ht="15.6">
      <c r="A63" s="261"/>
      <c r="B63" s="252"/>
      <c r="C63" s="58"/>
      <c r="D63" s="58"/>
      <c r="E63" s="59" t="s">
        <v>1001</v>
      </c>
      <c r="F63" s="258" t="str">
        <f>$F$52</f>
        <v>Ордабаев Сабит Мухаметович</v>
      </c>
      <c r="G63" s="252"/>
      <c r="H63" s="252"/>
      <c r="I63" s="253"/>
    </row>
    <row r="64" spans="1:9" ht="15">
      <c r="A64" s="60"/>
      <c r="B64" s="43"/>
      <c r="C64" s="43"/>
      <c r="D64" s="43"/>
      <c r="E64" s="43"/>
      <c r="F64" s="43"/>
      <c r="G64" s="43"/>
      <c r="H64" s="43"/>
      <c r="I64" s="43"/>
    </row>
    <row r="65" spans="1:9" ht="15">
      <c r="A65" s="60"/>
      <c r="B65" s="43"/>
      <c r="C65" s="43"/>
      <c r="D65" s="43"/>
      <c r="E65" s="43"/>
      <c r="F65" s="43"/>
      <c r="G65" s="43"/>
      <c r="H65" s="43"/>
      <c r="I65" s="43"/>
    </row>
    <row r="66" spans="1:9" ht="15">
      <c r="A66" s="60"/>
      <c r="B66" s="43"/>
      <c r="C66" s="43"/>
      <c r="D66" s="43"/>
      <c r="E66" s="43"/>
      <c r="F66" s="43"/>
      <c r="G66" s="43"/>
      <c r="H66" s="43"/>
      <c r="I66" s="43"/>
    </row>
    <row r="67" spans="1:9" ht="15.6">
      <c r="A67" s="264" t="s">
        <v>1002</v>
      </c>
      <c r="B67" s="249"/>
      <c r="C67" s="249"/>
      <c r="D67" s="249"/>
      <c r="E67" s="249"/>
      <c r="F67" s="249"/>
      <c r="G67" s="249"/>
      <c r="H67" s="249"/>
      <c r="I67" s="249"/>
    </row>
    <row r="68" spans="1:9" ht="15.6">
      <c r="A68" s="42"/>
      <c r="B68" s="43"/>
      <c r="C68" s="43"/>
      <c r="D68" s="43"/>
      <c r="E68" s="43"/>
      <c r="F68" s="43"/>
      <c r="G68" s="43"/>
      <c r="H68" s="43"/>
      <c r="I68" s="43"/>
    </row>
    <row r="69" spans="1:9" ht="15.6">
      <c r="A69" s="264" t="s">
        <v>1003</v>
      </c>
      <c r="B69" s="249"/>
      <c r="C69" s="249"/>
      <c r="D69" s="249"/>
      <c r="E69" s="249"/>
      <c r="F69" s="249"/>
      <c r="G69" s="249"/>
      <c r="H69" s="249"/>
      <c r="I69" s="249"/>
    </row>
    <row r="70" spans="1:9" ht="15.6">
      <c r="A70" s="42"/>
      <c r="B70" s="43"/>
      <c r="C70" s="43"/>
      <c r="D70" s="43"/>
      <c r="E70" s="43"/>
      <c r="F70" s="43"/>
      <c r="G70" s="43"/>
      <c r="H70" s="43"/>
      <c r="I70" s="43"/>
    </row>
    <row r="71" spans="1:9" ht="15">
      <c r="A71" s="61" t="str">
        <f>A3</f>
        <v>Алматы</v>
      </c>
      <c r="B71" s="43"/>
      <c r="C71" s="43"/>
      <c r="D71" s="43"/>
      <c r="E71" s="43"/>
      <c r="F71" s="43"/>
      <c r="G71" s="43"/>
      <c r="H71" s="43"/>
      <c r="I71" s="62">
        <f>I3</f>
        <v>45999</v>
      </c>
    </row>
    <row r="72" spans="1:9" ht="15">
      <c r="A72" s="63"/>
      <c r="B72" s="43"/>
      <c r="C72" s="43"/>
      <c r="D72" s="43"/>
      <c r="E72" s="43"/>
      <c r="F72" s="43"/>
      <c r="G72" s="43"/>
      <c r="H72" s="43"/>
      <c r="I72" s="43"/>
    </row>
    <row r="73" spans="1:9" ht="15.6">
      <c r="A73" s="43"/>
      <c r="B73" s="265" t="s">
        <v>1004</v>
      </c>
      <c r="C73" s="249"/>
      <c r="D73" s="249"/>
      <c r="E73" s="249"/>
      <c r="F73" s="249"/>
      <c r="G73" s="249"/>
      <c r="H73" s="249"/>
      <c r="I73" s="249"/>
    </row>
    <row r="74" spans="1:9" ht="15.6">
      <c r="A74" s="43"/>
      <c r="B74" s="266" t="s">
        <v>1005</v>
      </c>
      <c r="C74" s="249"/>
      <c r="D74" s="249"/>
      <c r="E74" s="266" t="str">
        <f>F52</f>
        <v>Ордабаев Сабит Мухаметович</v>
      </c>
      <c r="F74" s="249"/>
      <c r="G74" s="249"/>
      <c r="H74" s="66" t="s">
        <v>1006</v>
      </c>
      <c r="I74" s="65"/>
    </row>
    <row r="75" spans="1:9" ht="33.75" customHeight="1">
      <c r="A75" s="267" t="s">
        <v>1007</v>
      </c>
      <c r="B75" s="249"/>
      <c r="C75" s="249"/>
      <c r="D75" s="249"/>
      <c r="E75" s="249"/>
      <c r="F75" s="249"/>
      <c r="G75" s="249"/>
      <c r="H75" s="249"/>
      <c r="I75" s="249"/>
    </row>
    <row r="76" spans="1:9" ht="13.8">
      <c r="A76" s="268" t="s">
        <v>1008</v>
      </c>
      <c r="B76" s="249"/>
      <c r="C76" s="249"/>
      <c r="D76" s="249"/>
      <c r="E76" s="249"/>
      <c r="F76" s="249"/>
      <c r="G76" s="249"/>
      <c r="H76" s="249"/>
      <c r="I76" s="249"/>
    </row>
    <row r="77" spans="1:9" ht="15.6">
      <c r="A77" s="68" t="str">
        <f>CONCATENATE("№",H1)</f>
        <v>№1948</v>
      </c>
      <c r="B77" s="43"/>
      <c r="C77" s="43"/>
      <c r="D77" s="43"/>
      <c r="E77" s="43"/>
      <c r="F77" s="43"/>
      <c r="G77" s="43"/>
      <c r="H77" s="43"/>
      <c r="I77" s="43"/>
    </row>
    <row r="78" spans="1:9" ht="15.6">
      <c r="A78" s="69" t="s">
        <v>1009</v>
      </c>
      <c r="B78" s="269" t="s">
        <v>1010</v>
      </c>
      <c r="C78" s="270"/>
      <c r="D78" s="271"/>
      <c r="E78" s="272" t="s">
        <v>101</v>
      </c>
      <c r="F78" s="271"/>
      <c r="G78" s="272" t="s">
        <v>1011</v>
      </c>
      <c r="H78" s="270"/>
      <c r="I78" s="271"/>
    </row>
    <row r="79" spans="1:9" ht="13.2">
      <c r="A79" s="242" t="s">
        <v>1012</v>
      </c>
      <c r="B79" s="245" t="str">
        <f>CONCATENATE("Прицеп к легковому автомобилю
Производство РК,
Год выпуска ",VLOOKUP(H1,Сводная_таблица,16,0))</f>
        <v>Прицеп к легковому автомобилю
Производство РК,
Год выпуска 2025</v>
      </c>
      <c r="C79" s="246"/>
      <c r="D79" s="247"/>
      <c r="E79" s="255" t="str">
        <f>VLOOKUP(H1,'Сводная таблица ФЛ'!$A$1:$U$799,12,0)</f>
        <v>MX4000002S0002389</v>
      </c>
      <c r="F79" s="247"/>
      <c r="G79" s="257" t="str">
        <f>IF(VLOOKUP(H1,Сводная_таблица,15,0)="1 ось", "Прицепы одноосные (О1), категория «В»", "Прицепы двухосные (О2), категория «В»")</f>
        <v>Прицепы одноосные (О1), категория «В»</v>
      </c>
      <c r="H79" s="246"/>
      <c r="I79" s="247"/>
    </row>
    <row r="80" spans="1:9" ht="13.2">
      <c r="A80" s="244"/>
      <c r="B80" s="251"/>
      <c r="C80" s="252"/>
      <c r="D80" s="253"/>
      <c r="E80" s="251"/>
      <c r="F80" s="253"/>
      <c r="G80" s="273" t="str">
        <f ca="1">CONCATENATE("Полная масса 750 кг.
Грузоподъемность – 575 кг
Габаритные размеры: ",VLOOKUP(H1,Сводная_таблица,17,0),"
Размеры кузова: ",VLOOKUP(H1,Сводная_таблица,18,0),"
Дорожный просвет 307 мм.
Прицеп (кузов, борт) 
Рессора 3 листовая
Опорное колесо")</f>
        <v>Полная масса 750 кг.
Грузоподъемность – 575 кг
Габаритные размеры: 3150*1700*1070
Размеры кузова: 2000*1250*500
Дорожный просвет 307 мм.
Прицеп (кузов, борт) 
Рессора 3 листовая
Опорное колесо</v>
      </c>
      <c r="H80" s="270"/>
      <c r="I80" s="271"/>
    </row>
    <row r="81" spans="1:9" ht="15.6">
      <c r="A81" s="70"/>
      <c r="B81" s="43"/>
      <c r="C81" s="43"/>
      <c r="D81" s="43"/>
      <c r="E81" s="43"/>
      <c r="F81" s="43"/>
      <c r="G81" s="43"/>
      <c r="H81" s="43"/>
      <c r="I81" s="43"/>
    </row>
    <row r="82" spans="1:9" ht="15">
      <c r="A82" s="43"/>
      <c r="B82" s="44" t="s">
        <v>1013</v>
      </c>
      <c r="C82" s="43"/>
      <c r="D82" s="43"/>
      <c r="E82" s="43"/>
      <c r="F82" s="43"/>
      <c r="G82" s="43"/>
      <c r="H82" s="43"/>
      <c r="I82" s="43"/>
    </row>
    <row r="83" spans="1:9" ht="15">
      <c r="A83" s="43"/>
      <c r="B83" s="44" t="str">
        <f>CONCATENATE("1) Договор продажи прицепа № ",H1," подписанный ЭЦП")</f>
        <v>1) Договор продажи прицепа № 1948 подписанный ЭЦП</v>
      </c>
      <c r="C83" s="43"/>
      <c r="D83" s="43"/>
      <c r="E83" s="43"/>
      <c r="F83" s="43"/>
      <c r="G83" s="43"/>
      <c r="H83" s="43"/>
      <c r="I83" s="43"/>
    </row>
    <row r="84" spans="1:9" ht="15">
      <c r="A84" s="43"/>
      <c r="B84" s="44" t="s">
        <v>1014</v>
      </c>
      <c r="C84" s="43"/>
      <c r="D84" s="43"/>
      <c r="E84" s="43"/>
      <c r="F84" s="43"/>
      <c r="G84" s="43"/>
      <c r="H84" s="43"/>
      <c r="I84" s="43"/>
    </row>
    <row r="85" spans="1:9" ht="15">
      <c r="A85" s="43"/>
      <c r="B85" s="44" t="s">
        <v>1015</v>
      </c>
      <c r="C85" s="43"/>
      <c r="D85" s="43"/>
      <c r="E85" s="43"/>
      <c r="F85" s="43"/>
      <c r="G85" s="43"/>
      <c r="H85" s="43"/>
      <c r="I85" s="43"/>
    </row>
    <row r="86" spans="1:9" ht="15">
      <c r="A86" s="43"/>
      <c r="B86" s="44" t="s">
        <v>1016</v>
      </c>
      <c r="C86" s="43"/>
      <c r="D86" s="43"/>
      <c r="E86" s="43"/>
      <c r="F86" s="43"/>
      <c r="G86" s="43"/>
      <c r="H86" s="43"/>
      <c r="I86" s="43"/>
    </row>
    <row r="87" spans="1:9" ht="15">
      <c r="A87" s="43"/>
      <c r="B87" s="44" t="str">
        <f>CONCATENATE("5) Одобрение типа транспортного средства ",VLOOKUP(H1,'Сводная таблица ФЛ'!A2:U799,19,0))</f>
        <v>5) Одобрение типа транспортного средства ТС KZ Е-KZ.0317.00251 от 28.02.2023</v>
      </c>
      <c r="C87" s="43"/>
      <c r="D87" s="43"/>
      <c r="E87" s="43"/>
      <c r="F87" s="43"/>
      <c r="G87" s="43"/>
      <c r="H87" s="43"/>
      <c r="I87" s="43"/>
    </row>
    <row r="88" spans="1:9" ht="15">
      <c r="A88" s="46"/>
      <c r="B88" s="43"/>
      <c r="C88" s="43"/>
      <c r="D88" s="43"/>
      <c r="E88" s="43"/>
      <c r="F88" s="43"/>
      <c r="G88" s="43"/>
      <c r="H88" s="43"/>
      <c r="I88" s="43"/>
    </row>
    <row r="89" spans="1:9" ht="15.6">
      <c r="A89" s="68" t="s">
        <v>1017</v>
      </c>
      <c r="B89" s="43"/>
      <c r="C89" s="43"/>
      <c r="D89" s="43"/>
      <c r="E89" s="43"/>
      <c r="F89" s="43"/>
      <c r="G89" s="43"/>
      <c r="H89" s="43"/>
      <c r="I89" s="43"/>
    </row>
    <row r="90" spans="1:9" ht="15.6">
      <c r="A90" s="71"/>
      <c r="B90" s="43"/>
      <c r="C90" s="43"/>
      <c r="D90" s="43"/>
      <c r="E90" s="43"/>
      <c r="F90" s="43"/>
      <c r="G90" s="43"/>
      <c r="H90" s="43"/>
      <c r="I90" s="43"/>
    </row>
    <row r="91" spans="1:9" ht="15.6">
      <c r="A91" s="68" t="s">
        <v>1018</v>
      </c>
      <c r="B91" s="43"/>
      <c r="C91" s="43"/>
      <c r="D91" s="43"/>
      <c r="E91" s="43"/>
      <c r="F91" s="43"/>
      <c r="G91" s="43"/>
      <c r="H91" s="43"/>
      <c r="I91" s="43"/>
    </row>
    <row r="92" spans="1:9" ht="15.6">
      <c r="A92" s="71"/>
      <c r="B92" s="43"/>
      <c r="C92" s="43"/>
      <c r="D92" s="43"/>
      <c r="E92" s="43"/>
      <c r="F92" s="43"/>
      <c r="G92" s="43"/>
      <c r="H92" s="43"/>
      <c r="I92" s="43"/>
    </row>
    <row r="93" spans="1:9" ht="15">
      <c r="A93" s="44" t="s">
        <v>1019</v>
      </c>
      <c r="B93" s="43"/>
      <c r="C93" s="43"/>
      <c r="D93" s="43"/>
      <c r="E93" s="43"/>
      <c r="F93" s="43"/>
      <c r="G93" s="43"/>
      <c r="H93" s="43"/>
      <c r="I93" s="43"/>
    </row>
    <row r="94" spans="1:9" ht="15">
      <c r="A94" s="46"/>
      <c r="B94" s="43"/>
      <c r="C94" s="43"/>
      <c r="D94" s="43"/>
      <c r="E94" s="43"/>
      <c r="F94" s="43"/>
      <c r="G94" s="43"/>
      <c r="H94" s="43"/>
      <c r="I94" s="43"/>
    </row>
    <row r="95" spans="1:9" ht="15.6">
      <c r="A95" s="68" t="s">
        <v>1020</v>
      </c>
      <c r="B95" s="43"/>
      <c r="C95" s="43"/>
      <c r="D95" s="43"/>
      <c r="E95" s="43"/>
      <c r="F95" s="43"/>
      <c r="G95" s="43"/>
      <c r="H95" s="43"/>
      <c r="I95" s="43"/>
    </row>
    <row r="96" spans="1:9" ht="15.6">
      <c r="A96" s="71"/>
      <c r="B96" s="43"/>
      <c r="C96" s="43"/>
      <c r="D96" s="43"/>
      <c r="E96" s="43"/>
      <c r="F96" s="43"/>
      <c r="G96" s="43"/>
      <c r="H96" s="43"/>
      <c r="I96" s="43"/>
    </row>
    <row r="97" spans="1:9" ht="15.6">
      <c r="A97" s="68" t="s">
        <v>1021</v>
      </c>
      <c r="B97" s="43"/>
      <c r="C97" s="43"/>
      <c r="D97" s="43"/>
      <c r="E97" s="43"/>
      <c r="F97" s="43"/>
      <c r="G97" s="43"/>
      <c r="H97" s="43"/>
      <c r="I97" s="43"/>
    </row>
    <row r="98" spans="1:9" ht="15.6">
      <c r="A98" s="71"/>
      <c r="B98" s="43"/>
      <c r="C98" s="43"/>
      <c r="D98" s="43"/>
      <c r="E98" s="43"/>
      <c r="F98" s="43"/>
      <c r="G98" s="43"/>
      <c r="H98" s="43"/>
      <c r="I98" s="43"/>
    </row>
    <row r="99" spans="1:9" ht="15.6">
      <c r="A99" s="68" t="str">
        <f>CONCATENATE("Лицо ответственное за прием:  ",E74)</f>
        <v>Лицо ответственное за прием:  Ордабаев Сабит Мухаметович</v>
      </c>
      <c r="B99" s="43"/>
      <c r="C99" s="43"/>
      <c r="D99" s="43"/>
      <c r="E99" s="43"/>
      <c r="F99" s="43"/>
      <c r="G99" s="43"/>
      <c r="H99" s="43"/>
      <c r="I99" s="43"/>
    </row>
    <row r="100" spans="1:9" ht="15.6">
      <c r="A100" s="71"/>
      <c r="B100" s="43"/>
      <c r="C100" s="43"/>
      <c r="D100" s="43"/>
      <c r="E100" s="43"/>
      <c r="F100" s="43"/>
      <c r="G100" s="43"/>
      <c r="H100" s="43"/>
      <c r="I100" s="43"/>
    </row>
    <row r="101" spans="1:9" ht="15.6">
      <c r="A101" s="68" t="str">
        <f>E74</f>
        <v>Ордабаев Сабит Мухаметович</v>
      </c>
      <c r="B101" s="43"/>
      <c r="C101" s="43"/>
      <c r="D101" s="48" t="s">
        <v>1022</v>
      </c>
      <c r="E101" s="43"/>
      <c r="F101" s="43"/>
      <c r="G101" s="43"/>
      <c r="H101" s="43"/>
      <c r="I101" s="43"/>
    </row>
    <row r="102" spans="1:9" ht="15.6">
      <c r="A102" s="71"/>
      <c r="B102" s="43"/>
      <c r="C102" s="43"/>
      <c r="D102" s="43"/>
      <c r="E102" s="43"/>
      <c r="F102" s="43"/>
      <c r="G102" s="43"/>
      <c r="H102" s="43"/>
      <c r="I102" s="43"/>
    </row>
    <row r="103" spans="1:9" ht="15.6">
      <c r="A103" s="71"/>
      <c r="B103" s="43"/>
      <c r="C103" s="43"/>
      <c r="D103" s="43"/>
      <c r="E103" s="43"/>
      <c r="F103" s="43"/>
      <c r="G103" s="43"/>
      <c r="H103" s="43"/>
      <c r="I103" s="43"/>
    </row>
    <row r="104" spans="1:9" ht="15.6">
      <c r="A104" s="71"/>
      <c r="B104" s="43"/>
      <c r="C104" s="43"/>
      <c r="D104" s="43"/>
      <c r="E104" s="43"/>
      <c r="F104" s="43"/>
      <c r="G104" s="43"/>
      <c r="H104" s="43"/>
      <c r="I104" s="43"/>
    </row>
    <row r="105" spans="1:9" ht="15.6">
      <c r="A105" s="71"/>
      <c r="B105" s="43"/>
      <c r="C105" s="43"/>
      <c r="D105" s="43"/>
      <c r="E105" s="72" t="s">
        <v>1023</v>
      </c>
      <c r="F105" s="43"/>
      <c r="G105" s="43"/>
      <c r="H105" s="43"/>
      <c r="I105" s="43"/>
    </row>
    <row r="106" spans="1:9" ht="15.6">
      <c r="A106" s="71"/>
      <c r="B106" s="43"/>
      <c r="C106" s="43"/>
      <c r="D106" s="43"/>
      <c r="E106" s="43"/>
      <c r="F106" s="43"/>
      <c r="G106" s="43"/>
      <c r="H106" s="43"/>
      <c r="I106" s="43"/>
    </row>
    <row r="107" spans="1:9" ht="15.6">
      <c r="A107" s="264" t="str">
        <f>CONCATENATE("Приложение №1 к Договору купли-продажи № ",H1)</f>
        <v>Приложение №1 к Договору купли-продажи № 1948</v>
      </c>
      <c r="B107" s="249"/>
      <c r="C107" s="249"/>
      <c r="D107" s="249"/>
      <c r="E107" s="249"/>
      <c r="F107" s="249"/>
      <c r="G107" s="249"/>
      <c r="H107" s="249"/>
      <c r="I107" s="249"/>
    </row>
    <row r="108" spans="1:9" ht="15.6">
      <c r="A108" s="73"/>
      <c r="B108" s="43"/>
      <c r="C108" s="43"/>
      <c r="D108" s="43"/>
      <c r="E108" s="43"/>
      <c r="F108" s="43"/>
      <c r="G108" s="43"/>
      <c r="H108" s="43"/>
      <c r="I108" s="43"/>
    </row>
    <row r="109" spans="1:9" ht="15">
      <c r="A109" s="74" t="str">
        <f>A3</f>
        <v>Алматы</v>
      </c>
      <c r="B109" s="43"/>
      <c r="C109" s="43"/>
      <c r="D109" s="43"/>
      <c r="E109" s="43"/>
      <c r="F109" s="43"/>
      <c r="G109" s="43"/>
      <c r="H109" s="43"/>
      <c r="I109" s="45">
        <f>I3</f>
        <v>45999</v>
      </c>
    </row>
    <row r="110" spans="1:9" ht="15">
      <c r="A110" s="60"/>
      <c r="B110" s="43"/>
      <c r="C110" s="43"/>
      <c r="D110" s="43"/>
      <c r="E110" s="43"/>
      <c r="F110" s="43"/>
      <c r="G110" s="43"/>
      <c r="H110" s="43"/>
      <c r="I110" s="43"/>
    </row>
    <row r="111" spans="1:9" ht="15.6">
      <c r="A111" s="69" t="s">
        <v>1009</v>
      </c>
      <c r="B111" s="272" t="s">
        <v>1010</v>
      </c>
      <c r="C111" s="270"/>
      <c r="D111" s="270"/>
      <c r="E111" s="271"/>
      <c r="F111" s="277" t="s">
        <v>1011</v>
      </c>
      <c r="G111" s="246"/>
      <c r="H111" s="246"/>
      <c r="I111" s="247"/>
    </row>
    <row r="112" spans="1:9" ht="13.2">
      <c r="A112" s="242" t="s">
        <v>1012</v>
      </c>
      <c r="B112" s="245" t="str">
        <f>B79</f>
        <v>Прицеп к легковому автомобилю
Производство РК,
Год выпуска 2025</v>
      </c>
      <c r="C112" s="246"/>
      <c r="D112" s="246"/>
      <c r="E112" s="247"/>
      <c r="F112" s="257" t="str">
        <f>CONCATENATE("VIN код: ",E79)</f>
        <v>VIN код: MX4000002S0002389</v>
      </c>
      <c r="G112" s="246"/>
      <c r="H112" s="246"/>
      <c r="I112" s="247"/>
    </row>
    <row r="113" spans="1:9" ht="13.2">
      <c r="A113" s="243"/>
      <c r="B113" s="248"/>
      <c r="C113" s="249"/>
      <c r="D113" s="249"/>
      <c r="E113" s="250"/>
      <c r="F113" s="279" t="str">
        <f>IF(VLOOKUP(H1,Сводная_таблица,15,0)="1 ось", "Количество осей -1", "Количество осей -2")</f>
        <v>Количество осей -1</v>
      </c>
      <c r="G113" s="249"/>
      <c r="H113" s="249"/>
      <c r="I113" s="250"/>
    </row>
    <row r="114" spans="1:9" ht="13.2">
      <c r="A114" s="243"/>
      <c r="B114" s="248"/>
      <c r="C114" s="249"/>
      <c r="D114" s="249"/>
      <c r="E114" s="250"/>
      <c r="F114" s="279" t="str">
        <f ca="1">CONCATENATE("Внутренние габариты платформы, мм. (д/ш/в): ",VLOOKUP(H1,'Сводная таблица ФЛ'!A1:U5699,18,0))</f>
        <v>Внутренние габариты платформы, мм. (д/ш/в): 2000*1250*500</v>
      </c>
      <c r="G114" s="249"/>
      <c r="H114" s="249"/>
      <c r="I114" s="250"/>
    </row>
    <row r="115" spans="1:9" ht="13.2">
      <c r="A115" s="243"/>
      <c r="B115" s="248"/>
      <c r="C115" s="249"/>
      <c r="D115" s="249"/>
      <c r="E115" s="250"/>
      <c r="F115" s="279" t="s">
        <v>1024</v>
      </c>
      <c r="G115" s="249"/>
      <c r="H115" s="249"/>
      <c r="I115" s="250"/>
    </row>
    <row r="116" spans="1:9" ht="13.2">
      <c r="A116" s="243"/>
      <c r="B116" s="248"/>
      <c r="C116" s="249"/>
      <c r="D116" s="249"/>
      <c r="E116" s="250"/>
      <c r="F116" s="279" t="s">
        <v>1025</v>
      </c>
      <c r="G116" s="249"/>
      <c r="H116" s="249"/>
      <c r="I116" s="250"/>
    </row>
    <row r="117" spans="1:9" ht="13.2">
      <c r="A117" s="244"/>
      <c r="B117" s="251"/>
      <c r="C117" s="252"/>
      <c r="D117" s="252"/>
      <c r="E117" s="253"/>
      <c r="F117" s="280" t="s">
        <v>1026</v>
      </c>
      <c r="G117" s="252"/>
      <c r="H117" s="252"/>
      <c r="I117" s="253"/>
    </row>
    <row r="118" spans="1:9" ht="15.6">
      <c r="A118" s="64"/>
      <c r="B118" s="43"/>
      <c r="C118" s="43"/>
      <c r="D118" s="43"/>
      <c r="E118" s="43"/>
      <c r="F118" s="43"/>
      <c r="G118" s="43"/>
      <c r="H118" s="43"/>
      <c r="I118" s="43"/>
    </row>
    <row r="119" spans="1:9" ht="15.6">
      <c r="A119" s="70"/>
      <c r="B119" s="43"/>
      <c r="C119" s="43"/>
      <c r="D119" s="43"/>
      <c r="E119" s="43"/>
      <c r="F119" s="43"/>
      <c r="G119" s="43"/>
      <c r="H119" s="43"/>
      <c r="I119" s="43"/>
    </row>
    <row r="120" spans="1:9" ht="13.2">
      <c r="A120" s="254" t="s">
        <v>1027</v>
      </c>
      <c r="B120" s="255" t="s">
        <v>1010</v>
      </c>
      <c r="C120" s="246"/>
      <c r="D120" s="247"/>
      <c r="E120" s="255" t="s">
        <v>1028</v>
      </c>
      <c r="F120" s="247"/>
      <c r="G120" s="255" t="s">
        <v>1029</v>
      </c>
      <c r="H120" s="247"/>
      <c r="I120" s="254" t="s">
        <v>1030</v>
      </c>
    </row>
    <row r="121" spans="1:9" ht="13.2">
      <c r="A121" s="244"/>
      <c r="B121" s="251"/>
      <c r="C121" s="252"/>
      <c r="D121" s="253"/>
      <c r="E121" s="251"/>
      <c r="F121" s="253"/>
      <c r="G121" s="251"/>
      <c r="H121" s="253"/>
      <c r="I121" s="244"/>
    </row>
    <row r="122" spans="1:9" ht="15">
      <c r="A122" s="75" t="s">
        <v>1012</v>
      </c>
      <c r="B122" s="273" t="str">
        <f>VLOOKUP(H1,Сводная_таблица,14,0)</f>
        <v>Прицеп 2,0*1,25 м  (до 750 кг.)</v>
      </c>
      <c r="C122" s="270"/>
      <c r="D122" s="271"/>
      <c r="E122" s="75">
        <v>1</v>
      </c>
      <c r="F122" s="75" t="s">
        <v>1031</v>
      </c>
      <c r="G122" s="278">
        <f>VLOOKUP(H1,Сводная_таблица,20,0)</f>
        <v>360000</v>
      </c>
      <c r="H122" s="271"/>
      <c r="I122" s="76">
        <f>G122</f>
        <v>360000</v>
      </c>
    </row>
    <row r="123" spans="1:9" ht="15.6">
      <c r="A123" s="256" t="s">
        <v>1032</v>
      </c>
      <c r="B123" s="249"/>
      <c r="C123" s="249"/>
      <c r="D123" s="249"/>
      <c r="E123" s="249"/>
      <c r="F123" s="249"/>
      <c r="G123" s="249"/>
      <c r="H123" s="43"/>
      <c r="I123" s="77">
        <f>I122</f>
        <v>360000</v>
      </c>
    </row>
    <row r="124" spans="1:9" ht="15.6">
      <c r="A124" s="78"/>
      <c r="B124" s="78"/>
      <c r="C124" s="78"/>
      <c r="D124" s="78"/>
      <c r="E124" s="43"/>
      <c r="F124" s="43"/>
      <c r="G124" s="43"/>
      <c r="H124" s="43"/>
      <c r="I124" s="43"/>
    </row>
    <row r="125" spans="1:9" ht="15.6">
      <c r="A125" s="78"/>
      <c r="B125" s="78"/>
      <c r="C125" s="78"/>
      <c r="D125" s="78"/>
      <c r="E125" s="43"/>
      <c r="F125" s="43"/>
      <c r="G125" s="43"/>
      <c r="H125" s="43"/>
      <c r="I125" s="43"/>
    </row>
    <row r="126" spans="1:9" ht="15.6">
      <c r="A126" s="78"/>
      <c r="B126" s="78"/>
      <c r="C126" s="78"/>
      <c r="D126" s="78"/>
      <c r="E126" s="43"/>
      <c r="F126" s="43"/>
      <c r="G126" s="43"/>
      <c r="H126" s="43"/>
      <c r="I126" s="43"/>
    </row>
    <row r="127" spans="1:9" ht="13.8">
      <c r="A127" s="272" t="s">
        <v>986</v>
      </c>
      <c r="B127" s="270"/>
      <c r="C127" s="270"/>
      <c r="D127" s="270"/>
      <c r="E127" s="271"/>
      <c r="F127" s="274" t="s">
        <v>987</v>
      </c>
      <c r="G127" s="246"/>
      <c r="H127" s="246"/>
      <c r="I127" s="247"/>
    </row>
    <row r="128" spans="1:9" ht="15.6">
      <c r="A128" s="275" t="s">
        <v>988</v>
      </c>
      <c r="B128" s="246"/>
      <c r="C128" s="246"/>
      <c r="D128" s="246"/>
      <c r="E128" s="247"/>
      <c r="F128" s="275" t="s">
        <v>989</v>
      </c>
      <c r="G128" s="246"/>
      <c r="H128" s="246"/>
      <c r="I128" s="247"/>
    </row>
    <row r="129" spans="1:9" ht="15.6">
      <c r="A129" s="276"/>
      <c r="B129" s="249"/>
      <c r="C129" s="249"/>
      <c r="D129" s="249"/>
      <c r="E129" s="250"/>
      <c r="F129" s="259" t="str">
        <f>CONCATENATE($A$6," ",$C$6," ",$E$6)</f>
        <v>Ордабаев Сабит Мухаметович</v>
      </c>
      <c r="G129" s="249"/>
      <c r="H129" s="249"/>
      <c r="I129" s="250"/>
    </row>
    <row r="130" spans="1:9" ht="13.8">
      <c r="A130" s="260" t="s">
        <v>1033</v>
      </c>
      <c r="B130" s="249"/>
      <c r="C130" s="249"/>
      <c r="D130" s="249"/>
      <c r="E130" s="250"/>
      <c r="F130" s="263" t="str">
        <f ca="1">VLOOKUP($H$1,Сводная_таблица,10,0)</f>
        <v>область Жетісу, Панфиловсский район, аул Атамекен, ул. Уалиханова, д.53</v>
      </c>
      <c r="G130" s="249"/>
      <c r="H130" s="249"/>
      <c r="I130" s="250"/>
    </row>
    <row r="131" spans="1:9" ht="15.6">
      <c r="A131" s="259" t="s">
        <v>991</v>
      </c>
      <c r="B131" s="249"/>
      <c r="C131" s="249"/>
      <c r="D131" s="249"/>
      <c r="E131" s="250"/>
      <c r="F131" s="259" t="str">
        <f>CONCATENATE("ИИН ",VLOOKUP($H$1,Сводная_таблица,9,0))</f>
        <v>ИИН 700612301864</v>
      </c>
      <c r="G131" s="249"/>
      <c r="H131" s="249"/>
      <c r="I131" s="250"/>
    </row>
    <row r="132" spans="1:9" ht="15.6">
      <c r="A132" s="259" t="s">
        <v>992</v>
      </c>
      <c r="B132" s="249"/>
      <c r="C132" s="249"/>
      <c r="D132" s="249"/>
      <c r="E132" s="250"/>
      <c r="F132" s="263" t="str">
        <f ca="1">IFERROR(__xludf.DUMMYFUNCTION("JOIN("" "",$A$7,$C$7,$D$7, $E$7, $F$7,$G$7)"),"Удостоверение личности № 049144441 от 08.09.2021 выдано МВД РК")</f>
        <v>Удостоверение личности № 049144441 от 08.09.2021 выдано МВД РК</v>
      </c>
      <c r="G132" s="249"/>
      <c r="H132" s="249"/>
      <c r="I132" s="250"/>
    </row>
    <row r="133" spans="1:9" ht="15.6">
      <c r="A133" s="260" t="s">
        <v>993</v>
      </c>
      <c r="B133" s="249"/>
      <c r="C133" s="249"/>
      <c r="D133" s="249"/>
      <c r="E133" s="250"/>
      <c r="F133" s="53" t="s">
        <v>994</v>
      </c>
      <c r="G133" s="54">
        <f>VLOOKUP($H$1,Сводная_таблица,11,0)</f>
        <v>87771270207</v>
      </c>
      <c r="H133" s="55"/>
      <c r="I133" s="56"/>
    </row>
    <row r="134" spans="1:9" ht="15.6">
      <c r="A134" s="259" t="s">
        <v>995</v>
      </c>
      <c r="B134" s="249"/>
      <c r="C134" s="249"/>
      <c r="D134" s="249"/>
      <c r="E134" s="250"/>
      <c r="F134" s="57"/>
      <c r="G134" s="55"/>
      <c r="H134" s="55"/>
      <c r="I134" s="56"/>
    </row>
    <row r="135" spans="1:9" ht="15.6">
      <c r="A135" s="260" t="s">
        <v>996</v>
      </c>
      <c r="B135" s="249"/>
      <c r="C135" s="249"/>
      <c r="D135" s="249"/>
      <c r="E135" s="250"/>
      <c r="F135" s="57"/>
      <c r="G135" s="55"/>
      <c r="H135" s="55"/>
      <c r="I135" s="56"/>
    </row>
    <row r="136" spans="1:9" ht="15.6">
      <c r="A136" s="260"/>
      <c r="B136" s="249"/>
      <c r="C136" s="249"/>
      <c r="D136" s="249"/>
      <c r="E136" s="250"/>
      <c r="F136" s="57"/>
      <c r="G136" s="55"/>
      <c r="H136" s="55"/>
      <c r="I136" s="56"/>
    </row>
    <row r="137" spans="1:9" ht="15.6">
      <c r="A137" s="260" t="s">
        <v>997</v>
      </c>
      <c r="B137" s="249"/>
      <c r="C137" s="249"/>
      <c r="D137" s="249"/>
      <c r="E137" s="250"/>
      <c r="F137" s="57"/>
      <c r="G137" s="55"/>
      <c r="H137" s="55"/>
      <c r="I137" s="56"/>
    </row>
    <row r="138" spans="1:9" ht="15.6">
      <c r="A138" s="261" t="s">
        <v>998</v>
      </c>
      <c r="B138" s="252"/>
      <c r="C138" s="252"/>
      <c r="D138" s="252"/>
      <c r="E138" s="253"/>
      <c r="F138" s="57"/>
      <c r="G138" s="55"/>
      <c r="H138" s="55"/>
      <c r="I138" s="56"/>
    </row>
    <row r="139" spans="1:9" ht="13.8">
      <c r="A139" s="262" t="s">
        <v>999</v>
      </c>
      <c r="B139" s="246"/>
      <c r="C139" s="246"/>
      <c r="D139" s="246"/>
      <c r="E139" s="247"/>
      <c r="F139" s="257" t="s">
        <v>1000</v>
      </c>
      <c r="G139" s="246"/>
      <c r="H139" s="246"/>
      <c r="I139" s="247"/>
    </row>
    <row r="140" spans="1:9" ht="15.6">
      <c r="A140" s="261"/>
      <c r="B140" s="252"/>
      <c r="C140" s="58"/>
      <c r="D140" s="58"/>
      <c r="E140" s="59" t="s">
        <v>1001</v>
      </c>
      <c r="F140" s="258" t="str">
        <f>$F$52</f>
        <v>Ордабаев Сабит Мухаметович</v>
      </c>
      <c r="G140" s="252"/>
      <c r="H140" s="252"/>
      <c r="I140" s="253"/>
    </row>
    <row r="141" spans="1:9" ht="15.6">
      <c r="A141" s="67"/>
      <c r="B141" s="67"/>
      <c r="C141" s="67"/>
      <c r="D141" s="67"/>
      <c r="E141" s="79"/>
      <c r="F141" s="55"/>
      <c r="G141" s="55"/>
      <c r="H141" s="55"/>
      <c r="I141" s="79"/>
    </row>
    <row r="142" spans="1:9" ht="15">
      <c r="A142" s="43"/>
      <c r="B142" s="43"/>
      <c r="C142" s="43"/>
      <c r="D142" s="43"/>
      <c r="E142" s="43"/>
      <c r="F142" s="43"/>
      <c r="G142" s="43"/>
      <c r="H142" s="43"/>
      <c r="I142" s="43"/>
    </row>
  </sheetData>
  <mergeCells count="109">
    <mergeCell ref="A1:G1"/>
    <mergeCell ref="A5:I5"/>
    <mergeCell ref="A6:B6"/>
    <mergeCell ref="C6:D6"/>
    <mergeCell ref="E6:G6"/>
    <mergeCell ref="A8:I8"/>
    <mergeCell ref="A10:I10"/>
    <mergeCell ref="A11:I11"/>
    <mergeCell ref="A12:I12"/>
    <mergeCell ref="A13:I13"/>
    <mergeCell ref="A14:I14"/>
    <mergeCell ref="A15:I15"/>
    <mergeCell ref="A17:I17"/>
    <mergeCell ref="A20:I20"/>
    <mergeCell ref="A21:I21"/>
    <mergeCell ref="A22:I22"/>
    <mergeCell ref="A30:I30"/>
    <mergeCell ref="A31:I31"/>
    <mergeCell ref="A32:I32"/>
    <mergeCell ref="A33:I33"/>
    <mergeCell ref="A34:I34"/>
    <mergeCell ref="A35:I35"/>
    <mergeCell ref="A36:I36"/>
    <mergeCell ref="A37:I37"/>
    <mergeCell ref="A39:I39"/>
    <mergeCell ref="A40:I40"/>
    <mergeCell ref="A41:I41"/>
    <mergeCell ref="A44:I44"/>
    <mergeCell ref="A45:I45"/>
    <mergeCell ref="A46:I46"/>
    <mergeCell ref="A47:I47"/>
    <mergeCell ref="A50:E50"/>
    <mergeCell ref="F50:I50"/>
    <mergeCell ref="A51:E51"/>
    <mergeCell ref="F51:I51"/>
    <mergeCell ref="A52:E52"/>
    <mergeCell ref="F52:I52"/>
    <mergeCell ref="A53:E53"/>
    <mergeCell ref="F53:I53"/>
    <mergeCell ref="A54:E54"/>
    <mergeCell ref="F54:I54"/>
    <mergeCell ref="F55:I55"/>
    <mergeCell ref="A55:E55"/>
    <mergeCell ref="A56:E56"/>
    <mergeCell ref="A57:E57"/>
    <mergeCell ref="A58:E58"/>
    <mergeCell ref="F127:I127"/>
    <mergeCell ref="A128:E128"/>
    <mergeCell ref="F128:I128"/>
    <mergeCell ref="A129:E129"/>
    <mergeCell ref="F129:I129"/>
    <mergeCell ref="G79:I79"/>
    <mergeCell ref="G80:I80"/>
    <mergeCell ref="A107:I107"/>
    <mergeCell ref="F111:I111"/>
    <mergeCell ref="G120:H121"/>
    <mergeCell ref="G122:H122"/>
    <mergeCell ref="F112:I112"/>
    <mergeCell ref="F113:I113"/>
    <mergeCell ref="F114:I114"/>
    <mergeCell ref="F115:I115"/>
    <mergeCell ref="F116:I116"/>
    <mergeCell ref="F117:I117"/>
    <mergeCell ref="I120:I121"/>
    <mergeCell ref="B111:E111"/>
    <mergeCell ref="A75:I75"/>
    <mergeCell ref="A76:I76"/>
    <mergeCell ref="B78:D78"/>
    <mergeCell ref="E78:F78"/>
    <mergeCell ref="G78:I78"/>
    <mergeCell ref="A79:A80"/>
    <mergeCell ref="B79:D80"/>
    <mergeCell ref="E79:F80"/>
    <mergeCell ref="A59:E59"/>
    <mergeCell ref="A60:E60"/>
    <mergeCell ref="A61:E61"/>
    <mergeCell ref="A62:E62"/>
    <mergeCell ref="F62:I62"/>
    <mergeCell ref="A63:B63"/>
    <mergeCell ref="F63:I63"/>
    <mergeCell ref="A67:I67"/>
    <mergeCell ref="A69:I69"/>
    <mergeCell ref="B73:I73"/>
    <mergeCell ref="B74:D74"/>
    <mergeCell ref="E74:G74"/>
    <mergeCell ref="A112:A117"/>
    <mergeCell ref="B112:E117"/>
    <mergeCell ref="A120:A121"/>
    <mergeCell ref="B120:D121"/>
    <mergeCell ref="E120:F121"/>
    <mergeCell ref="A123:G123"/>
    <mergeCell ref="F139:I139"/>
    <mergeCell ref="F140:I140"/>
    <mergeCell ref="A134:E134"/>
    <mergeCell ref="A135:E135"/>
    <mergeCell ref="A136:E136"/>
    <mergeCell ref="A137:E137"/>
    <mergeCell ref="A138:E138"/>
    <mergeCell ref="A139:E139"/>
    <mergeCell ref="A140:B140"/>
    <mergeCell ref="A130:E130"/>
    <mergeCell ref="F130:I130"/>
    <mergeCell ref="A131:E131"/>
    <mergeCell ref="F131:I131"/>
    <mergeCell ref="A132:E132"/>
    <mergeCell ref="F132:I132"/>
    <mergeCell ref="A133:E133"/>
    <mergeCell ref="B122:D122"/>
    <mergeCell ref="A127:E127"/>
  </mergeCells>
  <printOptions horizontalCentered="1" gridLines="1"/>
  <pageMargins left="0.7" right="0.7" top="0.75" bottom="0.75" header="0" footer="0"/>
  <pageSetup paperSize="9" pageOrder="overThenDown" orientation="portrait" cellComments="atEnd"/>
  <rowBreaks count="3" manualBreakCount="3">
    <brk id="66" man="1"/>
    <brk id="162" man="1"/>
    <brk id="104" man="1"/>
  </rowBreaks>
  <colBreaks count="2" manualBreakCount="2">
    <brk man="1"/>
    <brk id="9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'Реестр договоров'!$A$2:$A$2999</xm:f>
          </x14:formula1>
          <xm:sqref>H1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3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2" width="18.88671875" customWidth="1"/>
    <col min="3" max="3" width="38.77734375" customWidth="1"/>
    <col min="4" max="10" width="18.88671875" customWidth="1"/>
    <col min="11" max="11" width="20.109375" customWidth="1"/>
    <col min="12" max="16" width="18.88671875" customWidth="1"/>
    <col min="17" max="17" width="21.33203125" customWidth="1"/>
    <col min="18" max="26" width="18.88671875" customWidth="1"/>
  </cols>
  <sheetData>
    <row r="1" spans="1:20">
      <c r="A1" s="80" t="s">
        <v>99</v>
      </c>
      <c r="B1" s="80" t="s">
        <v>1034</v>
      </c>
      <c r="C1" s="81" t="s">
        <v>1010</v>
      </c>
      <c r="D1" s="80" t="s">
        <v>1035</v>
      </c>
      <c r="E1" s="80" t="s">
        <v>1036</v>
      </c>
      <c r="F1" s="80" t="s">
        <v>897</v>
      </c>
      <c r="G1" s="80" t="s">
        <v>1037</v>
      </c>
      <c r="H1" s="80" t="s">
        <v>898</v>
      </c>
      <c r="I1" s="80" t="s">
        <v>1038</v>
      </c>
      <c r="J1" s="80" t="s">
        <v>1039</v>
      </c>
      <c r="K1" s="80" t="s">
        <v>1040</v>
      </c>
      <c r="L1" s="80" t="s">
        <v>1041</v>
      </c>
      <c r="M1" s="80" t="s">
        <v>1042</v>
      </c>
      <c r="N1" s="80" t="s">
        <v>1043</v>
      </c>
      <c r="O1" s="80" t="s">
        <v>1044</v>
      </c>
      <c r="P1" s="80" t="s">
        <v>904</v>
      </c>
      <c r="Q1" s="80" t="s">
        <v>1045</v>
      </c>
      <c r="R1" s="80" t="s">
        <v>1046</v>
      </c>
      <c r="S1" s="80" t="s">
        <v>1047</v>
      </c>
      <c r="T1" s="80" t="s">
        <v>1048</v>
      </c>
    </row>
    <row r="2" spans="1:20">
      <c r="A2" s="26">
        <v>45479.522418159722</v>
      </c>
      <c r="B2" s="8" t="s">
        <v>1049</v>
      </c>
      <c r="C2" s="8" t="s">
        <v>1050</v>
      </c>
      <c r="D2" s="8" t="s">
        <v>1051</v>
      </c>
      <c r="E2" s="8" t="s">
        <v>1052</v>
      </c>
      <c r="F2" s="8" t="s">
        <v>1053</v>
      </c>
      <c r="G2" s="8" t="s">
        <v>1054</v>
      </c>
      <c r="H2" s="8" t="s">
        <v>1055</v>
      </c>
      <c r="I2" s="8" t="s">
        <v>1056</v>
      </c>
      <c r="J2" s="82" t="s">
        <v>1057</v>
      </c>
      <c r="K2" s="8" t="s">
        <v>1058</v>
      </c>
      <c r="L2" s="8" t="s">
        <v>1059</v>
      </c>
      <c r="M2" s="8" t="s">
        <v>1060</v>
      </c>
      <c r="N2" s="8">
        <v>17</v>
      </c>
      <c r="O2" s="8" t="s">
        <v>1061</v>
      </c>
      <c r="P2" s="8">
        <v>87172435516</v>
      </c>
      <c r="R2" s="8">
        <v>320000</v>
      </c>
      <c r="S2" s="8" t="s">
        <v>1062</v>
      </c>
      <c r="T2" s="8" t="s">
        <v>3</v>
      </c>
    </row>
    <row r="3" spans="1:20">
      <c r="A3" s="26">
        <v>45485.51201431713</v>
      </c>
      <c r="B3" s="8" t="s">
        <v>1049</v>
      </c>
      <c r="C3" s="8" t="s">
        <v>1063</v>
      </c>
      <c r="D3" s="8" t="s">
        <v>1051</v>
      </c>
      <c r="E3" s="8" t="s">
        <v>1052</v>
      </c>
      <c r="F3" s="8" t="s">
        <v>1064</v>
      </c>
      <c r="G3" s="8" t="s">
        <v>1065</v>
      </c>
      <c r="H3" s="8" t="s">
        <v>1066</v>
      </c>
      <c r="I3" s="8" t="s">
        <v>1056</v>
      </c>
      <c r="J3" s="8">
        <v>161240015376</v>
      </c>
      <c r="K3" s="8" t="s">
        <v>1067</v>
      </c>
      <c r="L3" s="8" t="s">
        <v>1068</v>
      </c>
      <c r="M3" s="8" t="s">
        <v>1069</v>
      </c>
      <c r="N3" s="8">
        <v>17</v>
      </c>
      <c r="O3" s="8" t="s">
        <v>1070</v>
      </c>
      <c r="P3" s="8">
        <v>87762017247</v>
      </c>
      <c r="R3" s="8">
        <v>460000</v>
      </c>
      <c r="S3" s="8" t="s">
        <v>1062</v>
      </c>
      <c r="T3" s="8" t="s">
        <v>4</v>
      </c>
    </row>
    <row r="4" spans="1:20">
      <c r="A4" s="26">
        <v>45498.546047731477</v>
      </c>
      <c r="B4" s="8" t="s">
        <v>1071</v>
      </c>
      <c r="C4" s="8" t="s">
        <v>1072</v>
      </c>
      <c r="D4" s="8" t="s">
        <v>1051</v>
      </c>
      <c r="E4" s="8" t="s">
        <v>1052</v>
      </c>
      <c r="F4" s="8" t="s">
        <v>1073</v>
      </c>
      <c r="G4" s="8" t="s">
        <v>1074</v>
      </c>
      <c r="H4" s="8" t="s">
        <v>1075</v>
      </c>
      <c r="I4" s="8" t="s">
        <v>1056</v>
      </c>
      <c r="J4" s="8">
        <v>191040013893</v>
      </c>
      <c r="K4" s="8" t="s">
        <v>1076</v>
      </c>
      <c r="L4" s="8" t="s">
        <v>1077</v>
      </c>
      <c r="M4" s="8" t="s">
        <v>1060</v>
      </c>
      <c r="N4" s="8">
        <v>17</v>
      </c>
      <c r="O4" s="8" t="s">
        <v>1078</v>
      </c>
      <c r="P4" s="8" t="s">
        <v>1079</v>
      </c>
      <c r="R4" s="8">
        <v>350000</v>
      </c>
      <c r="S4" s="8" t="s">
        <v>1062</v>
      </c>
      <c r="T4" s="8" t="s">
        <v>5</v>
      </c>
    </row>
    <row r="5" spans="1:20">
      <c r="A5" s="26">
        <v>45532.625210706014</v>
      </c>
      <c r="B5" s="8" t="s">
        <v>1071</v>
      </c>
      <c r="C5" s="8" t="s">
        <v>6</v>
      </c>
      <c r="D5" s="8" t="s">
        <v>1051</v>
      </c>
      <c r="E5" s="8" t="s">
        <v>1080</v>
      </c>
      <c r="F5" s="8" t="s">
        <v>1081</v>
      </c>
      <c r="G5" s="8" t="s">
        <v>1082</v>
      </c>
      <c r="H5" s="8" t="s">
        <v>1083</v>
      </c>
      <c r="I5" s="8" t="s">
        <v>1056</v>
      </c>
      <c r="J5" s="8">
        <v>110640021610</v>
      </c>
      <c r="K5" s="8" t="s">
        <v>1084</v>
      </c>
      <c r="L5" s="8" t="s">
        <v>1085</v>
      </c>
      <c r="M5" s="8" t="s">
        <v>1069</v>
      </c>
      <c r="N5" s="8">
        <v>17</v>
      </c>
      <c r="O5" s="8" t="s">
        <v>1086</v>
      </c>
      <c r="P5" s="8">
        <v>87273272768</v>
      </c>
      <c r="Q5" s="8" t="s">
        <v>1087</v>
      </c>
      <c r="R5" s="8">
        <v>440000</v>
      </c>
      <c r="S5" s="8" t="s">
        <v>1062</v>
      </c>
      <c r="T5" s="8" t="s">
        <v>7</v>
      </c>
    </row>
    <row r="6" spans="1:20">
      <c r="A6" s="26">
        <v>45537.464452106477</v>
      </c>
      <c r="B6" s="8" t="s">
        <v>1049</v>
      </c>
      <c r="C6" s="8" t="s">
        <v>1088</v>
      </c>
      <c r="D6" s="8" t="s">
        <v>1051</v>
      </c>
      <c r="E6" s="8" t="s">
        <v>1052</v>
      </c>
      <c r="F6" s="8" t="s">
        <v>1089</v>
      </c>
      <c r="G6" s="8" t="s">
        <v>1090</v>
      </c>
      <c r="H6" s="8" t="s">
        <v>1091</v>
      </c>
      <c r="I6" s="8" t="s">
        <v>1056</v>
      </c>
      <c r="J6" s="82" t="s">
        <v>1092</v>
      </c>
      <c r="K6" s="8" t="s">
        <v>1093</v>
      </c>
      <c r="L6" s="8" t="s">
        <v>1094</v>
      </c>
      <c r="M6" s="8" t="s">
        <v>1069</v>
      </c>
      <c r="N6" s="8">
        <v>17</v>
      </c>
      <c r="O6" s="8" t="s">
        <v>1095</v>
      </c>
      <c r="P6" s="8" t="s">
        <v>1096</v>
      </c>
      <c r="Q6" s="8" t="s">
        <v>1097</v>
      </c>
      <c r="R6" s="8">
        <v>420000</v>
      </c>
      <c r="S6" s="8" t="s">
        <v>1062</v>
      </c>
    </row>
    <row r="7" spans="1:20">
      <c r="A7" s="26">
        <v>45551.558071388892</v>
      </c>
      <c r="B7" s="8" t="s">
        <v>1071</v>
      </c>
      <c r="C7" s="8" t="s">
        <v>1098</v>
      </c>
      <c r="D7" s="8" t="s">
        <v>1051</v>
      </c>
      <c r="E7" s="8" t="s">
        <v>1052</v>
      </c>
      <c r="F7" s="8" t="s">
        <v>1099</v>
      </c>
      <c r="G7" s="8" t="s">
        <v>1100</v>
      </c>
      <c r="H7" s="8" t="s">
        <v>1101</v>
      </c>
      <c r="I7" s="8" t="s">
        <v>1056</v>
      </c>
      <c r="J7" s="82" t="s">
        <v>1102</v>
      </c>
      <c r="K7" s="8" t="s">
        <v>1103</v>
      </c>
      <c r="L7" s="8" t="s">
        <v>1104</v>
      </c>
      <c r="M7" s="8" t="s">
        <v>1105</v>
      </c>
      <c r="N7" s="8">
        <v>17</v>
      </c>
      <c r="O7" s="8" t="s">
        <v>1106</v>
      </c>
      <c r="P7" s="8">
        <v>87767773188</v>
      </c>
      <c r="Q7" s="8" t="s">
        <v>1107</v>
      </c>
      <c r="R7" s="8">
        <v>790000</v>
      </c>
      <c r="S7" s="8" t="s">
        <v>1062</v>
      </c>
      <c r="T7" s="8" t="s">
        <v>8</v>
      </c>
    </row>
    <row r="8" spans="1:20">
      <c r="A8" s="26">
        <v>45560.67442116898</v>
      </c>
      <c r="B8" s="8" t="s">
        <v>1071</v>
      </c>
      <c r="C8" s="8" t="s">
        <v>1108</v>
      </c>
      <c r="D8" s="8" t="s">
        <v>1051</v>
      </c>
      <c r="E8" s="8" t="s">
        <v>1052</v>
      </c>
      <c r="F8" s="8" t="s">
        <v>1109</v>
      </c>
      <c r="G8" s="8" t="s">
        <v>1110</v>
      </c>
      <c r="H8" s="8" t="s">
        <v>1111</v>
      </c>
      <c r="I8" s="8" t="s">
        <v>1056</v>
      </c>
      <c r="J8" s="82" t="s">
        <v>1112</v>
      </c>
      <c r="K8" s="8">
        <v>0</v>
      </c>
      <c r="L8" s="8">
        <v>0</v>
      </c>
      <c r="M8" s="8">
        <v>0</v>
      </c>
      <c r="N8" s="8">
        <v>17</v>
      </c>
      <c r="O8" s="82" t="s">
        <v>1112</v>
      </c>
      <c r="P8" s="8">
        <v>0</v>
      </c>
      <c r="Q8" s="8">
        <v>0</v>
      </c>
      <c r="R8" s="8">
        <v>800000</v>
      </c>
      <c r="S8" s="8" t="s">
        <v>1062</v>
      </c>
      <c r="T8" s="8" t="s">
        <v>9</v>
      </c>
    </row>
    <row r="9" spans="1:20">
      <c r="A9" s="26">
        <v>45618.662658553236</v>
      </c>
      <c r="B9" s="8" t="s">
        <v>1071</v>
      </c>
      <c r="C9" s="8" t="s">
        <v>1071</v>
      </c>
      <c r="D9" s="8" t="s">
        <v>1113</v>
      </c>
      <c r="E9" s="8" t="s">
        <v>1114</v>
      </c>
      <c r="F9" s="8" t="s">
        <v>1071</v>
      </c>
      <c r="G9" s="8" t="s">
        <v>1115</v>
      </c>
      <c r="H9" s="8" t="s">
        <v>1116</v>
      </c>
      <c r="I9" s="8" t="s">
        <v>1117</v>
      </c>
      <c r="J9" s="8">
        <v>900907301403</v>
      </c>
      <c r="K9" s="8" t="s">
        <v>1118</v>
      </c>
      <c r="L9" s="8" t="s">
        <v>1085</v>
      </c>
      <c r="M9" s="8" t="s">
        <v>1069</v>
      </c>
      <c r="N9" s="8">
        <v>19</v>
      </c>
      <c r="O9" s="8" t="s">
        <v>1119</v>
      </c>
      <c r="P9" s="8" t="s">
        <v>1120</v>
      </c>
      <c r="Q9" s="8" t="s">
        <v>1121</v>
      </c>
      <c r="R9" s="8">
        <v>740000</v>
      </c>
      <c r="S9" s="8" t="s">
        <v>1062</v>
      </c>
      <c r="T9" s="8" t="s">
        <v>31</v>
      </c>
    </row>
    <row r="10" spans="1:20">
      <c r="A10" s="26">
        <v>45638.534436192131</v>
      </c>
      <c r="B10" s="8" t="s">
        <v>1122</v>
      </c>
      <c r="C10" s="8" t="s">
        <v>1123</v>
      </c>
      <c r="D10" s="8" t="s">
        <v>1051</v>
      </c>
      <c r="E10" s="8" t="s">
        <v>1052</v>
      </c>
      <c r="F10" s="8" t="s">
        <v>1124</v>
      </c>
      <c r="G10" s="8" t="s">
        <v>1125</v>
      </c>
      <c r="H10" s="8" t="s">
        <v>1126</v>
      </c>
      <c r="I10" s="8" t="s">
        <v>1056</v>
      </c>
      <c r="J10" s="82" t="s">
        <v>1127</v>
      </c>
      <c r="K10" s="8" t="s">
        <v>1128</v>
      </c>
      <c r="L10" s="8" t="s">
        <v>1129</v>
      </c>
      <c r="M10" s="8" t="s">
        <v>1130</v>
      </c>
      <c r="N10" s="8">
        <v>17</v>
      </c>
      <c r="O10" s="8" t="s">
        <v>1131</v>
      </c>
      <c r="P10" s="8">
        <v>87053970401</v>
      </c>
      <c r="R10" s="8">
        <v>320000</v>
      </c>
      <c r="S10" s="8" t="s">
        <v>1062</v>
      </c>
      <c r="T10" s="8" t="s">
        <v>32</v>
      </c>
    </row>
    <row r="11" spans="1:20">
      <c r="A11" s="26">
        <v>45736.575464606482</v>
      </c>
      <c r="B11" s="8" t="s">
        <v>1071</v>
      </c>
      <c r="C11" s="8" t="s">
        <v>1132</v>
      </c>
      <c r="D11" s="8" t="s">
        <v>1051</v>
      </c>
      <c r="E11" s="8" t="s">
        <v>1052</v>
      </c>
      <c r="F11" s="8" t="s">
        <v>1133</v>
      </c>
      <c r="G11" s="8" t="s">
        <v>1134</v>
      </c>
      <c r="H11" s="8" t="s">
        <v>1135</v>
      </c>
      <c r="I11" s="8" t="s">
        <v>1136</v>
      </c>
      <c r="J11" s="8">
        <v>250140002812</v>
      </c>
      <c r="K11" s="8" t="s">
        <v>1137</v>
      </c>
      <c r="L11" s="8" t="s">
        <v>1138</v>
      </c>
      <c r="M11" s="8" t="s">
        <v>1060</v>
      </c>
      <c r="N11" s="8">
        <v>17</v>
      </c>
      <c r="O11" s="8" t="s">
        <v>1139</v>
      </c>
      <c r="P11" s="8">
        <v>87014225203</v>
      </c>
      <c r="Q11" s="8" t="s">
        <v>1140</v>
      </c>
      <c r="R11" s="8">
        <v>565000</v>
      </c>
      <c r="S11" s="8" t="s">
        <v>1062</v>
      </c>
      <c r="T11" s="8" t="s">
        <v>36</v>
      </c>
    </row>
    <row r="12" spans="1:20">
      <c r="A12" s="26">
        <v>45750.724683680557</v>
      </c>
      <c r="B12" s="8" t="s">
        <v>1141</v>
      </c>
      <c r="C12" s="8" t="s">
        <v>1142</v>
      </c>
      <c r="D12" s="8" t="s">
        <v>1051</v>
      </c>
      <c r="E12" s="8" t="s">
        <v>1052</v>
      </c>
      <c r="F12" s="8" t="s">
        <v>1143</v>
      </c>
      <c r="G12" s="8" t="s">
        <v>1144</v>
      </c>
      <c r="H12" s="8">
        <v>0</v>
      </c>
      <c r="I12" s="8" t="s">
        <v>1056</v>
      </c>
      <c r="J12" s="8">
        <v>101040001477</v>
      </c>
      <c r="K12" s="8" t="s">
        <v>1145</v>
      </c>
      <c r="L12" s="8" t="s">
        <v>1146</v>
      </c>
      <c r="M12" s="8" t="s">
        <v>1147</v>
      </c>
      <c r="N12" s="8">
        <v>17</v>
      </c>
      <c r="O12" s="8" t="s">
        <v>1148</v>
      </c>
      <c r="P12" s="8">
        <v>87756069969</v>
      </c>
      <c r="Q12" s="8" t="s">
        <v>1149</v>
      </c>
      <c r="R12" s="8">
        <v>8130000</v>
      </c>
      <c r="S12" s="8" t="s">
        <v>1062</v>
      </c>
      <c r="T12" s="8" t="s">
        <v>565</v>
      </c>
    </row>
    <row r="13" spans="1:20">
      <c r="A13" s="26">
        <v>45799.590169131945</v>
      </c>
      <c r="B13" s="8" t="s">
        <v>1141</v>
      </c>
      <c r="C13" s="8" t="s">
        <v>1150</v>
      </c>
      <c r="D13" s="8" t="s">
        <v>1051</v>
      </c>
      <c r="E13" s="8" t="s">
        <v>1114</v>
      </c>
      <c r="F13" s="8" t="s">
        <v>1151</v>
      </c>
      <c r="G13" s="8" t="s">
        <v>1152</v>
      </c>
      <c r="H13" s="8" t="s">
        <v>1153</v>
      </c>
      <c r="I13" s="8" t="s">
        <v>1056</v>
      </c>
      <c r="J13" s="8">
        <v>980240001027</v>
      </c>
      <c r="K13" s="8" t="s">
        <v>1154</v>
      </c>
      <c r="L13" s="8" t="s">
        <v>1146</v>
      </c>
      <c r="M13" s="8" t="s">
        <v>1147</v>
      </c>
      <c r="N13" s="8">
        <v>17</v>
      </c>
      <c r="O13" s="8" t="s">
        <v>1155</v>
      </c>
      <c r="P13" s="8">
        <v>87172343188</v>
      </c>
      <c r="Q13" s="8" t="s">
        <v>1156</v>
      </c>
      <c r="R13" s="8">
        <v>700000</v>
      </c>
      <c r="S13" s="8" t="s">
        <v>1062</v>
      </c>
      <c r="T13" s="8" t="s">
        <v>60</v>
      </c>
    </row>
    <row r="14" spans="1:20">
      <c r="A14" s="26">
        <v>45806.566274236116</v>
      </c>
      <c r="B14" s="8" t="s">
        <v>1141</v>
      </c>
      <c r="C14" s="8" t="s">
        <v>1157</v>
      </c>
      <c r="D14" s="8" t="s">
        <v>1051</v>
      </c>
      <c r="E14" s="8" t="s">
        <v>1052</v>
      </c>
      <c r="F14" s="8" t="s">
        <v>1158</v>
      </c>
      <c r="G14" s="8" t="s">
        <v>1159</v>
      </c>
      <c r="H14" s="8" t="s">
        <v>1160</v>
      </c>
      <c r="I14" s="8" t="s">
        <v>1056</v>
      </c>
      <c r="J14" s="8">
        <v>110740014770</v>
      </c>
      <c r="K14" s="8" t="s">
        <v>1161</v>
      </c>
      <c r="L14" s="8" t="s">
        <v>1162</v>
      </c>
      <c r="M14" s="8" t="s">
        <v>1060</v>
      </c>
      <c r="N14" s="8">
        <v>17</v>
      </c>
      <c r="O14" s="8" t="s">
        <v>1163</v>
      </c>
      <c r="P14" s="8">
        <v>87715266367</v>
      </c>
      <c r="R14" s="8">
        <v>377000</v>
      </c>
      <c r="S14" s="8" t="s">
        <v>1062</v>
      </c>
      <c r="T14" s="8" t="s">
        <v>61</v>
      </c>
    </row>
    <row r="15" spans="1:20">
      <c r="A15" s="26">
        <v>45818.563139074075</v>
      </c>
      <c r="B15" s="8" t="s">
        <v>1141</v>
      </c>
      <c r="C15" s="8" t="s">
        <v>1164</v>
      </c>
      <c r="D15" s="8" t="s">
        <v>1051</v>
      </c>
      <c r="E15" s="8" t="s">
        <v>1052</v>
      </c>
      <c r="F15" s="8" t="s">
        <v>1165</v>
      </c>
      <c r="G15" s="8" t="s">
        <v>1166</v>
      </c>
      <c r="H15" s="8" t="s">
        <v>1167</v>
      </c>
      <c r="I15" s="8" t="s">
        <v>1056</v>
      </c>
      <c r="J15" s="8">
        <v>141240001888</v>
      </c>
      <c r="K15" s="8" t="s">
        <v>1168</v>
      </c>
      <c r="L15" s="8" t="s">
        <v>1169</v>
      </c>
      <c r="M15" s="8" t="s">
        <v>1147</v>
      </c>
      <c r="N15" s="8">
        <v>17</v>
      </c>
      <c r="O15" s="8" t="s">
        <v>1170</v>
      </c>
      <c r="P15" s="8">
        <v>87770007277</v>
      </c>
      <c r="R15" s="8">
        <v>460000</v>
      </c>
      <c r="S15" s="8" t="s">
        <v>1062</v>
      </c>
      <c r="T15" s="8" t="s">
        <v>68</v>
      </c>
    </row>
    <row r="16" spans="1:20">
      <c r="A16" s="26">
        <v>45888.505380590279</v>
      </c>
      <c r="B16" s="8" t="s">
        <v>1141</v>
      </c>
      <c r="C16" s="8" t="s">
        <v>1171</v>
      </c>
      <c r="D16" s="8" t="s">
        <v>1051</v>
      </c>
      <c r="E16" s="8" t="s">
        <v>1052</v>
      </c>
      <c r="F16" s="8" t="s">
        <v>1172</v>
      </c>
      <c r="G16" s="8" t="s">
        <v>1173</v>
      </c>
      <c r="H16" s="8" t="s">
        <v>1174</v>
      </c>
      <c r="I16" s="8" t="s">
        <v>1056</v>
      </c>
      <c r="J16" s="8">
        <v>160140019888</v>
      </c>
      <c r="K16" s="8" t="s">
        <v>1175</v>
      </c>
      <c r="L16" s="8" t="s">
        <v>1176</v>
      </c>
      <c r="M16" s="8" t="s">
        <v>1060</v>
      </c>
      <c r="N16" s="8">
        <v>17</v>
      </c>
      <c r="O16" s="8" t="s">
        <v>1177</v>
      </c>
      <c r="P16" s="8">
        <v>87163841111</v>
      </c>
      <c r="R16" s="8">
        <v>550000</v>
      </c>
      <c r="S16" s="8" t="s">
        <v>1062</v>
      </c>
      <c r="T16" s="8" t="s">
        <v>84</v>
      </c>
    </row>
    <row r="17" spans="1:20">
      <c r="A17" s="26">
        <v>45908.395553935188</v>
      </c>
      <c r="B17" s="8" t="s">
        <v>1141</v>
      </c>
      <c r="C17" s="8" t="s">
        <v>1178</v>
      </c>
      <c r="D17" s="8" t="s">
        <v>1113</v>
      </c>
      <c r="E17" s="8" t="s">
        <v>1114</v>
      </c>
      <c r="F17" s="8" t="s">
        <v>1179</v>
      </c>
      <c r="G17" s="8" t="s">
        <v>1180</v>
      </c>
      <c r="H17" s="8" t="s">
        <v>1181</v>
      </c>
      <c r="I17" s="8" t="s">
        <v>1117</v>
      </c>
      <c r="J17" s="8">
        <v>851123401726</v>
      </c>
      <c r="K17" s="8" t="s">
        <v>1182</v>
      </c>
      <c r="L17" s="8" t="s">
        <v>1183</v>
      </c>
      <c r="M17" s="8" t="s">
        <v>1184</v>
      </c>
      <c r="N17" s="8">
        <v>19</v>
      </c>
      <c r="O17" s="8" t="s">
        <v>1185</v>
      </c>
      <c r="P17" s="8"/>
      <c r="R17" s="8">
        <v>330000</v>
      </c>
      <c r="S17" s="8" t="s">
        <v>1186</v>
      </c>
      <c r="T17" s="8" t="s">
        <v>88</v>
      </c>
    </row>
    <row r="18" spans="1:20">
      <c r="A18" s="26">
        <v>45908.395553935188</v>
      </c>
      <c r="B18" s="8" t="s">
        <v>1141</v>
      </c>
      <c r="C18" s="8" t="s">
        <v>1178</v>
      </c>
      <c r="D18" s="8" t="s">
        <v>1113</v>
      </c>
      <c r="E18" s="8" t="s">
        <v>1114</v>
      </c>
      <c r="F18" s="8" t="s">
        <v>1179</v>
      </c>
      <c r="G18" s="8" t="s">
        <v>1180</v>
      </c>
      <c r="H18" s="8" t="s">
        <v>1181</v>
      </c>
      <c r="I18" s="8" t="s">
        <v>1117</v>
      </c>
      <c r="J18" s="8">
        <v>851123401726</v>
      </c>
      <c r="K18" s="8" t="s">
        <v>1182</v>
      </c>
      <c r="L18" s="8" t="s">
        <v>1183</v>
      </c>
      <c r="M18" s="8" t="s">
        <v>1184</v>
      </c>
      <c r="N18" s="8">
        <v>19</v>
      </c>
      <c r="O18" s="8" t="s">
        <v>1185</v>
      </c>
      <c r="P18" s="8"/>
      <c r="R18" s="8">
        <v>330000</v>
      </c>
      <c r="S18" s="8" t="s">
        <v>1186</v>
      </c>
      <c r="T18" s="8" t="s">
        <v>89</v>
      </c>
    </row>
    <row r="19" spans="1:20">
      <c r="A19" s="26">
        <v>45908.395553935188</v>
      </c>
      <c r="B19" s="8" t="s">
        <v>1141</v>
      </c>
      <c r="C19" s="8" t="s">
        <v>1178</v>
      </c>
      <c r="D19" s="8" t="s">
        <v>1113</v>
      </c>
      <c r="E19" s="8" t="s">
        <v>1114</v>
      </c>
      <c r="F19" s="8" t="s">
        <v>1179</v>
      </c>
      <c r="G19" s="8" t="s">
        <v>1180</v>
      </c>
      <c r="H19" s="8" t="s">
        <v>1181</v>
      </c>
      <c r="I19" s="8" t="s">
        <v>1117</v>
      </c>
      <c r="J19" s="8">
        <v>851123401726</v>
      </c>
      <c r="K19" s="8" t="s">
        <v>1182</v>
      </c>
      <c r="L19" s="8" t="s">
        <v>1183</v>
      </c>
      <c r="M19" s="8" t="s">
        <v>1184</v>
      </c>
      <c r="N19" s="8">
        <v>19</v>
      </c>
      <c r="O19" s="8" t="s">
        <v>1185</v>
      </c>
      <c r="P19" s="8"/>
      <c r="R19" s="8">
        <v>330000</v>
      </c>
      <c r="S19" s="8" t="s">
        <v>1186</v>
      </c>
      <c r="T19" s="8" t="s">
        <v>90</v>
      </c>
    </row>
    <row r="20" spans="1:20">
      <c r="A20" s="83">
        <v>45583</v>
      </c>
      <c r="B20" s="8" t="s">
        <v>1049</v>
      </c>
      <c r="C20" s="8" t="s">
        <v>1187</v>
      </c>
      <c r="D20" s="8" t="s">
        <v>1188</v>
      </c>
      <c r="E20" s="8" t="s">
        <v>1052</v>
      </c>
      <c r="F20" s="8" t="s">
        <v>1189</v>
      </c>
      <c r="G20" s="8" t="s">
        <v>1190</v>
      </c>
      <c r="H20" s="8" t="s">
        <v>1191</v>
      </c>
      <c r="I20" s="8" t="s">
        <v>1056</v>
      </c>
      <c r="J20" s="8">
        <v>140540004751</v>
      </c>
      <c r="K20" s="8" t="s">
        <v>1192</v>
      </c>
      <c r="L20" s="8" t="s">
        <v>1183</v>
      </c>
      <c r="M20" s="8" t="s">
        <v>1184</v>
      </c>
      <c r="N20" s="8">
        <v>18</v>
      </c>
      <c r="O20" s="8" t="s">
        <v>1193</v>
      </c>
      <c r="R20" s="8">
        <v>340000</v>
      </c>
      <c r="S20" s="8" t="s">
        <v>1062</v>
      </c>
      <c r="T20" s="8" t="s">
        <v>11</v>
      </c>
    </row>
    <row r="21" spans="1:20">
      <c r="A21" s="83">
        <v>45617</v>
      </c>
      <c r="B21" s="8" t="s">
        <v>1049</v>
      </c>
      <c r="C21" s="8" t="s">
        <v>1194</v>
      </c>
      <c r="D21" s="8" t="s">
        <v>1051</v>
      </c>
      <c r="I21" s="8" t="s">
        <v>1056</v>
      </c>
      <c r="J21" s="8">
        <v>130740014030</v>
      </c>
      <c r="K21" s="8" t="s">
        <v>1195</v>
      </c>
      <c r="L21" s="8" t="s">
        <v>1196</v>
      </c>
      <c r="M21" s="8" t="s">
        <v>1069</v>
      </c>
      <c r="N21" s="8">
        <v>17</v>
      </c>
      <c r="O21" s="8" t="s">
        <v>1197</v>
      </c>
      <c r="P21" s="8">
        <v>87273150505</v>
      </c>
      <c r="R21" s="8">
        <v>2380000</v>
      </c>
      <c r="S21" s="8" t="s">
        <v>1062</v>
      </c>
      <c r="T21" s="11" t="s">
        <v>21</v>
      </c>
    </row>
    <row r="22" spans="1:20">
      <c r="A22" s="83">
        <v>45617</v>
      </c>
      <c r="B22" s="8" t="s">
        <v>1049</v>
      </c>
      <c r="C22" s="8" t="s">
        <v>1194</v>
      </c>
      <c r="D22" s="8" t="s">
        <v>1051</v>
      </c>
      <c r="I22" s="8" t="s">
        <v>1056</v>
      </c>
      <c r="J22" s="8">
        <v>130740014030</v>
      </c>
      <c r="K22" s="8" t="s">
        <v>1195</v>
      </c>
      <c r="L22" s="8" t="s">
        <v>1196</v>
      </c>
      <c r="M22" s="8" t="s">
        <v>1069</v>
      </c>
      <c r="T22" s="11" t="s">
        <v>22</v>
      </c>
    </row>
    <row r="23" spans="1:20">
      <c r="A23" s="83">
        <v>45617</v>
      </c>
      <c r="B23" s="8" t="s">
        <v>1049</v>
      </c>
      <c r="C23" s="8" t="s">
        <v>1194</v>
      </c>
      <c r="D23" s="8" t="s">
        <v>1051</v>
      </c>
      <c r="I23" s="8" t="s">
        <v>1056</v>
      </c>
      <c r="J23" s="8">
        <v>130740014030</v>
      </c>
      <c r="K23" s="8" t="s">
        <v>1195</v>
      </c>
      <c r="L23" s="8" t="s">
        <v>1196</v>
      </c>
      <c r="M23" s="8" t="s">
        <v>1069</v>
      </c>
      <c r="T23" s="11" t="s">
        <v>23</v>
      </c>
    </row>
    <row r="24" spans="1:20">
      <c r="A24" s="83">
        <v>45617</v>
      </c>
      <c r="B24" s="8" t="s">
        <v>1049</v>
      </c>
      <c r="C24" s="8" t="s">
        <v>1194</v>
      </c>
      <c r="D24" s="8" t="s">
        <v>1051</v>
      </c>
      <c r="I24" s="8" t="s">
        <v>1056</v>
      </c>
      <c r="J24" s="8">
        <v>130740014030</v>
      </c>
      <c r="K24" s="8" t="s">
        <v>1195</v>
      </c>
      <c r="L24" s="8" t="s">
        <v>1196</v>
      </c>
      <c r="M24" s="8" t="s">
        <v>1069</v>
      </c>
      <c r="T24" s="11" t="s">
        <v>24</v>
      </c>
    </row>
    <row r="25" spans="1:20">
      <c r="A25" s="83">
        <v>45617</v>
      </c>
      <c r="B25" s="8" t="s">
        <v>1049</v>
      </c>
      <c r="C25" s="8" t="s">
        <v>1194</v>
      </c>
      <c r="D25" s="8" t="s">
        <v>1051</v>
      </c>
      <c r="I25" s="8" t="s">
        <v>1056</v>
      </c>
      <c r="J25" s="8">
        <v>130740014030</v>
      </c>
      <c r="K25" s="8" t="s">
        <v>1195</v>
      </c>
      <c r="L25" s="8" t="s">
        <v>1196</v>
      </c>
      <c r="M25" s="8" t="s">
        <v>1069</v>
      </c>
      <c r="T25" s="11" t="s">
        <v>25</v>
      </c>
    </row>
    <row r="26" spans="1:20">
      <c r="A26" s="83">
        <v>45617</v>
      </c>
      <c r="B26" s="8" t="s">
        <v>1049</v>
      </c>
      <c r="C26" s="8" t="s">
        <v>1194</v>
      </c>
      <c r="D26" s="8" t="s">
        <v>1051</v>
      </c>
      <c r="I26" s="8" t="s">
        <v>1056</v>
      </c>
      <c r="J26" s="8">
        <v>130740014030</v>
      </c>
      <c r="K26" s="8" t="s">
        <v>1195</v>
      </c>
      <c r="L26" s="8" t="s">
        <v>1196</v>
      </c>
      <c r="M26" s="8" t="s">
        <v>1069</v>
      </c>
      <c r="T26" s="11" t="s">
        <v>26</v>
      </c>
    </row>
    <row r="27" spans="1:20">
      <c r="A27" s="83">
        <v>45617</v>
      </c>
      <c r="B27" s="8" t="s">
        <v>1049</v>
      </c>
      <c r="C27" s="8" t="s">
        <v>1194</v>
      </c>
      <c r="D27" s="8" t="s">
        <v>1051</v>
      </c>
      <c r="I27" s="8" t="s">
        <v>1056</v>
      </c>
      <c r="J27" s="8">
        <v>130740014030</v>
      </c>
      <c r="K27" s="8" t="s">
        <v>1195</v>
      </c>
      <c r="L27" s="8" t="s">
        <v>1196</v>
      </c>
      <c r="M27" s="8" t="s">
        <v>1069</v>
      </c>
      <c r="T27" s="11" t="s">
        <v>27</v>
      </c>
    </row>
    <row r="28" spans="1:20">
      <c r="A28" s="83">
        <v>45618</v>
      </c>
      <c r="B28" s="8" t="s">
        <v>1071</v>
      </c>
      <c r="C28" s="8" t="s">
        <v>1198</v>
      </c>
      <c r="D28" s="8" t="s">
        <v>1051</v>
      </c>
      <c r="E28" s="8" t="s">
        <v>1052</v>
      </c>
      <c r="F28" s="8" t="s">
        <v>1199</v>
      </c>
      <c r="G28" s="8" t="s">
        <v>1200</v>
      </c>
      <c r="H28" s="8" t="s">
        <v>1201</v>
      </c>
      <c r="I28" s="8" t="s">
        <v>1056</v>
      </c>
      <c r="J28" s="8">
        <v>180540007812</v>
      </c>
      <c r="K28" s="8" t="s">
        <v>1202</v>
      </c>
      <c r="L28" s="8" t="s">
        <v>1077</v>
      </c>
      <c r="M28" s="8" t="s">
        <v>1060</v>
      </c>
      <c r="N28" s="8">
        <v>17</v>
      </c>
      <c r="O28" s="8" t="s">
        <v>1203</v>
      </c>
      <c r="P28" s="8">
        <v>87788336151</v>
      </c>
      <c r="Q28" s="8" t="s">
        <v>1204</v>
      </c>
      <c r="R28" s="8">
        <v>850000</v>
      </c>
      <c r="S28" s="8" t="s">
        <v>1062</v>
      </c>
      <c r="T28" s="8" t="s">
        <v>30</v>
      </c>
    </row>
    <row r="29" spans="1:20">
      <c r="A29" s="83"/>
      <c r="C29" s="8" t="s">
        <v>1205</v>
      </c>
      <c r="K29" s="16">
        <f>1725+450</f>
        <v>2175</v>
      </c>
    </row>
    <row r="30" spans="1:20">
      <c r="A30" s="83">
        <v>45715</v>
      </c>
      <c r="B30" s="8" t="s">
        <v>1049</v>
      </c>
      <c r="C30" s="8" t="s">
        <v>1206</v>
      </c>
      <c r="D30" s="8" t="s">
        <v>1051</v>
      </c>
      <c r="F30" s="8" t="s">
        <v>1207</v>
      </c>
      <c r="G30" s="8" t="s">
        <v>1208</v>
      </c>
      <c r="H30" s="8" t="s">
        <v>1209</v>
      </c>
      <c r="I30" s="8" t="s">
        <v>1056</v>
      </c>
      <c r="J30" s="8">
        <v>240840037740</v>
      </c>
      <c r="K30" s="8" t="s">
        <v>1210</v>
      </c>
      <c r="L30" s="8" t="s">
        <v>1146</v>
      </c>
      <c r="N30" s="8">
        <v>17</v>
      </c>
      <c r="O30" s="8" t="s">
        <v>1211</v>
      </c>
      <c r="R30" s="8">
        <v>500000</v>
      </c>
      <c r="S30" s="8" t="s">
        <v>1062</v>
      </c>
      <c r="T30" s="8" t="s">
        <v>34</v>
      </c>
    </row>
    <row r="31" spans="1:20">
      <c r="A31" s="83">
        <v>45736</v>
      </c>
      <c r="B31" s="8" t="s">
        <v>1071</v>
      </c>
      <c r="C31" s="8" t="s">
        <v>1132</v>
      </c>
      <c r="D31" s="8" t="s">
        <v>1051</v>
      </c>
      <c r="E31" s="8" t="s">
        <v>1052</v>
      </c>
      <c r="F31" s="8" t="s">
        <v>1133</v>
      </c>
      <c r="G31" s="8" t="s">
        <v>1134</v>
      </c>
      <c r="H31" s="8" t="s">
        <v>1135</v>
      </c>
      <c r="I31" s="8" t="s">
        <v>1056</v>
      </c>
      <c r="J31" s="8">
        <v>250140002812</v>
      </c>
      <c r="K31" s="8" t="s">
        <v>1137</v>
      </c>
      <c r="L31" s="8" t="s">
        <v>1212</v>
      </c>
      <c r="M31" s="8" t="s">
        <v>1213</v>
      </c>
      <c r="N31" s="8">
        <v>17</v>
      </c>
      <c r="O31" s="8" t="s">
        <v>1214</v>
      </c>
      <c r="Q31" s="8" t="s">
        <v>1215</v>
      </c>
      <c r="R31" s="8">
        <v>565000</v>
      </c>
      <c r="S31" s="8" t="s">
        <v>1062</v>
      </c>
      <c r="T31" s="8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3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3" width="18.88671875" customWidth="1"/>
    <col min="4" max="4" width="15.21875" customWidth="1"/>
    <col min="5" max="5" width="16" customWidth="1"/>
    <col min="6" max="8" width="18.88671875" customWidth="1"/>
    <col min="9" max="9" width="13.6640625" customWidth="1"/>
    <col min="10" max="10" width="18.33203125" customWidth="1"/>
    <col min="11" max="16" width="18.88671875" customWidth="1"/>
  </cols>
  <sheetData>
    <row r="1" spans="1:16">
      <c r="A1" s="80" t="s">
        <v>99</v>
      </c>
      <c r="B1" s="80" t="s">
        <v>1216</v>
      </c>
      <c r="C1" s="80" t="s">
        <v>1217</v>
      </c>
      <c r="D1" s="80" t="s">
        <v>1218</v>
      </c>
      <c r="E1" s="80" t="s">
        <v>1219</v>
      </c>
      <c r="F1" s="80" t="s">
        <v>1220</v>
      </c>
      <c r="G1" s="80" t="s">
        <v>1221</v>
      </c>
      <c r="H1" s="8" t="s">
        <v>111</v>
      </c>
      <c r="I1" s="8" t="s">
        <v>910</v>
      </c>
      <c r="J1" s="8" t="s">
        <v>2</v>
      </c>
      <c r="K1" s="8" t="s">
        <v>1222</v>
      </c>
      <c r="L1" s="8"/>
      <c r="M1" s="8"/>
      <c r="N1" s="8"/>
      <c r="O1" s="8"/>
      <c r="P1" s="8"/>
    </row>
    <row r="2" spans="1:16">
      <c r="A2" s="26">
        <v>45464.575125868054</v>
      </c>
      <c r="B2" s="8">
        <v>371902981</v>
      </c>
      <c r="C2" s="8" t="s">
        <v>1223</v>
      </c>
      <c r="D2" s="8" t="s">
        <v>124</v>
      </c>
      <c r="E2" s="27">
        <v>45478</v>
      </c>
      <c r="F2" s="8" t="s">
        <v>1224</v>
      </c>
      <c r="G2" s="8">
        <v>87078692966</v>
      </c>
      <c r="H2" s="8" t="str">
        <f>VLOOKUP(C2,'Виды прицепов'!$A$29:$B$36,2,0)</f>
        <v>002-2013E50Q13-OK</v>
      </c>
      <c r="I2" s="16">
        <f>VLOOKUP(C2,'Виды прицепов'!$A$29:$C$36,3,0)</f>
        <v>380000</v>
      </c>
      <c r="J2" s="16" t="str">
        <f>'Реестр договоров'!D18</f>
        <v>MX4000002R0001497</v>
      </c>
      <c r="K2" s="8" t="str">
        <f>IF(ISNUMBER(MATCH(J2, 'Реестр договоров'!$D$2:$D$107, 0)), "Продано", "В ожидании")</f>
        <v>Продано</v>
      </c>
      <c r="L2" s="8"/>
      <c r="M2" s="8"/>
      <c r="N2" s="8"/>
      <c r="O2" s="8"/>
      <c r="P2" s="8"/>
    </row>
    <row r="3" spans="1:16">
      <c r="A3" s="26">
        <v>45464.575676863431</v>
      </c>
      <c r="B3" s="8">
        <v>371834922</v>
      </c>
      <c r="C3" s="8" t="s">
        <v>1225</v>
      </c>
      <c r="D3" s="8" t="s">
        <v>121</v>
      </c>
      <c r="E3" s="27">
        <v>45476</v>
      </c>
      <c r="F3" s="8" t="s">
        <v>1226</v>
      </c>
      <c r="G3" s="8">
        <v>87777999600</v>
      </c>
      <c r="H3" s="8" t="str">
        <f>VLOOKUP(C3,'Виды прицепов'!$A$29:$B$36,2,0)</f>
        <v>002-2513E30Q13-OK</v>
      </c>
      <c r="I3" s="16">
        <f>VLOOKUP(C3,'Виды прицепов'!$A$29:$C$36,3,0)</f>
        <v>430000</v>
      </c>
      <c r="J3" s="16" t="str">
        <f>'Реестр договоров'!D33</f>
        <v>MX4000002R0001519</v>
      </c>
      <c r="K3" s="8" t="str">
        <f>IF(ISNUMBER(MATCH(J3, 'Реестр договоров'!$D$2:$D$107, 0)), "Продано", "В ожидании")</f>
        <v>Продано</v>
      </c>
      <c r="L3" s="8"/>
      <c r="M3" s="8"/>
      <c r="N3" s="8"/>
      <c r="O3" s="8"/>
      <c r="P3" s="8"/>
    </row>
    <row r="4" spans="1:16">
      <c r="A4" s="26">
        <v>45464.576170949076</v>
      </c>
      <c r="B4" s="8">
        <v>372161263</v>
      </c>
      <c r="C4" s="8" t="s">
        <v>1223</v>
      </c>
      <c r="D4" s="8" t="s">
        <v>121</v>
      </c>
      <c r="E4" s="27">
        <v>45476</v>
      </c>
      <c r="F4" s="8" t="s">
        <v>1227</v>
      </c>
      <c r="G4" s="8">
        <v>87024803772</v>
      </c>
      <c r="H4" s="8" t="str">
        <f>VLOOKUP(C4,'Виды прицепов'!$A$29:$B$36,2,0)</f>
        <v>002-2013E50Q13-OK</v>
      </c>
      <c r="I4" s="16">
        <f>VLOOKUP(C4,'Виды прицепов'!$A$29:$C$36,3,0)</f>
        <v>380000</v>
      </c>
      <c r="J4" s="16" t="str">
        <f>'Реестр договоров'!D24</f>
        <v>MX4000002R0001569</v>
      </c>
      <c r="K4" s="8" t="str">
        <f>IF(ISNUMBER(MATCH(J4, 'Реестр договоров'!$D$2:$D$107, 0)), "Продано", "В ожидании")</f>
        <v>Продано</v>
      </c>
      <c r="L4" s="8"/>
      <c r="M4" s="8"/>
      <c r="N4" s="8"/>
      <c r="O4" s="8"/>
      <c r="P4" s="8"/>
    </row>
    <row r="5" spans="1:16">
      <c r="A5" s="26">
        <v>45464.576778946765</v>
      </c>
      <c r="B5" s="8">
        <v>372182417</v>
      </c>
      <c r="C5" s="8" t="s">
        <v>1225</v>
      </c>
      <c r="D5" s="8" t="s">
        <v>121</v>
      </c>
      <c r="E5" s="27">
        <v>45476</v>
      </c>
      <c r="F5" s="8" t="s">
        <v>1228</v>
      </c>
      <c r="G5" s="8">
        <v>87051401922</v>
      </c>
      <c r="H5" s="8" t="str">
        <f>VLOOKUP(C5,'Виды прицепов'!$A$29:$B$36,2,0)</f>
        <v>002-2513E30Q13-OK</v>
      </c>
      <c r="I5" s="16">
        <f>VLOOKUP(C5,'Виды прицепов'!$A$29:$C$36,3,0)</f>
        <v>430000</v>
      </c>
      <c r="J5" s="16" t="str">
        <f>'Реестр договоров'!D27</f>
        <v>MX4000002R0001507</v>
      </c>
      <c r="K5" s="8" t="str">
        <f>IF(ISNUMBER(MATCH(J5, 'Реестр договоров'!$D$2:$D$107, 0)), "Продано", "В ожидании")</f>
        <v>Продано</v>
      </c>
      <c r="L5" s="8"/>
      <c r="M5" s="8"/>
      <c r="N5" s="8"/>
      <c r="O5" s="8"/>
      <c r="P5" s="8"/>
    </row>
    <row r="6" spans="1:16">
      <c r="A6" s="26">
        <v>45464.577302430553</v>
      </c>
      <c r="B6" s="8">
        <v>372263475</v>
      </c>
      <c r="C6" s="8" t="s">
        <v>1229</v>
      </c>
      <c r="D6" s="8" t="s">
        <v>121</v>
      </c>
      <c r="E6" s="27">
        <v>45476</v>
      </c>
      <c r="F6" s="8" t="s">
        <v>1230</v>
      </c>
      <c r="G6" s="8">
        <v>87001990026</v>
      </c>
      <c r="H6" s="8" t="str">
        <f>VLOOKUP(C6,'Виды прицепов'!$A$29:$B$36,2,0)</f>
        <v>002-2013E30Q13-OK</v>
      </c>
      <c r="I6" s="16">
        <f>VLOOKUP(C6,'Виды прицепов'!$A$29:$C$36,3,0)</f>
        <v>360000</v>
      </c>
      <c r="J6" s="16" t="str">
        <f>'Реестр договоров'!D23</f>
        <v>MX4000002R0001481</v>
      </c>
      <c r="K6" s="8" t="str">
        <f>IF(ISNUMBER(MATCH(J6, 'Реестр договоров'!$D$2:$D$107, 0)), "Продано", "В ожидании")</f>
        <v>Продано</v>
      </c>
      <c r="L6" s="8"/>
      <c r="M6" s="8"/>
      <c r="N6" s="8"/>
      <c r="O6" s="8"/>
      <c r="P6" s="8"/>
    </row>
    <row r="7" spans="1:16">
      <c r="A7" s="26">
        <v>45464.578129560185</v>
      </c>
      <c r="B7" s="8">
        <v>372316761</v>
      </c>
      <c r="C7" s="8" t="s">
        <v>1229</v>
      </c>
      <c r="D7" s="8" t="s">
        <v>121</v>
      </c>
      <c r="E7" s="27">
        <v>45476</v>
      </c>
      <c r="F7" s="8" t="s">
        <v>1231</v>
      </c>
      <c r="G7" s="8">
        <v>87718997482</v>
      </c>
      <c r="H7" s="8" t="str">
        <f>VLOOKUP(C7,'Виды прицепов'!$A$29:$B$36,2,0)</f>
        <v>002-2013E30Q13-OK</v>
      </c>
      <c r="I7" s="16">
        <f>VLOOKUP(C7,'Виды прицепов'!$A$29:$C$36,3,0)</f>
        <v>360000</v>
      </c>
      <c r="J7" s="8" t="str">
        <f>'Реестр договоров'!D25</f>
        <v>MX4000002R0001500</v>
      </c>
      <c r="K7" s="8" t="str">
        <f>IF(ISNUMBER(MATCH(J7, 'Реестр договоров'!$D$2:$D$107, 0)), "Продано", "В ожидании")</f>
        <v>Продано</v>
      </c>
      <c r="L7" s="8"/>
      <c r="M7" s="8"/>
      <c r="N7" s="8"/>
      <c r="O7" s="8"/>
      <c r="P7" s="8"/>
    </row>
    <row r="8" spans="1:16">
      <c r="A8" s="26">
        <v>45464.641394641207</v>
      </c>
      <c r="B8" s="8">
        <v>372400367</v>
      </c>
      <c r="C8" s="8" t="s">
        <v>1223</v>
      </c>
      <c r="D8" s="8" t="s">
        <v>124</v>
      </c>
      <c r="E8" s="27">
        <v>45464</v>
      </c>
      <c r="F8" s="8" t="s">
        <v>1232</v>
      </c>
      <c r="G8" s="8">
        <v>87051000550</v>
      </c>
      <c r="H8" s="8" t="str">
        <f>VLOOKUP(C8,'Виды прицепов'!$A$29:$B$36,2,0)</f>
        <v>002-2013E50Q13-OK</v>
      </c>
      <c r="I8" s="16">
        <f>VLOOKUP(C8,'Виды прицепов'!$A$29:$C$36,3,0)</f>
        <v>380000</v>
      </c>
      <c r="J8" s="16" t="str">
        <f>'Реестр договоров'!D17</f>
        <v>MX4000002R0001680</v>
      </c>
      <c r="K8" s="8" t="str">
        <f>IF(ISNUMBER(MATCH(J8, 'Реестр договоров'!$D$2:$D$107, 0)), "Продано", "В ожидании")</f>
        <v>Продано</v>
      </c>
      <c r="L8" s="8"/>
      <c r="M8" s="8"/>
      <c r="N8" s="8"/>
      <c r="O8" s="8"/>
      <c r="P8" s="8"/>
    </row>
    <row r="9" spans="1:16">
      <c r="A9" s="26">
        <v>45464.684552013889</v>
      </c>
      <c r="B9" s="8">
        <v>372451919</v>
      </c>
      <c r="C9" s="8" t="s">
        <v>1223</v>
      </c>
      <c r="D9" s="8" t="s">
        <v>121</v>
      </c>
      <c r="E9" s="27">
        <v>45477</v>
      </c>
      <c r="F9" s="8" t="s">
        <v>1233</v>
      </c>
      <c r="G9" s="8">
        <v>87016021980</v>
      </c>
      <c r="H9" s="8" t="str">
        <f>VLOOKUP(C9,'Виды прицепов'!$A$29:$B$36,2,0)</f>
        <v>002-2013E50Q13-OK</v>
      </c>
      <c r="I9" s="16">
        <f>VLOOKUP(C9,'Виды прицепов'!$A$29:$C$36,3,0)</f>
        <v>380000</v>
      </c>
      <c r="J9" s="16" t="str">
        <f>'Реестр договоров'!D44</f>
        <v>MX4000002R0001638</v>
      </c>
      <c r="K9" s="8" t="str">
        <f>IF(ISNUMBER(MATCH(J9, 'Реестр договоров'!$D$2:$D$107, 0)), "Продано", "В ожидании")</f>
        <v>Продано</v>
      </c>
      <c r="L9" s="8"/>
      <c r="M9" s="8"/>
      <c r="N9" s="8"/>
      <c r="O9" s="8"/>
      <c r="P9" s="8"/>
    </row>
    <row r="10" spans="1:16">
      <c r="A10" s="26">
        <v>45464.699920289349</v>
      </c>
      <c r="B10" s="8">
        <v>372494365</v>
      </c>
      <c r="C10" s="8" t="s">
        <v>1225</v>
      </c>
      <c r="D10" s="8" t="s">
        <v>121</v>
      </c>
      <c r="E10" s="27">
        <v>45477</v>
      </c>
      <c r="F10" s="8" t="s">
        <v>1234</v>
      </c>
      <c r="G10" s="8">
        <v>87729068658</v>
      </c>
      <c r="H10" s="8" t="str">
        <f>VLOOKUP(C10,'Виды прицепов'!$A$29:$B$36,2,0)</f>
        <v>002-2513E30Q13-OK</v>
      </c>
      <c r="I10" s="16">
        <f>VLOOKUP(C10,'Виды прицепов'!$A$29:$C$36,3,0)</f>
        <v>430000</v>
      </c>
      <c r="J10" s="16" t="str">
        <f>'Реестр договоров'!D19</f>
        <v>MX4000002R0001516</v>
      </c>
      <c r="K10" s="8" t="str">
        <f>IF(ISNUMBER(MATCH(J10, 'Реестр договоров'!$D$2:$D$107, 0)), "Продано", "В ожидании")</f>
        <v>Продано</v>
      </c>
      <c r="L10" s="8"/>
      <c r="M10" s="8"/>
      <c r="N10" s="8"/>
      <c r="O10" s="8"/>
      <c r="P10" s="8"/>
    </row>
    <row r="11" spans="1:16">
      <c r="A11" s="26">
        <v>45464.770130486111</v>
      </c>
      <c r="B11" s="8">
        <v>372526823</v>
      </c>
      <c r="C11" s="8" t="s">
        <v>1225</v>
      </c>
      <c r="D11" s="8" t="s">
        <v>121</v>
      </c>
      <c r="E11" s="27">
        <v>45464</v>
      </c>
      <c r="F11" s="8" t="s">
        <v>1053</v>
      </c>
      <c r="G11" s="8">
        <v>87080070078</v>
      </c>
      <c r="H11" s="8" t="str">
        <f>VLOOKUP(C11,'Виды прицепов'!$A$29:$B$36,2,0)</f>
        <v>002-2513E30Q13-OK</v>
      </c>
      <c r="I11" s="16">
        <f>VLOOKUP(C11,'Виды прицепов'!$A$29:$C$36,3,0)</f>
        <v>430000</v>
      </c>
      <c r="J11" s="16" t="str">
        <f>'Реестр договоров'!D21</f>
        <v>MX4000002R0001521</v>
      </c>
      <c r="K11" s="8" t="str">
        <f>IF(ISNUMBER(MATCH(J11, 'Реестр договоров'!$D$2:$D$107, 0)), "Продано", "В ожидании")</f>
        <v>Продано</v>
      </c>
      <c r="L11" s="8"/>
      <c r="M11" s="8"/>
      <c r="N11" s="8"/>
      <c r="O11" s="8"/>
      <c r="P11" s="8"/>
    </row>
    <row r="12" spans="1:16">
      <c r="A12" s="26">
        <v>45464.771416655094</v>
      </c>
      <c r="B12" s="8">
        <v>372502132</v>
      </c>
      <c r="C12" s="8" t="s">
        <v>1225</v>
      </c>
      <c r="D12" s="8" t="s">
        <v>118</v>
      </c>
      <c r="E12" s="27">
        <v>45464</v>
      </c>
      <c r="F12" s="8" t="s">
        <v>1235</v>
      </c>
      <c r="G12" s="8">
        <v>87087496491</v>
      </c>
      <c r="H12" s="8" t="str">
        <f>VLOOKUP(C12,'Виды прицепов'!$A$29:$B$36,2,0)</f>
        <v>002-2513E30Q13-OK</v>
      </c>
      <c r="I12" s="16">
        <f>VLOOKUP(C12,'Виды прицепов'!$A$29:$C$36,3,0)</f>
        <v>430000</v>
      </c>
      <c r="J12" s="8" t="str">
        <f>'Реестр договоров'!D20</f>
        <v>MX4000002R0001643</v>
      </c>
      <c r="K12" s="8" t="str">
        <f>IF(ISNUMBER(MATCH(J12, 'Реестр договоров'!$D$2:$D$107, 0)), "Продано", "В ожидании")</f>
        <v>Продано</v>
      </c>
      <c r="L12" s="8"/>
      <c r="M12" s="8"/>
      <c r="N12" s="8"/>
      <c r="O12" s="8"/>
      <c r="P12" s="8"/>
    </row>
    <row r="13" spans="1:16">
      <c r="A13" s="26">
        <v>45466.891300925927</v>
      </c>
      <c r="B13" s="8">
        <v>373966193</v>
      </c>
      <c r="C13" s="8" t="s">
        <v>1223</v>
      </c>
      <c r="D13" s="8" t="s">
        <v>121</v>
      </c>
      <c r="E13" s="27">
        <v>45478</v>
      </c>
      <c r="F13" s="8" t="s">
        <v>1236</v>
      </c>
      <c r="G13" s="8">
        <v>87014641438</v>
      </c>
      <c r="H13" s="8" t="str">
        <f>VLOOKUP(C13,'Виды прицепов'!$A$29:$B$36,2,0)</f>
        <v>002-2013E50Q13-OK</v>
      </c>
      <c r="I13" s="16">
        <f>VLOOKUP(C13,'Виды прицепов'!$A$29:$C$36,3,0)</f>
        <v>380000</v>
      </c>
      <c r="J13" s="16" t="str">
        <f>'Реестр договоров'!D37</f>
        <v>MX4000002R0001634</v>
      </c>
      <c r="K13" s="8" t="str">
        <f>IF(ISNUMBER(MATCH(J13, 'Реестр договоров'!$D$2:$D$107, 0)), "Продано", "В ожидании")</f>
        <v>Продано</v>
      </c>
      <c r="L13" s="8"/>
      <c r="M13" s="8"/>
      <c r="N13" s="8"/>
      <c r="O13" s="8"/>
      <c r="P13" s="8"/>
    </row>
    <row r="14" spans="1:16">
      <c r="A14" s="84">
        <v>45466.892030995368</v>
      </c>
      <c r="B14" s="85">
        <v>373918190</v>
      </c>
      <c r="C14" s="85" t="s">
        <v>1225</v>
      </c>
      <c r="D14" s="85" t="s">
        <v>124</v>
      </c>
      <c r="E14" s="86">
        <v>45481</v>
      </c>
      <c r="F14" s="85" t="s">
        <v>1237</v>
      </c>
      <c r="G14" s="85">
        <v>87773060510</v>
      </c>
      <c r="H14" s="85" t="str">
        <f>VLOOKUP(C14,'Виды прицепов'!$A$29:$B$36,2,0)</f>
        <v>002-2513E30Q13-OK</v>
      </c>
      <c r="I14" s="87">
        <f>VLOOKUP(C14,'Виды прицепов'!$A$29:$C$36,3,0)</f>
        <v>430000</v>
      </c>
      <c r="J14" s="87"/>
      <c r="K14" s="85" t="s">
        <v>1238</v>
      </c>
      <c r="L14" s="85"/>
      <c r="M14" s="85"/>
      <c r="N14" s="85"/>
      <c r="O14" s="85"/>
      <c r="P14" s="85"/>
    </row>
    <row r="15" spans="1:16">
      <c r="A15" s="26">
        <v>45466.89347383102</v>
      </c>
      <c r="B15" s="8">
        <v>373906561</v>
      </c>
      <c r="C15" s="8" t="s">
        <v>1223</v>
      </c>
      <c r="D15" s="8" t="s">
        <v>121</v>
      </c>
      <c r="E15" s="27">
        <v>45478</v>
      </c>
      <c r="F15" s="8" t="s">
        <v>1172</v>
      </c>
      <c r="G15" s="8">
        <v>87473146403</v>
      </c>
      <c r="H15" s="8" t="str">
        <f>VLOOKUP(C15,'Виды прицепов'!$A$29:$B$36,2,0)</f>
        <v>002-2013E50Q13-OK</v>
      </c>
      <c r="I15" s="16">
        <f>VLOOKUP(C15,'Виды прицепов'!$A$29:$C$36,3,0)</f>
        <v>380000</v>
      </c>
      <c r="J15" s="16" t="str">
        <f>'Реестр договоров'!D36</f>
        <v>MX4000002R0001459</v>
      </c>
      <c r="K15" s="8" t="str">
        <f>IF(ISNUMBER(MATCH(J15, 'Реестр договоров'!$D$2:$D$107, 0)), "Продано", "В ожидании")</f>
        <v>Продано</v>
      </c>
      <c r="L15" s="8"/>
      <c r="M15" s="8"/>
      <c r="N15" s="8"/>
      <c r="O15" s="8"/>
      <c r="P15" s="8"/>
    </row>
    <row r="16" spans="1:16">
      <c r="A16" s="26">
        <v>45466.894436284725</v>
      </c>
      <c r="B16" s="8">
        <v>373861165</v>
      </c>
      <c r="C16" s="8" t="s">
        <v>1223</v>
      </c>
      <c r="D16" s="8" t="s">
        <v>118</v>
      </c>
      <c r="E16" s="27">
        <v>45478</v>
      </c>
      <c r="F16" s="8" t="s">
        <v>1239</v>
      </c>
      <c r="G16" s="8">
        <v>87011703270</v>
      </c>
      <c r="H16" s="8" t="str">
        <f>VLOOKUP(C16,'Виды прицепов'!$A$29:$B$36,2,0)</f>
        <v>002-2013E50Q13-OK</v>
      </c>
      <c r="I16" s="16">
        <f>VLOOKUP(C16,'Виды прицепов'!$A$29:$C$36,3,0)</f>
        <v>380000</v>
      </c>
      <c r="J16" s="16" t="str">
        <f>'Реестр договоров'!D32</f>
        <v>MX4000002R0001698</v>
      </c>
      <c r="K16" s="8" t="str">
        <f>IF(ISNUMBER(MATCH(J16, 'Реестр договоров'!$D$2:$D$107, 0)), "Продано", "В ожидании")</f>
        <v>Продано</v>
      </c>
      <c r="L16" s="8"/>
      <c r="M16" s="8"/>
      <c r="N16" s="8"/>
      <c r="O16" s="8"/>
      <c r="P16" s="8"/>
    </row>
    <row r="17" spans="1:16">
      <c r="A17" s="26">
        <v>45466.895102708339</v>
      </c>
      <c r="B17" s="8">
        <v>373834999</v>
      </c>
      <c r="C17" s="8" t="s">
        <v>1223</v>
      </c>
      <c r="D17" s="8" t="s">
        <v>124</v>
      </c>
      <c r="E17" s="27">
        <v>45481</v>
      </c>
      <c r="F17" s="8" t="s">
        <v>1240</v>
      </c>
      <c r="G17" s="8">
        <v>87014360348</v>
      </c>
      <c r="H17" s="8" t="str">
        <f>VLOOKUP(C17,'Виды прицепов'!$A$29:$B$36,2,0)</f>
        <v>002-2013E50Q13-OK</v>
      </c>
      <c r="I17" s="16">
        <f>VLOOKUP(C17,'Виды прицепов'!$A$29:$C$36,3,0)</f>
        <v>380000</v>
      </c>
      <c r="J17" s="16" t="str">
        <f>'Реестр договоров'!D34</f>
        <v>MX4000002R0001650</v>
      </c>
      <c r="K17" s="8" t="str">
        <f>IF(ISNUMBER(MATCH(J17, 'Реестр договоров'!$D$2:$D$107, 0)), "Продано", "В ожидании")</f>
        <v>Продано</v>
      </c>
      <c r="L17" s="8"/>
      <c r="M17" s="8"/>
      <c r="N17" s="8"/>
      <c r="O17" s="8"/>
      <c r="P17" s="8"/>
    </row>
    <row r="18" spans="1:16">
      <c r="A18" s="26">
        <v>45466.895932743057</v>
      </c>
      <c r="B18" s="8">
        <v>373763043</v>
      </c>
      <c r="C18" s="8" t="s">
        <v>1225</v>
      </c>
      <c r="D18" s="8" t="s">
        <v>124</v>
      </c>
      <c r="E18" s="27">
        <v>45481</v>
      </c>
      <c r="F18" s="8" t="s">
        <v>1241</v>
      </c>
      <c r="G18" s="8">
        <v>87753526107</v>
      </c>
      <c r="H18" s="8" t="str">
        <f>VLOOKUP(C18,'Виды прицепов'!$A$29:$B$36,2,0)</f>
        <v>002-2513E30Q13-OK</v>
      </c>
      <c r="I18" s="16">
        <f>VLOOKUP(C18,'Виды прицепов'!$A$29:$C$36,3,0)</f>
        <v>430000</v>
      </c>
      <c r="J18" s="16" t="str">
        <f>'Реестр договоров'!D39</f>
        <v>MX4000002P0001445</v>
      </c>
      <c r="K18" s="8" t="str">
        <f>IF(ISNUMBER(MATCH(J18, 'Реестр договоров'!$D$2:$D$107, 0)), "Продано", "В ожидании")</f>
        <v>Продано</v>
      </c>
      <c r="L18" s="8"/>
      <c r="M18" s="8"/>
      <c r="N18" s="8"/>
      <c r="O18" s="8"/>
      <c r="P18" s="8"/>
    </row>
    <row r="19" spans="1:16">
      <c r="A19" s="26">
        <v>45466.896621215274</v>
      </c>
      <c r="B19" s="8">
        <v>373715600</v>
      </c>
      <c r="C19" s="8" t="s">
        <v>1229</v>
      </c>
      <c r="D19" s="8" t="s">
        <v>124</v>
      </c>
      <c r="E19" s="27">
        <v>45481</v>
      </c>
      <c r="F19" s="8" t="s">
        <v>1242</v>
      </c>
      <c r="G19" s="8">
        <v>87761510777</v>
      </c>
      <c r="H19" s="8" t="str">
        <f>VLOOKUP(C19,'Виды прицепов'!$A$29:$B$36,2,0)</f>
        <v>002-2013E30Q13-OK</v>
      </c>
      <c r="I19" s="16">
        <f>VLOOKUP(C19,'Виды прицепов'!$A$29:$C$36,3,0)</f>
        <v>360000</v>
      </c>
      <c r="J19" s="16" t="str">
        <f>'Реестр договоров'!D35</f>
        <v>MX4000002R0001666</v>
      </c>
      <c r="K19" s="8" t="str">
        <f>IF(ISNUMBER(MATCH(J19, 'Реестр договоров'!$D$2:$D$107, 0)), "Продано", "В ожидании")</f>
        <v>Продано</v>
      </c>
      <c r="L19" s="8"/>
      <c r="M19" s="8"/>
      <c r="N19" s="8"/>
      <c r="O19" s="8"/>
      <c r="P19" s="8"/>
    </row>
    <row r="20" spans="1:16">
      <c r="A20" s="26">
        <v>45466.897332442131</v>
      </c>
      <c r="B20" s="8">
        <v>373727216</v>
      </c>
      <c r="C20" s="8" t="s">
        <v>1223</v>
      </c>
      <c r="D20" s="8" t="s">
        <v>118</v>
      </c>
      <c r="E20" s="27">
        <v>45478</v>
      </c>
      <c r="F20" s="8" t="s">
        <v>1243</v>
      </c>
      <c r="G20" s="8">
        <v>87052999087</v>
      </c>
      <c r="H20" s="8" t="str">
        <f>VLOOKUP(C20,'Виды прицепов'!$A$29:$B$36,2,0)</f>
        <v>002-2013E50Q13-OK</v>
      </c>
      <c r="I20" s="16">
        <f>VLOOKUP(C20,'Виды прицепов'!$A$29:$C$36,3,0)</f>
        <v>380000</v>
      </c>
      <c r="J20" s="16" t="str">
        <f>'Реестр договоров'!D29</f>
        <v>MX4000002R0001664</v>
      </c>
      <c r="K20" s="8" t="str">
        <f>IF(ISNUMBER(MATCH(J20, 'Реестр договоров'!$D$2:$D$107, 0)), "Продано", "В ожидании")</f>
        <v>Продано</v>
      </c>
      <c r="L20" s="8"/>
      <c r="M20" s="8"/>
      <c r="N20" s="8"/>
      <c r="O20" s="8"/>
      <c r="P20" s="8"/>
    </row>
    <row r="21" spans="1:16">
      <c r="A21" s="26">
        <v>45466.898009652781</v>
      </c>
      <c r="B21" s="8">
        <v>373462248</v>
      </c>
      <c r="C21" s="8" t="s">
        <v>1223</v>
      </c>
      <c r="D21" s="8" t="s">
        <v>121</v>
      </c>
      <c r="E21" s="27">
        <v>45478</v>
      </c>
      <c r="F21" s="8" t="s">
        <v>1244</v>
      </c>
      <c r="G21" s="8">
        <v>87478169748</v>
      </c>
      <c r="H21" s="8" t="str">
        <f>VLOOKUP(C21,'Виды прицепов'!$A$29:$B$36,2,0)</f>
        <v>002-2013E50Q13-OK</v>
      </c>
      <c r="I21" s="16">
        <f>VLOOKUP(C21,'Виды прицепов'!$A$29:$C$36,3,0)</f>
        <v>380000</v>
      </c>
      <c r="J21" s="16" t="str">
        <f>'Реестр договоров'!D28</f>
        <v>MX4000002R0001468</v>
      </c>
      <c r="K21" s="8" t="str">
        <f>IF(ISNUMBER(MATCH(J21, 'Реестр договоров'!$D$2:$D$107, 0)), "Продано", "В ожидании")</f>
        <v>Продано</v>
      </c>
      <c r="L21" s="8"/>
      <c r="M21" s="8"/>
      <c r="N21" s="8"/>
      <c r="O21" s="8"/>
      <c r="P21" s="8"/>
    </row>
    <row r="22" spans="1:16">
      <c r="A22" s="26">
        <v>45466.898794525463</v>
      </c>
      <c r="B22" s="8">
        <v>373360179</v>
      </c>
      <c r="C22" s="8" t="s">
        <v>1245</v>
      </c>
      <c r="D22" s="8" t="s">
        <v>118</v>
      </c>
      <c r="E22" s="27">
        <v>45481</v>
      </c>
      <c r="F22" s="8" t="s">
        <v>1246</v>
      </c>
      <c r="G22" s="8">
        <v>87007708568</v>
      </c>
      <c r="H22" s="8" t="str">
        <f>VLOOKUP(C22,'Виды прицепов'!$A$29:$B$36,2,0)</f>
        <v>004-3015E30Q15-OK</v>
      </c>
      <c r="I22" s="16">
        <f>VLOOKUP(C22,'Виды прицепов'!$A$29:$C$36,3,0)</f>
        <v>1050000</v>
      </c>
      <c r="J22" s="16" t="str">
        <f>'Реестр договоров'!D46</f>
        <v>MX4000004R0001721</v>
      </c>
      <c r="K22" s="8" t="str">
        <f>IF(ISNUMBER(MATCH(J22, 'Реестр договоров'!$D$2:$D$107, 0)), "Продано", "В ожидании")</f>
        <v>Продано</v>
      </c>
      <c r="L22" s="8"/>
      <c r="M22" s="8"/>
      <c r="N22" s="8"/>
      <c r="O22" s="8"/>
      <c r="P22" s="8"/>
    </row>
    <row r="23" spans="1:16">
      <c r="A23" s="26">
        <v>45466.899462303241</v>
      </c>
      <c r="B23" s="8">
        <v>373340116</v>
      </c>
      <c r="C23" s="8" t="s">
        <v>1225</v>
      </c>
      <c r="D23" s="8" t="s">
        <v>121</v>
      </c>
      <c r="E23" s="27">
        <v>45478</v>
      </c>
      <c r="F23" s="8" t="s">
        <v>1199</v>
      </c>
      <c r="G23" s="8">
        <v>87054672383</v>
      </c>
      <c r="H23" s="8" t="str">
        <f>VLOOKUP(C23,'Виды прицепов'!$A$29:$B$36,2,0)</f>
        <v>002-2513E30Q13-OK</v>
      </c>
      <c r="I23" s="16">
        <f>VLOOKUP(C23,'Виды прицепов'!$A$29:$C$36,3,0)</f>
        <v>430000</v>
      </c>
      <c r="J23" s="16" t="str">
        <f>'Реестр договоров'!D40</f>
        <v>MX4000002R0001503</v>
      </c>
      <c r="K23" s="8" t="str">
        <f>IF(ISNUMBER(MATCH(J23, 'Реестр договоров'!$D$2:$D$107, 0)), "Продано", "В ожидании")</f>
        <v>Продано</v>
      </c>
      <c r="L23" s="8"/>
      <c r="M23" s="8"/>
      <c r="N23" s="8"/>
      <c r="O23" s="8"/>
      <c r="P23" s="8"/>
    </row>
    <row r="24" spans="1:16">
      <c r="A24" s="26">
        <v>45466.900148854169</v>
      </c>
      <c r="B24" s="8">
        <v>373310011</v>
      </c>
      <c r="C24" s="8" t="s">
        <v>1229</v>
      </c>
      <c r="D24" s="8" t="s">
        <v>124</v>
      </c>
      <c r="E24" s="27">
        <v>45481</v>
      </c>
      <c r="F24" s="8" t="s">
        <v>1247</v>
      </c>
      <c r="G24" s="8">
        <v>87785826900</v>
      </c>
      <c r="H24" s="8" t="str">
        <f>VLOOKUP(C24,'Виды прицепов'!$A$29:$B$36,2,0)</f>
        <v>002-2013E30Q13-OK</v>
      </c>
      <c r="I24" s="16">
        <f>VLOOKUP(C24,'Виды прицепов'!$A$29:$C$36,3,0)</f>
        <v>360000</v>
      </c>
      <c r="J24" s="16" t="str">
        <f>'Реестр договоров'!D48</f>
        <v>MX4000002R0001656</v>
      </c>
      <c r="K24" s="8" t="str">
        <f>IF(ISNUMBER(MATCH(J24, 'Реестр договоров'!$D$2:$D$107, 0)), "Продано", "В ожидании")</f>
        <v>Продано</v>
      </c>
      <c r="L24" s="8"/>
      <c r="M24" s="8"/>
      <c r="N24" s="8"/>
      <c r="O24" s="8"/>
      <c r="P24" s="8"/>
    </row>
    <row r="25" spans="1:16">
      <c r="A25" s="84">
        <v>45466.900934155092</v>
      </c>
      <c r="B25" s="85">
        <v>373086008</v>
      </c>
      <c r="C25" s="85" t="s">
        <v>1223</v>
      </c>
      <c r="D25" s="85" t="s">
        <v>121</v>
      </c>
      <c r="E25" s="86">
        <v>45478</v>
      </c>
      <c r="F25" s="85" t="s">
        <v>1248</v>
      </c>
      <c r="G25" s="85">
        <v>87077788886</v>
      </c>
      <c r="H25" s="85" t="str">
        <f>VLOOKUP(C25,'Виды прицепов'!$A$29:$B$36,2,0)</f>
        <v>002-2013E50Q13-OK</v>
      </c>
      <c r="I25" s="87">
        <f>VLOOKUP(C25,'Виды прицепов'!$A$29:$C$36,3,0)</f>
        <v>380000</v>
      </c>
      <c r="J25" s="87"/>
      <c r="K25" s="85" t="s">
        <v>1238</v>
      </c>
      <c r="L25" s="85"/>
      <c r="M25" s="85"/>
      <c r="N25" s="85"/>
      <c r="O25" s="85"/>
      <c r="P25" s="85"/>
    </row>
    <row r="26" spans="1:16">
      <c r="A26" s="26">
        <v>45466.901753298611</v>
      </c>
      <c r="B26" s="8">
        <v>372718619</v>
      </c>
      <c r="C26" s="8" t="s">
        <v>1223</v>
      </c>
      <c r="D26" s="8" t="s">
        <v>124</v>
      </c>
      <c r="E26" s="27">
        <v>45481</v>
      </c>
      <c r="F26" s="8" t="s">
        <v>1249</v>
      </c>
      <c r="G26" s="8">
        <v>87055176155</v>
      </c>
      <c r="H26" s="8" t="str">
        <f>VLOOKUP(C26,'Виды прицепов'!$A$29:$B$36,2,0)</f>
        <v>002-2013E50Q13-OK</v>
      </c>
      <c r="I26" s="16">
        <f>VLOOKUP(C26,'Виды прицепов'!$A$29:$C$36,3,0)</f>
        <v>380000</v>
      </c>
      <c r="J26" s="16" t="str">
        <f>'Реестр договоров'!D47</f>
        <v>MX4000002R0001678</v>
      </c>
      <c r="K26" s="8" t="str">
        <f>IF(ISNUMBER(MATCH(J26, 'Реестр договоров'!$D$2:$D$107, 0)), "Продано", "В ожидании")</f>
        <v>Продано</v>
      </c>
      <c r="L26" s="8"/>
      <c r="M26" s="8"/>
      <c r="N26" s="8"/>
      <c r="O26" s="8"/>
      <c r="P26" s="8"/>
    </row>
    <row r="27" spans="1:16">
      <c r="A27" s="26">
        <v>45466.904707708338</v>
      </c>
      <c r="B27" s="8">
        <v>373102049</v>
      </c>
      <c r="C27" s="8" t="s">
        <v>1223</v>
      </c>
      <c r="D27" s="8" t="s">
        <v>121</v>
      </c>
      <c r="E27" s="27">
        <v>45478</v>
      </c>
      <c r="F27" s="8" t="s">
        <v>1053</v>
      </c>
      <c r="G27" s="8">
        <v>87077370165</v>
      </c>
      <c r="H27" s="8" t="str">
        <f>VLOOKUP(C27,'Виды прицепов'!$A$29:$B$36,2,0)</f>
        <v>002-2013E50Q13-OK</v>
      </c>
      <c r="I27" s="16">
        <f>VLOOKUP(C27,'Виды прицепов'!$A$29:$C$36,3,0)</f>
        <v>380000</v>
      </c>
      <c r="J27" s="16" t="str">
        <f>Прицепы!C40</f>
        <v>MX4000002R0001783</v>
      </c>
      <c r="K27" s="8" t="str">
        <f>IF(ISNUMBER(MATCH(J27, 'Реестр договоров'!$D$2:$D$107, 0)), "Продано", "В ожидании")</f>
        <v>В ожидании</v>
      </c>
      <c r="L27" s="8"/>
      <c r="M27" s="8"/>
      <c r="N27" s="8"/>
      <c r="O27" s="8"/>
      <c r="P27" s="8"/>
    </row>
    <row r="28" spans="1:16">
      <c r="A28" s="84">
        <v>45466.927135243051</v>
      </c>
      <c r="B28" s="85">
        <v>374235898</v>
      </c>
      <c r="C28" s="85" t="s">
        <v>1229</v>
      </c>
      <c r="D28" s="85" t="s">
        <v>124</v>
      </c>
      <c r="E28" s="86">
        <v>45481</v>
      </c>
      <c r="F28" s="85" t="s">
        <v>1250</v>
      </c>
      <c r="G28" s="85">
        <v>87477175477</v>
      </c>
      <c r="H28" s="85" t="str">
        <f>VLOOKUP(C28,'Виды прицепов'!$A$29:$B$36,2,0)</f>
        <v>002-2013E30Q13-OK</v>
      </c>
      <c r="I28" s="87">
        <f>VLOOKUP(C28,'Виды прицепов'!$A$29:$C$36,3,0)</f>
        <v>360000</v>
      </c>
      <c r="J28" s="87"/>
      <c r="K28" s="85" t="s">
        <v>1251</v>
      </c>
      <c r="L28" s="85"/>
      <c r="M28" s="85"/>
      <c r="N28" s="85"/>
      <c r="O28" s="85"/>
      <c r="P28" s="85"/>
    </row>
    <row r="29" spans="1:16">
      <c r="A29" s="26">
        <v>45466.939214803242</v>
      </c>
      <c r="B29" s="8">
        <v>374363170</v>
      </c>
      <c r="C29" s="8" t="s">
        <v>1223</v>
      </c>
      <c r="D29" s="8" t="s">
        <v>124</v>
      </c>
      <c r="E29" s="27">
        <v>45481</v>
      </c>
      <c r="F29" s="8" t="s">
        <v>1252</v>
      </c>
      <c r="G29" s="8">
        <v>87015141701</v>
      </c>
      <c r="H29" s="8" t="str">
        <f>VLOOKUP(C29,'Виды прицепов'!$A$29:$B$36,2,0)</f>
        <v>002-2013E50Q13-OK</v>
      </c>
      <c r="I29" s="16">
        <f>VLOOKUP(C29,'Виды прицепов'!$A$29:$C$36,3,0)</f>
        <v>380000</v>
      </c>
      <c r="J29" s="16" t="str">
        <f>'Реестр договоров'!D31</f>
        <v>MX4000002R0001687</v>
      </c>
      <c r="K29" s="8" t="str">
        <f>IF(ISNUMBER(MATCH(J29, 'Реестр договоров'!$D$2:$D$107, 0)), "Продано", "В ожидании")</f>
        <v>Продано</v>
      </c>
      <c r="L29" s="8"/>
      <c r="M29" s="8"/>
      <c r="N29" s="8"/>
      <c r="O29" s="8"/>
      <c r="P29" s="8"/>
    </row>
    <row r="30" spans="1:16">
      <c r="A30" s="26">
        <v>45466.957590000005</v>
      </c>
      <c r="B30" s="8">
        <v>374389696</v>
      </c>
      <c r="C30" s="8" t="s">
        <v>1229</v>
      </c>
      <c r="D30" s="8" t="s">
        <v>121</v>
      </c>
      <c r="E30" s="27">
        <v>45478</v>
      </c>
      <c r="F30" s="8" t="s">
        <v>1253</v>
      </c>
      <c r="G30" s="8">
        <v>87785553569</v>
      </c>
      <c r="H30" s="8" t="str">
        <f>VLOOKUP(C30,'Виды прицепов'!$A$29:$B$36,2,0)</f>
        <v>002-2013E30Q13-OK</v>
      </c>
      <c r="I30" s="16">
        <f>VLOOKUP(C30,'Виды прицепов'!$A$29:$C$36,3,0)</f>
        <v>360000</v>
      </c>
      <c r="J30" s="16" t="str">
        <f>'Реестр договоров'!D65</f>
        <v>MX4000002R0001578</v>
      </c>
      <c r="K30" s="8" t="str">
        <f>IF(ISNUMBER(MATCH(J30, 'Реестр договоров'!$D$2:$D$107, 0)), "Продано", "В ожидании")</f>
        <v>Продано</v>
      </c>
      <c r="L30" s="8"/>
      <c r="M30" s="8"/>
      <c r="N30" s="8"/>
      <c r="O30" s="8"/>
      <c r="P30" s="8"/>
    </row>
    <row r="31" spans="1:16">
      <c r="A31" s="26">
        <v>45467.029906342592</v>
      </c>
      <c r="B31" s="8">
        <v>374533370</v>
      </c>
      <c r="C31" s="8" t="s">
        <v>1223</v>
      </c>
      <c r="D31" s="8" t="s">
        <v>121</v>
      </c>
      <c r="E31" s="27">
        <v>45478</v>
      </c>
      <c r="F31" s="8" t="s">
        <v>1254</v>
      </c>
      <c r="G31" s="8">
        <v>87010171101</v>
      </c>
      <c r="H31" s="8" t="str">
        <f>VLOOKUP(C31,'Виды прицепов'!$A$29:$B$36,2,0)</f>
        <v>002-2013E50Q13-OK</v>
      </c>
      <c r="I31" s="16">
        <f>VLOOKUP(C31,'Виды прицепов'!$A$29:$C$36,3,0)</f>
        <v>380000</v>
      </c>
      <c r="J31" s="16" t="str">
        <f>'Реестр договоров'!D42</f>
        <v>MX4000002R0001483</v>
      </c>
      <c r="K31" s="8" t="str">
        <f>IF(ISNUMBER(MATCH(J31, 'Реестр договоров'!$D$2:$D$107, 0)), "Продано", "В ожидании")</f>
        <v>Продано</v>
      </c>
      <c r="L31" s="8"/>
      <c r="M31" s="8"/>
      <c r="N31" s="8"/>
      <c r="O31" s="8"/>
      <c r="P31" s="8"/>
    </row>
    <row r="32" spans="1:16">
      <c r="A32" s="26">
        <v>45471.430393599541</v>
      </c>
      <c r="B32" s="8">
        <v>376042591</v>
      </c>
      <c r="C32" s="8" t="s">
        <v>1223</v>
      </c>
      <c r="D32" s="8" t="s">
        <v>121</v>
      </c>
      <c r="E32" s="27">
        <v>45471</v>
      </c>
      <c r="F32" s="8" t="s">
        <v>1255</v>
      </c>
      <c r="G32" s="8">
        <v>87022914944</v>
      </c>
      <c r="H32" s="8" t="str">
        <f>VLOOKUP(C32,'Виды прицепов'!$A$29:$B$36,2,0)</f>
        <v>002-2013E50Q13-OK</v>
      </c>
      <c r="I32" s="8">
        <v>380000</v>
      </c>
      <c r="J32" s="16" t="str">
        <f>'Реестр договоров'!D50</f>
        <v>MX4000002R0001463</v>
      </c>
      <c r="K32" s="8" t="str">
        <f>IF(ISNUMBER(MATCH(J32, 'Реестр договоров'!$D$2:$D$107, 0)), "Продано", "В ожидании")</f>
        <v>Продано</v>
      </c>
      <c r="L32" s="8"/>
      <c r="M32" s="8"/>
      <c r="N32" s="8"/>
      <c r="O32" s="8"/>
      <c r="P32" s="8"/>
    </row>
    <row r="33" spans="1:16">
      <c r="A33" s="84">
        <v>45474.442040995375</v>
      </c>
      <c r="B33" s="85">
        <v>376989477</v>
      </c>
      <c r="C33" s="85" t="s">
        <v>1229</v>
      </c>
      <c r="D33" s="85" t="s">
        <v>124</v>
      </c>
      <c r="E33" s="86">
        <v>45488</v>
      </c>
      <c r="F33" s="85" t="s">
        <v>1236</v>
      </c>
      <c r="G33" s="85">
        <v>87712671942</v>
      </c>
      <c r="H33" s="85" t="str">
        <f>VLOOKUP(C33,'Виды прицепов'!$A$29:$B$36,2,0)</f>
        <v>002-2013E30Q13-OK</v>
      </c>
      <c r="I33" s="85">
        <v>360000</v>
      </c>
      <c r="J33" s="87"/>
      <c r="K33" s="85" t="s">
        <v>1238</v>
      </c>
      <c r="L33" s="85"/>
      <c r="M33" s="85"/>
      <c r="N33" s="85"/>
      <c r="O33" s="85"/>
      <c r="P33" s="85"/>
    </row>
    <row r="34" spans="1:16">
      <c r="A34" s="84">
        <v>45474.517127812505</v>
      </c>
      <c r="B34" s="85">
        <v>377195604</v>
      </c>
      <c r="C34" s="85" t="s">
        <v>1225</v>
      </c>
      <c r="D34" s="85" t="s">
        <v>124</v>
      </c>
      <c r="E34" s="86">
        <v>45474</v>
      </c>
      <c r="F34" s="85" t="s">
        <v>1256</v>
      </c>
      <c r="G34" s="85">
        <v>87058091009</v>
      </c>
      <c r="H34" s="85" t="str">
        <f>VLOOKUP(C34,'Виды прицепов'!$A$29:$B$36,2,0)</f>
        <v>002-2513E30Q13-OK</v>
      </c>
      <c r="I34" s="85">
        <v>430000</v>
      </c>
      <c r="J34" s="87"/>
      <c r="K34" s="85" t="s">
        <v>1238</v>
      </c>
      <c r="L34" s="85"/>
      <c r="M34" s="85"/>
      <c r="N34" s="85"/>
      <c r="O34" s="85"/>
      <c r="P34" s="85"/>
    </row>
    <row r="35" spans="1:16">
      <c r="A35" s="26">
        <v>45474.542441805555</v>
      </c>
      <c r="B35" s="8">
        <v>377210522</v>
      </c>
      <c r="C35" s="8" t="s">
        <v>1257</v>
      </c>
      <c r="D35" s="8" t="s">
        <v>124</v>
      </c>
      <c r="E35" s="27">
        <v>45488</v>
      </c>
      <c r="F35" s="8" t="s">
        <v>1256</v>
      </c>
      <c r="G35" s="8">
        <v>87058091009</v>
      </c>
      <c r="H35" s="8" t="str">
        <f>VLOOKUP(C35,'Виды прицепов'!$A$29:$B$36,2,0)</f>
        <v>002-3015E30Q13-OK</v>
      </c>
      <c r="I35" s="8">
        <v>640000</v>
      </c>
      <c r="J35" s="16" t="str">
        <f>'Реестр договоров'!D58</f>
        <v>MX4000004R0001606</v>
      </c>
      <c r="K35" s="8" t="str">
        <f>IF(ISNUMBER(MATCH(J35, 'Реестр договоров'!$D$2:$D$107, 0)), "Продано", "В ожидании")</f>
        <v>Продано</v>
      </c>
      <c r="L35" s="8"/>
      <c r="M35" s="8"/>
      <c r="N35" s="8"/>
      <c r="O35" s="8"/>
      <c r="P35" s="8"/>
    </row>
    <row r="36" spans="1:16">
      <c r="A36" s="26">
        <v>45475.555812060185</v>
      </c>
      <c r="B36" s="8">
        <v>377601051</v>
      </c>
      <c r="C36" s="8" t="s">
        <v>1229</v>
      </c>
      <c r="D36" s="8" t="s">
        <v>124</v>
      </c>
      <c r="E36" s="27">
        <v>45489</v>
      </c>
      <c r="F36" s="8" t="s">
        <v>1258</v>
      </c>
      <c r="G36" s="8">
        <v>87006081838</v>
      </c>
      <c r="H36" s="8" t="str">
        <f>VLOOKUP(C36,'Виды прицепов'!$A$29:$B$36,2,0)</f>
        <v>002-2013E30Q13-OK</v>
      </c>
      <c r="I36" s="8">
        <v>360000</v>
      </c>
      <c r="J36" s="16" t="str">
        <f>'Реестр договоров'!D55</f>
        <v>MX4000002R0001657</v>
      </c>
      <c r="K36" s="8" t="str">
        <f>IF(ISNUMBER(MATCH(J36, 'Реестр договоров'!$D$2:$D$107, 0)), "Продано", "В ожидании")</f>
        <v>Продано</v>
      </c>
      <c r="L36" s="8"/>
      <c r="M36" s="8"/>
      <c r="N36" s="8"/>
      <c r="O36" s="8"/>
      <c r="P36" s="8"/>
    </row>
    <row r="37" spans="1:16">
      <c r="A37" s="84">
        <v>45475.55682489583</v>
      </c>
      <c r="B37" s="85">
        <v>377373957</v>
      </c>
      <c r="C37" s="85" t="s">
        <v>1223</v>
      </c>
      <c r="D37" s="85" t="s">
        <v>121</v>
      </c>
      <c r="E37" s="86">
        <v>45475</v>
      </c>
      <c r="F37" s="85" t="s">
        <v>1259</v>
      </c>
      <c r="G37" s="85">
        <v>87011011012</v>
      </c>
      <c r="H37" s="85" t="str">
        <f>VLOOKUP(C37,'Виды прицепов'!$A$29:$B$36,2,0)</f>
        <v>002-2013E50Q13-OK</v>
      </c>
      <c r="I37" s="85">
        <v>380000</v>
      </c>
      <c r="J37" s="87"/>
      <c r="K37" s="85" t="s">
        <v>1238</v>
      </c>
      <c r="L37" s="85"/>
      <c r="M37" s="85"/>
      <c r="N37" s="85"/>
      <c r="O37" s="85"/>
      <c r="P37" s="85"/>
    </row>
    <row r="38" spans="1:16">
      <c r="A38" s="84">
        <v>45476.518033831017</v>
      </c>
      <c r="B38" s="85">
        <v>377988225</v>
      </c>
      <c r="C38" s="85" t="s">
        <v>1229</v>
      </c>
      <c r="D38" s="85" t="s">
        <v>121</v>
      </c>
      <c r="E38" s="86">
        <v>45482</v>
      </c>
      <c r="F38" s="85" t="s">
        <v>1260</v>
      </c>
      <c r="G38" s="85">
        <v>87772933366</v>
      </c>
      <c r="H38" s="85" t="str">
        <f>VLOOKUP(C38,'Виды прицепов'!$A$29:$B$36,2,0)</f>
        <v>002-2013E30Q13-OK</v>
      </c>
      <c r="I38" s="85">
        <v>380000</v>
      </c>
      <c r="J38" s="87"/>
      <c r="K38" s="85" t="s">
        <v>1238</v>
      </c>
      <c r="L38" s="85"/>
      <c r="M38" s="85"/>
      <c r="N38" s="85"/>
      <c r="O38" s="85"/>
      <c r="P38" s="85"/>
    </row>
    <row r="39" spans="1:16">
      <c r="A39" s="84">
        <v>45477.784988425927</v>
      </c>
      <c r="B39" s="85">
        <v>378467784</v>
      </c>
      <c r="C39" s="85" t="s">
        <v>1229</v>
      </c>
      <c r="D39" s="85" t="s">
        <v>121</v>
      </c>
      <c r="E39" s="86">
        <v>45477</v>
      </c>
      <c r="F39" s="85" t="s">
        <v>1260</v>
      </c>
      <c r="G39" s="85">
        <v>87772933366</v>
      </c>
      <c r="H39" s="85" t="str">
        <f>VLOOKUP(C39,'Виды прицепов'!$A$29:$B$36,2,0)</f>
        <v>002-2013E30Q13-OK</v>
      </c>
      <c r="I39" s="85">
        <v>380000</v>
      </c>
      <c r="J39" s="87"/>
      <c r="K39" s="85" t="s">
        <v>1261</v>
      </c>
      <c r="L39" s="85"/>
      <c r="M39" s="85"/>
      <c r="N39" s="85"/>
      <c r="O39" s="85"/>
      <c r="P39" s="85"/>
    </row>
    <row r="40" spans="1:16">
      <c r="A40" s="26">
        <v>45478.786932870367</v>
      </c>
      <c r="B40" s="8">
        <v>378777952</v>
      </c>
      <c r="C40" s="8" t="s">
        <v>1223</v>
      </c>
      <c r="D40" s="8" t="s">
        <v>121</v>
      </c>
      <c r="E40" s="27">
        <v>45478</v>
      </c>
      <c r="F40" s="8" t="s">
        <v>1081</v>
      </c>
      <c r="G40" s="8">
        <v>87072677383</v>
      </c>
      <c r="H40" s="8" t="str">
        <f>VLOOKUP(C40,'Виды прицепов'!$A$29:$B$36,2,0)</f>
        <v>002-2013E50Q13-OK</v>
      </c>
      <c r="I40" s="16">
        <f>VLOOKUP(C40,'Виды прицепов'!$A$29:$C$36,3,0)</f>
        <v>380000</v>
      </c>
      <c r="J40" s="16" t="str">
        <f>'Реестр договоров'!D61</f>
        <v>MX4000002R0001460</v>
      </c>
      <c r="K40" s="8" t="str">
        <f>IF(ISNUMBER(MATCH(J40, 'Реестр договоров'!$D$2:$D$107, 0)), "Продано", "В ожидании")</f>
        <v>Продано</v>
      </c>
      <c r="L40" s="8"/>
      <c r="M40" s="8"/>
      <c r="N40" s="8"/>
      <c r="O40" s="8"/>
      <c r="P40" s="8"/>
    </row>
    <row r="41" spans="1:16">
      <c r="A41" s="26">
        <v>45481.788277488427</v>
      </c>
      <c r="B41" s="8">
        <v>379579404</v>
      </c>
      <c r="C41" s="8" t="s">
        <v>1223</v>
      </c>
      <c r="D41" s="8" t="s">
        <v>121</v>
      </c>
      <c r="E41" s="27">
        <v>45481</v>
      </c>
      <c r="F41" s="8" t="s">
        <v>1262</v>
      </c>
      <c r="G41" s="8">
        <v>87071080444</v>
      </c>
      <c r="H41" s="8" t="str">
        <f>VLOOKUP(C41,'Виды прицепов'!$A$29:$B$36,2,0)</f>
        <v>002-2013E50Q13-OK</v>
      </c>
      <c r="I41" s="16">
        <f>VLOOKUP(C41,'Виды прицепов'!$A$29:$C$36,3,0)</f>
        <v>380000</v>
      </c>
      <c r="J41" s="16" t="str">
        <f>'Реестр договоров'!D64</f>
        <v>MX4000002R0001484</v>
      </c>
      <c r="K41" s="8" t="str">
        <f>IF(ISNUMBER(MATCH(J41, 'Реестр договоров'!$D$2:$D$107, 0)), "Продано", "В ожидании")</f>
        <v>Продано</v>
      </c>
      <c r="L41" s="8"/>
      <c r="M41" s="8"/>
      <c r="N41" s="8"/>
      <c r="O41" s="8"/>
      <c r="P41" s="8"/>
    </row>
    <row r="42" spans="1:16">
      <c r="A42" s="84">
        <v>45481.788801388888</v>
      </c>
      <c r="B42" s="85">
        <v>379998016</v>
      </c>
      <c r="C42" s="85" t="s">
        <v>1229</v>
      </c>
      <c r="D42" s="85" t="s">
        <v>124</v>
      </c>
      <c r="E42" s="86">
        <v>45488</v>
      </c>
      <c r="F42" s="85" t="s">
        <v>1263</v>
      </c>
      <c r="G42" s="85">
        <v>87712952997</v>
      </c>
      <c r="H42" s="85" t="str">
        <f>VLOOKUP(C42,'Виды прицепов'!$A$29:$B$36,2,0)</f>
        <v>002-2013E30Q13-OK</v>
      </c>
      <c r="I42" s="87">
        <f>VLOOKUP(C42,'Виды прицепов'!$A$29:$C$36,3,0)</f>
        <v>360000</v>
      </c>
      <c r="J42" s="87"/>
      <c r="K42" s="85" t="s">
        <v>1238</v>
      </c>
      <c r="L42" s="85"/>
      <c r="M42" s="85"/>
      <c r="N42" s="85"/>
      <c r="O42" s="85"/>
      <c r="P42" s="85"/>
    </row>
    <row r="43" spans="1:16">
      <c r="A43" s="26">
        <v>45481.815435127312</v>
      </c>
      <c r="B43" s="8">
        <v>380076215</v>
      </c>
      <c r="C43" s="8" t="s">
        <v>1223</v>
      </c>
      <c r="D43" s="8" t="s">
        <v>124</v>
      </c>
      <c r="E43" s="27">
        <v>45489</v>
      </c>
      <c r="F43" s="8" t="s">
        <v>1264</v>
      </c>
      <c r="G43" s="8">
        <v>87011098000</v>
      </c>
      <c r="H43" s="8" t="str">
        <f>VLOOKUP(C43,'Виды прицепов'!$A$29:$B$36,2,0)</f>
        <v>002-2013E50Q13-OK</v>
      </c>
      <c r="I43" s="16">
        <f>VLOOKUP(C43,'Виды прицепов'!$A$29:$C$36,3,0)</f>
        <v>380000</v>
      </c>
      <c r="J43" s="8" t="str">
        <f>'Реестр договоров'!D67</f>
        <v>MX4000002R0001646</v>
      </c>
      <c r="K43" s="8" t="str">
        <f>IF(ISNUMBER(MATCH(J43, 'Реестр договоров'!$D$2:$D$107, 0)), "Продано", "В ожидании")</f>
        <v>Продано</v>
      </c>
      <c r="L43" s="8"/>
      <c r="M43" s="8"/>
      <c r="N43" s="8"/>
      <c r="O43" s="8"/>
      <c r="P43" s="8"/>
    </row>
    <row r="44" spans="1:16">
      <c r="A44" s="26">
        <v>45489.474972627315</v>
      </c>
      <c r="B44" s="8">
        <v>381160280</v>
      </c>
      <c r="C44" s="8" t="s">
        <v>1223</v>
      </c>
      <c r="D44" s="8" t="s">
        <v>121</v>
      </c>
      <c r="E44" s="27">
        <v>45485</v>
      </c>
      <c r="F44" s="8" t="s">
        <v>1265</v>
      </c>
      <c r="G44" s="8">
        <v>87714078351</v>
      </c>
      <c r="H44" s="8" t="str">
        <f>VLOOKUP(C44,'Виды прицепов'!$A$29:$B$36,2,0)</f>
        <v>002-2013E50Q13-OK</v>
      </c>
      <c r="I44" s="16">
        <f>VLOOKUP(C44,'Виды прицепов'!$A$29:$C$36,3,0)</f>
        <v>380000</v>
      </c>
      <c r="J44" s="16" t="str">
        <f>'Реестр договоров'!D72</f>
        <v>MX4000002R0001472</v>
      </c>
      <c r="K44" s="8" t="str">
        <f>IF(ISNUMBER(MATCH(J44, 'Реестр договоров'!$D$2:$D$107, 0)), "Продано", "В ожидании")</f>
        <v>Продано</v>
      </c>
      <c r="L44" s="8"/>
      <c r="M44" s="8"/>
      <c r="N44" s="8"/>
      <c r="O44" s="8"/>
      <c r="P44" s="8"/>
    </row>
    <row r="45" spans="1:16">
      <c r="A45" s="26">
        <v>45489.475511145836</v>
      </c>
      <c r="B45" s="8">
        <v>381518677</v>
      </c>
      <c r="C45" s="8" t="s">
        <v>1223</v>
      </c>
      <c r="D45" s="8" t="s">
        <v>121</v>
      </c>
      <c r="E45" s="27">
        <v>45485</v>
      </c>
      <c r="F45" s="8" t="s">
        <v>1266</v>
      </c>
      <c r="G45" s="8">
        <v>87012993389</v>
      </c>
      <c r="H45" s="8" t="str">
        <f>VLOOKUP(C45,'Виды прицепов'!$A$29:$B$36,2,0)</f>
        <v>002-2013E50Q13-OK</v>
      </c>
      <c r="I45" s="16">
        <f>VLOOKUP(C45,'Виды прицепов'!$A$29:$C$36,3,0)</f>
        <v>380000</v>
      </c>
      <c r="J45" s="16" t="str">
        <f>'Реестр договоров'!D71</f>
        <v>MX4000002R0001470</v>
      </c>
      <c r="K45" s="8" t="str">
        <f>IF(ISNUMBER(MATCH(J45, 'Реестр договоров'!$D$2:$D$107, 0)), "Продано", "В ожидании")</f>
        <v>Продано</v>
      </c>
      <c r="L45" s="8"/>
      <c r="M45" s="8"/>
      <c r="N45" s="8"/>
      <c r="O45" s="8"/>
      <c r="P45" s="8"/>
    </row>
    <row r="46" spans="1:16">
      <c r="A46" s="26">
        <v>45489.476100335647</v>
      </c>
      <c r="B46" s="8">
        <v>381310910</v>
      </c>
      <c r="C46" s="8" t="s">
        <v>1223</v>
      </c>
      <c r="D46" s="8" t="s">
        <v>124</v>
      </c>
      <c r="E46" s="27">
        <v>45492</v>
      </c>
      <c r="F46" s="8" t="s">
        <v>1267</v>
      </c>
      <c r="G46" s="8">
        <v>87774953031</v>
      </c>
      <c r="H46" s="8" t="str">
        <f>VLOOKUP(C46,'Виды прицепов'!$A$29:$B$36,2,0)</f>
        <v>002-2013E50Q13-OK</v>
      </c>
      <c r="I46" s="16">
        <f>VLOOKUP(C46,'Виды прицепов'!$A$29:$C$36,3,0)</f>
        <v>380000</v>
      </c>
      <c r="J46" s="16" t="str">
        <f>'Реестр договоров'!D75</f>
        <v>MX4000002R0001672</v>
      </c>
      <c r="K46" s="8" t="str">
        <f>IF(ISNUMBER(MATCH(J46, 'Реестр договоров'!$D$2:$D$107, 0)), "Продано", "В ожидании")</f>
        <v>Продано</v>
      </c>
      <c r="L46" s="8"/>
      <c r="M46" s="8"/>
      <c r="N46" s="8"/>
      <c r="O46" s="8"/>
      <c r="P46" s="8"/>
    </row>
    <row r="47" spans="1:16">
      <c r="A47" s="26">
        <v>45491.421785671293</v>
      </c>
      <c r="B47" s="8">
        <v>383714988</v>
      </c>
      <c r="C47" s="8" t="s">
        <v>1223</v>
      </c>
      <c r="D47" s="8" t="s">
        <v>124</v>
      </c>
      <c r="E47" s="27">
        <v>45491</v>
      </c>
      <c r="F47" s="8" t="s">
        <v>1268</v>
      </c>
      <c r="G47" s="8">
        <v>87082146316</v>
      </c>
      <c r="H47" s="8" t="str">
        <f>VLOOKUP(C47,'Виды прицепов'!$A$29:$B$36,2,0)</f>
        <v>002-2013E50Q13-OK</v>
      </c>
      <c r="I47" s="16">
        <f>VLOOKUP(C47,'Виды прицепов'!$A$29:$C$36,3,0)</f>
        <v>380000</v>
      </c>
      <c r="J47" s="16" t="str">
        <f>'Реестр договоров'!D77</f>
        <v>MX4000002R0001682</v>
      </c>
      <c r="K47" s="8" t="str">
        <f>IF(ISNUMBER(MATCH(J47, 'Реестр договоров'!$D$2:$D$107, 0)), "Продано", "В ожидании")</f>
        <v>Продано</v>
      </c>
      <c r="L47" s="8"/>
      <c r="M47" s="8"/>
      <c r="N47" s="8"/>
      <c r="O47" s="8"/>
      <c r="P47" s="8"/>
    </row>
    <row r="48" spans="1:16">
      <c r="A48" s="26">
        <v>45495.568554699072</v>
      </c>
      <c r="B48" s="8">
        <v>384308387</v>
      </c>
      <c r="C48" s="8" t="s">
        <v>1223</v>
      </c>
      <c r="D48" s="8" t="s">
        <v>118</v>
      </c>
      <c r="E48" s="27">
        <v>45492</v>
      </c>
      <c r="F48" s="8" t="s">
        <v>1226</v>
      </c>
      <c r="G48" s="8">
        <v>87055256172</v>
      </c>
      <c r="H48" s="8" t="str">
        <f>VLOOKUP(C48,'Виды прицепов'!$A$29:$B$36,2,0)</f>
        <v>002-2013E50Q13-OK</v>
      </c>
      <c r="I48" s="16">
        <f>VLOOKUP(C48,'Виды прицепов'!$A$29:$C$36,3,0)</f>
        <v>380000</v>
      </c>
      <c r="J48" s="16" t="str">
        <f>Покупатели!Q78</f>
        <v>MX4000002R0001667</v>
      </c>
      <c r="K48" s="8" t="str">
        <f>IF(ISNUMBER(MATCH(J48, 'Реестр договоров'!$D$2:$D$107, 0)), "Продано", "В ожидании")</f>
        <v>Продано</v>
      </c>
      <c r="L48" s="8"/>
      <c r="M48" s="8"/>
      <c r="N48" s="8"/>
      <c r="O48" s="8"/>
      <c r="P48" s="8"/>
    </row>
    <row r="49" spans="1:16">
      <c r="A49" s="84">
        <v>45495.570409224536</v>
      </c>
      <c r="B49" s="85">
        <v>385810505</v>
      </c>
      <c r="C49" s="85" t="s">
        <v>1229</v>
      </c>
      <c r="D49" s="85" t="s">
        <v>124</v>
      </c>
      <c r="E49" s="86">
        <v>45502</v>
      </c>
      <c r="F49" s="85" t="s">
        <v>1269</v>
      </c>
      <c r="G49" s="85">
        <v>87057830105</v>
      </c>
      <c r="H49" s="85" t="str">
        <f>VLOOKUP(C49,'Виды прицепов'!$A$29:$B$36,2,0)</f>
        <v>002-2013E30Q13-OK</v>
      </c>
      <c r="I49" s="87">
        <f>VLOOKUP(C49,'Виды прицепов'!$A$29:$C$36,3,0)</f>
        <v>360000</v>
      </c>
      <c r="J49" s="87"/>
      <c r="K49" s="85" t="s">
        <v>1238</v>
      </c>
      <c r="L49" s="85"/>
      <c r="M49" s="85"/>
      <c r="N49" s="85"/>
      <c r="O49" s="85"/>
      <c r="P49" s="85"/>
    </row>
    <row r="50" spans="1:16">
      <c r="A50" s="26">
        <v>45497.557241527778</v>
      </c>
      <c r="B50" s="8">
        <v>386699494</v>
      </c>
      <c r="C50" s="8" t="s">
        <v>1229</v>
      </c>
      <c r="D50" s="8" t="s">
        <v>124</v>
      </c>
      <c r="E50" s="27">
        <v>45497</v>
      </c>
      <c r="F50" s="8" t="s">
        <v>1270</v>
      </c>
      <c r="G50" s="8">
        <v>87026008836</v>
      </c>
      <c r="H50" s="8" t="str">
        <f>VLOOKUP(C50,'Виды прицепов'!$A$29:$B$36,2,0)</f>
        <v>002-2013E30Q13-OK</v>
      </c>
      <c r="I50" s="16">
        <f>VLOOKUP(C50,'Виды прицепов'!$A$29:$C$36,3,0)</f>
        <v>360000</v>
      </c>
      <c r="J50" s="16" t="str">
        <f>Покупатели!Q85</f>
        <v>MX4000002R0001674</v>
      </c>
      <c r="K50" s="8" t="str">
        <f>IF(ISNUMBER(MATCH(J50, 'Реестр договоров'!$D$2:$D$107, 0)), "Продано", "В ожидании")</f>
        <v>Продано</v>
      </c>
      <c r="L50" s="8"/>
      <c r="M50" s="8"/>
      <c r="N50" s="8"/>
      <c r="O50" s="8"/>
      <c r="P50" s="8"/>
    </row>
    <row r="51" spans="1:16">
      <c r="A51" s="26">
        <v>45498.586927858792</v>
      </c>
      <c r="B51" s="8">
        <v>385134820</v>
      </c>
      <c r="C51" s="8" t="s">
        <v>1229</v>
      </c>
      <c r="D51" s="8" t="s">
        <v>121</v>
      </c>
      <c r="E51" s="27">
        <v>45494</v>
      </c>
      <c r="F51" s="8" t="s">
        <v>1271</v>
      </c>
      <c r="G51" s="8">
        <v>87081037831</v>
      </c>
      <c r="H51" s="8" t="str">
        <f>VLOOKUP(C51,'Виды прицепов'!$A$29:$B$36,2,0)</f>
        <v>002-2013E30Q13-OK</v>
      </c>
      <c r="I51" s="16">
        <f>VLOOKUP(C51,'Виды прицепов'!$A$29:$C$36,3,0)</f>
        <v>360000</v>
      </c>
      <c r="J51" s="16" t="str">
        <f>Покупатели!Q80</f>
        <v>MX4000002R0001478</v>
      </c>
      <c r="K51" s="8" t="str">
        <f>IF(ISNUMBER(MATCH(J51, 'Реестр договоров'!$D$2:$D$107, 0)), "Продано", "В ожидании")</f>
        <v>Продано</v>
      </c>
      <c r="L51" s="8"/>
      <c r="M51" s="8"/>
      <c r="N51" s="8"/>
      <c r="O51" s="8"/>
      <c r="P51" s="8"/>
    </row>
    <row r="52" spans="1:16">
      <c r="A52" s="26">
        <v>45498.587779849535</v>
      </c>
      <c r="B52" s="8">
        <v>386303847</v>
      </c>
      <c r="C52" s="8" t="s">
        <v>1229</v>
      </c>
      <c r="D52" s="8" t="s">
        <v>121</v>
      </c>
      <c r="E52" s="27">
        <v>45496</v>
      </c>
      <c r="F52" s="8" t="s">
        <v>1272</v>
      </c>
      <c r="G52" s="8">
        <v>87018196189</v>
      </c>
      <c r="H52" s="8" t="str">
        <f>VLOOKUP(C52,'Виды прицепов'!$A$29:$B$36,2,0)</f>
        <v>002-2013E30Q13-OK</v>
      </c>
      <c r="I52" s="16">
        <f>VLOOKUP(C52,'Виды прицепов'!$A$29:$C$36,3,0)</f>
        <v>360000</v>
      </c>
      <c r="J52" s="16" t="str">
        <f>Покупатели!Q81</f>
        <v>MX4000002R0001501</v>
      </c>
      <c r="K52" s="8" t="str">
        <f>IF(ISNUMBER(MATCH(J52, 'Реестр договоров'!$D$2:$D$107, 0)), "Продано", "В ожидании")</f>
        <v>Продано</v>
      </c>
      <c r="L52" s="8"/>
      <c r="M52" s="8"/>
      <c r="N52" s="8"/>
      <c r="O52" s="8"/>
      <c r="P52" s="8"/>
    </row>
    <row r="53" spans="1:16">
      <c r="A53" s="26">
        <v>45498.588387939817</v>
      </c>
      <c r="B53" s="8">
        <v>386699494</v>
      </c>
      <c r="C53" s="8" t="s">
        <v>1229</v>
      </c>
      <c r="D53" s="8" t="s">
        <v>124</v>
      </c>
      <c r="E53" s="27">
        <v>45497</v>
      </c>
      <c r="F53" s="8" t="s">
        <v>1270</v>
      </c>
      <c r="G53" s="8">
        <v>87026008836</v>
      </c>
      <c r="H53" s="8" t="str">
        <f>VLOOKUP(C53,'Виды прицепов'!$A$29:$B$36,2,0)</f>
        <v>002-2013E30Q13-OK</v>
      </c>
      <c r="I53" s="16">
        <f>VLOOKUP(C53,'Виды прицепов'!$A$29:$C$36,3,0)</f>
        <v>360000</v>
      </c>
      <c r="J53" s="16" t="str">
        <f>Покупатели!Q85</f>
        <v>MX4000002R0001674</v>
      </c>
      <c r="K53" s="8" t="str">
        <f>IF(ISNUMBER(MATCH(J53, 'Реестр договоров'!$D$2:$D$107, 0)), "Продано", "В ожидании")</f>
        <v>Продано</v>
      </c>
      <c r="L53" s="8"/>
      <c r="M53" s="8"/>
      <c r="N53" s="8"/>
      <c r="O53" s="8"/>
      <c r="P53" s="8"/>
    </row>
    <row r="54" spans="1:16">
      <c r="A54" s="26">
        <v>45504.72445603009</v>
      </c>
      <c r="B54" s="8">
        <v>389469516</v>
      </c>
      <c r="C54" s="8" t="s">
        <v>1223</v>
      </c>
      <c r="D54" s="8" t="s">
        <v>118</v>
      </c>
      <c r="E54" s="27">
        <v>45504</v>
      </c>
      <c r="F54" s="8" t="s">
        <v>1273</v>
      </c>
      <c r="G54" s="8">
        <v>87075140581</v>
      </c>
      <c r="H54" s="8" t="str">
        <f>VLOOKUP(C54,'Виды прицепов'!$A$29:$B$36,2,0)</f>
        <v>002-2013E50Q13-OK</v>
      </c>
      <c r="I54" s="16">
        <f>VLOOKUP(C54,'Виды прицепов'!$A$29:$C$36,3,0)</f>
        <v>380000</v>
      </c>
      <c r="J54" s="16" t="str">
        <f>Покупатели!Q86</f>
        <v>MX4000002P0001412</v>
      </c>
      <c r="K54" s="8" t="str">
        <f>IF(ISNUMBER(MATCH(J54, 'Реестр договоров'!$D$2:$D$107, 0)), "Продано", "В ожидании")</f>
        <v>Продано</v>
      </c>
      <c r="L54" s="8"/>
      <c r="M54" s="8"/>
      <c r="N54" s="8"/>
      <c r="O54" s="8"/>
      <c r="P54" s="8"/>
    </row>
    <row r="55" spans="1:16">
      <c r="A55" s="26">
        <v>45504.724886956014</v>
      </c>
      <c r="B55" s="8">
        <v>389555782</v>
      </c>
      <c r="C55" s="8" t="s">
        <v>1229</v>
      </c>
      <c r="D55" s="8" t="s">
        <v>121</v>
      </c>
      <c r="E55" s="27">
        <v>45504</v>
      </c>
      <c r="F55" s="8" t="s">
        <v>1274</v>
      </c>
      <c r="G55" s="8">
        <v>87025514793</v>
      </c>
      <c r="H55" s="8" t="str">
        <f>VLOOKUP(C55,'Виды прицепов'!$A$29:$B$36,2,0)</f>
        <v>002-2013E30Q13-OK</v>
      </c>
      <c r="I55" s="16">
        <f>VLOOKUP(C55,'Виды прицепов'!$A$29:$C$36,3,0)</f>
        <v>360000</v>
      </c>
      <c r="J55" s="16" t="str">
        <f>Покупатели!Q87</f>
        <v>MX4000002R0001662</v>
      </c>
      <c r="K55" s="8" t="str">
        <f>IF(ISNUMBER(MATCH(J55, 'Реестр договоров'!$D$2:$D$107, 0)), "Продано", "В ожидании")</f>
        <v>Продано</v>
      </c>
      <c r="L55" s="8"/>
      <c r="M55" s="8"/>
      <c r="N55" s="8"/>
      <c r="O55" s="8"/>
      <c r="P55" s="8"/>
    </row>
    <row r="56" spans="1:16">
      <c r="A56" s="26">
        <v>45520.536771273153</v>
      </c>
      <c r="B56" s="8">
        <v>394928862</v>
      </c>
      <c r="C56" s="8" t="s">
        <v>1229</v>
      </c>
      <c r="D56" s="8" t="s">
        <v>121</v>
      </c>
      <c r="E56" s="27">
        <v>45520</v>
      </c>
      <c r="F56" s="8" t="s">
        <v>1275</v>
      </c>
      <c r="G56" s="8">
        <v>87077165805</v>
      </c>
      <c r="H56" s="8" t="str">
        <f>VLOOKUP(C56,'Виды прицепов'!$A$29:$B$36,2,0)</f>
        <v>002-2013E30Q13-OK</v>
      </c>
      <c r="I56" s="16">
        <f>VLOOKUP(C56,'Виды прицепов'!$A$29:$C$36,3,0)</f>
        <v>360000</v>
      </c>
      <c r="J56" s="16" t="str">
        <f>Покупатели!Q88</f>
        <v>MX4000002R0001660</v>
      </c>
      <c r="K56" s="8" t="str">
        <f>IF(ISNUMBER(MATCH(J56, 'Реестр договоров'!$D$2:$D$107, 0)), "Продано", "В ожидании")</f>
        <v>Продано</v>
      </c>
      <c r="L56" s="8"/>
      <c r="M56" s="8"/>
      <c r="N56" s="8"/>
      <c r="O56" s="8"/>
      <c r="P56" s="8"/>
    </row>
    <row r="57" spans="1:16">
      <c r="A57" s="26">
        <v>45520.537326631944</v>
      </c>
      <c r="B57" s="8">
        <v>396915187</v>
      </c>
      <c r="C57" s="8" t="s">
        <v>1223</v>
      </c>
      <c r="D57" s="8" t="s">
        <v>124</v>
      </c>
      <c r="E57" s="27">
        <v>45520</v>
      </c>
      <c r="F57" s="8" t="s">
        <v>1276</v>
      </c>
      <c r="G57" s="8">
        <v>87022717824</v>
      </c>
      <c r="H57" s="8" t="str">
        <f>VLOOKUP(C57,'Виды прицепов'!$A$29:$B$36,2,0)</f>
        <v>002-2013E50Q13-OK</v>
      </c>
      <c r="I57" s="16">
        <f>VLOOKUP(C57,'Виды прицепов'!$A$29:$C$36,3,0)</f>
        <v>380000</v>
      </c>
      <c r="J57" s="16" t="str">
        <f>Покупатели!Q89</f>
        <v>MX4000002R0001691</v>
      </c>
      <c r="K57" s="8" t="str">
        <f>IF(ISNUMBER(MATCH(J57, 'Реестр договоров'!$D$2:$D$107, 0)), "Продано", "В ожидании")</f>
        <v>Продано</v>
      </c>
      <c r="L57" s="8"/>
      <c r="M57" s="8"/>
      <c r="N57" s="8"/>
      <c r="O57" s="8"/>
      <c r="P57" s="8"/>
    </row>
    <row r="58" spans="1:16">
      <c r="A58" s="26">
        <v>45520.537960671296</v>
      </c>
      <c r="B58" s="8">
        <v>396866958</v>
      </c>
      <c r="C58" s="8" t="s">
        <v>1229</v>
      </c>
      <c r="D58" s="8" t="s">
        <v>118</v>
      </c>
      <c r="E58" s="27">
        <v>45520</v>
      </c>
      <c r="F58" s="8" t="s">
        <v>1277</v>
      </c>
      <c r="G58" s="8">
        <v>87055803822</v>
      </c>
      <c r="H58" s="8" t="str">
        <f>VLOOKUP(C58,'Виды прицепов'!$A$29:$B$36,2,0)</f>
        <v>002-2013E30Q13-OK</v>
      </c>
      <c r="I58" s="16">
        <f>VLOOKUP(C58,'Виды прицепов'!$A$29:$C$36,3,0)</f>
        <v>360000</v>
      </c>
      <c r="J58" s="16" t="str">
        <f>Покупатели!Q90</f>
        <v>MX4000002R0001491</v>
      </c>
      <c r="K58" s="8" t="str">
        <f>IF(ISNUMBER(MATCH(J58, 'Реестр договоров'!$D$2:$D$107, 0)), "Продано", "В ожидании")</f>
        <v>Продано</v>
      </c>
      <c r="L58" s="8"/>
      <c r="M58" s="8"/>
      <c r="N58" s="8"/>
      <c r="O58" s="8"/>
      <c r="P58" s="8"/>
    </row>
    <row r="59" spans="1:16">
      <c r="A59" s="26">
        <v>45520.539198587961</v>
      </c>
      <c r="B59" s="8">
        <v>393998273</v>
      </c>
      <c r="C59" s="8" t="s">
        <v>1223</v>
      </c>
      <c r="D59" s="8" t="s">
        <v>124</v>
      </c>
      <c r="E59" s="27">
        <v>45517</v>
      </c>
      <c r="F59" s="8" t="s">
        <v>1278</v>
      </c>
      <c r="G59" s="8">
        <v>87028211828</v>
      </c>
      <c r="H59" s="8" t="str">
        <f>VLOOKUP(C59,'Виды прицепов'!$A$29:$B$36,2,0)</f>
        <v>002-2013E50Q13-OK</v>
      </c>
      <c r="I59" s="16">
        <f>VLOOKUP(C59,'Виды прицепов'!$A$29:$C$36,3,0)</f>
        <v>380000</v>
      </c>
      <c r="J59" s="16" t="str">
        <f>Покупатели!Q91</f>
        <v>MX4000002R0001628</v>
      </c>
      <c r="K59" s="8" t="str">
        <f>IF(ISNUMBER(MATCH(J59, 'Реестр договоров'!$D$2:$D$156, 0)), "Продано", "В ожидании")</f>
        <v>Продано</v>
      </c>
      <c r="L59" s="8"/>
      <c r="M59" s="8"/>
      <c r="N59" s="8"/>
      <c r="O59" s="8"/>
      <c r="P59" s="8"/>
    </row>
    <row r="60" spans="1:16">
      <c r="A60" s="26">
        <v>45520.733273576392</v>
      </c>
      <c r="B60" s="8">
        <v>397310755</v>
      </c>
      <c r="C60" s="8" t="s">
        <v>1229</v>
      </c>
      <c r="D60" s="8" t="s">
        <v>124</v>
      </c>
      <c r="E60" s="27">
        <v>45520</v>
      </c>
      <c r="F60" s="8" t="s">
        <v>1279</v>
      </c>
      <c r="G60" s="8">
        <v>87028656566</v>
      </c>
      <c r="H60" s="8" t="str">
        <f>VLOOKUP(C60,'Виды прицепов'!$A$29:$B$36,2,0)</f>
        <v>002-2013E30Q13-OK</v>
      </c>
      <c r="I60" s="8">
        <v>420000</v>
      </c>
      <c r="J60" s="16" t="str">
        <f>'Реестр договоров'!D118</f>
        <v>MX4000002R0001751</v>
      </c>
      <c r="K60" s="8" t="str">
        <f>IF(ISNUMBER(MATCH(J60, 'Реестр договоров'!$D$2:$D$156, 0)), "Продано", "В ожидании")</f>
        <v>Продано</v>
      </c>
      <c r="L60" s="8"/>
      <c r="M60" s="8"/>
      <c r="N60" s="8"/>
      <c r="O60" s="8"/>
      <c r="P60" s="8"/>
    </row>
    <row r="61" spans="1:16">
      <c r="A61" s="26">
        <v>45525.447847372685</v>
      </c>
      <c r="B61" s="8">
        <v>399191170</v>
      </c>
      <c r="C61" s="8" t="s">
        <v>1223</v>
      </c>
      <c r="D61" s="8" t="s">
        <v>118</v>
      </c>
      <c r="E61" s="27">
        <v>45524</v>
      </c>
      <c r="F61" s="8" t="s">
        <v>1280</v>
      </c>
      <c r="G61" s="8">
        <v>87018759695</v>
      </c>
      <c r="H61" s="8" t="str">
        <f>VLOOKUP(C61,'Виды прицепов'!$A$29:$B$36,2,0)</f>
        <v>002-2013E50Q13-OK</v>
      </c>
      <c r="I61" s="16">
        <f>VLOOKUP(C61,'Виды прицепов'!$A$29:$C$36,3,0)</f>
        <v>380000</v>
      </c>
      <c r="J61" s="16" t="str">
        <f>'Реестр договоров'!D114</f>
        <v>MX4000002R0001757</v>
      </c>
      <c r="K61" s="8" t="str">
        <f>IF(ISNUMBER(MATCH(J61, 'Реестр договоров'!$D$2:$D$156, 0)), "Продано", "В ожидании")</f>
        <v>Продано</v>
      </c>
      <c r="L61" s="8"/>
      <c r="M61" s="8"/>
      <c r="N61" s="8"/>
      <c r="O61" s="8"/>
      <c r="P61" s="8"/>
    </row>
    <row r="62" spans="1:16">
      <c r="A62" s="26">
        <v>45525.448323958335</v>
      </c>
      <c r="B62" s="8">
        <v>399180003</v>
      </c>
      <c r="C62" s="8" t="s">
        <v>1223</v>
      </c>
      <c r="D62" s="8" t="s">
        <v>124</v>
      </c>
      <c r="E62" s="27">
        <v>45525</v>
      </c>
      <c r="F62" s="8" t="s">
        <v>1281</v>
      </c>
      <c r="G62" s="8">
        <v>87788985846</v>
      </c>
      <c r="H62" s="8" t="str">
        <f>VLOOKUP(C62,'Виды прицепов'!$A$29:$B$36,2,0)</f>
        <v>002-2013E50Q13-OK</v>
      </c>
      <c r="I62" s="16">
        <f>VLOOKUP(C62,'Виды прицепов'!$A$29:$C$36,3,0)</f>
        <v>380000</v>
      </c>
      <c r="J62" s="16" t="str">
        <f>'Реестр договоров'!D113</f>
        <v>MX4000002R0001611</v>
      </c>
      <c r="K62" s="8" t="str">
        <f>IF(ISNUMBER(MATCH(J62, 'Реестр договоров'!$D$2:$D$156, 0)), "Продано", "В ожидании")</f>
        <v>Продано</v>
      </c>
      <c r="L62" s="8"/>
      <c r="M62" s="8"/>
      <c r="N62" s="8"/>
      <c r="O62" s="8"/>
      <c r="P62" s="8"/>
    </row>
    <row r="63" spans="1:16">
      <c r="A63" s="84">
        <v>45525.450511087962</v>
      </c>
      <c r="B63" s="85">
        <v>397838918</v>
      </c>
      <c r="C63" s="85" t="s">
        <v>1225</v>
      </c>
      <c r="D63" s="85" t="s">
        <v>124</v>
      </c>
      <c r="E63" s="86">
        <v>45530</v>
      </c>
      <c r="F63" s="85" t="s">
        <v>1282</v>
      </c>
      <c r="G63" s="85">
        <v>87788646783</v>
      </c>
      <c r="H63" s="85" t="str">
        <f>VLOOKUP(C63,'Виды прицепов'!$A$29:$B$36,2,0)</f>
        <v>002-2513E30Q13-OK</v>
      </c>
      <c r="I63" s="87">
        <f>VLOOKUP(C63,'Виды прицепов'!$A$29:$C$36,3,0)</f>
        <v>430000</v>
      </c>
      <c r="J63" s="87"/>
      <c r="K63" s="85" t="s">
        <v>1238</v>
      </c>
      <c r="L63" s="85"/>
      <c r="M63" s="85"/>
      <c r="N63" s="85"/>
      <c r="O63" s="85"/>
      <c r="P63" s="85"/>
    </row>
    <row r="64" spans="1:16">
      <c r="A64" s="26">
        <v>45525.452744247683</v>
      </c>
      <c r="B64" s="8">
        <v>399595596</v>
      </c>
      <c r="C64" s="8" t="s">
        <v>1223</v>
      </c>
      <c r="D64" s="8" t="s">
        <v>121</v>
      </c>
      <c r="E64" s="27">
        <v>45531</v>
      </c>
      <c r="F64" s="8" t="s">
        <v>1283</v>
      </c>
      <c r="G64" s="8">
        <v>87078361703</v>
      </c>
      <c r="H64" s="8" t="str">
        <f>VLOOKUP(C64,'Виды прицепов'!$A$29:$B$36,2,0)</f>
        <v>002-2013E50Q13-OK</v>
      </c>
      <c r="I64" s="16">
        <f>VLOOKUP(C64,'Виды прицепов'!$A$29:$C$36,3,0)</f>
        <v>380000</v>
      </c>
      <c r="J64" s="16" t="s">
        <v>236</v>
      </c>
      <c r="K64" s="8" t="str">
        <f>IF(ISNUMBER(MATCH(J64, 'Реестр договоров'!$D$2:$D$156, 0)), "Продано", "В ожидании")</f>
        <v>Продано</v>
      </c>
      <c r="L64" s="8"/>
      <c r="M64" s="8"/>
      <c r="N64" s="8"/>
      <c r="O64" s="8"/>
      <c r="P64" s="8"/>
    </row>
    <row r="65" spans="1:16">
      <c r="A65" s="84">
        <v>45531.441607037035</v>
      </c>
      <c r="B65" s="85">
        <v>402523123</v>
      </c>
      <c r="C65" s="85" t="s">
        <v>1225</v>
      </c>
      <c r="D65" s="85" t="s">
        <v>121</v>
      </c>
      <c r="E65" s="86">
        <v>45537</v>
      </c>
      <c r="F65" s="85" t="s">
        <v>1284</v>
      </c>
      <c r="G65" s="85">
        <v>87087644550</v>
      </c>
      <c r="H65" s="85" t="str">
        <f>VLOOKUP(C65,'Виды прицепов'!$A$29:$B$36,2,0)</f>
        <v>002-2513E30Q13-OK</v>
      </c>
      <c r="I65" s="87">
        <f>VLOOKUP(C65,'Виды прицепов'!$A$29:$C$36,3,0)</f>
        <v>430000</v>
      </c>
      <c r="J65" s="87"/>
      <c r="K65" s="85" t="s">
        <v>1261</v>
      </c>
      <c r="L65" s="85"/>
      <c r="M65" s="85"/>
      <c r="N65" s="85"/>
      <c r="O65" s="85"/>
      <c r="P65" s="85"/>
    </row>
    <row r="66" spans="1:16">
      <c r="A66" s="26">
        <v>45531.442653668986</v>
      </c>
      <c r="B66" s="8">
        <v>402238147</v>
      </c>
      <c r="C66" s="8" t="s">
        <v>1223</v>
      </c>
      <c r="D66" s="8" t="s">
        <v>124</v>
      </c>
      <c r="E66" s="27">
        <v>45530</v>
      </c>
      <c r="F66" s="8" t="s">
        <v>1285</v>
      </c>
      <c r="G66" s="8">
        <v>87713010191</v>
      </c>
      <c r="H66" s="8" t="str">
        <f>VLOOKUP(C66,'Виды прицепов'!$A$29:$B$36,2,0)</f>
        <v>002-2013E50Q13-OK</v>
      </c>
      <c r="I66" s="16">
        <f>VLOOKUP(C66,'Виды прицепов'!$A$29:$C$36,3,0)</f>
        <v>380000</v>
      </c>
      <c r="J66" s="16" t="str">
        <f>'Реестр договоров'!D122</f>
        <v>MX4000002R0001759</v>
      </c>
      <c r="K66" s="8" t="str">
        <f>IF(ISNUMBER(MATCH(J66, 'Реестр договоров'!$D$2:$D$156, 0)), "Продано", "В ожидании")</f>
        <v>Продано</v>
      </c>
      <c r="L66" s="8"/>
      <c r="M66" s="8"/>
      <c r="N66" s="8"/>
      <c r="O66" s="8"/>
      <c r="P66" s="8"/>
    </row>
    <row r="67" spans="1:16">
      <c r="A67" s="26">
        <v>45531.44984533565</v>
      </c>
      <c r="B67" s="8">
        <v>402167586</v>
      </c>
      <c r="C67" s="8" t="s">
        <v>1225</v>
      </c>
      <c r="D67" s="8" t="s">
        <v>124</v>
      </c>
      <c r="E67" s="27">
        <v>45537</v>
      </c>
      <c r="F67" s="8" t="s">
        <v>1286</v>
      </c>
      <c r="G67" s="8">
        <v>87019298265</v>
      </c>
      <c r="H67" s="8" t="str">
        <f>VLOOKUP(C67,'Виды прицепов'!$A$29:$B$36,2,0)</f>
        <v>002-2513E30Q13-OK</v>
      </c>
      <c r="I67" s="16">
        <f>VLOOKUP(C67,'Виды прицепов'!$A$29:$C$36,3,0)</f>
        <v>430000</v>
      </c>
      <c r="J67" s="16" t="str">
        <f>'Реестр договоров'!D123</f>
        <v>MX4000002R0001639</v>
      </c>
      <c r="K67" s="8" t="str">
        <f>IF(ISNUMBER(MATCH(J67, 'Реестр договоров'!$D$2:$D$156, 0)), "Продано", "В ожидании")</f>
        <v>Продано</v>
      </c>
      <c r="L67" s="8"/>
      <c r="M67" s="8"/>
      <c r="N67" s="8"/>
      <c r="O67" s="8"/>
      <c r="P67" s="8"/>
    </row>
    <row r="68" spans="1:16">
      <c r="A68" s="84">
        <v>45531.451157858799</v>
      </c>
      <c r="B68" s="85">
        <v>401793433</v>
      </c>
      <c r="C68" s="85" t="s">
        <v>1223</v>
      </c>
      <c r="D68" s="85" t="s">
        <v>121</v>
      </c>
      <c r="E68" s="86">
        <v>45530</v>
      </c>
      <c r="F68" s="85" t="s">
        <v>1287</v>
      </c>
      <c r="G68" s="85">
        <v>87089011056</v>
      </c>
      <c r="H68" s="85" t="str">
        <f>VLOOKUP(C68,'Виды прицепов'!$A$29:$B$36,2,0)</f>
        <v>002-2013E50Q13-OK</v>
      </c>
      <c r="I68" s="87">
        <f>VLOOKUP(C68,'Виды прицепов'!$A$29:$C$36,3,0)</f>
        <v>380000</v>
      </c>
      <c r="J68" s="87"/>
      <c r="K68" s="85" t="s">
        <v>1238</v>
      </c>
      <c r="L68" s="87"/>
      <c r="M68" s="87"/>
      <c r="N68" s="87"/>
      <c r="O68" s="87"/>
      <c r="P68" s="87"/>
    </row>
    <row r="69" spans="1:16">
      <c r="A69" s="84">
        <v>45531.453667800924</v>
      </c>
      <c r="B69" s="85">
        <v>399950416</v>
      </c>
      <c r="C69" s="85" t="s">
        <v>1223</v>
      </c>
      <c r="D69" s="85" t="s">
        <v>124</v>
      </c>
      <c r="E69" s="86">
        <v>45526</v>
      </c>
      <c r="F69" s="85" t="s">
        <v>1288</v>
      </c>
      <c r="G69" s="85">
        <v>87478649717</v>
      </c>
      <c r="H69" s="85" t="str">
        <f>VLOOKUP(C69,'Виды прицепов'!$A$29:$B$36,2,0)</f>
        <v>002-2013E50Q13-OK</v>
      </c>
      <c r="I69" s="87">
        <f>VLOOKUP(C69,'Виды прицепов'!$A$29:$C$36,3,0)</f>
        <v>380000</v>
      </c>
      <c r="J69" s="87"/>
      <c r="K69" s="85" t="s">
        <v>1238</v>
      </c>
      <c r="L69" s="87"/>
      <c r="M69" s="87"/>
      <c r="N69" s="87"/>
      <c r="O69" s="87"/>
      <c r="P69" s="87"/>
    </row>
    <row r="70" spans="1:16">
      <c r="A70" s="26">
        <v>45532.678427789353</v>
      </c>
      <c r="B70" s="8">
        <v>402925799</v>
      </c>
      <c r="C70" s="8" t="s">
        <v>1223</v>
      </c>
      <c r="D70" s="8" t="s">
        <v>121</v>
      </c>
      <c r="E70" s="27">
        <v>45532</v>
      </c>
      <c r="F70" s="8" t="s">
        <v>1289</v>
      </c>
      <c r="G70" s="8">
        <v>87081968389</v>
      </c>
      <c r="H70" s="8" t="str">
        <f>VLOOKUP(C70,'Виды прицепов'!$A$29:$B$37,2,0)</f>
        <v>002-2013E50Q13-OK</v>
      </c>
      <c r="I70" s="16">
        <f>VLOOKUP(C70,'Виды прицепов'!$A$29:$C$36,3,0)</f>
        <v>380000</v>
      </c>
      <c r="J70" s="16" t="str">
        <f>'Реестр договоров'!D127</f>
        <v>MX4000002R0001736</v>
      </c>
      <c r="K70" s="8" t="str">
        <f>IF(ISNUMBER(MATCH(J70, 'Реестр договоров'!$D$2:$D$156, 0)), "Продано", "В ожидании")</f>
        <v>Продано</v>
      </c>
    </row>
    <row r="71" spans="1:16">
      <c r="A71" s="26">
        <v>45532.679996493054</v>
      </c>
      <c r="B71" s="8">
        <v>403091688</v>
      </c>
      <c r="C71" s="8" t="s">
        <v>1290</v>
      </c>
      <c r="D71" s="8" t="s">
        <v>118</v>
      </c>
      <c r="E71" s="27">
        <v>45532</v>
      </c>
      <c r="F71" s="8" t="s">
        <v>1291</v>
      </c>
      <c r="G71" s="8">
        <v>87476641103</v>
      </c>
      <c r="H71" s="8" t="str">
        <f>VLOOKUP(C71,'Виды прицепов'!$A$29:$B$37,2,0)</f>
        <v>002-2515E50Q13-OK</v>
      </c>
      <c r="I71" s="16">
        <f>VLOOKUP(C71,'Виды прицепов'!$A$29:$C$37,3,0)</f>
        <v>450000</v>
      </c>
      <c r="J71" s="16" t="str">
        <f>'Реестр договоров'!D125</f>
        <v>MX4000002R0001447</v>
      </c>
      <c r="K71" s="8" t="str">
        <f>IF(ISNUMBER(MATCH(J71, 'Реестр договоров'!$D$2:$D$156, 0)), "Продано", "В ожидании")</f>
        <v>Продано</v>
      </c>
    </row>
    <row r="72" spans="1:16">
      <c r="A72" s="26">
        <v>45537.454534826393</v>
      </c>
      <c r="B72" s="8">
        <v>405263078</v>
      </c>
      <c r="C72" s="8" t="s">
        <v>1223</v>
      </c>
      <c r="D72" s="8" t="s">
        <v>118</v>
      </c>
      <c r="E72" s="27">
        <v>45542</v>
      </c>
      <c r="F72" s="8" t="s">
        <v>1292</v>
      </c>
      <c r="G72" s="8">
        <v>87012575636</v>
      </c>
      <c r="H72" s="8" t="str">
        <f>VLOOKUP(C72,'Виды прицепов'!$A$29:$B$37,2,0)</f>
        <v>002-2013E50Q13-OK</v>
      </c>
      <c r="I72" s="16">
        <f>VLOOKUP(C72,'Виды прицепов'!$A$29:$C$37,3,0)</f>
        <v>380000</v>
      </c>
      <c r="J72" s="16" t="str">
        <f>'Реестр договоров'!D129</f>
        <v>MX4000002R0001762</v>
      </c>
      <c r="K72" s="8" t="str">
        <f>IF(ISNUMBER(MATCH(J72, 'Реестр договоров'!$D$2:$D$156, 0)), "Продано", "В ожидании")</f>
        <v>Продано</v>
      </c>
    </row>
    <row r="73" spans="1:16">
      <c r="A73" s="26">
        <v>45537.455704444445</v>
      </c>
      <c r="B73" s="8">
        <v>403586312</v>
      </c>
      <c r="C73" s="8" t="s">
        <v>1229</v>
      </c>
      <c r="D73" s="8" t="s">
        <v>121</v>
      </c>
      <c r="E73" s="27">
        <v>45533</v>
      </c>
      <c r="F73" s="8" t="s">
        <v>1293</v>
      </c>
      <c r="G73" s="8">
        <v>87772007014</v>
      </c>
      <c r="H73" s="8" t="str">
        <f>VLOOKUP(C73,'Виды прицепов'!$A$29:$B$37,2,0)</f>
        <v>002-2013E30Q13-OK</v>
      </c>
      <c r="I73" s="16">
        <f>VLOOKUP(C73,'Виды прицепов'!$A$29:$C$37,3,0)</f>
        <v>360000</v>
      </c>
      <c r="J73" s="16" t="str">
        <f>'Реестр договоров'!D128</f>
        <v>MX4000002R0001731</v>
      </c>
      <c r="K73" s="8" t="str">
        <f>IF(ISNUMBER(MATCH(J73, 'Реестр договоров'!$D$2:$D$156, 0)), "Продано", "В ожидании")</f>
        <v>Продано</v>
      </c>
    </row>
    <row r="74" spans="1:16">
      <c r="A74" s="26">
        <v>45544.523908275463</v>
      </c>
      <c r="B74" s="8">
        <v>408243555</v>
      </c>
      <c r="C74" s="8" t="s">
        <v>1229</v>
      </c>
      <c r="D74" s="8" t="s">
        <v>124</v>
      </c>
      <c r="E74" s="27">
        <v>45544</v>
      </c>
      <c r="F74" s="8" t="s">
        <v>1294</v>
      </c>
      <c r="G74" s="8">
        <v>87002142490</v>
      </c>
      <c r="H74" s="8" t="str">
        <f>VLOOKUP(C74,'Виды прицепов'!$A$29:$B$37,2,0)</f>
        <v>002-2013E30Q13-OK</v>
      </c>
      <c r="I74" s="8">
        <v>380000</v>
      </c>
      <c r="J74" s="16" t="str">
        <f>'Реестр договоров'!D140</f>
        <v>MX4000002R0001763</v>
      </c>
      <c r="K74" s="8" t="str">
        <f>IF(ISNUMBER(MATCH(J74, 'Реестр договоров'!$D$2:$D$156, 0)), "Продано", "В ожидании")</f>
        <v>Продано</v>
      </c>
    </row>
    <row r="75" spans="1:16">
      <c r="A75" s="26">
        <v>45544.525698784724</v>
      </c>
      <c r="B75" s="8">
        <v>406495246</v>
      </c>
      <c r="C75" s="8" t="s">
        <v>1223</v>
      </c>
      <c r="D75" s="8" t="s">
        <v>121</v>
      </c>
      <c r="E75" s="27">
        <v>45541</v>
      </c>
      <c r="F75" s="8" t="s">
        <v>1295</v>
      </c>
      <c r="G75" s="8">
        <v>87788613828</v>
      </c>
      <c r="H75" s="8" t="str">
        <f>VLOOKUP(C75,'Виды прицепов'!$A$29:$B$37,2,0)</f>
        <v>002-2013E50Q13-OK</v>
      </c>
      <c r="I75" s="16">
        <f>VLOOKUP(C75,'Виды прицепов'!$A$29:$C$37,3,0)</f>
        <v>380000</v>
      </c>
      <c r="J75" s="16" t="str">
        <f>'Реестр договоров'!D139</f>
        <v>MX4000002R0001747</v>
      </c>
      <c r="K75" s="8" t="str">
        <f>IF(ISNUMBER(MATCH(J75, 'Реестр договоров'!$D$2:$D$156, 0)), "Продано", "В ожидании")</f>
        <v>Продано</v>
      </c>
    </row>
    <row r="76" spans="1:16">
      <c r="A76" s="26">
        <v>45545</v>
      </c>
      <c r="B76" s="8">
        <v>409473908</v>
      </c>
      <c r="C76" s="8" t="s">
        <v>1229</v>
      </c>
      <c r="D76" s="8" t="s">
        <v>124</v>
      </c>
      <c r="E76" s="27">
        <v>45545</v>
      </c>
      <c r="F76" s="8" t="s">
        <v>1296</v>
      </c>
      <c r="G76" s="8">
        <v>87773022758</v>
      </c>
      <c r="H76" s="8" t="str">
        <f>VLOOKUP(C76,'Виды прицепов'!$A$29:$B$37,2,0)</f>
        <v>002-2013E30Q13-OK</v>
      </c>
      <c r="I76" s="16">
        <f>VLOOKUP(C76,'Виды прицепов'!$A$29:$C$37,3,0)</f>
        <v>360000</v>
      </c>
      <c r="J76" s="16" t="s">
        <v>171</v>
      </c>
      <c r="K76" s="8" t="str">
        <f>IF(ISNUMBER(MATCH(J76, 'Реестр договоров'!$D$2:$D$156, 0)), "Продано", "В ожидании")</f>
        <v>Продано</v>
      </c>
    </row>
    <row r="77" spans="1:16">
      <c r="A77" s="26">
        <v>45549</v>
      </c>
      <c r="B77" s="8">
        <v>409992286</v>
      </c>
      <c r="C77" s="8" t="s">
        <v>1223</v>
      </c>
      <c r="D77" s="8" t="s">
        <v>121</v>
      </c>
      <c r="E77" s="27">
        <v>45546</v>
      </c>
      <c r="F77" s="8" t="s">
        <v>1297</v>
      </c>
      <c r="G77" s="8">
        <v>87017205151</v>
      </c>
      <c r="H77" s="8" t="str">
        <f>VLOOKUP(C77,'Виды прицепов'!$A$29:$B$37,2,0)</f>
        <v>002-2013E50Q13-OK</v>
      </c>
      <c r="I77" s="16">
        <f>VLOOKUP(C77,'Виды прицепов'!$A$29:$C$37,3,0)</f>
        <v>380000</v>
      </c>
      <c r="J77" s="16" t="s">
        <v>177</v>
      </c>
      <c r="K77" s="8" t="str">
        <f>IF(ISNUMBER(MATCH(J77, 'Реестр договоров'!$D$2:$D$156, 0)), "Продано", "В ожидании")</f>
        <v>Продано</v>
      </c>
    </row>
    <row r="78" spans="1:16">
      <c r="A78" s="26">
        <v>45546</v>
      </c>
      <c r="B78" s="8">
        <v>409852887</v>
      </c>
      <c r="C78" s="8" t="s">
        <v>1223</v>
      </c>
      <c r="D78" s="8" t="s">
        <v>121</v>
      </c>
      <c r="E78" s="27">
        <v>45546</v>
      </c>
      <c r="F78" s="8" t="s">
        <v>1298</v>
      </c>
      <c r="G78" s="8">
        <v>87772634046</v>
      </c>
      <c r="H78" s="8" t="str">
        <f>VLOOKUP(C78,'Виды прицепов'!$A$29:$B$37,2,0)</f>
        <v>002-2013E50Q13-OK</v>
      </c>
      <c r="I78" s="8">
        <v>380000</v>
      </c>
      <c r="J78" s="16" t="s">
        <v>188</v>
      </c>
      <c r="K78" s="8" t="str">
        <f>IF(ISNUMBER(MATCH(J78, 'Реестр договоров'!$D$2:$D$156, 0)), "Продано", "В ожидании")</f>
        <v>Продано</v>
      </c>
    </row>
    <row r="79" spans="1:16">
      <c r="A79" s="26">
        <v>45546</v>
      </c>
      <c r="B79" s="8">
        <v>410117054</v>
      </c>
      <c r="C79" s="8" t="s">
        <v>1223</v>
      </c>
      <c r="D79" s="8" t="s">
        <v>124</v>
      </c>
      <c r="E79" s="27">
        <v>45546</v>
      </c>
      <c r="F79" s="8" t="s">
        <v>1299</v>
      </c>
      <c r="G79" s="8">
        <v>87475529062</v>
      </c>
      <c r="H79" s="8" t="str">
        <f>VLOOKUP(C79,'Виды прицепов'!$A$29:$B$37,2,0)</f>
        <v>002-2013E50Q13-OK</v>
      </c>
      <c r="I79" s="8">
        <v>380000</v>
      </c>
      <c r="J79" s="16" t="s">
        <v>165</v>
      </c>
      <c r="K79" s="8" t="str">
        <f>IF(ISNUMBER(MATCH(J79, 'Реестр договоров'!$D$2:$D$156, 0)), "Продано", "В ожидании")</f>
        <v>Продано</v>
      </c>
    </row>
    <row r="80" spans="1:16">
      <c r="A80" s="26">
        <v>45551</v>
      </c>
      <c r="B80" s="8">
        <v>412355204</v>
      </c>
      <c r="C80" s="8" t="s">
        <v>1229</v>
      </c>
      <c r="D80" s="8" t="s">
        <v>121</v>
      </c>
      <c r="E80" s="27">
        <v>45551</v>
      </c>
      <c r="F80" s="8" t="s">
        <v>1300</v>
      </c>
      <c r="G80" s="8">
        <v>87072077010</v>
      </c>
      <c r="H80" s="8" t="str">
        <f>VLOOKUP(C80,'Виды прицепов'!$A$29:$B$37,2,0)</f>
        <v>002-2013E30Q13-OK</v>
      </c>
      <c r="I80" s="8">
        <v>360000</v>
      </c>
      <c r="J80" s="16" t="s">
        <v>265</v>
      </c>
      <c r="K80" s="8" t="str">
        <f>IF(ISNUMBER(MATCH(J80, 'Реестр договоров'!$D$2:$D$156, 0)), "Продано", "В ожидании")</f>
        <v>Продано</v>
      </c>
    </row>
    <row r="81" spans="1:11">
      <c r="A81" s="26">
        <v>45547</v>
      </c>
      <c r="B81" s="8">
        <v>410424120</v>
      </c>
      <c r="C81" s="8" t="s">
        <v>1223</v>
      </c>
      <c r="D81" s="8" t="s">
        <v>121</v>
      </c>
      <c r="E81" s="27">
        <v>45547</v>
      </c>
      <c r="F81" s="8" t="s">
        <v>1301</v>
      </c>
      <c r="G81" s="8">
        <v>87714920202</v>
      </c>
      <c r="H81" s="8" t="str">
        <f>VLOOKUP(C81,'Виды прицепов'!$A$29:$B$37,2,0)</f>
        <v>002-2013E50Q13-OK</v>
      </c>
      <c r="I81" s="8">
        <v>380000</v>
      </c>
      <c r="J81" s="16" t="s">
        <v>194</v>
      </c>
      <c r="K81" s="8" t="str">
        <f>IF(ISNUMBER(MATCH(J81, 'Реестр договоров'!$D$2:$D$156, 0)), "Продано", "В ожидании")</f>
        <v>Продано</v>
      </c>
    </row>
    <row r="82" spans="1:11">
      <c r="A82" s="26">
        <v>45552</v>
      </c>
      <c r="B82" s="8">
        <v>412961978</v>
      </c>
      <c r="C82" s="8" t="s">
        <v>1223</v>
      </c>
      <c r="D82" s="8" t="s">
        <v>121</v>
      </c>
      <c r="E82" s="27">
        <v>45552</v>
      </c>
      <c r="F82" s="8" t="s">
        <v>1302</v>
      </c>
      <c r="G82" s="8">
        <v>87718637835</v>
      </c>
      <c r="H82" s="8" t="str">
        <f>VLOOKUP(C82,'Виды прицепов'!$A$29:$B$37,2,0)</f>
        <v>002-2013E50Q13-OK</v>
      </c>
      <c r="I82" s="8">
        <v>380000</v>
      </c>
      <c r="J82" s="16" t="s">
        <v>184</v>
      </c>
      <c r="K82" s="8" t="str">
        <f>IF(ISNUMBER(MATCH(J82, 'Реестр договоров'!$D$2:$D$506, 0)), "Продано", "В ожидании")</f>
        <v>Продано</v>
      </c>
    </row>
    <row r="83" spans="1:11">
      <c r="A83" s="26">
        <v>45551</v>
      </c>
      <c r="B83" s="8">
        <v>411875532</v>
      </c>
      <c r="C83" s="8" t="s">
        <v>1229</v>
      </c>
      <c r="D83" s="8" t="s">
        <v>118</v>
      </c>
      <c r="E83" s="27">
        <v>45553</v>
      </c>
      <c r="F83" s="8" t="s">
        <v>1303</v>
      </c>
      <c r="G83" s="8">
        <v>87055182100</v>
      </c>
      <c r="H83" s="8" t="str">
        <f>VLOOKUP(C83,'Виды прицепов'!$A$29:$B$37,2,0)</f>
        <v>002-2013E30Q13-OK</v>
      </c>
      <c r="I83" s="8">
        <v>360000</v>
      </c>
      <c r="J83" s="16" t="s">
        <v>159</v>
      </c>
      <c r="K83" s="8" t="str">
        <f>IF(ISNUMBER(MATCH(J83, 'Реестр договоров'!$D$2:$D$506, 0)), "Продано", "В ожидании")</f>
        <v>Продано</v>
      </c>
    </row>
    <row r="84" spans="1:11">
      <c r="A84" s="26">
        <v>45553</v>
      </c>
      <c r="B84" s="8">
        <v>413485394</v>
      </c>
      <c r="C84" s="8" t="s">
        <v>1229</v>
      </c>
      <c r="D84" s="8" t="s">
        <v>121</v>
      </c>
      <c r="E84" s="27">
        <v>45553</v>
      </c>
      <c r="F84" s="8" t="s">
        <v>1304</v>
      </c>
      <c r="G84" s="8">
        <v>87028037171</v>
      </c>
      <c r="H84" s="8" t="str">
        <f>VLOOKUP(C84,'Виды прицепов'!$A$29:$B$37,2,0)</f>
        <v>002-2013E30Q13-OK</v>
      </c>
      <c r="I84" s="8">
        <v>360000</v>
      </c>
      <c r="J84" s="16" t="s">
        <v>185</v>
      </c>
      <c r="K84" s="8" t="str">
        <f>IF(ISNUMBER(MATCH(J84, 'Реестр договоров'!$D$2:$D$506, 0)), "Продано", "В ожидании")</f>
        <v>Продано</v>
      </c>
    </row>
    <row r="85" spans="1:11">
      <c r="A85" s="26">
        <v>45554</v>
      </c>
      <c r="B85" s="8">
        <v>413961420</v>
      </c>
      <c r="C85" s="8" t="s">
        <v>1223</v>
      </c>
      <c r="D85" s="8" t="s">
        <v>121</v>
      </c>
      <c r="E85" s="27">
        <v>45554</v>
      </c>
      <c r="F85" s="8" t="s">
        <v>1305</v>
      </c>
      <c r="G85" s="8">
        <v>87776555545</v>
      </c>
      <c r="H85" s="8" t="str">
        <f>VLOOKUP(C85,'Виды прицепов'!$A$29:$B$37,2,0)</f>
        <v>002-2013E50Q13-OK</v>
      </c>
      <c r="I85" s="8">
        <v>380000</v>
      </c>
      <c r="J85" s="16" t="s">
        <v>196</v>
      </c>
      <c r="K85" s="8" t="str">
        <f>IF(ISNUMBER(MATCH(J85, 'Реестр договоров'!$D$2:$D$506, 0)), "Продано", "В ожидании")</f>
        <v>Продано</v>
      </c>
    </row>
    <row r="86" spans="1:11">
      <c r="A86" s="26">
        <v>45556</v>
      </c>
      <c r="B86" s="8">
        <v>414531143</v>
      </c>
      <c r="C86" s="8" t="s">
        <v>1229</v>
      </c>
      <c r="D86" s="8" t="s">
        <v>121</v>
      </c>
      <c r="E86" s="27">
        <v>45556</v>
      </c>
      <c r="F86" s="8" t="s">
        <v>1306</v>
      </c>
      <c r="G86" s="8">
        <v>87079216167</v>
      </c>
      <c r="H86" s="8" t="str">
        <f>VLOOKUP(C86,'Виды прицепов'!$A$29:$B$37,2,0)</f>
        <v>002-2013E30Q13-OK</v>
      </c>
      <c r="I86" s="8">
        <v>360000</v>
      </c>
      <c r="J86" s="16" t="s">
        <v>205</v>
      </c>
      <c r="K86" s="8" t="str">
        <f>IF(ISNUMBER(MATCH(J86, 'Реестр договоров'!$D$2:$D$506, 0)), "Продано", "В ожидании")</f>
        <v>Продано</v>
      </c>
    </row>
    <row r="87" spans="1:11">
      <c r="A87" s="26">
        <v>45558</v>
      </c>
      <c r="B87" s="8">
        <v>414879082</v>
      </c>
      <c r="C87" s="8" t="s">
        <v>1223</v>
      </c>
      <c r="D87" s="8" t="s">
        <v>121</v>
      </c>
      <c r="E87" s="27">
        <v>45556</v>
      </c>
      <c r="F87" s="8" t="s">
        <v>1307</v>
      </c>
      <c r="G87" s="8">
        <v>87074171434</v>
      </c>
      <c r="H87" s="8" t="str">
        <f>VLOOKUP(C87,'Виды прицепов'!$A$29:$B$37,2,0)</f>
        <v>002-2013E50Q13-OK</v>
      </c>
      <c r="I87" s="8">
        <v>450000</v>
      </c>
      <c r="J87" s="16" t="s">
        <v>298</v>
      </c>
      <c r="K87" s="8" t="str">
        <f>IF(ISNUMBER(MATCH(J87, 'Реестр договоров'!$D$2:$D$506, 0)), "Продано", "В ожидании")</f>
        <v>Продано</v>
      </c>
    </row>
    <row r="88" spans="1:11">
      <c r="A88" s="26">
        <v>45562</v>
      </c>
      <c r="B88" s="8">
        <v>414585752</v>
      </c>
      <c r="C88" s="8" t="s">
        <v>1223</v>
      </c>
      <c r="D88" s="8" t="s">
        <v>121</v>
      </c>
      <c r="E88" s="27">
        <v>45558</v>
      </c>
      <c r="F88" s="8" t="s">
        <v>1308</v>
      </c>
      <c r="G88" s="8">
        <v>87776772737</v>
      </c>
      <c r="H88" s="8" t="str">
        <f>VLOOKUP(C88,'Виды прицепов'!$A$29:$B$37,2,0)</f>
        <v>002-2013E50Q13-OK</v>
      </c>
      <c r="I88" s="8">
        <v>380000</v>
      </c>
      <c r="J88" s="16" t="s">
        <v>183</v>
      </c>
      <c r="K88" s="8" t="str">
        <f>IF(ISNUMBER(MATCH(J88, 'Реестр договоров'!$D$2:$D$506, 0)), "Продано", "В ожидании")</f>
        <v>Продано</v>
      </c>
    </row>
    <row r="89" spans="1:11">
      <c r="A89" s="26">
        <v>45573</v>
      </c>
      <c r="B89" s="8">
        <v>417727784</v>
      </c>
      <c r="C89" s="8" t="s">
        <v>1223</v>
      </c>
      <c r="D89" s="8" t="s">
        <v>121</v>
      </c>
      <c r="E89" s="27">
        <v>45562</v>
      </c>
      <c r="F89" s="8" t="s">
        <v>1309</v>
      </c>
      <c r="G89" s="8">
        <v>87088111987</v>
      </c>
      <c r="H89" s="8" t="str">
        <f>VLOOKUP(C89,'Виды прицепов'!$A$29:$B$37,2,0)</f>
        <v>002-2013E50Q13-OK</v>
      </c>
      <c r="I89" s="8">
        <v>380000</v>
      </c>
      <c r="J89" s="16" t="s">
        <v>182</v>
      </c>
      <c r="K89" s="8" t="str">
        <f>IF(ISNUMBER(MATCH(J89, 'Реестр договоров'!$D$2:$D$506, 0)), "Продано", "В ожидании")</f>
        <v>Продано</v>
      </c>
    </row>
    <row r="90" spans="1:11">
      <c r="A90" s="26">
        <v>45576</v>
      </c>
      <c r="B90" s="8">
        <v>423143739</v>
      </c>
      <c r="C90" s="8" t="s">
        <v>1229</v>
      </c>
      <c r="D90" s="8" t="s">
        <v>121</v>
      </c>
      <c r="E90" s="88">
        <v>45573</v>
      </c>
      <c r="F90" s="8" t="s">
        <v>1310</v>
      </c>
      <c r="G90" s="8">
        <v>87053487502</v>
      </c>
      <c r="H90" s="8" t="str">
        <f>VLOOKUP(C90,'Виды прицепов'!$A$29:$B$37,2,0)</f>
        <v>002-2013E30Q13-OK</v>
      </c>
      <c r="I90" s="8">
        <v>360000</v>
      </c>
      <c r="J90" s="16" t="s">
        <v>191</v>
      </c>
      <c r="K90" s="8" t="str">
        <f>IF(ISNUMBER(MATCH(J90, 'Реестр договоров'!$D$2:$D$506, 0)), "Продано", "В ожидании")</f>
        <v>Продано</v>
      </c>
    </row>
    <row r="91" spans="1:11">
      <c r="A91" s="26">
        <v>45575</v>
      </c>
      <c r="B91" s="8">
        <v>424843410</v>
      </c>
      <c r="C91" s="8" t="s">
        <v>1223</v>
      </c>
      <c r="D91" s="8" t="s">
        <v>121</v>
      </c>
      <c r="E91" s="27">
        <v>45576</v>
      </c>
      <c r="F91" s="8" t="s">
        <v>1311</v>
      </c>
      <c r="G91" s="8">
        <v>87773879377</v>
      </c>
      <c r="H91" s="8" t="str">
        <f>VLOOKUP(C91,'Виды прицепов'!$A$29:$B$37,2,0)</f>
        <v>002-2013E50Q13-OK</v>
      </c>
      <c r="I91" s="8">
        <v>380000</v>
      </c>
      <c r="J91" s="16" t="s">
        <v>148</v>
      </c>
      <c r="K91" s="8" t="str">
        <f>IF(ISNUMBER(MATCH(J91, 'Реестр договоров'!$D$2:$D$506, 0)), "Продано", "В ожидании")</f>
        <v>Продано</v>
      </c>
    </row>
    <row r="92" spans="1:11">
      <c r="A92" s="26">
        <v>45582</v>
      </c>
      <c r="B92" s="8">
        <v>424311611</v>
      </c>
      <c r="C92" s="8" t="s">
        <v>1312</v>
      </c>
      <c r="D92" s="8" t="s">
        <v>118</v>
      </c>
      <c r="E92" s="27">
        <v>45576</v>
      </c>
      <c r="F92" s="8" t="s">
        <v>1313</v>
      </c>
      <c r="G92" s="8">
        <v>87774723311</v>
      </c>
      <c r="H92" s="8" t="str">
        <f>VLOOKUP(C92,'Виды прицепов'!$A$29:$B$37,2,0)</f>
        <v>002-3515E30Q13-OK</v>
      </c>
      <c r="I92" s="8">
        <v>730000</v>
      </c>
      <c r="J92" s="16" t="s">
        <v>365</v>
      </c>
      <c r="K92" s="8" t="str">
        <f>IF(ISNUMBER(MATCH(J92, 'Реестр договоров'!$D$2:$D$506, 0)), "Продано", "В ожидании")</f>
        <v>Продано</v>
      </c>
    </row>
    <row r="93" spans="1:11">
      <c r="A93" s="26">
        <v>45593</v>
      </c>
      <c r="B93" s="8">
        <v>428001705</v>
      </c>
      <c r="C93" s="8" t="s">
        <v>1223</v>
      </c>
      <c r="D93" s="8" t="s">
        <v>124</v>
      </c>
      <c r="E93" s="27">
        <v>45582</v>
      </c>
      <c r="F93" s="8" t="s">
        <v>1314</v>
      </c>
      <c r="G93" s="8">
        <v>87074848127</v>
      </c>
      <c r="H93" s="8" t="str">
        <f>VLOOKUP(C93,'Виды прицепов'!$A$29:$B$37,2,0)</f>
        <v>002-2013E50Q13-OK</v>
      </c>
      <c r="I93" s="8">
        <v>380000</v>
      </c>
      <c r="J93" s="16" t="s">
        <v>139</v>
      </c>
      <c r="K93" s="8" t="str">
        <f>IF(ISNUMBER(MATCH(J93, 'Реестр договоров'!$D$2:$D$506, 0)), "Продано", "В ожидании")</f>
        <v>Продано</v>
      </c>
    </row>
    <row r="94" spans="1:11">
      <c r="A94" s="26">
        <v>45593</v>
      </c>
      <c r="B94" s="8">
        <v>432899670</v>
      </c>
      <c r="C94" s="8" t="s">
        <v>1225</v>
      </c>
      <c r="D94" s="8" t="s">
        <v>121</v>
      </c>
      <c r="E94" s="27">
        <v>45593</v>
      </c>
      <c r="F94" s="8" t="s">
        <v>1315</v>
      </c>
      <c r="G94" s="8">
        <v>87713148257</v>
      </c>
      <c r="H94" s="8" t="str">
        <f>VLOOKUP(C94,'Виды прицепов'!$A$29:$B$37,2,0)</f>
        <v>002-2513E30Q13-OK</v>
      </c>
      <c r="I94" s="8">
        <v>430000</v>
      </c>
      <c r="J94" s="16" t="s">
        <v>299</v>
      </c>
      <c r="K94" s="8" t="str">
        <f>IF(ISNUMBER(MATCH(J94, 'Реестр договоров'!$D$2:$D$506, 0)), "Продано", "В ожидании")</f>
        <v>Продано</v>
      </c>
    </row>
    <row r="95" spans="1:11">
      <c r="A95" s="26">
        <v>45600</v>
      </c>
      <c r="B95" s="8">
        <v>436601311</v>
      </c>
      <c r="C95" s="8" t="s">
        <v>1290</v>
      </c>
      <c r="D95" s="8" t="s">
        <v>118</v>
      </c>
      <c r="E95" s="27">
        <v>45600</v>
      </c>
      <c r="F95" s="8" t="s">
        <v>1316</v>
      </c>
      <c r="G95" s="8">
        <v>87055955916</v>
      </c>
      <c r="H95" s="8" t="str">
        <f>VLOOKUP(C95,'Виды прицепов'!$A$29:$B$37,2,0)</f>
        <v>002-2515E50Q13-OK</v>
      </c>
      <c r="I95" s="8">
        <v>450000</v>
      </c>
      <c r="J95" s="16" t="s">
        <v>291</v>
      </c>
      <c r="K95" s="8" t="str">
        <f>IF(ISNUMBER(MATCH(J95, 'Реестр договоров'!$D$2:$D$506, 0)), "Продано", "В ожидании")</f>
        <v>Продано</v>
      </c>
    </row>
    <row r="96" spans="1:11">
      <c r="A96" s="26">
        <v>45604</v>
      </c>
      <c r="B96" s="8">
        <v>436915187</v>
      </c>
      <c r="C96" s="8" t="s">
        <v>1223</v>
      </c>
      <c r="D96" s="8" t="s">
        <v>118</v>
      </c>
      <c r="E96" s="27">
        <v>45600</v>
      </c>
      <c r="F96" s="8" t="s">
        <v>1317</v>
      </c>
      <c r="G96" s="8">
        <v>87715934044</v>
      </c>
      <c r="H96" s="8" t="str">
        <f>VLOOKUP(C96,'Виды прицепов'!$A$29:$B$37,2,0)</f>
        <v>002-2013E50Q13-OK</v>
      </c>
      <c r="I96" s="8">
        <v>380000</v>
      </c>
      <c r="J96" s="16" t="s">
        <v>138</v>
      </c>
      <c r="K96" s="8" t="str">
        <f>IF(ISNUMBER(MATCH(J96, 'Реестр договоров'!$D$2:$D$506, 0)), "Продано", "В ожидании")</f>
        <v>Продано</v>
      </c>
    </row>
    <row r="97" spans="1:11">
      <c r="A97" s="26">
        <v>45604</v>
      </c>
      <c r="B97" s="8">
        <v>439251264</v>
      </c>
      <c r="C97" s="8" t="s">
        <v>1223</v>
      </c>
      <c r="D97" s="8" t="s">
        <v>118</v>
      </c>
      <c r="E97" s="27">
        <v>45604</v>
      </c>
      <c r="F97" s="8" t="s">
        <v>1318</v>
      </c>
      <c r="G97" s="8">
        <v>87072322464</v>
      </c>
      <c r="H97" s="8" t="str">
        <f>VLOOKUP(C97,'Виды прицепов'!$A$29:$B$37,2,0)</f>
        <v>002-2013E50Q13-OK</v>
      </c>
      <c r="I97" s="8">
        <v>380000</v>
      </c>
      <c r="J97" s="8" t="s">
        <v>126</v>
      </c>
      <c r="K97" s="8" t="str">
        <f>IF(ISNUMBER(MATCH(J97, 'Реестр договоров'!$D$2:$D$506, 0)), "Продано", "В ожидании")</f>
        <v>Продано</v>
      </c>
    </row>
    <row r="98" spans="1:11">
      <c r="A98" s="26">
        <v>45604.469828437504</v>
      </c>
      <c r="B98" s="8">
        <v>439228811</v>
      </c>
      <c r="C98" s="8" t="s">
        <v>1229</v>
      </c>
      <c r="D98" s="8" t="s">
        <v>124</v>
      </c>
      <c r="E98" s="27">
        <v>45604</v>
      </c>
      <c r="F98" s="8" t="s">
        <v>1319</v>
      </c>
      <c r="G98" s="8">
        <v>87051033106</v>
      </c>
      <c r="H98" s="8" t="str">
        <f>VLOOKUP(C98,'Виды прицепов'!$A$29:$B$37,2,0)</f>
        <v>002-2013E30Q13-OK</v>
      </c>
      <c r="I98" s="16">
        <f>VLOOKUP(C98,'Виды прицепов'!$A$29:$C$37,3,0)</f>
        <v>360000</v>
      </c>
      <c r="J98" s="8" t="s">
        <v>136</v>
      </c>
      <c r="K98" s="8" t="str">
        <f>IF(ISNUMBER(MATCH(J98, 'Реестр договоров'!$D$2:$D$506, 0)), "Продано", "В ожидании")</f>
        <v>Продано</v>
      </c>
    </row>
    <row r="99" spans="1:11">
      <c r="A99" s="26">
        <v>45604.48293268519</v>
      </c>
      <c r="B99" s="8">
        <v>439028030</v>
      </c>
      <c r="C99" s="8" t="s">
        <v>1223</v>
      </c>
      <c r="D99" s="8" t="s">
        <v>121</v>
      </c>
      <c r="E99" s="27">
        <v>45616</v>
      </c>
      <c r="F99" s="8" t="s">
        <v>1320</v>
      </c>
      <c r="G99" s="8">
        <v>87021877183</v>
      </c>
      <c r="H99" s="8" t="str">
        <f>VLOOKUP(C99,'Виды прицепов'!$A$29:$B$37,2,0)</f>
        <v>002-2013E50Q13-OK</v>
      </c>
      <c r="I99" s="16">
        <f>VLOOKUP(C99,'Виды прицепов'!$A$29:$C$37,3,0)</f>
        <v>380000</v>
      </c>
      <c r="K99" s="8" t="str">
        <f>IF(ISNUMBER(MATCH(J99, 'Реестр договоров'!$D$2:$D$506, 0)), "Продано", "В ожидании")</f>
        <v>В ожидании</v>
      </c>
    </row>
    <row r="100" spans="1:11">
      <c r="A100" s="26">
        <v>45604.483488807869</v>
      </c>
      <c r="B100" s="8">
        <v>439168589</v>
      </c>
      <c r="C100" s="8" t="s">
        <v>1223</v>
      </c>
      <c r="D100" s="8" t="s">
        <v>121</v>
      </c>
      <c r="E100" s="27">
        <v>45616</v>
      </c>
      <c r="F100" s="8" t="s">
        <v>1321</v>
      </c>
      <c r="G100" s="8">
        <v>87006776640</v>
      </c>
      <c r="H100" s="8" t="str">
        <f>VLOOKUP(C100,'Виды прицепов'!$A$29:$B$37,2,0)</f>
        <v>002-2013E50Q13-OK</v>
      </c>
      <c r="I100" s="16">
        <f>VLOOKUP(C100,'Виды прицепов'!$A$29:$C$37,3,0)</f>
        <v>380000</v>
      </c>
      <c r="K100" s="8" t="str">
        <f>IF(ISNUMBER(MATCH(J100, 'Реестр договоров'!$D$2:$D$506, 0)), "Продано", "В ожидании")</f>
        <v>В ожидании</v>
      </c>
    </row>
    <row r="101" spans="1:11">
      <c r="A101" s="26">
        <v>45703.740421030088</v>
      </c>
      <c r="B101" s="8">
        <v>440019614</v>
      </c>
      <c r="C101" s="8" t="s">
        <v>1245</v>
      </c>
      <c r="D101" s="8" t="s">
        <v>124</v>
      </c>
      <c r="E101" s="27">
        <v>45607</v>
      </c>
      <c r="F101" s="8" t="s">
        <v>1322</v>
      </c>
      <c r="G101" s="8">
        <v>87755343918</v>
      </c>
      <c r="H101" s="8" t="str">
        <f>VLOOKUP(C101,'Виды прицепов'!$A$29:$B$37,2,0)</f>
        <v>004-3015E30Q15-OK</v>
      </c>
      <c r="I101" s="16">
        <f>VLOOKUP(C101,'Виды прицепов'!$A$29:$C$37,3,0)</f>
        <v>1050000</v>
      </c>
      <c r="J101" s="16" t="s">
        <v>368</v>
      </c>
      <c r="K101" s="8" t="s">
        <v>1323</v>
      </c>
    </row>
    <row r="102" spans="1:11">
      <c r="A102" s="26">
        <v>45703.742667766201</v>
      </c>
      <c r="B102" s="8">
        <v>442323688</v>
      </c>
      <c r="C102" s="8" t="s">
        <v>1223</v>
      </c>
      <c r="D102" s="8" t="s">
        <v>121</v>
      </c>
      <c r="E102" s="27">
        <v>45609</v>
      </c>
      <c r="F102" s="8" t="s">
        <v>1324</v>
      </c>
      <c r="G102" s="8">
        <v>87077678082</v>
      </c>
      <c r="H102" s="8" t="str">
        <f>VLOOKUP(C102,'Виды прицепов'!$A$29:$B$37,2,0)</f>
        <v>002-2013E50Q13-OK</v>
      </c>
      <c r="I102" s="16">
        <f>VLOOKUP(C102,'Виды прицепов'!$A$29:$C$37,3,0)</f>
        <v>380000</v>
      </c>
      <c r="J102" s="16" t="s">
        <v>132</v>
      </c>
      <c r="K102" s="8" t="s">
        <v>1323</v>
      </c>
    </row>
    <row r="103" spans="1:11">
      <c r="A103" s="26">
        <v>45703.744912060181</v>
      </c>
      <c r="B103" s="8">
        <v>443913988</v>
      </c>
      <c r="C103" s="8" t="s">
        <v>1223</v>
      </c>
      <c r="D103" s="8" t="s">
        <v>124</v>
      </c>
      <c r="E103" s="27">
        <v>45609</v>
      </c>
      <c r="F103" s="8" t="s">
        <v>1325</v>
      </c>
      <c r="G103" s="8">
        <v>87789608846</v>
      </c>
      <c r="H103" s="8" t="str">
        <f>VLOOKUP(C103,'Виды прицепов'!$A$29:$B$37,2,0)</f>
        <v>002-2013E50Q13-OK</v>
      </c>
      <c r="I103" s="16">
        <f>VLOOKUP(C103,'Виды прицепов'!$A$29:$C$37,3,0)</f>
        <v>380000</v>
      </c>
      <c r="J103" s="8" t="s">
        <v>1326</v>
      </c>
      <c r="K103" s="8" t="s">
        <v>1323</v>
      </c>
    </row>
    <row r="104" spans="1:11">
      <c r="A104" s="26">
        <v>45703.746733032407</v>
      </c>
      <c r="B104" s="8">
        <v>442026032</v>
      </c>
      <c r="C104" s="8" t="s">
        <v>1223</v>
      </c>
      <c r="D104" s="8" t="s">
        <v>121</v>
      </c>
      <c r="E104" s="27">
        <v>45612</v>
      </c>
      <c r="F104" s="8" t="s">
        <v>1327</v>
      </c>
      <c r="G104" s="8">
        <v>87025569861</v>
      </c>
      <c r="H104" s="8" t="str">
        <f>VLOOKUP(C104,'Виды прицепов'!$A$29:$B$37,2,0)</f>
        <v>002-2013E50Q13-OK</v>
      </c>
      <c r="I104" s="16">
        <f>VLOOKUP(C104,'Виды прицепов'!$A$29:$C$37,3,0)</f>
        <v>380000</v>
      </c>
      <c r="J104" s="16" t="s">
        <v>145</v>
      </c>
      <c r="K104" s="8" t="s">
        <v>1323</v>
      </c>
    </row>
    <row r="105" spans="1:11">
      <c r="A105" s="26">
        <v>45703.747962337962</v>
      </c>
      <c r="B105" s="8">
        <v>446871950</v>
      </c>
      <c r="C105" s="8" t="s">
        <v>1229</v>
      </c>
      <c r="D105" s="8" t="s">
        <v>121</v>
      </c>
      <c r="E105" s="27">
        <v>45617</v>
      </c>
      <c r="F105" s="8" t="s">
        <v>1328</v>
      </c>
      <c r="G105" s="8">
        <v>87714697528</v>
      </c>
      <c r="H105" s="8" t="str">
        <f>VLOOKUP(C105,'Виды прицепов'!$A$29:$B$37,2,0)</f>
        <v>002-2013E30Q13-OK</v>
      </c>
      <c r="I105" s="16">
        <f>VLOOKUP(C105,'Виды прицепов'!$A$29:$C$37,3,0)</f>
        <v>360000</v>
      </c>
      <c r="J105" s="16" t="s">
        <v>28</v>
      </c>
      <c r="K105" s="8" t="s">
        <v>1323</v>
      </c>
    </row>
    <row r="106" spans="1:11">
      <c r="A106" s="26">
        <v>45703.750349247683</v>
      </c>
      <c r="B106" s="8">
        <v>452545323</v>
      </c>
      <c r="C106" s="8" t="s">
        <v>1312</v>
      </c>
      <c r="D106" s="8" t="s">
        <v>121</v>
      </c>
      <c r="E106" s="27">
        <v>45626</v>
      </c>
      <c r="F106" s="8" t="s">
        <v>1329</v>
      </c>
      <c r="G106" s="8">
        <v>87072882850</v>
      </c>
      <c r="H106" s="8" t="str">
        <f>VLOOKUP(C106,'Виды прицепов'!$A$29:$B$37,2,0)</f>
        <v>002-3515E30Q13-OK</v>
      </c>
      <c r="I106" s="16">
        <f>VLOOKUP(C106,'Виды прицепов'!$A$29:$C$37,3,0)</f>
        <v>730000</v>
      </c>
      <c r="J106" s="8" t="s">
        <v>381</v>
      </c>
      <c r="K106" s="8" t="s">
        <v>1323</v>
      </c>
    </row>
    <row r="107" spans="1:11">
      <c r="A107" s="26">
        <v>45703.75138913194</v>
      </c>
      <c r="B107" s="8">
        <v>445404619</v>
      </c>
      <c r="C107" s="8" t="s">
        <v>1223</v>
      </c>
      <c r="D107" s="8" t="s">
        <v>121</v>
      </c>
      <c r="E107" s="27">
        <v>45629</v>
      </c>
      <c r="F107" s="8" t="s">
        <v>1330</v>
      </c>
      <c r="G107" s="8">
        <v>87473524727</v>
      </c>
      <c r="H107" s="8" t="str">
        <f>VLOOKUP(C107,'Виды прицепов'!$A$29:$B$37,2,0)</f>
        <v>002-2013E50Q13-OK</v>
      </c>
      <c r="I107" s="16">
        <f>VLOOKUP(C107,'Виды прицепов'!$A$29:$C$37,3,0)</f>
        <v>380000</v>
      </c>
      <c r="J107" s="16" t="s">
        <v>129</v>
      </c>
      <c r="K107" s="8" t="s">
        <v>1323</v>
      </c>
    </row>
    <row r="108" spans="1:11">
      <c r="A108" s="26">
        <v>45703.752832268518</v>
      </c>
      <c r="B108" s="8">
        <v>456679597</v>
      </c>
      <c r="C108" s="8" t="s">
        <v>1223</v>
      </c>
      <c r="D108" s="8" t="s">
        <v>121</v>
      </c>
      <c r="E108" s="27">
        <v>45632</v>
      </c>
      <c r="F108" s="8" t="s">
        <v>1331</v>
      </c>
      <c r="G108" s="8">
        <v>87479400894</v>
      </c>
      <c r="H108" s="8" t="str">
        <f>VLOOKUP(C108,'Виды прицепов'!$A$29:$B$37,2,0)</f>
        <v>002-2013E50Q13-OK</v>
      </c>
      <c r="I108" s="16">
        <f>VLOOKUP(C108,'Виды прицепов'!$A$29:$C$37,3,0)</f>
        <v>380000</v>
      </c>
      <c r="J108" s="8" t="s">
        <v>120</v>
      </c>
      <c r="K108" s="8" t="s">
        <v>1323</v>
      </c>
    </row>
    <row r="109" spans="1:11">
      <c r="A109" s="26">
        <v>45703.753770451389</v>
      </c>
      <c r="B109" s="8">
        <v>458065444</v>
      </c>
      <c r="C109" s="8" t="s">
        <v>1223</v>
      </c>
      <c r="D109" s="8" t="s">
        <v>124</v>
      </c>
      <c r="E109" s="27">
        <v>45635</v>
      </c>
      <c r="F109" s="8" t="s">
        <v>1332</v>
      </c>
      <c r="G109" s="8">
        <v>87012818915</v>
      </c>
      <c r="H109" s="8" t="str">
        <f>VLOOKUP(C109,'Виды прицепов'!$A$29:$B$37,2,0)</f>
        <v>002-2013E50Q13-OK</v>
      </c>
      <c r="I109" s="16">
        <f>VLOOKUP(C109,'Виды прицепов'!$A$29:$C$37,3,0)</f>
        <v>380000</v>
      </c>
    </row>
    <row r="110" spans="1:11">
      <c r="A110" s="26">
        <v>45703.754553854167</v>
      </c>
      <c r="B110" s="8">
        <v>460942146</v>
      </c>
      <c r="C110" s="8" t="s">
        <v>1223</v>
      </c>
      <c r="D110" s="8" t="s">
        <v>124</v>
      </c>
      <c r="E110" s="27">
        <v>45638</v>
      </c>
      <c r="F110" s="8" t="s">
        <v>1333</v>
      </c>
      <c r="G110" s="8">
        <v>87758558026</v>
      </c>
      <c r="H110" s="8" t="str">
        <f>VLOOKUP(C110,'Виды прицепов'!$A$29:$B$37,2,0)</f>
        <v>002-2013E50Q13-OK</v>
      </c>
      <c r="I110" s="16">
        <f>VLOOKUP(C110,'Виды прицепов'!$A$29:$C$37,3,0)</f>
        <v>380000</v>
      </c>
      <c r="J110" s="16" t="s">
        <v>137</v>
      </c>
      <c r="K110" s="8" t="s">
        <v>1323</v>
      </c>
    </row>
    <row r="111" spans="1:11">
      <c r="A111" s="26">
        <v>45703.755211307871</v>
      </c>
      <c r="B111" s="8">
        <v>465634288</v>
      </c>
      <c r="C111" s="8" t="s">
        <v>1223</v>
      </c>
      <c r="D111" s="8" t="s">
        <v>121</v>
      </c>
      <c r="E111" s="27">
        <v>45644</v>
      </c>
      <c r="F111" s="8" t="s">
        <v>1334</v>
      </c>
      <c r="G111" s="8">
        <v>87077686989</v>
      </c>
      <c r="H111" s="8" t="str">
        <f>VLOOKUP(C111,'Виды прицепов'!$A$29:$B$37,2,0)</f>
        <v>002-2013E50Q13-OK</v>
      </c>
      <c r="I111" s="16">
        <f>VLOOKUP(C111,'Виды прицепов'!$A$29:$C$37,3,0)</f>
        <v>380000</v>
      </c>
      <c r="J111" s="16" t="s">
        <v>131</v>
      </c>
      <c r="K111" s="8" t="s">
        <v>1323</v>
      </c>
    </row>
    <row r="112" spans="1:11">
      <c r="A112" s="26">
        <v>45703.756027164352</v>
      </c>
      <c r="B112" s="8">
        <v>475839688</v>
      </c>
      <c r="C112" s="8" t="s">
        <v>1225</v>
      </c>
      <c r="D112" s="8" t="s">
        <v>121</v>
      </c>
      <c r="E112" s="27">
        <v>45663</v>
      </c>
      <c r="F112" s="8" t="s">
        <v>1335</v>
      </c>
      <c r="G112" s="8">
        <v>87713814208</v>
      </c>
      <c r="H112" s="8" t="str">
        <f>VLOOKUP(C112,'Виды прицепов'!$A$29:$B$37,2,0)</f>
        <v>002-2513E30Q13-OK</v>
      </c>
      <c r="I112" s="16">
        <f>VLOOKUP(C112,'Виды прицепов'!$A$29:$C$37,3,0)</f>
        <v>430000</v>
      </c>
      <c r="J112" s="8" t="s">
        <v>385</v>
      </c>
      <c r="K112" s="8" t="s">
        <v>1323</v>
      </c>
    </row>
    <row r="113" spans="1:11">
      <c r="A113" s="26">
        <v>45703.75687834491</v>
      </c>
      <c r="B113" s="8">
        <v>477470338</v>
      </c>
      <c r="C113" s="8" t="s">
        <v>1229</v>
      </c>
      <c r="D113" s="8" t="s">
        <v>124</v>
      </c>
      <c r="E113" s="27">
        <v>45666</v>
      </c>
      <c r="F113" s="8" t="s">
        <v>1336</v>
      </c>
      <c r="G113" s="8">
        <v>87751511349</v>
      </c>
      <c r="H113" s="8" t="str">
        <f>VLOOKUP(C113,'Виды прицепов'!$A$29:$B$37,2,0)</f>
        <v>002-2013E30Q13-OK</v>
      </c>
      <c r="I113" s="16">
        <f>VLOOKUP(C113,'Виды прицепов'!$A$29:$C$37,3,0)</f>
        <v>360000</v>
      </c>
    </row>
    <row r="114" spans="1:11">
      <c r="A114" s="26">
        <v>45703.757783368055</v>
      </c>
      <c r="B114" s="8">
        <v>479734509</v>
      </c>
      <c r="C114" s="8" t="s">
        <v>1290</v>
      </c>
      <c r="D114" s="8" t="s">
        <v>121</v>
      </c>
      <c r="E114" s="27">
        <v>45670</v>
      </c>
      <c r="F114" s="8" t="s">
        <v>1337</v>
      </c>
      <c r="G114" s="8">
        <v>87751444446</v>
      </c>
      <c r="H114" s="8" t="str">
        <f>VLOOKUP(C114,'Виды прицепов'!$A$29:$B$37,2,0)</f>
        <v>002-2515E50Q13-OK</v>
      </c>
      <c r="I114" s="16">
        <f>VLOOKUP(C114,'Виды прицепов'!$A$29:$C$37,3,0)</f>
        <v>450000</v>
      </c>
      <c r="J114" s="8" t="s">
        <v>311</v>
      </c>
      <c r="K114" s="8" t="s">
        <v>1323</v>
      </c>
    </row>
    <row r="115" spans="1:11">
      <c r="A115" s="26">
        <v>45703.758621759262</v>
      </c>
      <c r="B115" s="8">
        <v>487715311</v>
      </c>
      <c r="C115" s="8" t="s">
        <v>1229</v>
      </c>
      <c r="D115" s="8" t="s">
        <v>124</v>
      </c>
      <c r="E115" s="27">
        <v>45686</v>
      </c>
      <c r="F115" s="8" t="s">
        <v>1338</v>
      </c>
      <c r="G115" s="8">
        <v>87019995099</v>
      </c>
      <c r="H115" s="8" t="str">
        <f>VLOOKUP(C115,'Виды прицепов'!$A$29:$B$37,2,0)</f>
        <v>002-2013E30Q13-OK</v>
      </c>
      <c r="I115" s="16">
        <f>VLOOKUP(C115,'Виды прицепов'!$A$29:$C$37,3,0)</f>
        <v>360000</v>
      </c>
      <c r="J115" s="16" t="s">
        <v>399</v>
      </c>
      <c r="K115" s="8" t="s">
        <v>1323</v>
      </c>
    </row>
    <row r="116" spans="1:11">
      <c r="A116" s="26">
        <v>45703.759846631947</v>
      </c>
      <c r="B116" s="8">
        <v>489111187</v>
      </c>
      <c r="C116" s="8" t="s">
        <v>1290</v>
      </c>
      <c r="D116" s="8" t="s">
        <v>121</v>
      </c>
      <c r="E116" s="27">
        <v>45691</v>
      </c>
      <c r="F116" s="8" t="s">
        <v>1339</v>
      </c>
      <c r="G116" s="8">
        <v>87023410986</v>
      </c>
      <c r="H116" s="8" t="str">
        <f>VLOOKUP(C116,'Виды прицепов'!$A$29:$B$37,2,0)</f>
        <v>002-2515E50Q13-OK</v>
      </c>
      <c r="I116" s="16">
        <f>VLOOKUP(C116,'Виды прицепов'!$A$29:$C$37,3,0)</f>
        <v>450000</v>
      </c>
      <c r="J116" s="16" t="s">
        <v>404</v>
      </c>
      <c r="K116" s="8" t="s">
        <v>1323</v>
      </c>
    </row>
    <row r="117" spans="1:11">
      <c r="A117" s="26">
        <v>45703.760754803239</v>
      </c>
      <c r="B117" s="8">
        <v>491886169</v>
      </c>
      <c r="C117" s="8" t="s">
        <v>1223</v>
      </c>
      <c r="D117" s="8" t="s">
        <v>124</v>
      </c>
      <c r="E117" s="27">
        <v>45693</v>
      </c>
      <c r="F117" s="8" t="s">
        <v>1340</v>
      </c>
      <c r="G117" s="8">
        <v>87021820666</v>
      </c>
      <c r="H117" s="8" t="str">
        <f>VLOOKUP(C117,'Виды прицепов'!$A$29:$B$37,2,0)</f>
        <v>002-2013E50Q13-OK</v>
      </c>
      <c r="I117" s="16">
        <f>VLOOKUP(C117,'Виды прицепов'!$A$29:$C$37,3,0)</f>
        <v>380000</v>
      </c>
      <c r="J117" s="16" t="s">
        <v>405</v>
      </c>
      <c r="K117" s="8" t="s">
        <v>1323</v>
      </c>
    </row>
    <row r="118" spans="1:11">
      <c r="A118" s="26">
        <v>45703.761521886576</v>
      </c>
      <c r="B118" s="8">
        <v>496175644</v>
      </c>
      <c r="C118" s="8" t="s">
        <v>1223</v>
      </c>
      <c r="D118" s="8" t="s">
        <v>124</v>
      </c>
      <c r="E118" s="27">
        <v>45701</v>
      </c>
      <c r="F118" s="8" t="s">
        <v>1267</v>
      </c>
      <c r="G118" s="8">
        <v>87757329667</v>
      </c>
      <c r="H118" s="8" t="str">
        <f>VLOOKUP(C118,'Виды прицепов'!$A$29:$B$37,2,0)</f>
        <v>002-2013E50Q13-OK</v>
      </c>
      <c r="I118" s="16">
        <f>VLOOKUP(C118,'Виды прицепов'!$A$29:$C$37,3,0)</f>
        <v>380000</v>
      </c>
      <c r="J118" s="16" t="s">
        <v>409</v>
      </c>
      <c r="K118" s="8" t="s">
        <v>1323</v>
      </c>
    </row>
    <row r="119" spans="1:11">
      <c r="A119" s="26">
        <v>45703.762243634264</v>
      </c>
      <c r="B119" s="8">
        <v>497355887</v>
      </c>
      <c r="C119" s="8" t="s">
        <v>1225</v>
      </c>
      <c r="D119" s="8" t="s">
        <v>121</v>
      </c>
      <c r="E119" s="27">
        <v>45702</v>
      </c>
      <c r="F119" s="8" t="s">
        <v>1341</v>
      </c>
      <c r="G119" s="8">
        <v>87771816675</v>
      </c>
      <c r="H119" s="8" t="str">
        <f>VLOOKUP(C119,'Виды прицепов'!$A$29:$B$37,2,0)</f>
        <v>002-2513E30Q13-OK</v>
      </c>
      <c r="I119" s="16">
        <f>VLOOKUP(C119,'Виды прицепов'!$A$29:$C$37,3,0)</f>
        <v>430000</v>
      </c>
      <c r="J119" s="16" t="s">
        <v>416</v>
      </c>
      <c r="K119" s="8" t="s">
        <v>1323</v>
      </c>
    </row>
    <row r="120" spans="1:11">
      <c r="A120" s="26">
        <v>45703.762991053241</v>
      </c>
      <c r="B120" s="8">
        <v>497470506</v>
      </c>
      <c r="C120" s="8" t="s">
        <v>1229</v>
      </c>
      <c r="D120" s="8" t="s">
        <v>121</v>
      </c>
      <c r="E120" s="27">
        <v>45702</v>
      </c>
      <c r="F120" s="8" t="s">
        <v>1342</v>
      </c>
      <c r="G120" s="8">
        <v>87770227755</v>
      </c>
      <c r="H120" s="8" t="str">
        <f>VLOOKUP(C120,'Виды прицепов'!$A$29:$B$37,2,0)</f>
        <v>002-2013E30Q13-OK</v>
      </c>
      <c r="I120" s="16">
        <f>VLOOKUP(C120,'Виды прицепов'!$A$29:$C$37,3,0)</f>
        <v>360000</v>
      </c>
      <c r="J120" s="16" t="s">
        <v>273</v>
      </c>
      <c r="K120" s="8" t="s">
        <v>1343</v>
      </c>
    </row>
    <row r="121" spans="1:11">
      <c r="A121" s="26">
        <v>45703.763750763886</v>
      </c>
      <c r="B121" s="8">
        <v>497008991</v>
      </c>
      <c r="C121" s="8" t="s">
        <v>1223</v>
      </c>
      <c r="D121" s="8" t="s">
        <v>118</v>
      </c>
      <c r="E121" s="27">
        <v>45702</v>
      </c>
      <c r="F121" s="8" t="s">
        <v>1344</v>
      </c>
      <c r="G121" s="8">
        <v>87477304745</v>
      </c>
      <c r="H121" s="8" t="str">
        <f>VLOOKUP(C121,'Виды прицепов'!$A$29:$B$37,2,0)</f>
        <v>002-2013E50Q13-OK</v>
      </c>
      <c r="I121" s="16">
        <f>VLOOKUP(C121,'Виды прицепов'!$A$29:$C$37,3,0)</f>
        <v>380000</v>
      </c>
      <c r="J121" s="8" t="s">
        <v>417</v>
      </c>
      <c r="K121" s="8" t="s">
        <v>1343</v>
      </c>
    </row>
    <row r="122" spans="1:11">
      <c r="A122" s="26">
        <v>45703.765053240742</v>
      </c>
      <c r="B122" s="8">
        <v>498413796</v>
      </c>
      <c r="C122" s="8" t="s">
        <v>1223</v>
      </c>
      <c r="D122" s="8" t="s">
        <v>124</v>
      </c>
      <c r="E122" s="27">
        <v>45703</v>
      </c>
      <c r="F122" s="8" t="s">
        <v>1345</v>
      </c>
      <c r="G122" s="8">
        <v>87764361235</v>
      </c>
      <c r="H122" s="8" t="str">
        <f>VLOOKUP(C122,'Виды прицепов'!$A$29:$B$37,2,0)</f>
        <v>002-2013E50Q13-OK</v>
      </c>
      <c r="I122" s="16">
        <f>VLOOKUP(C122,'Виды прицепов'!$A$29:$C$37,3,0)</f>
        <v>380000</v>
      </c>
      <c r="J122" s="8" t="s">
        <v>410</v>
      </c>
      <c r="K122" s="8" t="s">
        <v>1343</v>
      </c>
    </row>
    <row r="123" spans="1:11">
      <c r="A123" s="26">
        <v>45703.765788726851</v>
      </c>
      <c r="B123" s="8">
        <v>497014645</v>
      </c>
      <c r="C123" s="8" t="s">
        <v>1290</v>
      </c>
      <c r="D123" s="8" t="s">
        <v>124</v>
      </c>
      <c r="E123" s="27">
        <v>45716</v>
      </c>
      <c r="F123" s="8" t="s">
        <v>1346</v>
      </c>
      <c r="G123" s="8">
        <v>87057099916</v>
      </c>
      <c r="H123" s="8" t="str">
        <f>VLOOKUP(C123,'Виды прицепов'!$A$29:$B$37,2,0)</f>
        <v>002-2515E50Q13-OK</v>
      </c>
      <c r="I123" s="16">
        <f>VLOOKUP(C123,'Виды прицепов'!$A$29:$C$37,3,0)</f>
        <v>450000</v>
      </c>
    </row>
    <row r="124" spans="1:11">
      <c r="A124" s="26">
        <v>45703.767246435185</v>
      </c>
      <c r="B124" s="8">
        <v>498158923</v>
      </c>
      <c r="C124" s="8" t="s">
        <v>1290</v>
      </c>
      <c r="D124" s="8" t="s">
        <v>118</v>
      </c>
      <c r="E124" s="27">
        <v>45715</v>
      </c>
      <c r="F124" s="8" t="s">
        <v>1347</v>
      </c>
      <c r="G124" s="8">
        <v>87052380940</v>
      </c>
      <c r="H124" s="8" t="str">
        <f>VLOOKUP(C124,'Виды прицепов'!$A$29:$B$37,2,0)</f>
        <v>002-2515E50Q13-OK</v>
      </c>
      <c r="I124" s="16">
        <f>VLOOKUP(C124,'Виды прицепов'!$A$29:$C$37,3,0)</f>
        <v>450000</v>
      </c>
      <c r="K124" s="8" t="s">
        <v>1348</v>
      </c>
    </row>
    <row r="125" spans="1:11">
      <c r="A125" s="26">
        <v>45703.806376875</v>
      </c>
      <c r="B125" s="8">
        <v>498500986</v>
      </c>
      <c r="C125" s="8" t="s">
        <v>1223</v>
      </c>
      <c r="D125" s="8" t="s">
        <v>124</v>
      </c>
      <c r="E125" s="27">
        <v>45719</v>
      </c>
      <c r="F125" s="8" t="s">
        <v>1349</v>
      </c>
      <c r="G125" s="8">
        <v>87024097227</v>
      </c>
      <c r="H125" s="8" t="str">
        <f>VLOOKUP(C125,'Виды прицепов'!$A$29:$B$37,2,0)</f>
        <v>002-2013E50Q13-OK</v>
      </c>
      <c r="I125" s="16">
        <f>VLOOKUP(C125,'Виды прицепов'!$A$29:$C$37,3,0)</f>
        <v>380000</v>
      </c>
      <c r="J125" s="8" t="s">
        <v>418</v>
      </c>
      <c r="K125" s="8" t="s">
        <v>1348</v>
      </c>
    </row>
    <row r="126" spans="1:11">
      <c r="A126" s="26">
        <v>45703.806938113426</v>
      </c>
      <c r="B126" s="8">
        <v>498618569</v>
      </c>
      <c r="C126" s="8" t="s">
        <v>1290</v>
      </c>
      <c r="D126" s="8" t="s">
        <v>124</v>
      </c>
      <c r="E126" s="27">
        <v>45703</v>
      </c>
      <c r="F126" s="8" t="s">
        <v>1350</v>
      </c>
      <c r="G126" s="8">
        <v>87073750755</v>
      </c>
      <c r="H126" s="8" t="str">
        <f>VLOOKUP(C126,'Виды прицепов'!$A$29:$B$37,2,0)</f>
        <v>002-2515E50Q13-OK</v>
      </c>
      <c r="I126" s="16">
        <f>VLOOKUP(C126,'Виды прицепов'!$A$29:$C$37,3,0)</f>
        <v>450000</v>
      </c>
      <c r="J126" s="8" t="s">
        <v>414</v>
      </c>
      <c r="K126" s="8" t="s">
        <v>1343</v>
      </c>
    </row>
    <row r="127" spans="1:11">
      <c r="A127" s="26">
        <v>45705.482807615743</v>
      </c>
      <c r="B127" s="8">
        <v>498809841</v>
      </c>
      <c r="C127" s="8" t="s">
        <v>1223</v>
      </c>
      <c r="D127" s="8" t="s">
        <v>124</v>
      </c>
      <c r="E127" s="27">
        <v>45719</v>
      </c>
      <c r="F127" s="8" t="s">
        <v>1351</v>
      </c>
      <c r="G127" s="8">
        <v>87472012075</v>
      </c>
      <c r="H127" s="8" t="str">
        <f>VLOOKUP(C127,'Виды прицепов'!$A$29:$B$37,2,0)</f>
        <v>002-2013E50Q13-OK</v>
      </c>
      <c r="I127" s="16">
        <f>VLOOKUP(C127,'Виды прицепов'!$A$29:$C$37,3,0)</f>
        <v>380000</v>
      </c>
      <c r="K127" s="8" t="s">
        <v>1348</v>
      </c>
    </row>
    <row r="128" spans="1:11">
      <c r="A128" s="26">
        <v>45705.48370975694</v>
      </c>
      <c r="B128" s="8">
        <v>499033527</v>
      </c>
      <c r="C128" s="8" t="s">
        <v>1223</v>
      </c>
      <c r="D128" s="8" t="s">
        <v>124</v>
      </c>
      <c r="E128" s="27">
        <v>45719</v>
      </c>
      <c r="F128" s="8" t="s">
        <v>1352</v>
      </c>
      <c r="G128" s="8">
        <v>87473886918</v>
      </c>
      <c r="H128" s="8" t="str">
        <f>VLOOKUP(C128,'Виды прицепов'!$A$29:$B$37,2,0)</f>
        <v>002-2013E50Q13-OK</v>
      </c>
      <c r="I128" s="16">
        <f>VLOOKUP(C128,'Виды прицепов'!$A$29:$C$37,3,0)</f>
        <v>380000</v>
      </c>
      <c r="K128" s="8" t="s">
        <v>1348</v>
      </c>
    </row>
    <row r="129" spans="1:16">
      <c r="A129" s="26">
        <v>45705.484286805557</v>
      </c>
      <c r="B129" s="8">
        <v>499183440</v>
      </c>
      <c r="C129" s="8" t="s">
        <v>1223</v>
      </c>
      <c r="D129" s="8" t="s">
        <v>118</v>
      </c>
      <c r="E129" s="27">
        <v>45716</v>
      </c>
      <c r="F129" s="8" t="s">
        <v>1353</v>
      </c>
      <c r="G129" s="8">
        <v>87056534730</v>
      </c>
      <c r="H129" s="8" t="str">
        <f>VLOOKUP(C129,'Виды прицепов'!$A$29:$B$37,2,0)</f>
        <v>002-2013E50Q13-OK</v>
      </c>
      <c r="I129" s="16">
        <f>VLOOKUP(C129,'Виды прицепов'!$A$29:$C$37,3,0)</f>
        <v>380000</v>
      </c>
      <c r="J129" s="8" t="s">
        <v>1354</v>
      </c>
      <c r="K129" s="8" t="s">
        <v>1343</v>
      </c>
    </row>
    <row r="130" spans="1:16">
      <c r="A130" s="26">
        <v>45705.484961712966</v>
      </c>
      <c r="B130" s="8">
        <v>499515967</v>
      </c>
      <c r="C130" s="8" t="s">
        <v>1223</v>
      </c>
      <c r="D130" s="8" t="s">
        <v>118</v>
      </c>
      <c r="E130" s="27">
        <v>45716</v>
      </c>
      <c r="F130" s="8" t="s">
        <v>1355</v>
      </c>
      <c r="G130" s="8">
        <v>87071997607</v>
      </c>
      <c r="H130" s="8" t="str">
        <f>VLOOKUP(C130,'Виды прицепов'!$A$29:$B$37,2,0)</f>
        <v>002-2013E50Q13-OK</v>
      </c>
      <c r="I130" s="16">
        <f>VLOOKUP(C130,'Виды прицепов'!$A$29:$C$37,3,0)</f>
        <v>380000</v>
      </c>
      <c r="K130" s="8" t="s">
        <v>1348</v>
      </c>
    </row>
    <row r="131" spans="1:16">
      <c r="A131" s="26">
        <v>45705.48546924768</v>
      </c>
      <c r="B131" s="8">
        <v>499848764</v>
      </c>
      <c r="C131" s="8" t="s">
        <v>1223</v>
      </c>
      <c r="D131" s="8" t="s">
        <v>124</v>
      </c>
      <c r="E131" s="27">
        <v>45722</v>
      </c>
      <c r="F131" s="8" t="s">
        <v>1356</v>
      </c>
      <c r="G131" s="8">
        <v>87753509198</v>
      </c>
      <c r="H131" s="8" t="str">
        <f>VLOOKUP(C131,'Виды прицепов'!$A$29:$B$37,2,0)</f>
        <v>002-2013E50Q13-OK</v>
      </c>
      <c r="I131" s="16">
        <f>VLOOKUP(C131,'Виды прицепов'!$A$29:$C$37,3,0)</f>
        <v>380000</v>
      </c>
      <c r="K131" s="8" t="s">
        <v>1348</v>
      </c>
    </row>
    <row r="132" spans="1:16">
      <c r="A132" s="26">
        <v>45705.486007581014</v>
      </c>
      <c r="B132" s="8">
        <v>499439453</v>
      </c>
      <c r="C132" s="8" t="s">
        <v>1223</v>
      </c>
      <c r="D132" s="8" t="s">
        <v>124</v>
      </c>
      <c r="E132" s="27">
        <v>45705</v>
      </c>
      <c r="F132" s="8" t="s">
        <v>1357</v>
      </c>
      <c r="G132" s="8">
        <v>87783775907</v>
      </c>
      <c r="H132" s="8" t="str">
        <f>VLOOKUP(C132,'Виды прицепов'!$A$29:$B$37,2,0)</f>
        <v>002-2013E50Q13-OK</v>
      </c>
      <c r="I132" s="16">
        <f>VLOOKUP(C132,'Виды прицепов'!$A$29:$C$37,3,0)</f>
        <v>380000</v>
      </c>
      <c r="J132" s="8" t="s">
        <v>393</v>
      </c>
      <c r="K132" s="8" t="s">
        <v>1343</v>
      </c>
    </row>
    <row r="136" spans="1:16">
      <c r="F136" s="89"/>
      <c r="G136" s="90"/>
      <c r="H136" s="91"/>
      <c r="I136" s="91"/>
      <c r="J136" s="92"/>
      <c r="L136" s="90"/>
      <c r="M136" s="91"/>
      <c r="N136" s="91"/>
      <c r="O136" s="91"/>
      <c r="P136" s="91"/>
    </row>
  </sheetData>
  <autoFilter ref="A1:P133"/>
  <customSheetViews>
    <customSheetView guid="{E56CF565-73C4-49B1-A28E-F8C0640B66BE}" filter="1" showAutoFilter="1">
      <pageMargins left="0.7" right="0.7" top="0.75" bottom="0.75" header="0.3" footer="0.3"/>
      <autoFilter ref="A1:K13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738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6640625" defaultRowHeight="15.75" customHeight="1"/>
  <cols>
    <col min="1" max="9" width="18.88671875" customWidth="1"/>
    <col min="10" max="10" width="15.77734375" customWidth="1"/>
    <col min="11" max="11" width="32" customWidth="1"/>
    <col min="12" max="17" width="18.88671875" customWidth="1"/>
  </cols>
  <sheetData>
    <row r="1" spans="1:17" ht="13.2">
      <c r="A1" s="24" t="s">
        <v>99</v>
      </c>
      <c r="B1" s="24" t="s">
        <v>1034</v>
      </c>
      <c r="C1" s="24" t="s">
        <v>1037</v>
      </c>
      <c r="D1" s="24" t="s">
        <v>897</v>
      </c>
      <c r="E1" s="24" t="s">
        <v>898</v>
      </c>
      <c r="F1" s="24" t="s">
        <v>1358</v>
      </c>
      <c r="G1" s="24" t="s">
        <v>1359</v>
      </c>
      <c r="H1" s="24" t="s">
        <v>1360</v>
      </c>
      <c r="I1" s="24" t="s">
        <v>902</v>
      </c>
      <c r="J1" s="24" t="s">
        <v>1361</v>
      </c>
      <c r="K1" s="25" t="s">
        <v>1362</v>
      </c>
      <c r="L1" s="25" t="s">
        <v>1363</v>
      </c>
      <c r="M1" s="25" t="s">
        <v>1364</v>
      </c>
      <c r="N1" s="24" t="s">
        <v>904</v>
      </c>
      <c r="O1" s="81" t="s">
        <v>1365</v>
      </c>
      <c r="P1" s="81" t="s">
        <v>1366</v>
      </c>
      <c r="Q1" s="81" t="s">
        <v>1048</v>
      </c>
    </row>
    <row r="2" spans="1:17" ht="13.2">
      <c r="A2" s="26">
        <v>45447.822892326389</v>
      </c>
      <c r="B2" s="8" t="s">
        <v>1049</v>
      </c>
      <c r="C2" s="8" t="s">
        <v>1367</v>
      </c>
      <c r="D2" s="8" t="s">
        <v>1368</v>
      </c>
      <c r="E2" s="8" t="s">
        <v>1369</v>
      </c>
      <c r="F2" s="82" t="s">
        <v>1370</v>
      </c>
      <c r="G2" s="27">
        <v>42627</v>
      </c>
      <c r="H2" s="8" t="s">
        <v>1371</v>
      </c>
      <c r="I2" s="8">
        <v>890311400050</v>
      </c>
      <c r="J2" s="8" t="s">
        <v>1372</v>
      </c>
      <c r="K2" s="93"/>
      <c r="L2" s="93"/>
      <c r="M2" s="93"/>
      <c r="N2" s="8">
        <v>87764755555</v>
      </c>
      <c r="O2" s="8">
        <v>430000</v>
      </c>
      <c r="P2" s="8">
        <v>0</v>
      </c>
      <c r="Q2" s="8" t="s">
        <v>328</v>
      </c>
    </row>
    <row r="3" spans="1:17" ht="13.2">
      <c r="A3" s="26">
        <v>45449.481294224533</v>
      </c>
      <c r="B3" s="8" t="s">
        <v>1049</v>
      </c>
      <c r="C3" s="8" t="s">
        <v>1373</v>
      </c>
      <c r="D3" s="8" t="s">
        <v>1374</v>
      </c>
      <c r="E3" s="8" t="s">
        <v>1375</v>
      </c>
      <c r="F3" s="82" t="s">
        <v>1376</v>
      </c>
      <c r="G3" s="27">
        <v>43531</v>
      </c>
      <c r="H3" s="8" t="s">
        <v>1371</v>
      </c>
      <c r="I3" s="8">
        <v>881115302551</v>
      </c>
      <c r="J3" s="8" t="s">
        <v>1377</v>
      </c>
      <c r="K3" s="93"/>
      <c r="L3" s="8" t="s">
        <v>1378</v>
      </c>
      <c r="M3" s="8">
        <v>30</v>
      </c>
      <c r="N3" s="8">
        <v>87071133370</v>
      </c>
      <c r="O3" s="8">
        <v>0</v>
      </c>
      <c r="P3" s="8">
        <v>390000</v>
      </c>
      <c r="Q3" s="8" t="s">
        <v>340</v>
      </c>
    </row>
    <row r="4" spans="1:17" ht="13.2">
      <c r="A4" s="26">
        <v>45451.477770902777</v>
      </c>
      <c r="B4" s="8" t="s">
        <v>1049</v>
      </c>
      <c r="C4" s="8" t="s">
        <v>1379</v>
      </c>
      <c r="D4" s="8" t="s">
        <v>1172</v>
      </c>
      <c r="E4" s="8" t="s">
        <v>1380</v>
      </c>
      <c r="F4" s="82" t="s">
        <v>1381</v>
      </c>
      <c r="G4" s="27">
        <v>44614</v>
      </c>
      <c r="H4" s="8" t="s">
        <v>1371</v>
      </c>
      <c r="I4" s="8">
        <v>870213300256</v>
      </c>
      <c r="J4" s="8" t="s">
        <v>1382</v>
      </c>
      <c r="K4" s="8" t="s">
        <v>121</v>
      </c>
      <c r="L4" s="8" t="s">
        <v>1383</v>
      </c>
      <c r="M4" s="8" t="s">
        <v>1383</v>
      </c>
      <c r="N4" s="8">
        <v>87019294069</v>
      </c>
      <c r="O4" s="8">
        <v>0</v>
      </c>
      <c r="P4" s="94">
        <v>370000</v>
      </c>
      <c r="Q4" s="8" t="s">
        <v>331</v>
      </c>
    </row>
    <row r="5" spans="1:17" ht="13.2">
      <c r="A5" s="26">
        <v>45451.478881296294</v>
      </c>
      <c r="B5" s="8" t="s">
        <v>1049</v>
      </c>
      <c r="C5" s="8" t="s">
        <v>1384</v>
      </c>
      <c r="D5" s="8" t="s">
        <v>1385</v>
      </c>
      <c r="E5" s="8" t="s">
        <v>1386</v>
      </c>
      <c r="F5" s="82" t="s">
        <v>1387</v>
      </c>
      <c r="G5" s="27">
        <v>44013</v>
      </c>
      <c r="H5" s="8" t="s">
        <v>1371</v>
      </c>
      <c r="I5" s="8">
        <v>850210303171</v>
      </c>
      <c r="J5" s="8" t="s">
        <v>1382</v>
      </c>
      <c r="K5" s="8" t="s">
        <v>121</v>
      </c>
      <c r="L5" s="8" t="s">
        <v>1383</v>
      </c>
      <c r="M5" s="8" t="s">
        <v>1383</v>
      </c>
      <c r="N5" s="8">
        <v>87770334835</v>
      </c>
      <c r="O5" s="8">
        <v>0</v>
      </c>
      <c r="P5" s="8">
        <v>320000</v>
      </c>
      <c r="Q5" s="8" t="s">
        <v>246</v>
      </c>
    </row>
    <row r="6" spans="1:17" ht="13.2">
      <c r="A6" s="26">
        <v>45451.480007592589</v>
      </c>
      <c r="B6" s="8" t="s">
        <v>1049</v>
      </c>
      <c r="C6" s="8" t="s">
        <v>1388</v>
      </c>
      <c r="D6" s="8" t="s">
        <v>1389</v>
      </c>
      <c r="E6" s="8" t="s">
        <v>1390</v>
      </c>
      <c r="F6" s="82" t="s">
        <v>1391</v>
      </c>
      <c r="G6" s="27">
        <v>43852</v>
      </c>
      <c r="H6" s="8" t="s">
        <v>1371</v>
      </c>
      <c r="I6" s="8">
        <v>841220400347</v>
      </c>
      <c r="J6" s="8" t="s">
        <v>1392</v>
      </c>
      <c r="K6" s="8" t="s">
        <v>121</v>
      </c>
      <c r="L6" s="8" t="s">
        <v>1393</v>
      </c>
      <c r="M6" s="8" t="s">
        <v>1394</v>
      </c>
      <c r="N6" s="8">
        <v>87476056411</v>
      </c>
      <c r="O6" s="8">
        <v>430000</v>
      </c>
      <c r="P6" s="8">
        <v>0</v>
      </c>
      <c r="Q6" s="8" t="s">
        <v>334</v>
      </c>
    </row>
    <row r="7" spans="1:17" ht="13.2">
      <c r="A7" s="26">
        <v>45451.643644108801</v>
      </c>
      <c r="B7" s="8" t="s">
        <v>1049</v>
      </c>
      <c r="C7" s="8" t="s">
        <v>1395</v>
      </c>
      <c r="D7" s="8" t="s">
        <v>1228</v>
      </c>
      <c r="E7" s="8" t="s">
        <v>1396</v>
      </c>
      <c r="F7" s="82" t="s">
        <v>1397</v>
      </c>
      <c r="G7" s="27">
        <v>43882</v>
      </c>
      <c r="H7" s="8" t="s">
        <v>1371</v>
      </c>
      <c r="I7" s="8">
        <v>720613302306</v>
      </c>
      <c r="J7" s="8" t="s">
        <v>1382</v>
      </c>
      <c r="K7" s="8" t="s">
        <v>121</v>
      </c>
      <c r="L7" s="8" t="s">
        <v>1398</v>
      </c>
      <c r="M7" s="8" t="s">
        <v>1398</v>
      </c>
      <c r="N7" s="8">
        <v>87754573372</v>
      </c>
      <c r="O7" s="8">
        <v>380000</v>
      </c>
      <c r="P7" s="8">
        <v>0</v>
      </c>
      <c r="Q7" s="8" t="s">
        <v>281</v>
      </c>
    </row>
    <row r="8" spans="1:17" ht="13.2">
      <c r="A8" s="26">
        <v>45453.59046180555</v>
      </c>
      <c r="B8" s="8" t="s">
        <v>1071</v>
      </c>
      <c r="C8" s="8" t="s">
        <v>1399</v>
      </c>
      <c r="D8" s="8" t="s">
        <v>1400</v>
      </c>
      <c r="E8" s="8" t="s">
        <v>1401</v>
      </c>
      <c r="F8" s="82" t="s">
        <v>1402</v>
      </c>
      <c r="G8" s="27">
        <v>43844</v>
      </c>
      <c r="H8" s="8" t="s">
        <v>1371</v>
      </c>
      <c r="I8" s="8">
        <v>680601300126</v>
      </c>
      <c r="J8" s="8" t="s">
        <v>1403</v>
      </c>
      <c r="K8" s="8" t="s">
        <v>1404</v>
      </c>
      <c r="L8" s="8" t="s">
        <v>1405</v>
      </c>
      <c r="M8" s="8">
        <v>31</v>
      </c>
      <c r="N8" s="8">
        <v>87752586301</v>
      </c>
      <c r="P8" s="8">
        <v>580000</v>
      </c>
      <c r="Q8" s="8" t="s">
        <v>363</v>
      </c>
    </row>
    <row r="9" spans="1:17" ht="13.2">
      <c r="A9" s="26">
        <v>45453.674985231482</v>
      </c>
      <c r="B9" s="8" t="s">
        <v>1122</v>
      </c>
      <c r="C9" s="8" t="s">
        <v>1406</v>
      </c>
      <c r="D9" s="8" t="s">
        <v>1407</v>
      </c>
      <c r="E9" s="8" t="s">
        <v>1408</v>
      </c>
      <c r="F9" s="82" t="s">
        <v>1409</v>
      </c>
      <c r="G9" s="27">
        <v>38940</v>
      </c>
      <c r="H9" s="8" t="s">
        <v>1410</v>
      </c>
      <c r="I9" s="8">
        <v>610801350197</v>
      </c>
      <c r="J9" s="8" t="s">
        <v>1403</v>
      </c>
      <c r="K9" s="8" t="s">
        <v>1411</v>
      </c>
      <c r="L9" s="8" t="s">
        <v>1412</v>
      </c>
      <c r="M9" s="8">
        <v>48</v>
      </c>
      <c r="N9" s="8">
        <v>87752523752</v>
      </c>
      <c r="O9" s="8">
        <v>430000</v>
      </c>
      <c r="P9" s="8">
        <v>10000</v>
      </c>
      <c r="Q9" s="8" t="s">
        <v>305</v>
      </c>
    </row>
    <row r="10" spans="1:17" ht="13.2">
      <c r="A10" s="26">
        <v>45455.672318379628</v>
      </c>
      <c r="B10" s="8" t="s">
        <v>1122</v>
      </c>
      <c r="C10" s="8" t="s">
        <v>1413</v>
      </c>
      <c r="D10" s="8" t="s">
        <v>1414</v>
      </c>
      <c r="E10" s="8" t="s">
        <v>1415</v>
      </c>
      <c r="F10" s="82" t="s">
        <v>1416</v>
      </c>
      <c r="G10" s="27">
        <v>44057</v>
      </c>
      <c r="H10" s="8" t="s">
        <v>1371</v>
      </c>
      <c r="I10" s="8">
        <v>640617350370</v>
      </c>
      <c r="J10" s="8" t="s">
        <v>1417</v>
      </c>
      <c r="K10" s="8" t="s">
        <v>1418</v>
      </c>
      <c r="L10" s="8" t="s">
        <v>1419</v>
      </c>
      <c r="N10" s="8">
        <v>87783266344</v>
      </c>
      <c r="O10" s="8">
        <v>0</v>
      </c>
      <c r="P10" s="8">
        <v>375000</v>
      </c>
      <c r="Q10" s="8" t="s">
        <v>228</v>
      </c>
    </row>
    <row r="11" spans="1:17" ht="13.2">
      <c r="A11" s="26">
        <v>45460.509560254628</v>
      </c>
      <c r="B11" s="8" t="s">
        <v>1049</v>
      </c>
      <c r="C11" s="8" t="s">
        <v>1420</v>
      </c>
      <c r="D11" s="8" t="s">
        <v>1421</v>
      </c>
      <c r="E11" s="8" t="s">
        <v>1422</v>
      </c>
      <c r="F11" s="82" t="s">
        <v>1423</v>
      </c>
      <c r="G11" s="27">
        <v>41851</v>
      </c>
      <c r="H11" s="8" t="s">
        <v>1371</v>
      </c>
      <c r="I11" s="8">
        <v>930829401203</v>
      </c>
      <c r="J11" s="8" t="s">
        <v>1424</v>
      </c>
      <c r="K11" s="8" t="s">
        <v>1425</v>
      </c>
      <c r="L11" s="8" t="s">
        <v>1426</v>
      </c>
      <c r="M11" s="8" t="s">
        <v>1427</v>
      </c>
      <c r="N11" s="8">
        <v>87475777615</v>
      </c>
      <c r="O11" s="8">
        <v>430000</v>
      </c>
      <c r="P11" s="8">
        <v>0</v>
      </c>
      <c r="Q11" s="8" t="s">
        <v>336</v>
      </c>
    </row>
    <row r="12" spans="1:17" ht="13.2">
      <c r="A12" s="26">
        <v>45461.620658356478</v>
      </c>
      <c r="B12" s="8" t="s">
        <v>1049</v>
      </c>
      <c r="C12" s="8" t="s">
        <v>1428</v>
      </c>
      <c r="D12" s="8" t="s">
        <v>1429</v>
      </c>
      <c r="F12" s="82" t="s">
        <v>1430</v>
      </c>
      <c r="G12" s="27">
        <v>44875</v>
      </c>
      <c r="H12" s="8" t="s">
        <v>1431</v>
      </c>
      <c r="I12" s="8">
        <v>871112400513</v>
      </c>
      <c r="J12" s="8" t="s">
        <v>1392</v>
      </c>
      <c r="K12" s="8" t="s">
        <v>1432</v>
      </c>
      <c r="L12" s="8" t="s">
        <v>1433</v>
      </c>
      <c r="M12" s="8">
        <v>5</v>
      </c>
      <c r="N12" s="8">
        <v>87079209555</v>
      </c>
      <c r="O12" s="8">
        <v>0</v>
      </c>
      <c r="P12" s="8">
        <v>390000</v>
      </c>
      <c r="Q12" s="8" t="s">
        <v>332</v>
      </c>
    </row>
    <row r="13" spans="1:17" ht="13.2">
      <c r="A13" s="26">
        <v>45461.64589511574</v>
      </c>
      <c r="B13" s="8" t="s">
        <v>1049</v>
      </c>
      <c r="C13" s="8" t="s">
        <v>1434</v>
      </c>
      <c r="D13" s="8" t="s">
        <v>1435</v>
      </c>
      <c r="E13" s="8" t="s">
        <v>1083</v>
      </c>
      <c r="F13" s="8" t="s">
        <v>1436</v>
      </c>
      <c r="G13" s="27">
        <v>45461</v>
      </c>
      <c r="H13" s="8" t="s">
        <v>1371</v>
      </c>
      <c r="I13" s="8">
        <v>911205300562</v>
      </c>
      <c r="J13" s="8" t="s">
        <v>1392</v>
      </c>
      <c r="K13" s="8" t="s">
        <v>1437</v>
      </c>
      <c r="L13" s="8" t="s">
        <v>115</v>
      </c>
      <c r="M13" s="8" t="s">
        <v>115</v>
      </c>
      <c r="N13" s="8" t="s">
        <v>115</v>
      </c>
      <c r="O13" s="8">
        <v>0</v>
      </c>
      <c r="P13" s="8">
        <v>320000</v>
      </c>
      <c r="Q13" s="8" t="s">
        <v>252</v>
      </c>
    </row>
    <row r="14" spans="1:17" ht="13.2">
      <c r="A14" s="26">
        <v>45462.444684201386</v>
      </c>
      <c r="B14" s="8" t="s">
        <v>1122</v>
      </c>
      <c r="C14" s="8" t="s">
        <v>1438</v>
      </c>
      <c r="D14" s="8" t="s">
        <v>1439</v>
      </c>
      <c r="E14" s="8" t="s">
        <v>1201</v>
      </c>
      <c r="F14" s="82" t="s">
        <v>1440</v>
      </c>
      <c r="G14" s="27">
        <v>42709</v>
      </c>
      <c r="H14" s="8" t="s">
        <v>1371</v>
      </c>
      <c r="I14" s="82" t="s">
        <v>1441</v>
      </c>
      <c r="J14" s="8" t="s">
        <v>1403</v>
      </c>
      <c r="K14" s="8" t="s">
        <v>1442</v>
      </c>
      <c r="L14" s="8" t="s">
        <v>1443</v>
      </c>
      <c r="M14" s="82" t="s">
        <v>1444</v>
      </c>
      <c r="N14" s="8">
        <v>87057433768</v>
      </c>
      <c r="O14" s="8">
        <v>360000</v>
      </c>
      <c r="P14" s="8">
        <v>0</v>
      </c>
      <c r="Q14" s="8" t="s">
        <v>234</v>
      </c>
    </row>
    <row r="15" spans="1:17" ht="13.2">
      <c r="A15" s="26">
        <v>45463.684620069442</v>
      </c>
      <c r="B15" s="8" t="s">
        <v>1122</v>
      </c>
      <c r="C15" s="8" t="s">
        <v>1445</v>
      </c>
      <c r="D15" s="8" t="s">
        <v>1435</v>
      </c>
      <c r="E15" s="8" t="s">
        <v>1111</v>
      </c>
      <c r="F15" s="82" t="s">
        <v>1446</v>
      </c>
      <c r="G15" s="27">
        <v>43965</v>
      </c>
      <c r="H15" s="8" t="s">
        <v>1371</v>
      </c>
      <c r="I15" s="8">
        <v>850321351214</v>
      </c>
      <c r="J15" s="8" t="s">
        <v>124</v>
      </c>
      <c r="K15" s="8" t="s">
        <v>1447</v>
      </c>
      <c r="L15" s="8" t="s">
        <v>1448</v>
      </c>
      <c r="M15" s="8" t="s">
        <v>1449</v>
      </c>
      <c r="N15" s="8">
        <v>87073831806</v>
      </c>
      <c r="O15" s="8">
        <v>380000</v>
      </c>
      <c r="P15" s="8">
        <v>0</v>
      </c>
      <c r="Q15" s="8" t="s">
        <v>233</v>
      </c>
    </row>
    <row r="16" spans="1:17" ht="13.2">
      <c r="A16" s="26">
        <v>45464.4729930787</v>
      </c>
      <c r="B16" s="8" t="s">
        <v>1049</v>
      </c>
      <c r="C16" s="8" t="s">
        <v>1450</v>
      </c>
      <c r="D16" s="8" t="s">
        <v>1053</v>
      </c>
      <c r="E16" s="8" t="s">
        <v>1451</v>
      </c>
      <c r="F16" s="82" t="s">
        <v>1452</v>
      </c>
      <c r="G16" s="27">
        <v>45174</v>
      </c>
      <c r="H16" s="8" t="s">
        <v>1371</v>
      </c>
      <c r="I16" s="8">
        <v>940702301406</v>
      </c>
      <c r="J16" s="8" t="s">
        <v>1392</v>
      </c>
      <c r="K16" s="8" t="s">
        <v>1453</v>
      </c>
      <c r="L16" s="8" t="s">
        <v>1454</v>
      </c>
      <c r="M16" s="8" t="s">
        <v>1455</v>
      </c>
      <c r="N16" s="8">
        <v>87477894960</v>
      </c>
      <c r="O16" s="8">
        <v>430000</v>
      </c>
      <c r="P16" s="8">
        <v>0</v>
      </c>
      <c r="Q16" s="8" t="s">
        <v>338</v>
      </c>
    </row>
    <row r="17" spans="1:17" ht="13.2">
      <c r="A17" s="26">
        <v>45464.565698067134</v>
      </c>
      <c r="B17" s="8" t="s">
        <v>1122</v>
      </c>
      <c r="C17" s="8" t="s">
        <v>1456</v>
      </c>
      <c r="D17" s="8" t="s">
        <v>1224</v>
      </c>
      <c r="E17" s="8" t="s">
        <v>1457</v>
      </c>
      <c r="F17" s="82" t="s">
        <v>1458</v>
      </c>
      <c r="G17" s="27">
        <v>44321</v>
      </c>
      <c r="H17" s="8" t="s">
        <v>1371</v>
      </c>
      <c r="I17" s="8">
        <v>860401450774</v>
      </c>
      <c r="J17" s="8" t="s">
        <v>1459</v>
      </c>
      <c r="K17" s="8" t="s">
        <v>1460</v>
      </c>
      <c r="L17" s="8" t="s">
        <v>1461</v>
      </c>
      <c r="M17" s="8" t="s">
        <v>1462</v>
      </c>
      <c r="N17" s="8">
        <v>87078692966</v>
      </c>
      <c r="O17" s="8">
        <v>380000</v>
      </c>
      <c r="P17" s="93"/>
      <c r="Q17" s="8" t="s">
        <v>255</v>
      </c>
    </row>
    <row r="18" spans="1:17" ht="13.2">
      <c r="A18" s="26">
        <v>45464.635314756946</v>
      </c>
      <c r="B18" s="8" t="s">
        <v>1122</v>
      </c>
      <c r="C18" s="8" t="s">
        <v>1463</v>
      </c>
      <c r="D18" s="8" t="s">
        <v>1464</v>
      </c>
      <c r="E18" s="8" t="s">
        <v>1465</v>
      </c>
      <c r="F18" s="82" t="s">
        <v>1466</v>
      </c>
      <c r="G18" s="27">
        <v>44763</v>
      </c>
      <c r="H18" s="8" t="s">
        <v>1371</v>
      </c>
      <c r="I18" s="8">
        <v>631102301472</v>
      </c>
      <c r="J18" s="8" t="s">
        <v>1459</v>
      </c>
      <c r="K18" s="8" t="s">
        <v>1467</v>
      </c>
      <c r="L18" s="8" t="s">
        <v>1468</v>
      </c>
      <c r="M18" s="8">
        <v>36</v>
      </c>
      <c r="N18" s="8">
        <v>87051000909</v>
      </c>
      <c r="O18" s="8">
        <v>380000</v>
      </c>
      <c r="P18" s="8">
        <v>0</v>
      </c>
      <c r="Q18" s="8" t="s">
        <v>210</v>
      </c>
    </row>
    <row r="19" spans="1:17" ht="13.2">
      <c r="A19" s="26">
        <v>45464.708419930554</v>
      </c>
      <c r="B19" s="8" t="s">
        <v>1049</v>
      </c>
      <c r="C19" s="8" t="s">
        <v>1469</v>
      </c>
      <c r="D19" s="8" t="s">
        <v>1234</v>
      </c>
      <c r="E19" s="8" t="s">
        <v>1470</v>
      </c>
      <c r="F19" s="82" t="s">
        <v>1471</v>
      </c>
      <c r="G19" s="27">
        <v>45379</v>
      </c>
      <c r="H19" s="8" t="s">
        <v>1410</v>
      </c>
      <c r="I19" s="8">
        <v>890806301201</v>
      </c>
      <c r="J19" s="8" t="s">
        <v>1392</v>
      </c>
      <c r="K19" s="8" t="s">
        <v>1472</v>
      </c>
      <c r="L19" s="8" t="s">
        <v>1473</v>
      </c>
      <c r="M19" s="8">
        <v>41</v>
      </c>
      <c r="N19" s="8">
        <v>87772906865</v>
      </c>
      <c r="O19" s="8">
        <v>430000</v>
      </c>
      <c r="P19" s="8">
        <v>10000</v>
      </c>
      <c r="Q19" s="8" t="s">
        <v>333</v>
      </c>
    </row>
    <row r="20" spans="1:17" ht="13.2">
      <c r="A20" s="26">
        <v>45464.71562693287</v>
      </c>
      <c r="B20" s="8" t="s">
        <v>1071</v>
      </c>
      <c r="C20" s="8" t="s">
        <v>1474</v>
      </c>
      <c r="D20" s="8" t="s">
        <v>1235</v>
      </c>
      <c r="E20" s="8" t="s">
        <v>1475</v>
      </c>
      <c r="F20" s="82" t="s">
        <v>1476</v>
      </c>
      <c r="G20" s="27">
        <v>44105</v>
      </c>
      <c r="H20" s="8" t="s">
        <v>1371</v>
      </c>
      <c r="I20" s="8">
        <v>700312400633</v>
      </c>
      <c r="J20" s="8" t="s">
        <v>1403</v>
      </c>
      <c r="K20" s="8" t="s">
        <v>1477</v>
      </c>
      <c r="L20" s="8" t="s">
        <v>1478</v>
      </c>
      <c r="M20" s="8">
        <v>33</v>
      </c>
      <c r="N20" s="8">
        <v>87087496491</v>
      </c>
      <c r="O20" s="8">
        <v>430000</v>
      </c>
      <c r="P20" s="8">
        <v>20000</v>
      </c>
      <c r="Q20" s="8" t="s">
        <v>304</v>
      </c>
    </row>
    <row r="21" spans="1:17" ht="13.2">
      <c r="A21" s="26">
        <v>45464.761697037036</v>
      </c>
      <c r="B21" s="8" t="s">
        <v>1049</v>
      </c>
      <c r="C21" s="8" t="s">
        <v>1479</v>
      </c>
      <c r="D21" s="8" t="s">
        <v>1053</v>
      </c>
      <c r="E21" s="8" t="s">
        <v>1480</v>
      </c>
      <c r="F21" s="82" t="s">
        <v>1481</v>
      </c>
      <c r="G21" s="27">
        <v>44529</v>
      </c>
      <c r="H21" s="8" t="s">
        <v>1371</v>
      </c>
      <c r="I21" s="8">
        <v>860706300175</v>
      </c>
      <c r="J21" s="8" t="s">
        <v>1372</v>
      </c>
      <c r="K21" s="8" t="s">
        <v>1482</v>
      </c>
      <c r="L21" s="8" t="s">
        <v>1483</v>
      </c>
      <c r="M21" s="82" t="s">
        <v>1484</v>
      </c>
      <c r="N21" s="8">
        <v>87080070078</v>
      </c>
      <c r="O21" s="8">
        <v>430000</v>
      </c>
      <c r="P21" s="8">
        <v>0</v>
      </c>
      <c r="Q21" s="8" t="s">
        <v>329</v>
      </c>
    </row>
    <row r="22" spans="1:17" ht="13.2">
      <c r="A22" s="26">
        <v>45465.443112349538</v>
      </c>
      <c r="B22" s="8" t="s">
        <v>1049</v>
      </c>
      <c r="C22" s="8" t="s">
        <v>1485</v>
      </c>
      <c r="D22" s="8" t="s">
        <v>1486</v>
      </c>
      <c r="E22" s="8" t="s">
        <v>1487</v>
      </c>
      <c r="F22" s="82" t="s">
        <v>1488</v>
      </c>
      <c r="G22" s="27">
        <v>44700</v>
      </c>
      <c r="H22" s="8" t="s">
        <v>1410</v>
      </c>
      <c r="I22" s="8">
        <v>841214350939</v>
      </c>
      <c r="J22" s="8" t="s">
        <v>1489</v>
      </c>
      <c r="K22" s="8" t="s">
        <v>1490</v>
      </c>
      <c r="L22" s="8" t="s">
        <v>1491</v>
      </c>
      <c r="M22" s="8">
        <v>214</v>
      </c>
      <c r="N22" s="8">
        <v>87776674530</v>
      </c>
      <c r="O22" s="8">
        <v>0</v>
      </c>
      <c r="P22" s="8">
        <v>340000</v>
      </c>
      <c r="Q22" s="8" t="s">
        <v>247</v>
      </c>
    </row>
    <row r="23" spans="1:17" ht="13.2">
      <c r="A23" s="26">
        <v>45465.454055775466</v>
      </c>
      <c r="B23" s="8" t="s">
        <v>1049</v>
      </c>
      <c r="C23" s="8" t="s">
        <v>1492</v>
      </c>
      <c r="D23" s="8" t="s">
        <v>1230</v>
      </c>
      <c r="E23" s="8" t="s">
        <v>1493</v>
      </c>
      <c r="F23" s="82" t="s">
        <v>1494</v>
      </c>
      <c r="G23" s="27">
        <v>45021</v>
      </c>
      <c r="H23" s="8" t="s">
        <v>1371</v>
      </c>
      <c r="I23" s="8">
        <v>900926301536</v>
      </c>
      <c r="J23" s="8" t="s">
        <v>121</v>
      </c>
      <c r="K23" s="8" t="s">
        <v>1495</v>
      </c>
      <c r="L23" s="8" t="s">
        <v>1496</v>
      </c>
      <c r="M23" s="8">
        <v>89</v>
      </c>
      <c r="N23" s="8">
        <v>87001990026</v>
      </c>
      <c r="O23" s="8">
        <v>360000</v>
      </c>
      <c r="P23" s="8">
        <v>0</v>
      </c>
      <c r="Q23" s="8" t="s">
        <v>262</v>
      </c>
    </row>
    <row r="24" spans="1:17" ht="13.2">
      <c r="A24" s="26">
        <v>45465.456104027777</v>
      </c>
      <c r="B24" s="8" t="s">
        <v>1049</v>
      </c>
      <c r="C24" s="8" t="s">
        <v>1497</v>
      </c>
      <c r="D24" s="8" t="s">
        <v>1498</v>
      </c>
      <c r="E24" s="8" t="s">
        <v>1499</v>
      </c>
      <c r="F24" s="82" t="s">
        <v>1500</v>
      </c>
      <c r="G24" s="27">
        <v>44973</v>
      </c>
      <c r="H24" s="8" t="s">
        <v>1371</v>
      </c>
      <c r="I24" s="8">
        <v>680120303087</v>
      </c>
      <c r="J24" s="8" t="s">
        <v>1501</v>
      </c>
      <c r="K24" s="8" t="s">
        <v>1502</v>
      </c>
      <c r="L24" s="8" t="s">
        <v>1503</v>
      </c>
      <c r="M24" s="8">
        <v>27</v>
      </c>
      <c r="N24" s="8">
        <v>87024803772</v>
      </c>
      <c r="O24" s="8">
        <v>380000</v>
      </c>
      <c r="P24" s="8">
        <v>0</v>
      </c>
      <c r="Q24" s="8" t="s">
        <v>249</v>
      </c>
    </row>
    <row r="25" spans="1:17" ht="13.2">
      <c r="A25" s="26">
        <v>45465.607392453705</v>
      </c>
      <c r="B25" s="8" t="s">
        <v>1049</v>
      </c>
      <c r="C25" s="8" t="s">
        <v>1504</v>
      </c>
      <c r="D25" s="8" t="s">
        <v>1231</v>
      </c>
      <c r="E25" s="8" t="s">
        <v>1505</v>
      </c>
      <c r="F25" s="82" t="s">
        <v>1506</v>
      </c>
      <c r="G25" s="27">
        <v>39925</v>
      </c>
      <c r="H25" s="8" t="s">
        <v>1410</v>
      </c>
      <c r="I25" s="8">
        <v>820101351532</v>
      </c>
      <c r="J25" s="8" t="s">
        <v>1392</v>
      </c>
      <c r="K25" s="8" t="s">
        <v>1507</v>
      </c>
      <c r="L25" s="8" t="s">
        <v>1508</v>
      </c>
      <c r="M25" s="82" t="s">
        <v>1509</v>
      </c>
      <c r="N25" s="8">
        <v>87718997482</v>
      </c>
      <c r="O25" s="8">
        <v>360000</v>
      </c>
      <c r="P25" s="8">
        <v>0</v>
      </c>
      <c r="Q25" s="8" t="s">
        <v>254</v>
      </c>
    </row>
    <row r="26" spans="1:17" ht="13.2">
      <c r="A26" s="26">
        <v>45465.611298391203</v>
      </c>
      <c r="B26" s="8" t="s">
        <v>1049</v>
      </c>
      <c r="C26" s="8" t="s">
        <v>1510</v>
      </c>
      <c r="D26" s="8" t="s">
        <v>1053</v>
      </c>
      <c r="E26" s="8" t="s">
        <v>1511</v>
      </c>
      <c r="F26" s="82" t="s">
        <v>1512</v>
      </c>
      <c r="G26" s="27">
        <v>38498</v>
      </c>
      <c r="H26" s="8" t="s">
        <v>1410</v>
      </c>
      <c r="I26" s="8">
        <v>800223300337</v>
      </c>
      <c r="J26" s="8" t="s">
        <v>1392</v>
      </c>
      <c r="K26" s="8" t="s">
        <v>1372</v>
      </c>
      <c r="L26" s="8" t="s">
        <v>1513</v>
      </c>
      <c r="M26" s="8" t="s">
        <v>1514</v>
      </c>
      <c r="N26" s="8">
        <v>87077370165</v>
      </c>
      <c r="O26" s="8">
        <v>380000</v>
      </c>
      <c r="P26" s="8">
        <v>0</v>
      </c>
      <c r="Q26" s="8" t="s">
        <v>248</v>
      </c>
    </row>
    <row r="27" spans="1:17" ht="13.2">
      <c r="A27" s="26">
        <v>45467.502913495366</v>
      </c>
      <c r="B27" s="8" t="s">
        <v>1049</v>
      </c>
      <c r="C27" s="8" t="s">
        <v>1515</v>
      </c>
      <c r="D27" s="8" t="s">
        <v>1516</v>
      </c>
      <c r="E27" s="8" t="s">
        <v>1517</v>
      </c>
      <c r="F27" s="82" t="s">
        <v>1518</v>
      </c>
      <c r="G27" s="27">
        <v>45175</v>
      </c>
      <c r="H27" s="8" t="s">
        <v>1431</v>
      </c>
      <c r="I27" s="82" t="s">
        <v>1519</v>
      </c>
      <c r="J27" s="8" t="s">
        <v>1520</v>
      </c>
      <c r="K27" s="8" t="s">
        <v>1521</v>
      </c>
      <c r="L27" s="8" t="s">
        <v>1522</v>
      </c>
      <c r="M27" s="8" t="s">
        <v>1523</v>
      </c>
      <c r="N27" s="8">
        <v>87760777676</v>
      </c>
      <c r="O27" s="8">
        <v>430000</v>
      </c>
      <c r="P27" s="8">
        <v>0</v>
      </c>
      <c r="Q27" s="8" t="s">
        <v>337</v>
      </c>
    </row>
    <row r="28" spans="1:17" ht="13.2">
      <c r="A28" s="26">
        <v>45467.634757488428</v>
      </c>
      <c r="B28" s="8" t="s">
        <v>1049</v>
      </c>
      <c r="C28" s="8" t="s">
        <v>1524</v>
      </c>
      <c r="D28" s="8" t="s">
        <v>1244</v>
      </c>
      <c r="E28" s="8" t="s">
        <v>1525</v>
      </c>
      <c r="F28" s="82" t="s">
        <v>1526</v>
      </c>
      <c r="G28" s="27">
        <v>45275</v>
      </c>
      <c r="H28" s="8" t="s">
        <v>1371</v>
      </c>
      <c r="I28" s="8">
        <v>900123301035</v>
      </c>
      <c r="J28" s="8" t="s">
        <v>1372</v>
      </c>
      <c r="K28" s="8" t="s">
        <v>1527</v>
      </c>
      <c r="L28" s="8" t="s">
        <v>1528</v>
      </c>
      <c r="M28" s="8" t="s">
        <v>1529</v>
      </c>
      <c r="N28" s="8">
        <v>87478169748</v>
      </c>
      <c r="O28" s="8">
        <v>380000</v>
      </c>
      <c r="P28" s="8">
        <v>0</v>
      </c>
      <c r="Q28" s="8" t="s">
        <v>271</v>
      </c>
    </row>
    <row r="29" spans="1:17" ht="13.2">
      <c r="A29" s="26">
        <v>45467.691221018518</v>
      </c>
      <c r="B29" s="8" t="s">
        <v>1071</v>
      </c>
      <c r="C29" s="8" t="s">
        <v>1530</v>
      </c>
      <c r="D29" s="8" t="s">
        <v>1531</v>
      </c>
      <c r="E29" s="8" t="s">
        <v>1111</v>
      </c>
      <c r="F29" s="82" t="s">
        <v>1532</v>
      </c>
      <c r="G29" s="27">
        <v>43900</v>
      </c>
      <c r="H29" s="8" t="s">
        <v>1371</v>
      </c>
      <c r="I29" s="8">
        <v>850129351220</v>
      </c>
      <c r="J29" s="8" t="s">
        <v>1533</v>
      </c>
      <c r="K29" s="8" t="s">
        <v>1534</v>
      </c>
      <c r="L29" s="8" t="s">
        <v>1535</v>
      </c>
      <c r="M29" s="8" t="s">
        <v>1536</v>
      </c>
      <c r="N29" s="8">
        <v>87076566662</v>
      </c>
      <c r="O29" s="8">
        <v>380000</v>
      </c>
      <c r="P29" s="8">
        <v>0</v>
      </c>
      <c r="Q29" s="8" t="s">
        <v>223</v>
      </c>
    </row>
    <row r="30" spans="1:17" ht="13.2">
      <c r="A30" s="26">
        <v>45467.705802025463</v>
      </c>
      <c r="B30" s="8" t="s">
        <v>1049</v>
      </c>
      <c r="C30" s="8" t="s">
        <v>1537</v>
      </c>
      <c r="D30" s="8" t="s">
        <v>1538</v>
      </c>
      <c r="E30" s="8" t="s">
        <v>1539</v>
      </c>
      <c r="F30" s="82" t="s">
        <v>1540</v>
      </c>
      <c r="G30" s="27">
        <v>45467</v>
      </c>
      <c r="H30" s="8" t="s">
        <v>1371</v>
      </c>
      <c r="I30" s="8">
        <v>830101305796</v>
      </c>
      <c r="J30" s="8" t="s">
        <v>1541</v>
      </c>
      <c r="K30" s="8" t="s">
        <v>1542</v>
      </c>
      <c r="L30" s="8" t="s">
        <v>1543</v>
      </c>
      <c r="M30" s="8">
        <v>13</v>
      </c>
      <c r="N30" s="8">
        <v>87477779783</v>
      </c>
      <c r="O30" s="8">
        <v>0</v>
      </c>
      <c r="P30" s="8">
        <v>340000</v>
      </c>
      <c r="Q30" s="8" t="s">
        <v>276</v>
      </c>
    </row>
    <row r="31" spans="1:17" ht="13.2">
      <c r="A31" s="26">
        <v>45467.728638923611</v>
      </c>
      <c r="B31" s="8" t="s">
        <v>1122</v>
      </c>
      <c r="C31" s="8" t="s">
        <v>1544</v>
      </c>
      <c r="D31" s="8" t="s">
        <v>1224</v>
      </c>
      <c r="E31" s="8" t="s">
        <v>1545</v>
      </c>
      <c r="F31" s="82" t="s">
        <v>1546</v>
      </c>
      <c r="G31" s="27">
        <v>38621</v>
      </c>
      <c r="H31" s="8" t="s">
        <v>1410</v>
      </c>
      <c r="I31" s="8">
        <v>800319400632</v>
      </c>
      <c r="J31" s="8" t="s">
        <v>1547</v>
      </c>
      <c r="K31" s="8" t="s">
        <v>1548</v>
      </c>
      <c r="L31" s="8" t="s">
        <v>1549</v>
      </c>
      <c r="M31" s="8">
        <v>16</v>
      </c>
      <c r="N31" s="8">
        <v>87015141701</v>
      </c>
      <c r="O31" s="8">
        <v>380000</v>
      </c>
      <c r="P31" s="8">
        <v>0</v>
      </c>
      <c r="Q31" s="8" t="s">
        <v>207</v>
      </c>
    </row>
    <row r="32" spans="1:17" ht="13.2">
      <c r="A32" s="26">
        <v>45468.414253333336</v>
      </c>
      <c r="B32" s="8" t="s">
        <v>1071</v>
      </c>
      <c r="C32" s="8" t="s">
        <v>1550</v>
      </c>
      <c r="D32" s="8" t="s">
        <v>1239</v>
      </c>
      <c r="E32" s="8" t="s">
        <v>1551</v>
      </c>
      <c r="F32" s="82" t="s">
        <v>1552</v>
      </c>
      <c r="G32" s="27">
        <v>44008</v>
      </c>
      <c r="H32" s="8" t="s">
        <v>1371</v>
      </c>
      <c r="I32" s="8">
        <v>650525350342</v>
      </c>
      <c r="J32" s="8" t="s">
        <v>1553</v>
      </c>
      <c r="K32" s="8" t="s">
        <v>1554</v>
      </c>
      <c r="L32" s="8" t="s">
        <v>1555</v>
      </c>
      <c r="M32" s="8">
        <v>96</v>
      </c>
      <c r="N32" s="8">
        <v>87011703270</v>
      </c>
      <c r="O32" s="8">
        <v>380000</v>
      </c>
      <c r="P32" s="8">
        <v>0</v>
      </c>
      <c r="Q32" s="8" t="s">
        <v>199</v>
      </c>
    </row>
    <row r="33" spans="1:17" ht="13.2">
      <c r="A33" s="26">
        <v>45468.426136817128</v>
      </c>
      <c r="B33" s="8" t="s">
        <v>1049</v>
      </c>
      <c r="C33" s="8" t="s">
        <v>1556</v>
      </c>
      <c r="D33" s="8" t="s">
        <v>1226</v>
      </c>
      <c r="E33" s="8" t="s">
        <v>1480</v>
      </c>
      <c r="F33" s="82" t="s">
        <v>1557</v>
      </c>
      <c r="G33" s="27">
        <v>44865</v>
      </c>
      <c r="H33" s="8" t="s">
        <v>1431</v>
      </c>
      <c r="I33" s="8">
        <v>870716300280</v>
      </c>
      <c r="J33" s="8" t="s">
        <v>1541</v>
      </c>
      <c r="K33" s="8" t="s">
        <v>1558</v>
      </c>
      <c r="L33" s="8" t="s">
        <v>1559</v>
      </c>
      <c r="M33" s="8" t="s">
        <v>1560</v>
      </c>
      <c r="N33" s="8">
        <v>8777999600</v>
      </c>
      <c r="O33" s="8">
        <v>430000</v>
      </c>
      <c r="P33" s="8">
        <v>10000</v>
      </c>
      <c r="Q33" s="8" t="s">
        <v>330</v>
      </c>
    </row>
    <row r="34" spans="1:17" ht="13.2">
      <c r="A34" s="26">
        <v>45468.466339756946</v>
      </c>
      <c r="B34" s="8" t="s">
        <v>1122</v>
      </c>
      <c r="C34" s="8" t="s">
        <v>1561</v>
      </c>
      <c r="D34" s="8" t="s">
        <v>1240</v>
      </c>
      <c r="E34" s="8" t="s">
        <v>1562</v>
      </c>
      <c r="F34" s="82" t="s">
        <v>1563</v>
      </c>
      <c r="G34" s="27">
        <v>42016</v>
      </c>
      <c r="H34" s="8" t="s">
        <v>1371</v>
      </c>
      <c r="I34" s="8">
        <v>610731300286</v>
      </c>
      <c r="J34" s="8" t="s">
        <v>1564</v>
      </c>
      <c r="K34" s="8" t="s">
        <v>1565</v>
      </c>
      <c r="L34" s="8" t="s">
        <v>1566</v>
      </c>
      <c r="M34" s="8">
        <v>6</v>
      </c>
      <c r="N34" s="8">
        <v>87014360348</v>
      </c>
      <c r="O34" s="8">
        <v>380000</v>
      </c>
      <c r="P34" s="8">
        <v>0</v>
      </c>
      <c r="Q34" s="8" t="s">
        <v>235</v>
      </c>
    </row>
    <row r="35" spans="1:17" ht="13.2">
      <c r="A35" s="26">
        <v>45468.490328784726</v>
      </c>
      <c r="B35" s="8" t="s">
        <v>1122</v>
      </c>
      <c r="C35" s="8" t="s">
        <v>1567</v>
      </c>
      <c r="D35" s="8" t="s">
        <v>1242</v>
      </c>
      <c r="E35" s="8" t="s">
        <v>1568</v>
      </c>
      <c r="F35" s="82" t="s">
        <v>1569</v>
      </c>
      <c r="G35" s="27">
        <v>44421</v>
      </c>
      <c r="H35" s="8" t="s">
        <v>1371</v>
      </c>
      <c r="I35" s="8">
        <v>700907300849</v>
      </c>
      <c r="J35" s="8" t="s">
        <v>1403</v>
      </c>
      <c r="K35" s="8" t="s">
        <v>1570</v>
      </c>
      <c r="L35" s="8" t="s">
        <v>1571</v>
      </c>
      <c r="M35" s="8" t="s">
        <v>1572</v>
      </c>
      <c r="N35" s="8">
        <v>87761510777</v>
      </c>
      <c r="O35" s="8">
        <v>360000</v>
      </c>
      <c r="P35" s="8">
        <v>0</v>
      </c>
      <c r="Q35" s="8" t="s">
        <v>221</v>
      </c>
    </row>
    <row r="36" spans="1:17" ht="13.2">
      <c r="A36" s="26">
        <v>45468.499037997681</v>
      </c>
      <c r="B36" s="8" t="s">
        <v>1049</v>
      </c>
      <c r="C36" s="8" t="s">
        <v>1573</v>
      </c>
      <c r="D36" s="8" t="s">
        <v>1574</v>
      </c>
      <c r="E36" s="8" t="s">
        <v>1575</v>
      </c>
      <c r="F36" s="82" t="s">
        <v>1576</v>
      </c>
      <c r="G36" s="27">
        <v>44432</v>
      </c>
      <c r="H36" s="8" t="s">
        <v>1371</v>
      </c>
      <c r="I36" s="8">
        <v>950120401094</v>
      </c>
      <c r="J36" s="8" t="s">
        <v>1372</v>
      </c>
      <c r="K36" s="8" t="s">
        <v>1577</v>
      </c>
      <c r="L36" s="8" t="s">
        <v>1578</v>
      </c>
      <c r="M36" s="8">
        <v>4</v>
      </c>
      <c r="N36" s="8">
        <v>87474803452</v>
      </c>
      <c r="O36" s="8">
        <v>380000</v>
      </c>
      <c r="P36" s="8">
        <v>0</v>
      </c>
      <c r="Q36" s="8" t="s">
        <v>279</v>
      </c>
    </row>
    <row r="37" spans="1:17" ht="13.2">
      <c r="A37" s="26">
        <v>45468.605209675923</v>
      </c>
      <c r="B37" s="8" t="s">
        <v>1049</v>
      </c>
      <c r="C37" s="8" t="s">
        <v>1579</v>
      </c>
      <c r="D37" s="8" t="s">
        <v>1580</v>
      </c>
      <c r="E37" s="8" t="s">
        <v>1201</v>
      </c>
      <c r="F37" s="82" t="s">
        <v>1581</v>
      </c>
      <c r="G37" s="27">
        <v>44692</v>
      </c>
      <c r="H37" s="8" t="s">
        <v>1371</v>
      </c>
      <c r="I37" s="8">
        <v>870301301351</v>
      </c>
      <c r="J37" s="8" t="s">
        <v>1372</v>
      </c>
      <c r="K37" s="8" t="s">
        <v>1582</v>
      </c>
      <c r="L37" s="8" t="s">
        <v>1583</v>
      </c>
      <c r="M37" s="8" t="s">
        <v>1584</v>
      </c>
      <c r="N37" s="8">
        <v>87018878757</v>
      </c>
      <c r="O37" s="8">
        <v>380000</v>
      </c>
      <c r="P37" s="8">
        <v>60000</v>
      </c>
      <c r="Q37" s="8" t="s">
        <v>309</v>
      </c>
    </row>
    <row r="38" spans="1:17" ht="13.2">
      <c r="A38" s="26">
        <v>45468.731105289349</v>
      </c>
      <c r="B38" s="8" t="s">
        <v>1049</v>
      </c>
      <c r="C38" s="8" t="s">
        <v>1585</v>
      </c>
      <c r="D38" s="8" t="s">
        <v>1586</v>
      </c>
      <c r="E38" s="8" t="s">
        <v>1587</v>
      </c>
      <c r="F38" s="82" t="s">
        <v>1588</v>
      </c>
      <c r="G38" s="27">
        <v>42044</v>
      </c>
      <c r="H38" s="8" t="s">
        <v>1371</v>
      </c>
      <c r="I38" s="8">
        <v>820113301251</v>
      </c>
      <c r="J38" s="8" t="s">
        <v>1541</v>
      </c>
      <c r="K38" s="8" t="s">
        <v>1589</v>
      </c>
      <c r="L38" s="8" t="s">
        <v>1590</v>
      </c>
      <c r="M38" s="8" t="s">
        <v>1591</v>
      </c>
      <c r="N38" s="8">
        <v>87477873429</v>
      </c>
      <c r="O38" s="8">
        <v>320000</v>
      </c>
      <c r="P38" s="8">
        <v>0</v>
      </c>
      <c r="Q38" s="8" t="s">
        <v>261</v>
      </c>
    </row>
    <row r="39" spans="1:17" ht="13.2">
      <c r="A39" s="26">
        <v>45468.753567442131</v>
      </c>
      <c r="B39" s="8" t="s">
        <v>1049</v>
      </c>
      <c r="C39" s="8" t="s">
        <v>1592</v>
      </c>
      <c r="D39" s="8" t="s">
        <v>1593</v>
      </c>
      <c r="E39" s="8" t="s">
        <v>1594</v>
      </c>
      <c r="F39" s="82" t="s">
        <v>1595</v>
      </c>
      <c r="G39" s="27">
        <v>44550</v>
      </c>
      <c r="H39" s="8" t="s">
        <v>1371</v>
      </c>
      <c r="I39" s="8">
        <v>731214301452</v>
      </c>
      <c r="J39" s="8" t="s">
        <v>1533</v>
      </c>
      <c r="K39" s="8" t="s">
        <v>1596</v>
      </c>
      <c r="L39" s="8" t="s">
        <v>1535</v>
      </c>
      <c r="M39" s="8">
        <v>23</v>
      </c>
      <c r="N39" s="8">
        <v>87750940527</v>
      </c>
      <c r="O39" s="8">
        <v>430000</v>
      </c>
      <c r="P39" s="8">
        <v>0</v>
      </c>
      <c r="Q39" s="8" t="s">
        <v>343</v>
      </c>
    </row>
    <row r="40" spans="1:17" ht="13.2">
      <c r="A40" s="26">
        <v>45469.447691111112</v>
      </c>
      <c r="B40" s="8" t="s">
        <v>1049</v>
      </c>
      <c r="C40" s="8" t="s">
        <v>1597</v>
      </c>
      <c r="D40" s="8" t="s">
        <v>1199</v>
      </c>
      <c r="E40" s="8" t="s">
        <v>1598</v>
      </c>
      <c r="F40" s="82" t="s">
        <v>1599</v>
      </c>
      <c r="G40" s="27">
        <v>44354</v>
      </c>
      <c r="H40" s="8" t="s">
        <v>1371</v>
      </c>
      <c r="I40" s="8">
        <v>820613300221</v>
      </c>
      <c r="J40" s="8" t="s">
        <v>1541</v>
      </c>
      <c r="K40" s="8" t="s">
        <v>1372</v>
      </c>
      <c r="L40" s="8" t="s">
        <v>1600</v>
      </c>
      <c r="M40" s="8" t="s">
        <v>1601</v>
      </c>
      <c r="N40" s="8">
        <v>87054672383</v>
      </c>
      <c r="O40" s="8">
        <v>430000</v>
      </c>
      <c r="P40" s="8">
        <v>0</v>
      </c>
      <c r="Q40" s="8" t="s">
        <v>339</v>
      </c>
    </row>
    <row r="41" spans="1:17" ht="13.2">
      <c r="A41" s="26">
        <v>45469.532624120373</v>
      </c>
      <c r="B41" s="8" t="s">
        <v>1122</v>
      </c>
      <c r="C41" s="8" t="s">
        <v>1602</v>
      </c>
      <c r="D41" s="8" t="s">
        <v>1603</v>
      </c>
      <c r="E41" s="8" t="s">
        <v>115</v>
      </c>
      <c r="F41" s="82" t="s">
        <v>1604</v>
      </c>
      <c r="G41" s="27">
        <v>44267</v>
      </c>
      <c r="H41" s="8" t="s">
        <v>1371</v>
      </c>
      <c r="I41" s="8">
        <v>890818399047</v>
      </c>
      <c r="J41" s="8" t="s">
        <v>1605</v>
      </c>
      <c r="K41" s="8" t="s">
        <v>1606</v>
      </c>
      <c r="L41" s="8" t="s">
        <v>1607</v>
      </c>
      <c r="M41" s="8">
        <v>59</v>
      </c>
      <c r="N41" s="8">
        <v>87755938926</v>
      </c>
      <c r="O41" s="8">
        <v>0</v>
      </c>
      <c r="P41" s="8">
        <v>610000</v>
      </c>
      <c r="Q41" s="8" t="s">
        <v>357</v>
      </c>
    </row>
    <row r="42" spans="1:17" ht="13.2">
      <c r="A42" s="26">
        <v>45469.610875289349</v>
      </c>
      <c r="B42" s="8" t="s">
        <v>1049</v>
      </c>
      <c r="C42" s="8" t="s">
        <v>1608</v>
      </c>
      <c r="D42" s="8" t="s">
        <v>1254</v>
      </c>
      <c r="E42" s="8" t="s">
        <v>1609</v>
      </c>
      <c r="F42" s="82" t="s">
        <v>1610</v>
      </c>
      <c r="G42" s="27">
        <v>42432</v>
      </c>
      <c r="H42" s="8" t="s">
        <v>1431</v>
      </c>
      <c r="I42" s="8">
        <v>910128401060</v>
      </c>
      <c r="J42" s="8" t="s">
        <v>1541</v>
      </c>
      <c r="K42" s="8" t="s">
        <v>1611</v>
      </c>
      <c r="L42" s="8" t="s">
        <v>1612</v>
      </c>
      <c r="M42" s="8" t="s">
        <v>1613</v>
      </c>
      <c r="N42" s="8">
        <v>87010171101</v>
      </c>
      <c r="O42" s="8">
        <v>380000</v>
      </c>
      <c r="P42" s="8">
        <v>0</v>
      </c>
      <c r="Q42" s="8" t="s">
        <v>260</v>
      </c>
    </row>
    <row r="43" spans="1:17" ht="13.2">
      <c r="A43" s="26">
        <v>45469.719486111113</v>
      </c>
      <c r="B43" s="8" t="s">
        <v>1071</v>
      </c>
      <c r="C43" s="8" t="s">
        <v>1614</v>
      </c>
      <c r="D43" s="8" t="s">
        <v>1172</v>
      </c>
      <c r="E43" s="8" t="s">
        <v>1480</v>
      </c>
      <c r="F43" s="82" t="s">
        <v>1615</v>
      </c>
      <c r="G43" s="27">
        <v>43382</v>
      </c>
      <c r="H43" s="8" t="s">
        <v>1371</v>
      </c>
      <c r="I43" s="8">
        <v>801218350775</v>
      </c>
      <c r="J43" s="8" t="s">
        <v>1533</v>
      </c>
      <c r="K43" s="8" t="s">
        <v>1534</v>
      </c>
      <c r="L43" s="8" t="s">
        <v>1616</v>
      </c>
      <c r="M43" s="8">
        <v>9</v>
      </c>
      <c r="N43" s="8">
        <v>87076277103</v>
      </c>
      <c r="O43" s="8">
        <v>0</v>
      </c>
      <c r="P43" s="8">
        <v>300000</v>
      </c>
      <c r="Q43" s="8" t="s">
        <v>198</v>
      </c>
    </row>
    <row r="44" spans="1:17" ht="13.2">
      <c r="A44" s="26">
        <v>45469.751747418981</v>
      </c>
      <c r="B44" s="8" t="s">
        <v>1049</v>
      </c>
      <c r="C44" s="8" t="s">
        <v>1617</v>
      </c>
      <c r="D44" s="8" t="s">
        <v>1233</v>
      </c>
      <c r="E44" s="8" t="s">
        <v>1618</v>
      </c>
      <c r="F44" s="82" t="s">
        <v>1619</v>
      </c>
      <c r="G44" s="27">
        <v>41912</v>
      </c>
      <c r="H44" s="8" t="s">
        <v>1371</v>
      </c>
      <c r="I44" s="8">
        <v>800223302383</v>
      </c>
      <c r="J44" s="8" t="s">
        <v>1620</v>
      </c>
      <c r="K44" s="8" t="s">
        <v>1621</v>
      </c>
      <c r="L44" s="8" t="s">
        <v>1622</v>
      </c>
      <c r="M44" s="8">
        <v>14</v>
      </c>
      <c r="N44" s="8">
        <v>87016021980</v>
      </c>
      <c r="O44" s="8">
        <v>380000</v>
      </c>
      <c r="P44" s="8">
        <v>60000</v>
      </c>
      <c r="Q44" s="8" t="s">
        <v>307</v>
      </c>
    </row>
    <row r="45" spans="1:17" ht="13.2">
      <c r="A45" s="26">
        <v>45470.525246458332</v>
      </c>
      <c r="B45" s="8" t="s">
        <v>1049</v>
      </c>
      <c r="C45" s="8" t="s">
        <v>1623</v>
      </c>
      <c r="D45" s="8" t="s">
        <v>1049</v>
      </c>
      <c r="E45" s="8" t="s">
        <v>1624</v>
      </c>
      <c r="F45" s="82" t="s">
        <v>1625</v>
      </c>
      <c r="G45" s="27">
        <v>44034</v>
      </c>
      <c r="H45" s="8" t="s">
        <v>1371</v>
      </c>
      <c r="I45" s="8">
        <v>880424300255</v>
      </c>
      <c r="J45" s="8" t="s">
        <v>1392</v>
      </c>
      <c r="K45" s="8" t="s">
        <v>1626</v>
      </c>
      <c r="L45" s="8" t="s">
        <v>1627</v>
      </c>
      <c r="M45" s="95" t="s">
        <v>1628</v>
      </c>
      <c r="N45" s="8">
        <v>87770334835</v>
      </c>
      <c r="O45" s="8">
        <v>0</v>
      </c>
      <c r="P45" s="8">
        <v>650000</v>
      </c>
      <c r="Q45" s="8" t="s">
        <v>382</v>
      </c>
    </row>
    <row r="46" spans="1:17" ht="13.2">
      <c r="A46" s="26">
        <v>45470.556306342594</v>
      </c>
      <c r="B46" s="8" t="s">
        <v>1071</v>
      </c>
      <c r="C46" s="8" t="s">
        <v>1629</v>
      </c>
      <c r="D46" s="8" t="s">
        <v>1630</v>
      </c>
      <c r="F46" s="82" t="s">
        <v>1631</v>
      </c>
      <c r="G46" s="27">
        <v>44727</v>
      </c>
      <c r="H46" s="8" t="s">
        <v>1371</v>
      </c>
      <c r="I46" s="8">
        <v>960606451012</v>
      </c>
      <c r="J46" s="8" t="s">
        <v>1632</v>
      </c>
      <c r="K46" s="8" t="s">
        <v>1460</v>
      </c>
      <c r="L46" s="8" t="s">
        <v>1633</v>
      </c>
      <c r="M46" s="8" t="s">
        <v>1634</v>
      </c>
      <c r="N46" s="8">
        <v>87007708568</v>
      </c>
      <c r="O46" s="8">
        <v>1050000</v>
      </c>
      <c r="P46" s="8">
        <v>0</v>
      </c>
      <c r="Q46" s="8" t="s">
        <v>378</v>
      </c>
    </row>
    <row r="47" spans="1:17" ht="13.2">
      <c r="A47" s="26">
        <v>45470.613551296294</v>
      </c>
      <c r="B47" s="8" t="s">
        <v>1122</v>
      </c>
      <c r="C47" s="8" t="s">
        <v>1635</v>
      </c>
      <c r="D47" s="8" t="s">
        <v>1249</v>
      </c>
      <c r="E47" s="8" t="s">
        <v>1636</v>
      </c>
      <c r="F47" s="82" t="s">
        <v>1637</v>
      </c>
      <c r="G47" s="27">
        <v>39749</v>
      </c>
      <c r="H47" s="8" t="s">
        <v>1410</v>
      </c>
      <c r="I47" s="8">
        <v>830921400323</v>
      </c>
      <c r="J47" s="8" t="s">
        <v>1403</v>
      </c>
      <c r="K47" s="8" t="s">
        <v>1638</v>
      </c>
      <c r="L47" s="8" t="s">
        <v>1639</v>
      </c>
      <c r="M47" s="82" t="s">
        <v>1640</v>
      </c>
      <c r="N47" s="8">
        <v>87055176155</v>
      </c>
      <c r="O47" s="8">
        <v>380000</v>
      </c>
      <c r="P47" s="8">
        <v>0</v>
      </c>
      <c r="Q47" s="8" t="s">
        <v>212</v>
      </c>
    </row>
    <row r="48" spans="1:17" ht="13.2">
      <c r="A48" s="26">
        <v>45471.516232037036</v>
      </c>
      <c r="B48" s="8" t="s">
        <v>1122</v>
      </c>
      <c r="C48" s="8" t="s">
        <v>1641</v>
      </c>
      <c r="D48" s="8" t="s">
        <v>1247</v>
      </c>
      <c r="E48" s="8" t="s">
        <v>1642</v>
      </c>
      <c r="F48" s="82" t="s">
        <v>1643</v>
      </c>
      <c r="G48" s="27">
        <v>44047</v>
      </c>
      <c r="H48" s="8" t="s">
        <v>1371</v>
      </c>
      <c r="I48" s="8">
        <v>640729300115</v>
      </c>
      <c r="J48" s="8" t="s">
        <v>1564</v>
      </c>
      <c r="K48" s="8" t="s">
        <v>1565</v>
      </c>
      <c r="L48" s="8" t="s">
        <v>1644</v>
      </c>
      <c r="M48" s="8" t="s">
        <v>1645</v>
      </c>
      <c r="N48" s="8">
        <v>87785826900</v>
      </c>
      <c r="O48" s="8">
        <v>360000</v>
      </c>
      <c r="P48" s="8">
        <v>20000</v>
      </c>
      <c r="Q48" s="8" t="s">
        <v>231</v>
      </c>
    </row>
    <row r="49" spans="1:17" ht="13.2">
      <c r="A49" s="26">
        <v>45471.578479212963</v>
      </c>
      <c r="B49" s="8" t="s">
        <v>1049</v>
      </c>
      <c r="C49" s="8" t="s">
        <v>1646</v>
      </c>
      <c r="D49" s="8" t="s">
        <v>1647</v>
      </c>
      <c r="E49" s="8" t="s">
        <v>1648</v>
      </c>
      <c r="F49" s="82" t="s">
        <v>1649</v>
      </c>
      <c r="G49" s="27">
        <v>44652</v>
      </c>
      <c r="H49" s="8" t="s">
        <v>1371</v>
      </c>
      <c r="I49" s="8">
        <v>870211300949</v>
      </c>
      <c r="J49" s="8" t="s">
        <v>1541</v>
      </c>
      <c r="K49" s="8" t="s">
        <v>1650</v>
      </c>
      <c r="L49" s="8" t="s">
        <v>1651</v>
      </c>
      <c r="M49" s="8" t="s">
        <v>1652</v>
      </c>
      <c r="N49" s="8">
        <v>87051385679</v>
      </c>
      <c r="O49" s="8">
        <v>0</v>
      </c>
      <c r="P49" s="8">
        <v>350000</v>
      </c>
      <c r="Q49" s="8" t="s">
        <v>274</v>
      </c>
    </row>
    <row r="50" spans="1:17" ht="13.2">
      <c r="A50" s="26">
        <v>45471.600184953699</v>
      </c>
      <c r="B50" s="8" t="s">
        <v>1049</v>
      </c>
      <c r="C50" s="8" t="s">
        <v>1653</v>
      </c>
      <c r="D50" s="8" t="s">
        <v>1255</v>
      </c>
      <c r="E50" s="8" t="s">
        <v>1654</v>
      </c>
      <c r="F50" s="82" t="s">
        <v>1655</v>
      </c>
      <c r="G50" s="27">
        <v>42913</v>
      </c>
      <c r="H50" s="8" t="s">
        <v>1371</v>
      </c>
      <c r="I50" s="8">
        <v>851019301704</v>
      </c>
      <c r="J50" s="8" t="s">
        <v>1656</v>
      </c>
      <c r="K50" s="8" t="s">
        <v>1657</v>
      </c>
      <c r="L50" s="8" t="s">
        <v>1658</v>
      </c>
      <c r="M50" s="8" t="s">
        <v>1529</v>
      </c>
      <c r="N50" s="8">
        <v>87022914944</v>
      </c>
      <c r="O50" s="8">
        <v>380000</v>
      </c>
      <c r="P50" s="8">
        <v>0</v>
      </c>
      <c r="Q50" s="8" t="s">
        <v>275</v>
      </c>
    </row>
    <row r="51" spans="1:17" ht="13.2">
      <c r="A51" s="26">
        <v>45474.509504224538</v>
      </c>
      <c r="B51" s="8" t="s">
        <v>1071</v>
      </c>
      <c r="C51" s="8" t="s">
        <v>1659</v>
      </c>
      <c r="D51" s="8" t="s">
        <v>1660</v>
      </c>
      <c r="E51" s="8" t="s">
        <v>1661</v>
      </c>
      <c r="F51" s="82" t="s">
        <v>1662</v>
      </c>
      <c r="G51" s="27">
        <v>45233</v>
      </c>
      <c r="H51" s="8" t="s">
        <v>1371</v>
      </c>
      <c r="I51" s="8">
        <v>540910300445</v>
      </c>
      <c r="J51" s="8" t="s">
        <v>1533</v>
      </c>
      <c r="K51" s="8" t="s">
        <v>1663</v>
      </c>
      <c r="L51" s="8" t="s">
        <v>1664</v>
      </c>
      <c r="M51" s="8">
        <v>36</v>
      </c>
      <c r="N51" s="8">
        <v>87058163108</v>
      </c>
      <c r="O51" s="8">
        <v>390000</v>
      </c>
      <c r="P51" s="8">
        <v>0</v>
      </c>
      <c r="Q51" s="8" t="s">
        <v>310</v>
      </c>
    </row>
    <row r="52" spans="1:17" ht="13.2">
      <c r="A52" s="26">
        <v>45475.416932916662</v>
      </c>
      <c r="B52" s="8" t="s">
        <v>1049</v>
      </c>
      <c r="C52" s="8" t="s">
        <v>1665</v>
      </c>
      <c r="D52" s="8" t="s">
        <v>1666</v>
      </c>
      <c r="E52" s="8" t="s">
        <v>1667</v>
      </c>
      <c r="F52" s="82" t="s">
        <v>1668</v>
      </c>
      <c r="G52" s="27">
        <v>44221</v>
      </c>
      <c r="H52" s="8" t="s">
        <v>1371</v>
      </c>
      <c r="I52" s="8">
        <v>690304302962</v>
      </c>
      <c r="J52" s="8" t="s">
        <v>1541</v>
      </c>
      <c r="K52" s="8" t="s">
        <v>1669</v>
      </c>
      <c r="L52" s="8" t="s">
        <v>1670</v>
      </c>
      <c r="M52" s="8" t="s">
        <v>1671</v>
      </c>
      <c r="N52" s="8">
        <v>87714089498</v>
      </c>
      <c r="O52" s="8">
        <v>0</v>
      </c>
      <c r="P52" s="8">
        <v>340000</v>
      </c>
      <c r="Q52" s="8" t="s">
        <v>245</v>
      </c>
    </row>
    <row r="53" spans="1:17" ht="13.2">
      <c r="A53" s="26">
        <v>45475.669626898147</v>
      </c>
      <c r="B53" s="8" t="s">
        <v>1071</v>
      </c>
      <c r="C53" s="8" t="s">
        <v>1672</v>
      </c>
      <c r="D53" s="8" t="s">
        <v>1244</v>
      </c>
      <c r="E53" s="8" t="s">
        <v>1111</v>
      </c>
      <c r="F53" s="82" t="s">
        <v>1673</v>
      </c>
      <c r="G53" s="27">
        <v>38544</v>
      </c>
      <c r="H53" s="8" t="s">
        <v>1410</v>
      </c>
      <c r="I53" s="8">
        <v>600630350255</v>
      </c>
      <c r="J53" s="8" t="s">
        <v>1533</v>
      </c>
      <c r="K53" s="8" t="s">
        <v>1534</v>
      </c>
      <c r="L53" s="8" t="s">
        <v>1674</v>
      </c>
      <c r="M53" s="8" t="s">
        <v>1675</v>
      </c>
      <c r="N53" s="8">
        <v>87051361125</v>
      </c>
      <c r="O53" s="8">
        <v>0</v>
      </c>
      <c r="P53" s="8">
        <v>350000</v>
      </c>
      <c r="Q53" s="8" t="s">
        <v>217</v>
      </c>
    </row>
    <row r="54" spans="1:17" ht="13.2">
      <c r="A54" s="26">
        <v>45475.707587060184</v>
      </c>
      <c r="B54" s="8" t="s">
        <v>1071</v>
      </c>
      <c r="C54" s="8" t="s">
        <v>1676</v>
      </c>
      <c r="D54" s="8" t="s">
        <v>1677</v>
      </c>
      <c r="E54" s="8" t="s">
        <v>1111</v>
      </c>
      <c r="F54" s="82" t="s">
        <v>1678</v>
      </c>
      <c r="G54" s="27">
        <v>45015</v>
      </c>
      <c r="H54" s="8" t="s">
        <v>1371</v>
      </c>
      <c r="I54" s="8">
        <v>680114350264</v>
      </c>
      <c r="J54" s="8" t="s">
        <v>1679</v>
      </c>
      <c r="K54" s="8" t="s">
        <v>1680</v>
      </c>
      <c r="L54" s="8" t="s">
        <v>1681</v>
      </c>
      <c r="M54" s="8"/>
      <c r="N54" s="8">
        <v>87713716005</v>
      </c>
      <c r="O54" s="8">
        <v>0</v>
      </c>
      <c r="P54" s="8">
        <v>340000</v>
      </c>
      <c r="Q54" s="8" t="s">
        <v>224</v>
      </c>
    </row>
    <row r="55" spans="1:17" ht="13.2">
      <c r="A55" s="26">
        <v>45476.564938923606</v>
      </c>
      <c r="B55" s="8" t="s">
        <v>1122</v>
      </c>
      <c r="C55" s="8" t="s">
        <v>1682</v>
      </c>
      <c r="D55" s="8" t="s">
        <v>1258</v>
      </c>
      <c r="E55" s="8" t="s">
        <v>1683</v>
      </c>
      <c r="F55" s="82" t="s">
        <v>1684</v>
      </c>
      <c r="G55" s="27">
        <v>39038</v>
      </c>
      <c r="H55" s="8" t="s">
        <v>1410</v>
      </c>
      <c r="I55" s="8">
        <v>820228450162</v>
      </c>
      <c r="J55" s="8" t="s">
        <v>1533</v>
      </c>
      <c r="K55" s="8" t="s">
        <v>1685</v>
      </c>
      <c r="L55" s="8" t="s">
        <v>1686</v>
      </c>
      <c r="M55" s="8" t="s">
        <v>1687</v>
      </c>
      <c r="N55" s="8">
        <v>87006081838</v>
      </c>
      <c r="O55" s="8">
        <v>360000</v>
      </c>
      <c r="P55" s="8">
        <v>0</v>
      </c>
      <c r="Q55" s="8" t="s">
        <v>230</v>
      </c>
    </row>
    <row r="56" spans="1:17" ht="13.2">
      <c r="A56" s="26">
        <v>45476.674247499999</v>
      </c>
      <c r="B56" s="8" t="s">
        <v>1071</v>
      </c>
      <c r="C56" s="8" t="s">
        <v>1688</v>
      </c>
      <c r="D56" s="8" t="s">
        <v>1689</v>
      </c>
      <c r="E56" s="8" t="s">
        <v>1690</v>
      </c>
      <c r="F56" s="82" t="s">
        <v>1691</v>
      </c>
      <c r="G56" s="27">
        <v>44963</v>
      </c>
      <c r="H56" s="8" t="s">
        <v>1371</v>
      </c>
      <c r="I56" s="8">
        <v>880127351394</v>
      </c>
      <c r="J56" s="8" t="s">
        <v>1417</v>
      </c>
      <c r="K56" s="8" t="s">
        <v>1692</v>
      </c>
      <c r="L56" s="8" t="s">
        <v>1693</v>
      </c>
      <c r="M56" s="8" t="s">
        <v>1694</v>
      </c>
      <c r="N56" s="8">
        <v>87014019888</v>
      </c>
      <c r="O56" s="8">
        <v>340000</v>
      </c>
      <c r="P56" s="8">
        <v>0</v>
      </c>
      <c r="Q56" s="8" t="s">
        <v>213</v>
      </c>
    </row>
    <row r="57" spans="1:17" ht="13.2">
      <c r="A57" s="26">
        <v>45476.692535891205</v>
      </c>
      <c r="B57" s="8" t="s">
        <v>1049</v>
      </c>
      <c r="C57" s="8" t="s">
        <v>1695</v>
      </c>
      <c r="D57" s="8" t="s">
        <v>1696</v>
      </c>
      <c r="E57" s="8" t="s">
        <v>1697</v>
      </c>
      <c r="F57" s="82" t="s">
        <v>1698</v>
      </c>
      <c r="G57" s="27">
        <v>44046</v>
      </c>
      <c r="H57" s="8" t="s">
        <v>1371</v>
      </c>
      <c r="I57" s="8">
        <v>911101301288</v>
      </c>
      <c r="J57" s="8" t="s">
        <v>1372</v>
      </c>
      <c r="K57" s="8" t="s">
        <v>1699</v>
      </c>
      <c r="L57" s="8" t="s">
        <v>1700</v>
      </c>
      <c r="M57" s="8" t="s">
        <v>1701</v>
      </c>
      <c r="N57" s="8">
        <v>87073723655</v>
      </c>
      <c r="O57" s="8">
        <v>380000</v>
      </c>
      <c r="P57" s="8">
        <v>0</v>
      </c>
      <c r="Q57" s="8" t="s">
        <v>335</v>
      </c>
    </row>
    <row r="58" spans="1:17" ht="13.2">
      <c r="A58" s="26">
        <v>45477.662389004632</v>
      </c>
      <c r="B58" s="8" t="s">
        <v>1122</v>
      </c>
      <c r="C58" s="8" t="s">
        <v>1702</v>
      </c>
      <c r="D58" s="8" t="s">
        <v>1256</v>
      </c>
      <c r="E58" s="8" t="s">
        <v>1703</v>
      </c>
      <c r="F58" s="82" t="s">
        <v>1704</v>
      </c>
      <c r="G58" s="27">
        <v>42985</v>
      </c>
      <c r="H58" s="8" t="s">
        <v>1371</v>
      </c>
      <c r="I58" s="8">
        <v>770402350635</v>
      </c>
      <c r="J58" s="8" t="s">
        <v>1564</v>
      </c>
      <c r="K58" s="8" t="s">
        <v>1705</v>
      </c>
      <c r="L58" s="8" t="s">
        <v>1706</v>
      </c>
      <c r="M58" s="8" t="s">
        <v>1707</v>
      </c>
      <c r="N58" s="8">
        <v>87058091009</v>
      </c>
      <c r="O58" s="8">
        <v>640000</v>
      </c>
      <c r="P58" s="8">
        <v>40000</v>
      </c>
      <c r="Q58" s="8" t="s">
        <v>286</v>
      </c>
    </row>
    <row r="59" spans="1:17" ht="13.2">
      <c r="A59" s="26">
        <v>45477.719423483795</v>
      </c>
      <c r="B59" s="8" t="s">
        <v>1049</v>
      </c>
      <c r="C59" s="8" t="s">
        <v>1708</v>
      </c>
      <c r="D59" s="8" t="s">
        <v>1253</v>
      </c>
      <c r="E59" s="8" t="s">
        <v>1709</v>
      </c>
      <c r="F59" s="82" t="s">
        <v>1710</v>
      </c>
      <c r="G59" s="27">
        <v>42062</v>
      </c>
      <c r="H59" s="8" t="s">
        <v>1371</v>
      </c>
      <c r="I59" s="8">
        <v>900303450494</v>
      </c>
      <c r="J59" s="8" t="s">
        <v>1711</v>
      </c>
      <c r="K59" s="8" t="s">
        <v>1527</v>
      </c>
      <c r="L59" s="8" t="s">
        <v>1712</v>
      </c>
      <c r="M59" s="8" t="s">
        <v>1713</v>
      </c>
      <c r="N59" s="8">
        <v>87725553569</v>
      </c>
      <c r="O59" s="8">
        <v>360000</v>
      </c>
      <c r="P59" s="8">
        <v>0</v>
      </c>
      <c r="Q59" s="8" t="s">
        <v>243</v>
      </c>
    </row>
    <row r="60" spans="1:17" ht="13.2">
      <c r="A60" s="26">
        <v>45477.721595868061</v>
      </c>
      <c r="B60" s="8" t="s">
        <v>1049</v>
      </c>
      <c r="C60" s="8" t="s">
        <v>1714</v>
      </c>
      <c r="D60" s="8" t="s">
        <v>1260</v>
      </c>
      <c r="E60" s="8" t="s">
        <v>1153</v>
      </c>
      <c r="F60" s="82" t="s">
        <v>1715</v>
      </c>
      <c r="G60" s="27">
        <v>42733</v>
      </c>
      <c r="H60" s="8" t="s">
        <v>1371</v>
      </c>
      <c r="I60" s="8">
        <v>720121302044</v>
      </c>
      <c r="J60" s="8" t="s">
        <v>1392</v>
      </c>
      <c r="K60" s="8" t="s">
        <v>1716</v>
      </c>
      <c r="L60" s="8" t="s">
        <v>1717</v>
      </c>
      <c r="M60" s="8">
        <v>105</v>
      </c>
      <c r="N60" s="8">
        <v>87772933366</v>
      </c>
      <c r="O60" s="8">
        <v>320000</v>
      </c>
      <c r="P60" s="8">
        <v>0</v>
      </c>
      <c r="Q60" s="8" t="s">
        <v>250</v>
      </c>
    </row>
    <row r="61" spans="1:17" ht="13.2">
      <c r="A61" s="26">
        <v>45478.685991851853</v>
      </c>
      <c r="B61" s="8" t="s">
        <v>1122</v>
      </c>
      <c r="C61" s="8" t="s">
        <v>1718</v>
      </c>
      <c r="D61" s="8" t="s">
        <v>1719</v>
      </c>
      <c r="E61" s="8" t="s">
        <v>1720</v>
      </c>
      <c r="F61" s="8">
        <v>46777566</v>
      </c>
      <c r="G61" s="27">
        <v>43762</v>
      </c>
      <c r="H61" s="8" t="s">
        <v>1371</v>
      </c>
      <c r="I61" s="8">
        <v>891218301505</v>
      </c>
      <c r="J61" s="8" t="s">
        <v>1533</v>
      </c>
      <c r="K61" s="8" t="s">
        <v>1721</v>
      </c>
      <c r="L61" s="8" t="s">
        <v>1722</v>
      </c>
      <c r="M61" s="8">
        <v>113</v>
      </c>
      <c r="N61" s="8">
        <v>87757369899</v>
      </c>
      <c r="O61" s="8">
        <v>0</v>
      </c>
      <c r="P61" s="8">
        <v>400000</v>
      </c>
      <c r="Q61" s="8" t="s">
        <v>302</v>
      </c>
    </row>
    <row r="62" spans="1:17" ht="13.2">
      <c r="A62" s="26">
        <v>45478.709106076392</v>
      </c>
      <c r="B62" s="8" t="s">
        <v>1049</v>
      </c>
      <c r="C62" s="8" t="s">
        <v>1723</v>
      </c>
      <c r="D62" s="8" t="s">
        <v>1081</v>
      </c>
      <c r="E62" s="8" t="s">
        <v>1697</v>
      </c>
      <c r="F62" s="82" t="s">
        <v>1724</v>
      </c>
      <c r="G62" s="27">
        <v>42468</v>
      </c>
      <c r="H62" s="8" t="s">
        <v>1371</v>
      </c>
      <c r="I62" s="8">
        <v>910413300658</v>
      </c>
      <c r="J62" s="8" t="s">
        <v>1541</v>
      </c>
      <c r="K62" s="8" t="s">
        <v>1725</v>
      </c>
      <c r="L62" s="8" t="s">
        <v>1726</v>
      </c>
      <c r="M62" s="8">
        <v>32</v>
      </c>
      <c r="N62" s="8">
        <v>87072677383</v>
      </c>
      <c r="O62" s="8">
        <v>380000</v>
      </c>
      <c r="P62" s="8">
        <v>0</v>
      </c>
      <c r="Q62" s="8" t="s">
        <v>278</v>
      </c>
    </row>
    <row r="63" spans="1:17" ht="13.2">
      <c r="A63" s="26">
        <v>45479.489633877311</v>
      </c>
      <c r="B63" s="8" t="s">
        <v>1049</v>
      </c>
      <c r="C63" s="8" t="s">
        <v>1727</v>
      </c>
      <c r="D63" s="8" t="s">
        <v>1232</v>
      </c>
      <c r="E63" s="8" t="s">
        <v>1728</v>
      </c>
      <c r="F63" s="82" t="s">
        <v>1729</v>
      </c>
      <c r="G63" s="27">
        <v>45009</v>
      </c>
      <c r="H63" s="8" t="s">
        <v>1371</v>
      </c>
      <c r="I63" s="8">
        <v>910903400937</v>
      </c>
      <c r="J63" s="8" t="s">
        <v>1730</v>
      </c>
      <c r="K63" s="8" t="s">
        <v>1731</v>
      </c>
      <c r="L63" s="8" t="s">
        <v>1732</v>
      </c>
      <c r="M63" s="8">
        <v>34</v>
      </c>
      <c r="N63" s="8">
        <v>87077329280</v>
      </c>
      <c r="O63" s="8">
        <v>0</v>
      </c>
      <c r="P63" s="8">
        <v>320000</v>
      </c>
      <c r="Q63" s="8" t="s">
        <v>280</v>
      </c>
    </row>
    <row r="64" spans="1:17" ht="13.2">
      <c r="A64" s="26">
        <v>45481.782391574074</v>
      </c>
      <c r="B64" s="8" t="s">
        <v>1049</v>
      </c>
      <c r="C64" s="8" t="s">
        <v>1733</v>
      </c>
      <c r="D64" s="8" t="s">
        <v>1262</v>
      </c>
      <c r="E64" s="8" t="s">
        <v>1111</v>
      </c>
      <c r="F64" s="82" t="s">
        <v>1734</v>
      </c>
      <c r="G64" s="27">
        <v>44502</v>
      </c>
      <c r="H64" s="8" t="s">
        <v>1371</v>
      </c>
      <c r="I64" s="8">
        <v>850302302788</v>
      </c>
      <c r="J64" s="8" t="s">
        <v>1372</v>
      </c>
      <c r="K64" s="8" t="s">
        <v>1735</v>
      </c>
      <c r="L64" s="8" t="s">
        <v>1736</v>
      </c>
      <c r="M64" s="8" t="s">
        <v>1737</v>
      </c>
      <c r="N64" s="8">
        <v>87071080444</v>
      </c>
      <c r="O64" s="8">
        <v>380000</v>
      </c>
      <c r="P64" s="8">
        <v>0</v>
      </c>
      <c r="Q64" s="8" t="s">
        <v>259</v>
      </c>
    </row>
    <row r="65" spans="1:17" ht="13.2">
      <c r="A65" s="26">
        <v>45482.48769253472</v>
      </c>
      <c r="B65" s="8" t="s">
        <v>1049</v>
      </c>
      <c r="C65" s="8" t="s">
        <v>1738</v>
      </c>
      <c r="D65" s="8" t="s">
        <v>1739</v>
      </c>
      <c r="E65" s="8" t="s">
        <v>1740</v>
      </c>
      <c r="F65" s="82" t="s">
        <v>1741</v>
      </c>
      <c r="G65" s="27">
        <v>44511</v>
      </c>
      <c r="H65" s="8" t="s">
        <v>1371</v>
      </c>
      <c r="I65" s="8">
        <v>830921350343</v>
      </c>
      <c r="J65" s="8" t="s">
        <v>1372</v>
      </c>
      <c r="K65" s="8" t="s">
        <v>1742</v>
      </c>
      <c r="L65" s="8" t="s">
        <v>1743</v>
      </c>
      <c r="M65" s="8" t="s">
        <v>1744</v>
      </c>
      <c r="N65" s="8">
        <v>87074141877</v>
      </c>
      <c r="O65" s="8">
        <v>0</v>
      </c>
      <c r="P65" s="8">
        <v>340000</v>
      </c>
      <c r="Q65" s="8" t="s">
        <v>266</v>
      </c>
    </row>
    <row r="66" spans="1:17" ht="13.2">
      <c r="A66" s="26">
        <v>45482.720718819444</v>
      </c>
      <c r="B66" s="8" t="s">
        <v>1122</v>
      </c>
      <c r="C66" s="8" t="s">
        <v>1745</v>
      </c>
      <c r="D66" s="8" t="s">
        <v>1264</v>
      </c>
      <c r="E66" s="8" t="s">
        <v>1746</v>
      </c>
      <c r="F66" s="82" t="s">
        <v>1747</v>
      </c>
      <c r="G66" s="27">
        <v>45272</v>
      </c>
      <c r="H66" s="8" t="s">
        <v>1431</v>
      </c>
      <c r="I66" s="8">
        <v>641120350143</v>
      </c>
      <c r="J66" s="8" t="s">
        <v>1564</v>
      </c>
      <c r="K66" s="8" t="s">
        <v>1748</v>
      </c>
      <c r="L66" s="8" t="s">
        <v>1749</v>
      </c>
      <c r="M66" s="8" t="s">
        <v>1750</v>
      </c>
      <c r="N66" s="8">
        <v>87711103283</v>
      </c>
      <c r="O66" s="8">
        <v>380000</v>
      </c>
      <c r="P66" s="8">
        <v>50000</v>
      </c>
      <c r="Q66" s="8" t="s">
        <v>303</v>
      </c>
    </row>
    <row r="67" spans="1:17" ht="13.2">
      <c r="A67" s="26">
        <v>45484.535385740739</v>
      </c>
      <c r="B67" s="8" t="s">
        <v>1071</v>
      </c>
      <c r="C67" s="8" t="s">
        <v>1751</v>
      </c>
      <c r="D67" s="8" t="s">
        <v>1752</v>
      </c>
      <c r="E67" s="8" t="s">
        <v>1191</v>
      </c>
      <c r="F67" s="82" t="s">
        <v>1753</v>
      </c>
      <c r="G67" s="27">
        <v>43003</v>
      </c>
      <c r="H67" s="8" t="s">
        <v>1371</v>
      </c>
      <c r="I67" s="8">
        <v>800501300358</v>
      </c>
      <c r="J67" s="8" t="s">
        <v>1754</v>
      </c>
      <c r="K67" s="8" t="s">
        <v>1755</v>
      </c>
      <c r="L67" s="8" t="s">
        <v>1756</v>
      </c>
      <c r="M67" s="8">
        <v>42</v>
      </c>
      <c r="N67" s="8">
        <v>87719096487</v>
      </c>
      <c r="O67" s="8">
        <v>410000</v>
      </c>
      <c r="P67" s="8">
        <v>70000</v>
      </c>
      <c r="Q67" s="8" t="s">
        <v>294</v>
      </c>
    </row>
    <row r="68" spans="1:17" ht="13.2">
      <c r="A68" s="26">
        <v>45484.653681238429</v>
      </c>
      <c r="B68" s="8" t="s">
        <v>1122</v>
      </c>
      <c r="C68" s="8" t="s">
        <v>1757</v>
      </c>
      <c r="D68" s="8" t="s">
        <v>1758</v>
      </c>
      <c r="E68" s="8" t="s">
        <v>1759</v>
      </c>
      <c r="F68" s="82" t="s">
        <v>1760</v>
      </c>
      <c r="G68" s="27">
        <v>43448</v>
      </c>
      <c r="H68" s="8" t="s">
        <v>1371</v>
      </c>
      <c r="I68" s="8">
        <v>850207351323</v>
      </c>
      <c r="J68" s="8" t="s">
        <v>1564</v>
      </c>
      <c r="K68" s="8" t="s">
        <v>1565</v>
      </c>
      <c r="L68" s="8" t="s">
        <v>1761</v>
      </c>
      <c r="M68" s="8" t="s">
        <v>1762</v>
      </c>
      <c r="N68" s="8">
        <v>87025555565</v>
      </c>
      <c r="O68" s="8">
        <v>0</v>
      </c>
      <c r="P68" s="8">
        <v>320000</v>
      </c>
      <c r="Q68" s="8" t="s">
        <v>206</v>
      </c>
    </row>
    <row r="69" spans="1:17" ht="13.2">
      <c r="A69" s="26">
        <v>45484.668241296298</v>
      </c>
      <c r="B69" s="8" t="s">
        <v>1071</v>
      </c>
      <c r="C69" s="8" t="s">
        <v>1763</v>
      </c>
      <c r="D69" s="8" t="s">
        <v>1764</v>
      </c>
      <c r="E69" s="8" t="s">
        <v>1551</v>
      </c>
      <c r="F69" s="82" t="s">
        <v>1765</v>
      </c>
      <c r="G69" s="27">
        <v>42362</v>
      </c>
      <c r="H69" s="8" t="s">
        <v>1371</v>
      </c>
      <c r="I69" s="8">
        <v>790521302140</v>
      </c>
      <c r="J69" s="8" t="s">
        <v>1403</v>
      </c>
      <c r="K69" s="8" t="s">
        <v>1766</v>
      </c>
      <c r="L69" s="8" t="s">
        <v>1767</v>
      </c>
      <c r="M69" s="8" t="s">
        <v>1768</v>
      </c>
      <c r="N69" s="8">
        <v>87775198432</v>
      </c>
      <c r="O69" s="8">
        <v>370000</v>
      </c>
      <c r="P69" s="8">
        <v>0</v>
      </c>
      <c r="Q69" s="8" t="s">
        <v>218</v>
      </c>
    </row>
    <row r="70" spans="1:17" ht="13.2">
      <c r="A70" s="26">
        <v>45485.50514361111</v>
      </c>
      <c r="B70" s="8" t="s">
        <v>1049</v>
      </c>
      <c r="C70" s="8" t="s">
        <v>1769</v>
      </c>
      <c r="D70" s="8" t="s">
        <v>1770</v>
      </c>
      <c r="E70" s="8" t="s">
        <v>1771</v>
      </c>
      <c r="F70" s="82" t="s">
        <v>1772</v>
      </c>
      <c r="G70" s="27">
        <v>42249</v>
      </c>
      <c r="H70" s="8" t="s">
        <v>1431</v>
      </c>
      <c r="I70" s="8">
        <v>770215301244</v>
      </c>
      <c r="J70" s="8" t="s">
        <v>1541</v>
      </c>
      <c r="K70" s="8" t="s">
        <v>1773</v>
      </c>
      <c r="L70" s="8" t="s">
        <v>1774</v>
      </c>
      <c r="M70" s="8" t="s">
        <v>1775</v>
      </c>
      <c r="N70" s="8">
        <v>87012993389</v>
      </c>
      <c r="O70" s="8">
        <v>380000</v>
      </c>
      <c r="P70" s="8">
        <v>0</v>
      </c>
      <c r="Q70" s="8" t="s">
        <v>269</v>
      </c>
    </row>
    <row r="71" spans="1:17" ht="13.2">
      <c r="A71" s="26">
        <v>45485.50760449074</v>
      </c>
      <c r="B71" s="8" t="s">
        <v>1049</v>
      </c>
      <c r="C71" s="8" t="s">
        <v>1776</v>
      </c>
      <c r="D71" s="8" t="s">
        <v>1244</v>
      </c>
      <c r="E71" s="8" t="s">
        <v>1480</v>
      </c>
      <c r="F71" s="82" t="s">
        <v>1777</v>
      </c>
      <c r="G71" s="27">
        <v>44557</v>
      </c>
      <c r="H71" s="8" t="s">
        <v>1371</v>
      </c>
      <c r="I71" s="8">
        <v>670204302152</v>
      </c>
      <c r="J71" s="8" t="s">
        <v>1541</v>
      </c>
      <c r="K71" s="8" t="s">
        <v>1778</v>
      </c>
      <c r="L71" s="8" t="s">
        <v>1779</v>
      </c>
      <c r="M71" s="8" t="s">
        <v>1780</v>
      </c>
      <c r="N71" s="8">
        <v>87714078351</v>
      </c>
      <c r="O71" s="8">
        <v>380000</v>
      </c>
      <c r="P71" s="8">
        <v>0</v>
      </c>
      <c r="Q71" s="8" t="s">
        <v>267</v>
      </c>
    </row>
    <row r="72" spans="1:17" ht="13.2">
      <c r="A72" s="26">
        <v>45488.74159174769</v>
      </c>
      <c r="B72" s="8" t="s">
        <v>1049</v>
      </c>
      <c r="C72" s="8" t="s">
        <v>1781</v>
      </c>
      <c r="D72" s="8" t="s">
        <v>1782</v>
      </c>
      <c r="E72" s="8" t="s">
        <v>1783</v>
      </c>
      <c r="F72" s="82" t="s">
        <v>1784</v>
      </c>
      <c r="G72" s="27">
        <v>41969</v>
      </c>
      <c r="H72" s="8" t="s">
        <v>1371</v>
      </c>
      <c r="I72" s="8">
        <v>691129402455</v>
      </c>
      <c r="J72" s="8" t="s">
        <v>1541</v>
      </c>
      <c r="K72" s="8" t="s">
        <v>1785</v>
      </c>
      <c r="L72" s="8" t="s">
        <v>1786</v>
      </c>
      <c r="M72" s="8" t="s">
        <v>1775</v>
      </c>
      <c r="N72" s="8">
        <v>87078776892</v>
      </c>
      <c r="O72" s="8">
        <v>380000</v>
      </c>
      <c r="P72" s="8">
        <v>0</v>
      </c>
      <c r="Q72" s="8" t="s">
        <v>317</v>
      </c>
    </row>
    <row r="73" spans="1:17" ht="13.2">
      <c r="A73" s="26">
        <v>45489.63758678241</v>
      </c>
      <c r="B73" s="8" t="s">
        <v>1122</v>
      </c>
      <c r="C73" s="8" t="s">
        <v>1787</v>
      </c>
      <c r="D73" s="8" t="s">
        <v>1407</v>
      </c>
      <c r="E73" s="8" t="s">
        <v>1788</v>
      </c>
      <c r="F73" s="82" t="s">
        <v>1789</v>
      </c>
      <c r="G73" s="27">
        <v>43320</v>
      </c>
      <c r="H73" s="8" t="s">
        <v>1371</v>
      </c>
      <c r="I73" s="8">
        <v>730827350341</v>
      </c>
      <c r="J73" s="8" t="s">
        <v>1533</v>
      </c>
      <c r="K73" s="8" t="s">
        <v>1790</v>
      </c>
      <c r="L73" s="8" t="s">
        <v>1791</v>
      </c>
      <c r="M73" s="8" t="s">
        <v>1583</v>
      </c>
      <c r="N73" s="8">
        <v>87774953031</v>
      </c>
      <c r="O73" s="8">
        <v>380000</v>
      </c>
      <c r="P73" s="8">
        <v>0</v>
      </c>
      <c r="Q73" s="8" t="s">
        <v>216</v>
      </c>
    </row>
    <row r="74" spans="1:17" ht="13.2">
      <c r="A74" s="26">
        <v>45489.724731527778</v>
      </c>
      <c r="B74" s="8" t="s">
        <v>1122</v>
      </c>
      <c r="C74" s="8" t="s">
        <v>1792</v>
      </c>
      <c r="D74" s="8" t="s">
        <v>1239</v>
      </c>
      <c r="E74" s="8" t="s">
        <v>1793</v>
      </c>
      <c r="F74" s="82" t="s">
        <v>1794</v>
      </c>
      <c r="G74" s="27">
        <v>43458</v>
      </c>
      <c r="H74" s="8" t="s">
        <v>1371</v>
      </c>
      <c r="I74" s="8">
        <v>770510350147</v>
      </c>
      <c r="J74" s="8" t="s">
        <v>1564</v>
      </c>
      <c r="K74" s="8" t="s">
        <v>1548</v>
      </c>
      <c r="L74" s="8" t="s">
        <v>1795</v>
      </c>
      <c r="M74" s="8" t="s">
        <v>1796</v>
      </c>
      <c r="N74" s="8">
        <v>87056317256</v>
      </c>
      <c r="O74" s="8">
        <v>0</v>
      </c>
      <c r="P74" s="8">
        <v>340000</v>
      </c>
      <c r="Q74" s="8" t="s">
        <v>214</v>
      </c>
    </row>
    <row r="75" spans="1:17" ht="13.2">
      <c r="A75" s="26">
        <v>45491.408613587962</v>
      </c>
      <c r="B75" s="8" t="s">
        <v>1122</v>
      </c>
      <c r="C75" s="8" t="s">
        <v>1797</v>
      </c>
      <c r="D75" s="8" t="s">
        <v>1268</v>
      </c>
      <c r="E75" s="8" t="s">
        <v>1798</v>
      </c>
      <c r="F75" s="82" t="s">
        <v>1799</v>
      </c>
      <c r="G75" s="27">
        <v>44935</v>
      </c>
      <c r="H75" s="8" t="s">
        <v>1371</v>
      </c>
      <c r="I75" s="8">
        <v>961216350469</v>
      </c>
      <c r="J75" s="8" t="s">
        <v>1564</v>
      </c>
      <c r="K75" s="8" t="s">
        <v>1548</v>
      </c>
      <c r="L75" s="8" t="s">
        <v>1800</v>
      </c>
      <c r="M75" s="8" t="s">
        <v>1801</v>
      </c>
      <c r="N75" s="8">
        <v>87082146316</v>
      </c>
      <c r="O75" s="8">
        <v>380000</v>
      </c>
      <c r="P75" s="8">
        <v>0</v>
      </c>
      <c r="Q75" s="8" t="s">
        <v>209</v>
      </c>
    </row>
    <row r="76" spans="1:17" ht="13.2">
      <c r="A76" s="26">
        <v>45491.466495925924</v>
      </c>
      <c r="B76" s="8" t="s">
        <v>1071</v>
      </c>
      <c r="C76" s="8" t="s">
        <v>1802</v>
      </c>
      <c r="D76" s="8" t="s">
        <v>1803</v>
      </c>
      <c r="E76" s="8" t="s">
        <v>1804</v>
      </c>
      <c r="F76" s="82" t="s">
        <v>1805</v>
      </c>
      <c r="G76" s="27">
        <v>45141</v>
      </c>
      <c r="H76" s="8" t="s">
        <v>1371</v>
      </c>
      <c r="I76" s="8">
        <v>840512351042</v>
      </c>
      <c r="J76" s="8" t="s">
        <v>1806</v>
      </c>
      <c r="K76" s="8" t="s">
        <v>1807</v>
      </c>
      <c r="L76" s="8" t="s">
        <v>1808</v>
      </c>
      <c r="M76" s="8" t="s">
        <v>1809</v>
      </c>
      <c r="N76" s="8">
        <v>87018186335</v>
      </c>
      <c r="O76" s="8">
        <v>0</v>
      </c>
      <c r="P76" s="8">
        <v>370000</v>
      </c>
      <c r="Q76" s="8" t="s">
        <v>226</v>
      </c>
    </row>
    <row r="77" spans="1:17" ht="13.2">
      <c r="A77" s="26">
        <v>45491.518104641204</v>
      </c>
      <c r="B77" s="8" t="s">
        <v>1049</v>
      </c>
      <c r="C77" s="8" t="s">
        <v>1810</v>
      </c>
      <c r="D77" s="8" t="s">
        <v>1811</v>
      </c>
      <c r="E77" s="8" t="s">
        <v>1812</v>
      </c>
      <c r="F77" s="82" t="s">
        <v>1813</v>
      </c>
      <c r="G77" s="27">
        <v>39379</v>
      </c>
      <c r="H77" s="8" t="s">
        <v>1410</v>
      </c>
      <c r="I77" s="8">
        <v>820612301006</v>
      </c>
      <c r="J77" s="8" t="s">
        <v>1372</v>
      </c>
      <c r="K77" s="8" t="s">
        <v>1527</v>
      </c>
      <c r="L77" s="8" t="s">
        <v>1814</v>
      </c>
      <c r="M77" s="8" t="s">
        <v>1815</v>
      </c>
      <c r="N77" s="8">
        <v>87762230282</v>
      </c>
      <c r="O77" s="8">
        <v>0</v>
      </c>
      <c r="P77" s="8">
        <v>350000</v>
      </c>
      <c r="Q77" s="8" t="s">
        <v>272</v>
      </c>
    </row>
    <row r="78" spans="1:17" ht="13.2">
      <c r="A78" s="26">
        <v>45492.436658923616</v>
      </c>
      <c r="B78" s="8" t="s">
        <v>1071</v>
      </c>
      <c r="C78" s="8" t="s">
        <v>1816</v>
      </c>
      <c r="D78" s="8" t="s">
        <v>1053</v>
      </c>
      <c r="E78" s="8" t="s">
        <v>1480</v>
      </c>
      <c r="F78" s="82" t="s">
        <v>1817</v>
      </c>
      <c r="G78" s="27">
        <v>44964</v>
      </c>
      <c r="H78" s="8" t="s">
        <v>1371</v>
      </c>
      <c r="I78" s="8">
        <v>970125350851</v>
      </c>
      <c r="J78" s="8" t="s">
        <v>1806</v>
      </c>
      <c r="K78" s="8" t="s">
        <v>1818</v>
      </c>
      <c r="L78" s="8" t="s">
        <v>1819</v>
      </c>
      <c r="M78" s="8">
        <v>32</v>
      </c>
      <c r="N78" s="8">
        <v>87054053900</v>
      </c>
      <c r="O78" s="8">
        <v>380000</v>
      </c>
      <c r="P78" s="8" t="s">
        <v>115</v>
      </c>
      <c r="Q78" s="8" t="s">
        <v>220</v>
      </c>
    </row>
    <row r="79" spans="1:17" ht="13.2">
      <c r="A79" s="26">
        <v>45492.497585844903</v>
      </c>
      <c r="B79" s="8" t="s">
        <v>1049</v>
      </c>
      <c r="C79" s="8" t="s">
        <v>1820</v>
      </c>
      <c r="D79" s="8" t="s">
        <v>1821</v>
      </c>
      <c r="E79" s="8" t="s">
        <v>1111</v>
      </c>
      <c r="F79" s="82" t="s">
        <v>1822</v>
      </c>
      <c r="G79" s="27">
        <v>43810</v>
      </c>
      <c r="H79" s="8" t="s">
        <v>1371</v>
      </c>
      <c r="I79" s="8">
        <v>750706302159</v>
      </c>
      <c r="J79" s="8" t="s">
        <v>1541</v>
      </c>
      <c r="K79" s="8" t="s">
        <v>1823</v>
      </c>
      <c r="L79" s="8" t="s">
        <v>1824</v>
      </c>
      <c r="M79" s="8" t="s">
        <v>1825</v>
      </c>
      <c r="N79" s="8">
        <v>87075009091</v>
      </c>
      <c r="O79" s="8">
        <v>0</v>
      </c>
      <c r="P79" s="8">
        <v>330000</v>
      </c>
      <c r="Q79" s="8" t="s">
        <v>270</v>
      </c>
    </row>
    <row r="80" spans="1:17" ht="13.2">
      <c r="A80" s="26">
        <v>45496.562639421296</v>
      </c>
      <c r="B80" s="8" t="s">
        <v>1049</v>
      </c>
      <c r="C80" s="8" t="s">
        <v>1826</v>
      </c>
      <c r="D80" s="8" t="s">
        <v>1262</v>
      </c>
      <c r="E80" s="8" t="s">
        <v>1111</v>
      </c>
      <c r="F80" s="82" t="s">
        <v>1827</v>
      </c>
      <c r="G80" s="27">
        <v>45470</v>
      </c>
      <c r="H80" s="8" t="s">
        <v>1371</v>
      </c>
      <c r="I80" s="8">
        <v>870531300840</v>
      </c>
      <c r="J80" s="8" t="s">
        <v>1541</v>
      </c>
      <c r="K80" s="8" t="s">
        <v>1828</v>
      </c>
      <c r="L80" s="8" t="s">
        <v>1829</v>
      </c>
      <c r="M80" s="8">
        <v>24</v>
      </c>
      <c r="N80" s="8">
        <v>87081037831</v>
      </c>
      <c r="O80" s="8">
        <v>360000</v>
      </c>
      <c r="P80" s="8">
        <v>0</v>
      </c>
      <c r="Q80" s="8" t="s">
        <v>263</v>
      </c>
    </row>
    <row r="81" spans="1:17" ht="13.2">
      <c r="A81" s="26">
        <v>45496.594392546293</v>
      </c>
      <c r="B81" s="8" t="s">
        <v>1049</v>
      </c>
      <c r="C81" s="8" t="s">
        <v>1830</v>
      </c>
      <c r="D81" s="8" t="s">
        <v>1831</v>
      </c>
      <c r="E81" s="8" t="s">
        <v>1832</v>
      </c>
      <c r="F81" s="82" t="s">
        <v>1833</v>
      </c>
      <c r="G81" s="27">
        <v>45173</v>
      </c>
      <c r="H81" s="8" t="s">
        <v>1371</v>
      </c>
      <c r="I81" s="8">
        <v>880914301306</v>
      </c>
      <c r="J81" s="8" t="s">
        <v>1834</v>
      </c>
      <c r="K81" s="8" t="s">
        <v>1835</v>
      </c>
      <c r="L81" s="8" t="s">
        <v>1836</v>
      </c>
      <c r="M81" s="8">
        <v>7</v>
      </c>
      <c r="N81" s="8">
        <v>87018196189</v>
      </c>
      <c r="O81" s="8">
        <v>360000</v>
      </c>
      <c r="P81" s="8">
        <v>0</v>
      </c>
      <c r="Q81" s="8" t="s">
        <v>253</v>
      </c>
    </row>
    <row r="82" spans="1:17" ht="13.2">
      <c r="A82" s="26">
        <v>45496.686840671297</v>
      </c>
      <c r="B82" s="8" t="s">
        <v>1049</v>
      </c>
      <c r="C82" s="8" t="s">
        <v>1837</v>
      </c>
      <c r="D82" s="8" t="s">
        <v>1838</v>
      </c>
      <c r="E82" s="8" t="s">
        <v>1839</v>
      </c>
      <c r="F82" s="82" t="s">
        <v>1840</v>
      </c>
      <c r="G82" s="27">
        <v>45414</v>
      </c>
      <c r="H82" s="8" t="s">
        <v>1371</v>
      </c>
      <c r="I82" s="8">
        <v>860307000147</v>
      </c>
      <c r="J82" s="8" t="s">
        <v>1392</v>
      </c>
      <c r="K82" s="8" t="s">
        <v>1841</v>
      </c>
      <c r="L82" s="8" t="s">
        <v>1842</v>
      </c>
      <c r="M82" s="8" t="s">
        <v>1843</v>
      </c>
      <c r="N82" s="8">
        <v>87073447308</v>
      </c>
      <c r="O82" s="8">
        <v>320000</v>
      </c>
      <c r="P82" s="8">
        <v>0</v>
      </c>
      <c r="Q82" s="8" t="s">
        <v>264</v>
      </c>
    </row>
    <row r="83" spans="1:17" ht="13.2">
      <c r="A83" s="26">
        <v>45497.50735320602</v>
      </c>
      <c r="B83" s="8" t="s">
        <v>1049</v>
      </c>
      <c r="C83" s="8" t="s">
        <v>1844</v>
      </c>
      <c r="D83" s="8" t="s">
        <v>1845</v>
      </c>
      <c r="E83" s="8" t="s">
        <v>1846</v>
      </c>
      <c r="F83" s="8">
        <v>0</v>
      </c>
      <c r="G83" s="27">
        <v>45497</v>
      </c>
      <c r="H83" s="8" t="s">
        <v>1371</v>
      </c>
      <c r="I83" s="8">
        <v>880220300157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320000</v>
      </c>
      <c r="Q83" s="8" t="s">
        <v>256</v>
      </c>
    </row>
    <row r="84" spans="1:17" ht="13.2">
      <c r="A84" s="26">
        <v>45497.510740717596</v>
      </c>
      <c r="B84" s="8" t="s">
        <v>1122</v>
      </c>
      <c r="C84" s="8" t="s">
        <v>1847</v>
      </c>
      <c r="D84" s="8" t="s">
        <v>1848</v>
      </c>
      <c r="E84" s="8" t="s">
        <v>1849</v>
      </c>
      <c r="F84" s="82" t="s">
        <v>1850</v>
      </c>
      <c r="G84" s="27">
        <v>45243</v>
      </c>
      <c r="H84" s="8" t="s">
        <v>1371</v>
      </c>
      <c r="I84" s="8">
        <v>870207450305</v>
      </c>
      <c r="J84" s="8" t="s">
        <v>1533</v>
      </c>
      <c r="K84" s="8" t="s">
        <v>1851</v>
      </c>
      <c r="L84" s="8" t="s">
        <v>1852</v>
      </c>
      <c r="M84" s="8" t="s">
        <v>1853</v>
      </c>
      <c r="N84" s="8">
        <v>87784547810</v>
      </c>
      <c r="O84" s="8">
        <v>380000</v>
      </c>
      <c r="P84" s="8">
        <v>0</v>
      </c>
      <c r="Q84" s="8" t="s">
        <v>202</v>
      </c>
    </row>
    <row r="85" spans="1:17" ht="13.2">
      <c r="A85" s="26">
        <v>45497.560448009259</v>
      </c>
      <c r="B85" s="8" t="s">
        <v>1122</v>
      </c>
      <c r="C85" s="8" t="s">
        <v>1854</v>
      </c>
      <c r="D85" s="8" t="s">
        <v>1855</v>
      </c>
      <c r="E85" s="8" t="s">
        <v>1856</v>
      </c>
      <c r="F85" s="82" t="s">
        <v>1857</v>
      </c>
      <c r="G85" s="27">
        <v>44973</v>
      </c>
      <c r="H85" s="8" t="s">
        <v>1371</v>
      </c>
      <c r="I85" s="8">
        <v>630614301681</v>
      </c>
      <c r="J85" s="8" t="s">
        <v>1564</v>
      </c>
      <c r="K85" s="8" t="s">
        <v>1858</v>
      </c>
      <c r="L85" s="8" t="s">
        <v>1859</v>
      </c>
      <c r="M85" s="8" t="s">
        <v>1860</v>
      </c>
      <c r="N85" s="8">
        <v>87026008836</v>
      </c>
      <c r="O85" s="8">
        <v>360000</v>
      </c>
      <c r="P85" s="8">
        <v>0</v>
      </c>
      <c r="Q85" s="8" t="s">
        <v>215</v>
      </c>
    </row>
    <row r="86" spans="1:17" ht="13.2">
      <c r="A86" s="26">
        <v>45498.574442974539</v>
      </c>
      <c r="B86" s="8" t="s">
        <v>1049</v>
      </c>
      <c r="C86" s="8" t="s">
        <v>1861</v>
      </c>
      <c r="D86" s="8" t="s">
        <v>1862</v>
      </c>
      <c r="E86" s="8" t="s">
        <v>1863</v>
      </c>
      <c r="F86" s="82" t="s">
        <v>1864</v>
      </c>
      <c r="G86" s="27">
        <v>44452</v>
      </c>
      <c r="H86" s="8" t="s">
        <v>1371</v>
      </c>
      <c r="I86" s="8">
        <v>860811301104</v>
      </c>
      <c r="J86" s="8" t="s">
        <v>1372</v>
      </c>
      <c r="K86" s="8" t="s">
        <v>1865</v>
      </c>
      <c r="L86" s="8" t="s">
        <v>1866</v>
      </c>
      <c r="M86" s="8" t="s">
        <v>1867</v>
      </c>
      <c r="N86" s="8">
        <v>87058796172</v>
      </c>
      <c r="O86" s="8">
        <v>460000</v>
      </c>
      <c r="P86" s="8">
        <v>0</v>
      </c>
      <c r="Q86" s="8" t="s">
        <v>364</v>
      </c>
    </row>
    <row r="87" spans="1:17" ht="13.2">
      <c r="A87" s="26">
        <v>45499.523816932866</v>
      </c>
      <c r="B87" s="8" t="s">
        <v>1071</v>
      </c>
      <c r="C87" s="8" t="s">
        <v>1868</v>
      </c>
      <c r="D87" s="8" t="s">
        <v>1262</v>
      </c>
      <c r="E87" s="8" t="s">
        <v>1111</v>
      </c>
      <c r="F87" s="82" t="s">
        <v>1869</v>
      </c>
      <c r="G87" s="27">
        <v>42628</v>
      </c>
      <c r="H87" s="8" t="s">
        <v>1371</v>
      </c>
      <c r="I87" s="8">
        <v>711001301371</v>
      </c>
      <c r="J87" s="8" t="s">
        <v>1403</v>
      </c>
      <c r="K87" s="8" t="s">
        <v>1766</v>
      </c>
      <c r="L87" s="8" t="s">
        <v>1870</v>
      </c>
      <c r="M87" s="8" t="s">
        <v>1871</v>
      </c>
      <c r="N87" s="8">
        <v>87718325882</v>
      </c>
      <c r="O87" s="8">
        <v>0</v>
      </c>
      <c r="P87" s="8">
        <v>340000</v>
      </c>
      <c r="Q87" s="8" t="s">
        <v>225</v>
      </c>
    </row>
    <row r="88" spans="1:17" ht="13.2">
      <c r="A88" s="26">
        <v>45503.611803981483</v>
      </c>
      <c r="B88" s="8" t="s">
        <v>1122</v>
      </c>
      <c r="C88" s="8" t="s">
        <v>1872</v>
      </c>
      <c r="D88" s="8" t="s">
        <v>1873</v>
      </c>
      <c r="E88" s="8" t="s">
        <v>1874</v>
      </c>
      <c r="F88" s="82" t="s">
        <v>1875</v>
      </c>
      <c r="G88" s="27">
        <v>44305</v>
      </c>
      <c r="H88" s="8" t="s">
        <v>1371</v>
      </c>
      <c r="I88" s="8">
        <v>901229401734</v>
      </c>
      <c r="J88" s="8" t="s">
        <v>1564</v>
      </c>
      <c r="K88" s="8" t="s">
        <v>1548</v>
      </c>
      <c r="L88" s="8" t="s">
        <v>1876</v>
      </c>
      <c r="M88" s="8" t="s">
        <v>1877</v>
      </c>
      <c r="N88" s="8">
        <v>87711643260</v>
      </c>
      <c r="O88" s="8">
        <v>0</v>
      </c>
      <c r="P88" s="8">
        <v>320000</v>
      </c>
      <c r="Q88" s="8" t="s">
        <v>227</v>
      </c>
    </row>
    <row r="89" spans="1:17" ht="13.2">
      <c r="A89" s="26">
        <v>45504.631755798611</v>
      </c>
      <c r="B89" s="8" t="s">
        <v>1071</v>
      </c>
      <c r="C89" s="8" t="s">
        <v>1878</v>
      </c>
      <c r="D89" s="8" t="s">
        <v>1879</v>
      </c>
      <c r="E89" s="8" t="s">
        <v>1880</v>
      </c>
      <c r="F89" s="82" t="s">
        <v>1881</v>
      </c>
      <c r="G89" s="27">
        <v>38296</v>
      </c>
      <c r="H89" s="8" t="s">
        <v>1371</v>
      </c>
      <c r="I89" s="8">
        <v>580801350535</v>
      </c>
      <c r="J89" s="8" t="s">
        <v>1882</v>
      </c>
      <c r="K89" s="8" t="s">
        <v>1883</v>
      </c>
      <c r="L89" s="8" t="s">
        <v>1884</v>
      </c>
      <c r="M89" s="8">
        <v>11</v>
      </c>
      <c r="N89" s="8">
        <v>87074322039</v>
      </c>
      <c r="O89" s="8">
        <v>380000</v>
      </c>
      <c r="P89" s="8">
        <v>0</v>
      </c>
      <c r="Q89" s="8" t="s">
        <v>204</v>
      </c>
    </row>
    <row r="90" spans="1:17" ht="13.2">
      <c r="A90" s="26">
        <v>45504.697555868057</v>
      </c>
      <c r="B90" s="8" t="s">
        <v>1049</v>
      </c>
      <c r="C90" s="8" t="s">
        <v>1885</v>
      </c>
      <c r="D90" s="8" t="s">
        <v>1886</v>
      </c>
      <c r="E90" s="8" t="s">
        <v>1887</v>
      </c>
      <c r="F90" s="82" t="s">
        <v>1888</v>
      </c>
      <c r="G90" s="27">
        <v>44092</v>
      </c>
      <c r="H90" s="8" t="s">
        <v>1371</v>
      </c>
      <c r="I90" s="8">
        <v>930815301944</v>
      </c>
      <c r="J90" s="8" t="s">
        <v>1889</v>
      </c>
      <c r="K90" s="8" t="s">
        <v>1890</v>
      </c>
      <c r="L90" s="8" t="s">
        <v>1891</v>
      </c>
      <c r="M90" s="8" t="s">
        <v>1892</v>
      </c>
      <c r="N90" s="8">
        <v>87025514793</v>
      </c>
      <c r="O90" s="8">
        <v>360000</v>
      </c>
      <c r="P90" s="8">
        <v>0</v>
      </c>
      <c r="Q90" s="8" t="s">
        <v>257</v>
      </c>
    </row>
    <row r="91" spans="1:17" ht="13.2">
      <c r="A91" s="26">
        <v>45504.703963935186</v>
      </c>
      <c r="B91" s="8" t="s">
        <v>1049</v>
      </c>
      <c r="C91" s="8" t="s">
        <v>1893</v>
      </c>
      <c r="D91" s="8" t="s">
        <v>1256</v>
      </c>
      <c r="E91" s="8" t="s">
        <v>1386</v>
      </c>
      <c r="F91" s="82" t="s">
        <v>1894</v>
      </c>
      <c r="G91" s="27">
        <v>44791</v>
      </c>
      <c r="H91" s="8" t="s">
        <v>1371</v>
      </c>
      <c r="I91" s="8">
        <v>831122300643</v>
      </c>
      <c r="J91" s="8" t="s">
        <v>1541</v>
      </c>
      <c r="K91" s="8" t="s">
        <v>1895</v>
      </c>
      <c r="L91" s="8" t="s">
        <v>1896</v>
      </c>
      <c r="M91" s="8" t="s">
        <v>1897</v>
      </c>
      <c r="N91" s="8">
        <v>87771880880</v>
      </c>
      <c r="O91" s="8">
        <v>380000</v>
      </c>
      <c r="P91" s="8">
        <v>0</v>
      </c>
      <c r="Q91" s="8" t="s">
        <v>312</v>
      </c>
    </row>
    <row r="92" spans="1:17" ht="13.2">
      <c r="A92" s="26">
        <v>45504.738705185184</v>
      </c>
      <c r="B92" s="8" t="s">
        <v>1049</v>
      </c>
      <c r="C92" s="8" t="s">
        <v>1898</v>
      </c>
      <c r="D92" s="8" t="s">
        <v>1899</v>
      </c>
      <c r="E92" s="8" t="s">
        <v>1900</v>
      </c>
      <c r="F92" s="82" t="s">
        <v>1901</v>
      </c>
      <c r="G92" s="27">
        <v>43903</v>
      </c>
      <c r="H92" s="8" t="s">
        <v>1371</v>
      </c>
      <c r="I92" s="8">
        <v>700408301786</v>
      </c>
      <c r="J92" s="8" t="s">
        <v>1902</v>
      </c>
      <c r="K92" s="8" t="s">
        <v>1903</v>
      </c>
      <c r="L92" s="8" t="s">
        <v>1904</v>
      </c>
      <c r="M92" s="8" t="s">
        <v>1905</v>
      </c>
      <c r="N92" s="8">
        <v>87773342870</v>
      </c>
      <c r="O92" s="8">
        <v>370000</v>
      </c>
      <c r="P92" s="8">
        <v>0</v>
      </c>
      <c r="Q92" s="8" t="s">
        <v>239</v>
      </c>
    </row>
    <row r="93" spans="1:17" ht="13.2">
      <c r="A93" s="26">
        <v>45509.452966435187</v>
      </c>
      <c r="B93" s="8" t="s">
        <v>1071</v>
      </c>
      <c r="C93" s="8" t="s">
        <v>1906</v>
      </c>
      <c r="D93" s="8" t="s">
        <v>1053</v>
      </c>
      <c r="E93" s="8" t="s">
        <v>1153</v>
      </c>
      <c r="F93" s="82" t="s">
        <v>1907</v>
      </c>
      <c r="G93" s="27">
        <v>44897</v>
      </c>
      <c r="H93" s="8" t="s">
        <v>1371</v>
      </c>
      <c r="I93" s="8">
        <v>811013350702</v>
      </c>
      <c r="J93" s="8" t="s">
        <v>1908</v>
      </c>
      <c r="K93" s="8" t="s">
        <v>1909</v>
      </c>
      <c r="L93" s="8" t="s">
        <v>1910</v>
      </c>
      <c r="M93" s="8" t="s">
        <v>1911</v>
      </c>
      <c r="N93" s="8">
        <v>87027535221</v>
      </c>
      <c r="O93" s="8">
        <v>0</v>
      </c>
      <c r="P93" s="8">
        <v>435000</v>
      </c>
      <c r="Q93" s="8" t="s">
        <v>295</v>
      </c>
    </row>
    <row r="94" spans="1:17" ht="13.2">
      <c r="A94" s="26">
        <v>45510.466764988421</v>
      </c>
      <c r="B94" s="8" t="s">
        <v>1122</v>
      </c>
      <c r="C94" s="8" t="s">
        <v>1912</v>
      </c>
      <c r="D94" s="8" t="s">
        <v>1689</v>
      </c>
      <c r="E94" s="8" t="s">
        <v>1913</v>
      </c>
      <c r="F94" s="82" t="s">
        <v>1914</v>
      </c>
      <c r="G94" s="27">
        <v>44784</v>
      </c>
      <c r="H94" s="8" t="s">
        <v>1371</v>
      </c>
      <c r="I94" s="8">
        <v>950322351914</v>
      </c>
      <c r="J94" s="8" t="s">
        <v>1564</v>
      </c>
      <c r="K94" s="8" t="s">
        <v>1748</v>
      </c>
      <c r="L94" s="8" t="s">
        <v>1915</v>
      </c>
      <c r="M94" s="96">
        <v>45298</v>
      </c>
      <c r="N94" s="8">
        <v>87058866140</v>
      </c>
      <c r="O94" s="8">
        <v>340000</v>
      </c>
      <c r="P94" s="8">
        <v>34000</v>
      </c>
      <c r="Q94" s="8" t="s">
        <v>258</v>
      </c>
    </row>
    <row r="95" spans="1:17" ht="13.2">
      <c r="A95" s="26">
        <v>45510.643988483796</v>
      </c>
      <c r="B95" s="8" t="s">
        <v>1071</v>
      </c>
      <c r="C95" s="8" t="s">
        <v>1916</v>
      </c>
      <c r="D95" s="8" t="s">
        <v>1385</v>
      </c>
      <c r="E95" s="8" t="s">
        <v>1055</v>
      </c>
      <c r="F95" s="82" t="s">
        <v>1917</v>
      </c>
      <c r="G95" s="27">
        <v>43978</v>
      </c>
      <c r="H95" s="8" t="s">
        <v>1371</v>
      </c>
      <c r="I95" s="8">
        <v>660923300867</v>
      </c>
      <c r="J95" s="8" t="s">
        <v>1908</v>
      </c>
      <c r="K95" s="8" t="s">
        <v>1918</v>
      </c>
      <c r="L95" s="8" t="s">
        <v>1919</v>
      </c>
      <c r="M95" s="8">
        <v>26</v>
      </c>
      <c r="N95" s="8">
        <v>87058302966</v>
      </c>
      <c r="O95" s="8">
        <v>0</v>
      </c>
      <c r="P95" s="8">
        <v>400000</v>
      </c>
      <c r="Q95" s="8" t="s">
        <v>200</v>
      </c>
    </row>
    <row r="96" spans="1:17" ht="13.2">
      <c r="A96" s="26">
        <v>45511.685052638888</v>
      </c>
      <c r="B96" s="8" t="s">
        <v>1049</v>
      </c>
      <c r="C96" s="8" t="s">
        <v>1920</v>
      </c>
      <c r="D96" s="8" t="s">
        <v>1921</v>
      </c>
      <c r="E96" s="8" t="s">
        <v>1922</v>
      </c>
      <c r="F96" s="8">
        <v>0</v>
      </c>
      <c r="G96" s="27">
        <v>45518</v>
      </c>
      <c r="H96" s="8" t="s">
        <v>1371</v>
      </c>
      <c r="I96" s="8">
        <v>780407301705</v>
      </c>
      <c r="J96" s="8">
        <v>0</v>
      </c>
      <c r="K96" s="8" t="s">
        <v>1923</v>
      </c>
      <c r="L96" s="8">
        <v>0</v>
      </c>
      <c r="M96" s="8">
        <v>0</v>
      </c>
      <c r="N96" s="8">
        <v>0</v>
      </c>
      <c r="O96" s="8">
        <v>320000</v>
      </c>
      <c r="P96" s="8">
        <v>0</v>
      </c>
      <c r="Q96" s="8" t="s">
        <v>251</v>
      </c>
    </row>
    <row r="97" spans="1:17" ht="13.2">
      <c r="A97" s="26">
        <v>45514.559119733793</v>
      </c>
      <c r="B97" s="8" t="s">
        <v>1049</v>
      </c>
      <c r="C97" s="8" t="s">
        <v>1924</v>
      </c>
      <c r="D97" s="8" t="s">
        <v>1925</v>
      </c>
      <c r="E97" s="8" t="s">
        <v>1926</v>
      </c>
      <c r="F97" s="82" t="s">
        <v>1927</v>
      </c>
      <c r="G97" s="27">
        <v>45169</v>
      </c>
      <c r="H97" s="8" t="s">
        <v>1371</v>
      </c>
      <c r="I97" s="8">
        <v>80818400293</v>
      </c>
      <c r="J97" s="8" t="s">
        <v>1372</v>
      </c>
      <c r="K97" s="8" t="s">
        <v>1928</v>
      </c>
      <c r="L97" s="8" t="s">
        <v>1929</v>
      </c>
      <c r="M97" s="8" t="s">
        <v>1529</v>
      </c>
      <c r="N97" s="8">
        <v>87057760007</v>
      </c>
      <c r="O97" s="8">
        <v>0</v>
      </c>
      <c r="P97" s="8">
        <v>340000</v>
      </c>
      <c r="Q97" s="8" t="s">
        <v>282</v>
      </c>
    </row>
    <row r="98" spans="1:17" ht="13.2">
      <c r="A98" s="26">
        <v>45517.444160231476</v>
      </c>
      <c r="B98" s="8" t="s">
        <v>1122</v>
      </c>
      <c r="C98" s="8" t="s">
        <v>1930</v>
      </c>
      <c r="D98" s="8" t="s">
        <v>1931</v>
      </c>
      <c r="E98" s="8" t="s">
        <v>1932</v>
      </c>
      <c r="F98" s="82" t="s">
        <v>1933</v>
      </c>
      <c r="G98" s="27">
        <v>43857</v>
      </c>
      <c r="H98" s="8" t="s">
        <v>1371</v>
      </c>
      <c r="I98" s="8">
        <v>840818351442</v>
      </c>
      <c r="J98" s="8" t="s">
        <v>1403</v>
      </c>
      <c r="K98" s="8" t="s">
        <v>1934</v>
      </c>
      <c r="L98" s="8" t="s">
        <v>1935</v>
      </c>
      <c r="M98" s="8" t="s">
        <v>1936</v>
      </c>
      <c r="N98" s="8">
        <v>87028211828</v>
      </c>
      <c r="O98" s="8">
        <v>380000</v>
      </c>
      <c r="P98" s="8">
        <v>0</v>
      </c>
      <c r="Q98" s="8" t="s">
        <v>208</v>
      </c>
    </row>
    <row r="99" spans="1:17" ht="13.2">
      <c r="A99" s="26">
        <v>45518.589509907411</v>
      </c>
      <c r="B99" s="8" t="s">
        <v>1049</v>
      </c>
      <c r="C99" s="8" t="s">
        <v>1937</v>
      </c>
      <c r="D99" s="8" t="s">
        <v>1938</v>
      </c>
      <c r="E99" s="8" t="s">
        <v>1939</v>
      </c>
      <c r="F99" s="82" t="s">
        <v>1940</v>
      </c>
      <c r="G99" s="27">
        <v>44467</v>
      </c>
      <c r="H99" s="8" t="s">
        <v>1371</v>
      </c>
      <c r="I99" s="8">
        <v>790612302244</v>
      </c>
      <c r="J99" s="8" t="s">
        <v>1372</v>
      </c>
      <c r="K99" s="8" t="s">
        <v>1941</v>
      </c>
      <c r="L99" s="8" t="s">
        <v>1942</v>
      </c>
      <c r="M99" s="8" t="s">
        <v>1943</v>
      </c>
      <c r="N99" s="8">
        <v>87714224243</v>
      </c>
      <c r="O99" s="8">
        <v>380000</v>
      </c>
      <c r="P99" s="8">
        <v>0</v>
      </c>
      <c r="Q99" s="8" t="s">
        <v>240</v>
      </c>
    </row>
    <row r="100" spans="1:17" ht="13.2">
      <c r="A100" s="26">
        <v>45519.542948032409</v>
      </c>
      <c r="B100" s="8" t="s">
        <v>1122</v>
      </c>
      <c r="C100" s="8" t="s">
        <v>1944</v>
      </c>
      <c r="D100" s="8" t="s">
        <v>1945</v>
      </c>
      <c r="E100" s="8" t="s">
        <v>1832</v>
      </c>
      <c r="F100" s="82" t="s">
        <v>1946</v>
      </c>
      <c r="G100" s="27">
        <v>45519</v>
      </c>
      <c r="H100" s="8" t="s">
        <v>1371</v>
      </c>
      <c r="I100" s="82" t="s">
        <v>1947</v>
      </c>
      <c r="J100" s="8" t="s">
        <v>1948</v>
      </c>
      <c r="K100" s="8" t="s">
        <v>1949</v>
      </c>
      <c r="L100" s="8" t="s">
        <v>1950</v>
      </c>
      <c r="M100" s="8" t="s">
        <v>1951</v>
      </c>
      <c r="N100" s="8">
        <v>87470382433</v>
      </c>
      <c r="O100" s="8">
        <v>0</v>
      </c>
      <c r="P100" s="8">
        <v>320000</v>
      </c>
      <c r="Q100" s="8" t="s">
        <v>203</v>
      </c>
    </row>
    <row r="101" spans="1:17" ht="13.2">
      <c r="A101" s="26">
        <v>45519.613019756944</v>
      </c>
      <c r="B101" s="8" t="s">
        <v>1049</v>
      </c>
      <c r="C101" s="8" t="s">
        <v>1952</v>
      </c>
      <c r="D101" s="8" t="s">
        <v>1953</v>
      </c>
      <c r="E101" s="8" t="s">
        <v>1954</v>
      </c>
      <c r="F101" s="82" t="s">
        <v>1955</v>
      </c>
      <c r="G101" s="27">
        <v>45435</v>
      </c>
      <c r="H101" s="8" t="s">
        <v>1371</v>
      </c>
      <c r="I101" s="8">
        <v>890223300353</v>
      </c>
      <c r="J101" s="8" t="s">
        <v>1372</v>
      </c>
      <c r="K101" s="8" t="s">
        <v>1941</v>
      </c>
      <c r="L101" s="8" t="s">
        <v>1956</v>
      </c>
      <c r="M101" s="8" t="s">
        <v>1957</v>
      </c>
      <c r="N101" s="8">
        <v>87775255500</v>
      </c>
      <c r="O101" s="8">
        <v>0</v>
      </c>
      <c r="P101" s="8">
        <v>390000</v>
      </c>
      <c r="Q101" s="8" t="s">
        <v>300</v>
      </c>
    </row>
    <row r="102" spans="1:17" ht="13.2">
      <c r="A102" s="26">
        <v>45519.626154363425</v>
      </c>
      <c r="B102" s="8" t="s">
        <v>1049</v>
      </c>
      <c r="C102" s="8" t="s">
        <v>1958</v>
      </c>
      <c r="D102" s="8" t="s">
        <v>1959</v>
      </c>
      <c r="E102" s="8" t="s">
        <v>1960</v>
      </c>
      <c r="F102" s="82" t="s">
        <v>1961</v>
      </c>
      <c r="G102" s="27">
        <v>42062</v>
      </c>
      <c r="H102" s="8" t="s">
        <v>1371</v>
      </c>
      <c r="I102" s="8">
        <v>890528351118</v>
      </c>
      <c r="J102" s="8" t="s">
        <v>1962</v>
      </c>
      <c r="K102" s="8" t="s">
        <v>1963</v>
      </c>
      <c r="L102" s="8" t="s">
        <v>1964</v>
      </c>
      <c r="M102" s="8" t="s">
        <v>1965</v>
      </c>
      <c r="N102" s="8">
        <v>87775724292</v>
      </c>
      <c r="O102" s="8">
        <v>0</v>
      </c>
      <c r="P102" s="8">
        <v>390000</v>
      </c>
      <c r="Q102" s="8" t="s">
        <v>316</v>
      </c>
    </row>
    <row r="103" spans="1:17" ht="13.2">
      <c r="A103" s="26">
        <v>45520.475097650458</v>
      </c>
      <c r="B103" s="8" t="s">
        <v>1049</v>
      </c>
      <c r="C103" s="8" t="s">
        <v>1966</v>
      </c>
      <c r="D103" s="8" t="s">
        <v>1967</v>
      </c>
      <c r="E103" s="8" t="s">
        <v>1968</v>
      </c>
      <c r="F103" s="82" t="s">
        <v>1969</v>
      </c>
      <c r="G103" s="27">
        <v>45273</v>
      </c>
      <c r="H103" s="8" t="s">
        <v>1371</v>
      </c>
      <c r="I103" s="82" t="s">
        <v>1970</v>
      </c>
      <c r="J103" s="8" t="s">
        <v>1541</v>
      </c>
      <c r="K103" s="8" t="s">
        <v>1828</v>
      </c>
      <c r="L103" s="8" t="s">
        <v>1971</v>
      </c>
      <c r="M103" s="8">
        <v>85</v>
      </c>
      <c r="N103" s="8">
        <v>87071797778</v>
      </c>
      <c r="O103" s="8">
        <v>360000</v>
      </c>
      <c r="P103" s="8">
        <v>0</v>
      </c>
      <c r="Q103" s="8" t="s">
        <v>277</v>
      </c>
    </row>
    <row r="104" spans="1:17" ht="13.2">
      <c r="A104" s="26">
        <v>45520.516583738427</v>
      </c>
      <c r="B104" s="8" t="s">
        <v>1071</v>
      </c>
      <c r="C104" s="8" t="s">
        <v>1972</v>
      </c>
      <c r="D104" s="8" t="s">
        <v>1973</v>
      </c>
      <c r="E104" s="8" t="s">
        <v>1974</v>
      </c>
      <c r="F104" s="82" t="s">
        <v>1975</v>
      </c>
      <c r="G104" s="27">
        <v>44032</v>
      </c>
      <c r="H104" s="8" t="s">
        <v>1371</v>
      </c>
      <c r="I104" s="8">
        <v>860601350458</v>
      </c>
      <c r="J104" s="8" t="s">
        <v>1976</v>
      </c>
      <c r="K104" s="8" t="s">
        <v>1977</v>
      </c>
      <c r="L104" s="8" t="s">
        <v>1978</v>
      </c>
      <c r="M104" s="8" t="s">
        <v>1979</v>
      </c>
      <c r="N104" s="8">
        <v>87055803822</v>
      </c>
      <c r="O104" s="8">
        <v>360000</v>
      </c>
      <c r="P104" s="8">
        <v>0</v>
      </c>
      <c r="Q104" s="8" t="s">
        <v>178</v>
      </c>
    </row>
    <row r="105" spans="1:17" ht="13.2">
      <c r="A105" s="26">
        <v>45520.580893437502</v>
      </c>
      <c r="B105" s="8" t="s">
        <v>1122</v>
      </c>
      <c r="C105" s="8" t="s">
        <v>1980</v>
      </c>
      <c r="D105" s="8" t="s">
        <v>1981</v>
      </c>
      <c r="E105" s="8" t="s">
        <v>1982</v>
      </c>
      <c r="F105" s="82" t="s">
        <v>1983</v>
      </c>
      <c r="G105" s="27">
        <v>45240</v>
      </c>
      <c r="H105" s="8" t="s">
        <v>1371</v>
      </c>
      <c r="I105" s="8">
        <v>890928350590</v>
      </c>
      <c r="J105" s="8" t="s">
        <v>1564</v>
      </c>
      <c r="K105" s="8" t="s">
        <v>1565</v>
      </c>
      <c r="L105" s="8" t="s">
        <v>1984</v>
      </c>
      <c r="M105" s="8" t="s">
        <v>1985</v>
      </c>
      <c r="N105" s="8">
        <v>87073834084</v>
      </c>
      <c r="O105" s="8">
        <v>445000</v>
      </c>
      <c r="P105" s="8">
        <v>0</v>
      </c>
      <c r="Q105" s="8" t="s">
        <v>175</v>
      </c>
    </row>
    <row r="106" spans="1:17" ht="13.2">
      <c r="A106" s="26">
        <v>45520.73962364583</v>
      </c>
      <c r="B106" s="8" t="s">
        <v>1071</v>
      </c>
      <c r="C106" s="8" t="s">
        <v>1986</v>
      </c>
      <c r="D106" s="8" t="s">
        <v>1255</v>
      </c>
      <c r="E106" s="8" t="s">
        <v>1987</v>
      </c>
      <c r="F106" s="82" t="s">
        <v>1988</v>
      </c>
      <c r="G106" s="27">
        <v>42248</v>
      </c>
      <c r="H106" s="8" t="s">
        <v>1371</v>
      </c>
      <c r="I106" s="8">
        <v>741108350258</v>
      </c>
      <c r="J106" s="8" t="s">
        <v>1533</v>
      </c>
      <c r="K106" s="8" t="s">
        <v>1989</v>
      </c>
      <c r="L106" s="8" t="s">
        <v>1990</v>
      </c>
      <c r="M106" s="8" t="s">
        <v>1991</v>
      </c>
      <c r="N106" s="8">
        <v>87711240406</v>
      </c>
      <c r="O106" s="8">
        <v>270000</v>
      </c>
      <c r="P106" s="8"/>
      <c r="Q106" s="8" t="s">
        <v>113</v>
      </c>
    </row>
    <row r="107" spans="1:17" ht="13.2">
      <c r="A107" s="26">
        <v>45523.530795069441</v>
      </c>
      <c r="B107" s="8" t="s">
        <v>1122</v>
      </c>
      <c r="C107" s="8" t="s">
        <v>1992</v>
      </c>
      <c r="D107" s="8" t="s">
        <v>1993</v>
      </c>
      <c r="E107" s="8" t="s">
        <v>1697</v>
      </c>
      <c r="F107" s="82" t="s">
        <v>1994</v>
      </c>
      <c r="G107" s="27">
        <v>42341</v>
      </c>
      <c r="H107" s="8" t="s">
        <v>1371</v>
      </c>
      <c r="I107" s="8">
        <v>761026300765</v>
      </c>
      <c r="J107" s="8" t="s">
        <v>1976</v>
      </c>
      <c r="K107" s="8" t="s">
        <v>1995</v>
      </c>
      <c r="L107" s="8" t="s">
        <v>1996</v>
      </c>
      <c r="M107" s="8" t="s">
        <v>1997</v>
      </c>
      <c r="N107" s="8">
        <v>87022717824</v>
      </c>
      <c r="O107" s="8">
        <v>380000</v>
      </c>
      <c r="P107" s="8">
        <v>0</v>
      </c>
      <c r="Q107" s="8" t="s">
        <v>174</v>
      </c>
    </row>
    <row r="108" spans="1:17" ht="13.2">
      <c r="A108" s="26">
        <v>45523.559028715274</v>
      </c>
      <c r="B108" s="8" t="s">
        <v>1071</v>
      </c>
      <c r="C108" s="8" t="s">
        <v>1998</v>
      </c>
      <c r="D108" s="8" t="s">
        <v>1999</v>
      </c>
      <c r="E108" s="8" t="s">
        <v>1480</v>
      </c>
      <c r="F108" s="82" t="s">
        <v>2000</v>
      </c>
      <c r="G108" s="27">
        <v>42324</v>
      </c>
      <c r="H108" s="8" t="s">
        <v>1371</v>
      </c>
      <c r="I108" s="8">
        <v>610122350057</v>
      </c>
      <c r="J108" s="8" t="s">
        <v>1976</v>
      </c>
      <c r="K108" s="8" t="s">
        <v>2001</v>
      </c>
      <c r="L108" s="8" t="s">
        <v>2002</v>
      </c>
      <c r="M108" s="8" t="s">
        <v>2003</v>
      </c>
      <c r="N108" s="8">
        <v>87018759413</v>
      </c>
      <c r="O108" s="8">
        <v>0</v>
      </c>
      <c r="P108" s="8">
        <v>370000</v>
      </c>
      <c r="Q108" s="8" t="s">
        <v>179</v>
      </c>
    </row>
    <row r="109" spans="1:17" ht="13.2">
      <c r="A109" s="26">
        <v>45523.650298645836</v>
      </c>
      <c r="B109" s="8" t="s">
        <v>1049</v>
      </c>
      <c r="C109" s="8" t="s">
        <v>2004</v>
      </c>
      <c r="D109" s="8" t="s">
        <v>2005</v>
      </c>
      <c r="E109" s="8" t="s">
        <v>2006</v>
      </c>
      <c r="F109" s="82" t="s">
        <v>2007</v>
      </c>
      <c r="G109" s="27">
        <v>41921</v>
      </c>
      <c r="H109" s="8" t="s">
        <v>1431</v>
      </c>
      <c r="I109" s="8">
        <v>980928301729</v>
      </c>
      <c r="J109" s="8" t="s">
        <v>2008</v>
      </c>
      <c r="K109" s="8" t="s">
        <v>2009</v>
      </c>
      <c r="L109" s="8" t="s">
        <v>2010</v>
      </c>
      <c r="M109" s="8" t="s">
        <v>2011</v>
      </c>
      <c r="N109" s="8">
        <v>87479918097</v>
      </c>
      <c r="O109" s="8">
        <v>340000</v>
      </c>
      <c r="P109" s="8"/>
      <c r="Q109" s="8" t="s">
        <v>237</v>
      </c>
    </row>
    <row r="110" spans="1:17" ht="13.2">
      <c r="A110" s="26">
        <v>45524.638123576384</v>
      </c>
      <c r="B110" s="8" t="s">
        <v>1122</v>
      </c>
      <c r="C110" s="8" t="s">
        <v>2012</v>
      </c>
      <c r="D110" s="8" t="s">
        <v>2013</v>
      </c>
      <c r="E110" s="8" t="s">
        <v>2014</v>
      </c>
      <c r="F110" s="8">
        <v>54433575</v>
      </c>
      <c r="G110" s="27">
        <v>45181</v>
      </c>
      <c r="H110" s="8" t="s">
        <v>1371</v>
      </c>
      <c r="I110" s="8">
        <v>880813303006</v>
      </c>
      <c r="J110" s="8" t="s">
        <v>2015</v>
      </c>
      <c r="K110" s="8" t="s">
        <v>2016</v>
      </c>
      <c r="L110" s="8" t="s">
        <v>2017</v>
      </c>
      <c r="M110" s="8" t="s">
        <v>2018</v>
      </c>
      <c r="N110" s="8">
        <v>87476204251</v>
      </c>
      <c r="O110" s="8">
        <v>450000</v>
      </c>
      <c r="P110" s="8">
        <v>0</v>
      </c>
      <c r="Q110" s="8" t="s">
        <v>321</v>
      </c>
    </row>
    <row r="111" spans="1:17" ht="13.2">
      <c r="A111" s="26">
        <v>45524.684249039346</v>
      </c>
      <c r="B111" s="8" t="s">
        <v>1071</v>
      </c>
      <c r="C111" s="8" t="s">
        <v>2019</v>
      </c>
      <c r="D111" s="8" t="s">
        <v>1407</v>
      </c>
      <c r="E111" s="8" t="s">
        <v>2020</v>
      </c>
      <c r="F111" s="82" t="s">
        <v>2021</v>
      </c>
      <c r="G111" s="27">
        <v>44684</v>
      </c>
      <c r="H111" s="8" t="s">
        <v>1371</v>
      </c>
      <c r="I111" s="8">
        <v>870626351206</v>
      </c>
      <c r="J111" s="8" t="s">
        <v>1976</v>
      </c>
      <c r="K111" s="8" t="s">
        <v>2022</v>
      </c>
      <c r="L111" s="8" t="s">
        <v>2023</v>
      </c>
      <c r="M111" s="8" t="s">
        <v>2024</v>
      </c>
      <c r="N111" s="8">
        <v>87471542181</v>
      </c>
      <c r="O111" s="8">
        <v>380000</v>
      </c>
      <c r="P111" s="8">
        <v>0</v>
      </c>
      <c r="Q111" s="8" t="s">
        <v>172</v>
      </c>
    </row>
    <row r="112" spans="1:17" ht="13.2">
      <c r="A112" s="26">
        <v>45525.568202337963</v>
      </c>
      <c r="B112" s="8" t="s">
        <v>1122</v>
      </c>
      <c r="C112" s="8" t="s">
        <v>2025</v>
      </c>
      <c r="D112" s="8" t="s">
        <v>1053</v>
      </c>
      <c r="E112" s="8" t="s">
        <v>1470</v>
      </c>
      <c r="F112" s="82" t="s">
        <v>2026</v>
      </c>
      <c r="G112" s="27">
        <v>45525</v>
      </c>
      <c r="H112" s="8" t="s">
        <v>1371</v>
      </c>
      <c r="I112" s="82" t="s">
        <v>2027</v>
      </c>
      <c r="J112" s="8" t="s">
        <v>2028</v>
      </c>
      <c r="K112" s="8" t="s">
        <v>2029</v>
      </c>
      <c r="L112" s="8" t="s">
        <v>2030</v>
      </c>
      <c r="M112" s="8" t="s">
        <v>2031</v>
      </c>
      <c r="N112" s="8">
        <v>87058164877</v>
      </c>
      <c r="O112" s="8">
        <v>0</v>
      </c>
      <c r="P112" s="8">
        <v>310000</v>
      </c>
      <c r="Q112" s="8" t="s">
        <v>211</v>
      </c>
    </row>
    <row r="113" spans="1:17" ht="13.2">
      <c r="A113" s="26">
        <v>45525.592824594904</v>
      </c>
      <c r="B113" s="8" t="s">
        <v>1049</v>
      </c>
      <c r="C113" s="8" t="s">
        <v>2032</v>
      </c>
      <c r="D113" s="8" t="s">
        <v>2033</v>
      </c>
      <c r="E113" s="8" t="s">
        <v>2034</v>
      </c>
      <c r="F113" s="82" t="s">
        <v>2035</v>
      </c>
      <c r="G113" s="27">
        <v>43319</v>
      </c>
      <c r="H113" s="8" t="s">
        <v>1371</v>
      </c>
      <c r="I113" s="82" t="s">
        <v>2036</v>
      </c>
      <c r="J113" s="8" t="s">
        <v>1541</v>
      </c>
      <c r="K113" s="8" t="s">
        <v>2037</v>
      </c>
      <c r="L113" s="8" t="s">
        <v>2038</v>
      </c>
      <c r="M113" s="8" t="s">
        <v>2039</v>
      </c>
      <c r="N113" s="8">
        <v>87082944071</v>
      </c>
      <c r="O113" s="8">
        <v>0</v>
      </c>
      <c r="P113" s="8">
        <v>350000</v>
      </c>
      <c r="Q113" s="8" t="s">
        <v>325</v>
      </c>
    </row>
    <row r="114" spans="1:17" ht="13.2">
      <c r="A114" s="26">
        <v>45526.469609664353</v>
      </c>
      <c r="B114" s="8" t="s">
        <v>1049</v>
      </c>
      <c r="C114" s="8" t="s">
        <v>2040</v>
      </c>
      <c r="D114" s="8" t="s">
        <v>2041</v>
      </c>
      <c r="E114" s="8" t="s">
        <v>2042</v>
      </c>
      <c r="F114" s="82" t="s">
        <v>2043</v>
      </c>
      <c r="G114" s="27">
        <v>42418</v>
      </c>
      <c r="H114" s="8" t="s">
        <v>1371</v>
      </c>
      <c r="I114" s="8">
        <v>781219302427</v>
      </c>
      <c r="J114" s="8" t="s">
        <v>2015</v>
      </c>
      <c r="K114" s="8" t="s">
        <v>2044</v>
      </c>
      <c r="L114" s="8" t="s">
        <v>2045</v>
      </c>
      <c r="M114" s="8" t="s">
        <v>2046</v>
      </c>
      <c r="N114" s="8">
        <v>87078361703</v>
      </c>
      <c r="O114" s="8">
        <v>380000</v>
      </c>
      <c r="P114" s="8">
        <v>0</v>
      </c>
      <c r="Q114" s="8" t="s">
        <v>236</v>
      </c>
    </row>
    <row r="115" spans="1:17" ht="13.2">
      <c r="A115" s="26">
        <v>45527.559004085648</v>
      </c>
      <c r="B115" s="8" t="s">
        <v>1122</v>
      </c>
      <c r="C115" s="8" t="s">
        <v>2047</v>
      </c>
      <c r="D115" s="8" t="s">
        <v>1240</v>
      </c>
      <c r="E115" s="8" t="s">
        <v>2048</v>
      </c>
      <c r="F115" s="82" t="s">
        <v>2049</v>
      </c>
      <c r="G115" s="27">
        <v>44594</v>
      </c>
      <c r="H115" s="8" t="s">
        <v>1431</v>
      </c>
      <c r="I115" s="8">
        <v>901013351333</v>
      </c>
      <c r="J115" s="8" t="s">
        <v>1564</v>
      </c>
      <c r="K115" s="8" t="s">
        <v>1565</v>
      </c>
      <c r="L115" s="8" t="s">
        <v>2050</v>
      </c>
      <c r="M115" s="8" t="s">
        <v>2051</v>
      </c>
      <c r="N115" s="8">
        <v>87028656566</v>
      </c>
      <c r="O115" s="8">
        <v>420000</v>
      </c>
      <c r="P115" s="8">
        <v>0</v>
      </c>
      <c r="Q115" s="8" t="s">
        <v>173</v>
      </c>
    </row>
    <row r="116" spans="1:17" ht="13.2">
      <c r="A116" s="26">
        <v>45528.45743819444</v>
      </c>
      <c r="B116" s="8" t="s">
        <v>1049</v>
      </c>
      <c r="C116" s="8" t="s">
        <v>2052</v>
      </c>
      <c r="D116" s="8" t="s">
        <v>2053</v>
      </c>
      <c r="E116" s="8" t="s">
        <v>2054</v>
      </c>
      <c r="F116" s="82" t="s">
        <v>2055</v>
      </c>
      <c r="G116" s="27">
        <v>45426</v>
      </c>
      <c r="H116" s="8" t="s">
        <v>1371</v>
      </c>
      <c r="I116" s="8">
        <v>690621301541</v>
      </c>
      <c r="J116" s="8" t="s">
        <v>1372</v>
      </c>
      <c r="K116" s="8" t="s">
        <v>1941</v>
      </c>
      <c r="L116" s="8" t="s">
        <v>2056</v>
      </c>
      <c r="M116" s="8" t="s">
        <v>2057</v>
      </c>
      <c r="N116" s="8">
        <v>87776844355</v>
      </c>
      <c r="O116" s="8">
        <v>0</v>
      </c>
      <c r="P116" s="8">
        <v>320000</v>
      </c>
      <c r="Q116" s="8" t="s">
        <v>242</v>
      </c>
    </row>
    <row r="117" spans="1:17" ht="13.2">
      <c r="A117" s="26">
        <v>45528.459734386575</v>
      </c>
      <c r="B117" s="8" t="s">
        <v>1049</v>
      </c>
      <c r="C117" s="8" t="s">
        <v>2058</v>
      </c>
      <c r="D117" s="8" t="s">
        <v>1199</v>
      </c>
      <c r="E117" s="8" t="s">
        <v>2059</v>
      </c>
      <c r="F117" s="82" t="s">
        <v>2060</v>
      </c>
      <c r="G117" s="27">
        <v>44292</v>
      </c>
      <c r="H117" s="8" t="s">
        <v>1371</v>
      </c>
      <c r="I117" s="8">
        <v>851214300558</v>
      </c>
      <c r="J117" s="8" t="s">
        <v>1372</v>
      </c>
      <c r="K117" s="8" t="s">
        <v>2061</v>
      </c>
      <c r="L117" s="8" t="s">
        <v>2062</v>
      </c>
      <c r="M117" s="8" t="s">
        <v>2063</v>
      </c>
      <c r="N117" s="8">
        <v>87052047706</v>
      </c>
      <c r="O117" s="8">
        <v>0</v>
      </c>
      <c r="P117" s="8">
        <v>440000</v>
      </c>
      <c r="Q117" s="8" t="s">
        <v>361</v>
      </c>
    </row>
    <row r="118" spans="1:17" ht="13.2">
      <c r="A118" s="26">
        <v>45530.428352708332</v>
      </c>
      <c r="B118" s="8" t="s">
        <v>1049</v>
      </c>
      <c r="C118" s="8" t="s">
        <v>2064</v>
      </c>
      <c r="D118" s="8" t="s">
        <v>2065</v>
      </c>
      <c r="E118" s="8" t="s">
        <v>2066</v>
      </c>
      <c r="F118" s="82" t="s">
        <v>2067</v>
      </c>
      <c r="G118" s="27">
        <v>44236</v>
      </c>
      <c r="H118" s="8" t="s">
        <v>1371</v>
      </c>
      <c r="I118" s="8">
        <v>661117301172</v>
      </c>
      <c r="J118" s="8" t="s">
        <v>2068</v>
      </c>
      <c r="K118" s="8" t="s">
        <v>2069</v>
      </c>
      <c r="L118" s="8" t="s">
        <v>2070</v>
      </c>
      <c r="M118" s="8" t="s">
        <v>2071</v>
      </c>
      <c r="N118" s="8">
        <v>87772351587</v>
      </c>
      <c r="O118" s="8">
        <v>0</v>
      </c>
      <c r="P118" s="8">
        <v>320000</v>
      </c>
      <c r="Q118" s="8" t="s">
        <v>241</v>
      </c>
    </row>
    <row r="119" spans="1:17" ht="13.2">
      <c r="A119" s="26">
        <v>45530.738329513886</v>
      </c>
      <c r="B119" s="8" t="s">
        <v>1122</v>
      </c>
      <c r="C119" s="8" t="s">
        <v>2072</v>
      </c>
      <c r="D119" s="8" t="s">
        <v>2073</v>
      </c>
      <c r="E119" s="8" t="s">
        <v>2074</v>
      </c>
      <c r="F119" s="82" t="s">
        <v>2075</v>
      </c>
      <c r="G119" s="27">
        <v>45530</v>
      </c>
      <c r="H119" s="8" t="s">
        <v>1371</v>
      </c>
      <c r="I119" s="8">
        <v>890312302026</v>
      </c>
      <c r="J119" s="8" t="s">
        <v>1564</v>
      </c>
      <c r="K119" s="8" t="s">
        <v>1548</v>
      </c>
      <c r="L119" s="8" t="s">
        <v>2076</v>
      </c>
      <c r="M119" s="8" t="s">
        <v>2077</v>
      </c>
      <c r="N119" s="8">
        <v>87713010191</v>
      </c>
      <c r="O119" s="8">
        <v>380000</v>
      </c>
      <c r="P119" s="8">
        <v>30000</v>
      </c>
      <c r="Q119" s="8" t="s">
        <v>170</v>
      </c>
    </row>
    <row r="120" spans="1:17" ht="13.2">
      <c r="A120" s="26">
        <v>45531.493684305555</v>
      </c>
      <c r="B120" s="8" t="s">
        <v>1122</v>
      </c>
      <c r="C120" s="8" t="s">
        <v>2078</v>
      </c>
      <c r="D120" s="8" t="s">
        <v>1374</v>
      </c>
      <c r="E120" s="8" t="s">
        <v>2079</v>
      </c>
      <c r="F120" s="82" t="s">
        <v>2080</v>
      </c>
      <c r="G120" s="27">
        <v>45531</v>
      </c>
      <c r="H120" s="8" t="s">
        <v>1371</v>
      </c>
      <c r="I120" s="8">
        <v>690504350028</v>
      </c>
      <c r="J120" s="8" t="s">
        <v>1564</v>
      </c>
      <c r="K120" s="8" t="s">
        <v>1565</v>
      </c>
      <c r="L120" s="8" t="s">
        <v>2081</v>
      </c>
      <c r="M120" s="8" t="s">
        <v>2082</v>
      </c>
      <c r="N120" s="8">
        <v>87019298265</v>
      </c>
      <c r="O120" s="8">
        <v>430000</v>
      </c>
      <c r="P120" s="8">
        <v>0</v>
      </c>
      <c r="Q120" s="8" t="s">
        <v>306</v>
      </c>
    </row>
    <row r="121" spans="1:17" ht="13.2">
      <c r="A121" s="26">
        <v>45531.642643356477</v>
      </c>
      <c r="B121" s="8" t="s">
        <v>1122</v>
      </c>
      <c r="C121" s="8" t="s">
        <v>2083</v>
      </c>
      <c r="D121" s="8" t="s">
        <v>2084</v>
      </c>
      <c r="E121" s="8" t="s">
        <v>1111</v>
      </c>
      <c r="F121" s="82" t="s">
        <v>2085</v>
      </c>
      <c r="G121" s="27">
        <v>44123</v>
      </c>
      <c r="H121" s="8" t="s">
        <v>1371</v>
      </c>
      <c r="I121" s="8">
        <v>840507350969</v>
      </c>
      <c r="J121" s="8" t="s">
        <v>1533</v>
      </c>
      <c r="K121" s="8" t="s">
        <v>2086</v>
      </c>
      <c r="L121" s="8" t="s">
        <v>2087</v>
      </c>
      <c r="M121" s="8" t="s">
        <v>2088</v>
      </c>
      <c r="N121" s="8">
        <v>87787416541</v>
      </c>
      <c r="O121" s="8">
        <v>0</v>
      </c>
      <c r="P121" s="8">
        <v>400000</v>
      </c>
      <c r="Q121" s="8" t="s">
        <v>222</v>
      </c>
    </row>
    <row r="122" spans="1:17" ht="13.2">
      <c r="A122" s="26">
        <v>45532.506225219906</v>
      </c>
      <c r="B122" s="8" t="s">
        <v>1071</v>
      </c>
      <c r="C122" s="8" t="s">
        <v>2089</v>
      </c>
      <c r="D122" s="8" t="s">
        <v>2090</v>
      </c>
      <c r="E122" s="8" t="s">
        <v>2091</v>
      </c>
      <c r="F122" s="82" t="s">
        <v>2092</v>
      </c>
      <c r="G122" s="27">
        <v>45215</v>
      </c>
      <c r="H122" s="8" t="s">
        <v>1371</v>
      </c>
      <c r="I122" s="8">
        <v>511120350167</v>
      </c>
      <c r="J122" s="8" t="s">
        <v>1976</v>
      </c>
      <c r="K122" s="8" t="s">
        <v>2093</v>
      </c>
      <c r="L122" s="8" t="s">
        <v>2094</v>
      </c>
      <c r="M122" s="8" t="s">
        <v>2095</v>
      </c>
      <c r="N122" s="8">
        <v>87012889269</v>
      </c>
      <c r="O122" s="8">
        <v>450000</v>
      </c>
      <c r="P122" s="8">
        <v>0</v>
      </c>
      <c r="Q122" s="8" t="s">
        <v>341</v>
      </c>
    </row>
    <row r="123" spans="1:17" ht="13.2">
      <c r="A123" s="26">
        <v>45532.566058784723</v>
      </c>
      <c r="B123" s="8" t="s">
        <v>1122</v>
      </c>
      <c r="C123" s="8" t="s">
        <v>2096</v>
      </c>
      <c r="D123" s="8" t="s">
        <v>1752</v>
      </c>
      <c r="E123" s="8" t="s">
        <v>2097</v>
      </c>
      <c r="F123" s="82" t="s">
        <v>2098</v>
      </c>
      <c r="G123" s="27">
        <v>44662</v>
      </c>
      <c r="H123" s="8" t="s">
        <v>1431</v>
      </c>
      <c r="I123" s="8">
        <v>960308300447</v>
      </c>
      <c r="J123" s="8" t="s">
        <v>1889</v>
      </c>
      <c r="K123" s="8" t="s">
        <v>2099</v>
      </c>
      <c r="L123" s="8" t="s">
        <v>2100</v>
      </c>
      <c r="M123" s="8" t="s">
        <v>2101</v>
      </c>
      <c r="N123" s="8">
        <v>87081968389</v>
      </c>
      <c r="O123" s="8">
        <v>380000</v>
      </c>
      <c r="P123" s="8">
        <v>0</v>
      </c>
      <c r="Q123" s="8" t="s">
        <v>187</v>
      </c>
    </row>
    <row r="124" spans="1:17" ht="13.2">
      <c r="A124" s="26">
        <v>45533.49243204861</v>
      </c>
      <c r="B124" s="8" t="s">
        <v>1049</v>
      </c>
      <c r="C124" s="8" t="s">
        <v>2102</v>
      </c>
      <c r="D124" s="8" t="s">
        <v>2103</v>
      </c>
      <c r="E124" s="8" t="s">
        <v>2104</v>
      </c>
      <c r="F124" s="82" t="s">
        <v>2105</v>
      </c>
      <c r="G124" s="27">
        <v>44694</v>
      </c>
      <c r="H124" s="8" t="s">
        <v>1371</v>
      </c>
      <c r="I124" s="8">
        <v>870221300230</v>
      </c>
      <c r="J124" s="8" t="s">
        <v>1372</v>
      </c>
      <c r="K124" s="8" t="s">
        <v>2106</v>
      </c>
      <c r="L124" s="8" t="s">
        <v>2107</v>
      </c>
      <c r="M124" s="8" t="s">
        <v>2108</v>
      </c>
      <c r="N124" s="8">
        <v>87711915519</v>
      </c>
      <c r="O124" s="8">
        <v>360000</v>
      </c>
      <c r="P124" s="8">
        <v>0</v>
      </c>
      <c r="Q124" s="8" t="s">
        <v>192</v>
      </c>
    </row>
    <row r="125" spans="1:17" ht="13.2">
      <c r="A125" s="26">
        <v>45537.444379062501</v>
      </c>
      <c r="B125" s="8" t="s">
        <v>1071</v>
      </c>
      <c r="C125" s="8" t="s">
        <v>2109</v>
      </c>
      <c r="D125" s="8" t="s">
        <v>2110</v>
      </c>
      <c r="E125" s="8" t="s">
        <v>2111</v>
      </c>
      <c r="F125" s="82" t="s">
        <v>2112</v>
      </c>
      <c r="G125" s="27">
        <v>42426</v>
      </c>
      <c r="H125" s="8" t="s">
        <v>1371</v>
      </c>
      <c r="I125" s="8">
        <v>710401301294</v>
      </c>
      <c r="J125" s="8" t="s">
        <v>2113</v>
      </c>
      <c r="K125" s="8" t="s">
        <v>2114</v>
      </c>
      <c r="L125" s="8" t="s">
        <v>2115</v>
      </c>
      <c r="M125" s="8" t="s">
        <v>1905</v>
      </c>
      <c r="N125" s="8">
        <v>87012575636</v>
      </c>
      <c r="O125" s="8">
        <v>380000</v>
      </c>
      <c r="P125" s="8">
        <v>0</v>
      </c>
      <c r="Q125" s="8" t="s">
        <v>167</v>
      </c>
    </row>
    <row r="126" spans="1:17" ht="13.2">
      <c r="A126" s="26">
        <v>45537.514893599538</v>
      </c>
      <c r="B126" s="8" t="s">
        <v>1122</v>
      </c>
      <c r="C126" s="8" t="s">
        <v>2116</v>
      </c>
      <c r="D126" s="8" t="s">
        <v>2117</v>
      </c>
      <c r="E126" s="8" t="s">
        <v>2118</v>
      </c>
      <c r="F126" s="82" t="s">
        <v>2119</v>
      </c>
      <c r="G126" s="27">
        <v>44845</v>
      </c>
      <c r="H126" s="8" t="s">
        <v>1371</v>
      </c>
      <c r="I126" s="8">
        <v>871004350625</v>
      </c>
      <c r="J126" s="8" t="s">
        <v>1564</v>
      </c>
      <c r="K126" s="8" t="s">
        <v>2120</v>
      </c>
      <c r="L126" s="8" t="s">
        <v>2121</v>
      </c>
      <c r="M126" s="8" t="s">
        <v>2039</v>
      </c>
      <c r="N126" s="8">
        <v>87012770977</v>
      </c>
      <c r="O126" s="8">
        <v>0</v>
      </c>
      <c r="P126" s="8">
        <v>370000</v>
      </c>
      <c r="Q126" s="8" t="s">
        <v>169</v>
      </c>
    </row>
    <row r="127" spans="1:17" ht="13.2">
      <c r="A127" s="26">
        <v>45537.727770682875</v>
      </c>
      <c r="B127" s="8" t="s">
        <v>1049</v>
      </c>
      <c r="C127" s="8" t="s">
        <v>2122</v>
      </c>
      <c r="D127" s="8" t="s">
        <v>2123</v>
      </c>
      <c r="E127" s="8" t="s">
        <v>2124</v>
      </c>
      <c r="F127" s="82" t="s">
        <v>2125</v>
      </c>
      <c r="G127" s="27">
        <v>41893</v>
      </c>
      <c r="H127" s="8" t="s">
        <v>1431</v>
      </c>
      <c r="I127" s="8">
        <v>950411301218</v>
      </c>
      <c r="J127" s="8" t="s">
        <v>1541</v>
      </c>
      <c r="K127" s="8" t="s">
        <v>2126</v>
      </c>
      <c r="L127" s="8" t="s">
        <v>2127</v>
      </c>
      <c r="M127" s="8" t="s">
        <v>2128</v>
      </c>
      <c r="N127" s="8">
        <v>87472909330</v>
      </c>
      <c r="O127" s="8">
        <v>410000</v>
      </c>
      <c r="P127" s="8">
        <v>0</v>
      </c>
      <c r="Q127" s="8" t="s">
        <v>197</v>
      </c>
    </row>
    <row r="128" spans="1:17" ht="13.2">
      <c r="A128" s="26">
        <v>45538.43060446759</v>
      </c>
      <c r="B128" s="8" t="s">
        <v>1071</v>
      </c>
      <c r="C128" s="8" t="s">
        <v>2129</v>
      </c>
      <c r="D128" s="8" t="s">
        <v>1269</v>
      </c>
      <c r="E128" s="8" t="s">
        <v>1191</v>
      </c>
      <c r="F128" s="82" t="s">
        <v>2130</v>
      </c>
      <c r="G128" s="27">
        <v>42556</v>
      </c>
      <c r="H128" s="8" t="s">
        <v>1371</v>
      </c>
      <c r="I128" s="97" t="s">
        <v>2131</v>
      </c>
      <c r="J128" s="8" t="s">
        <v>1976</v>
      </c>
      <c r="K128" s="8" t="s">
        <v>2132</v>
      </c>
      <c r="L128" s="8" t="s">
        <v>2133</v>
      </c>
      <c r="M128" s="8" t="s">
        <v>1892</v>
      </c>
      <c r="N128" s="8">
        <v>87716971503</v>
      </c>
      <c r="O128" s="8">
        <v>200000</v>
      </c>
      <c r="P128" s="8">
        <v>180000</v>
      </c>
      <c r="Q128" s="8" t="s">
        <v>285</v>
      </c>
    </row>
    <row r="129" spans="1:17" ht="13.2">
      <c r="A129" s="26">
        <v>45538.474411226853</v>
      </c>
      <c r="B129" s="8" t="s">
        <v>1071</v>
      </c>
      <c r="C129" s="8" t="s">
        <v>2134</v>
      </c>
      <c r="D129" s="8" t="s">
        <v>1260</v>
      </c>
      <c r="E129" s="8" t="s">
        <v>2135</v>
      </c>
      <c r="F129" s="82" t="s">
        <v>2136</v>
      </c>
      <c r="G129" s="27">
        <v>38580</v>
      </c>
      <c r="H129" s="8" t="s">
        <v>1410</v>
      </c>
      <c r="I129" s="8">
        <v>800215350220</v>
      </c>
      <c r="J129" s="8" t="s">
        <v>1976</v>
      </c>
      <c r="K129" s="8" t="s">
        <v>2137</v>
      </c>
      <c r="L129" s="8" t="s">
        <v>2138</v>
      </c>
      <c r="M129" s="8" t="s">
        <v>2139</v>
      </c>
      <c r="N129" s="8">
        <v>87052940001</v>
      </c>
      <c r="O129" s="8">
        <v>0</v>
      </c>
      <c r="P129" s="8">
        <v>350000</v>
      </c>
      <c r="Q129" s="8" t="s">
        <v>232</v>
      </c>
    </row>
    <row r="130" spans="1:17" ht="13.2">
      <c r="A130" s="26">
        <v>45539.62613769676</v>
      </c>
      <c r="B130" s="8" t="s">
        <v>1122</v>
      </c>
      <c r="C130" s="8" t="s">
        <v>2140</v>
      </c>
      <c r="D130" s="8" t="s">
        <v>1172</v>
      </c>
      <c r="E130" s="8" t="s">
        <v>1487</v>
      </c>
      <c r="F130" s="82" t="s">
        <v>2141</v>
      </c>
      <c r="G130" s="27">
        <v>39388</v>
      </c>
      <c r="H130" s="8" t="s">
        <v>1410</v>
      </c>
      <c r="I130" s="8">
        <v>620324350671</v>
      </c>
      <c r="J130" s="8" t="s">
        <v>1533</v>
      </c>
      <c r="K130" s="8" t="s">
        <v>2142</v>
      </c>
      <c r="L130" s="8" t="s">
        <v>2143</v>
      </c>
      <c r="M130" s="8" t="s">
        <v>2144</v>
      </c>
      <c r="N130" s="8">
        <v>87016178097</v>
      </c>
      <c r="O130" s="8">
        <v>413000</v>
      </c>
      <c r="P130" s="8">
        <v>0</v>
      </c>
      <c r="Q130" s="8" t="s">
        <v>168</v>
      </c>
    </row>
    <row r="131" spans="1:17" ht="13.2">
      <c r="A131" s="26">
        <v>45539.696246099542</v>
      </c>
      <c r="B131" s="8" t="s">
        <v>1049</v>
      </c>
      <c r="C131" s="8" t="s">
        <v>2145</v>
      </c>
      <c r="D131" s="8" t="s">
        <v>1073</v>
      </c>
      <c r="E131" s="8" t="s">
        <v>2146</v>
      </c>
      <c r="F131" s="82" t="s">
        <v>2147</v>
      </c>
      <c r="G131" s="27">
        <v>42222</v>
      </c>
      <c r="H131" s="8" t="s">
        <v>1371</v>
      </c>
      <c r="I131" s="8">
        <v>750418301096</v>
      </c>
      <c r="J131" s="8" t="s">
        <v>1372</v>
      </c>
      <c r="K131" s="8" t="s">
        <v>2148</v>
      </c>
      <c r="L131" s="8" t="s">
        <v>2149</v>
      </c>
      <c r="M131" s="8" t="s">
        <v>2150</v>
      </c>
      <c r="N131" s="8">
        <v>87471395288</v>
      </c>
      <c r="O131" s="8">
        <v>0</v>
      </c>
      <c r="P131" s="8">
        <v>680000</v>
      </c>
      <c r="Q131" s="8" t="s">
        <v>353</v>
      </c>
    </row>
    <row r="132" spans="1:17" ht="13.2">
      <c r="A132" s="26">
        <v>45540.449972592593</v>
      </c>
      <c r="B132" s="8" t="s">
        <v>1071</v>
      </c>
      <c r="C132" s="8" t="s">
        <v>2151</v>
      </c>
      <c r="D132" s="8" t="s">
        <v>1053</v>
      </c>
      <c r="E132" s="8" t="s">
        <v>1697</v>
      </c>
      <c r="F132" s="82" t="s">
        <v>2152</v>
      </c>
      <c r="G132" s="27">
        <v>42292</v>
      </c>
      <c r="H132" s="8" t="s">
        <v>1371</v>
      </c>
      <c r="I132" s="8">
        <v>901030350506</v>
      </c>
      <c r="J132" s="8" t="s">
        <v>2113</v>
      </c>
      <c r="K132" s="8" t="s">
        <v>1977</v>
      </c>
      <c r="L132" s="8" t="s">
        <v>2153</v>
      </c>
      <c r="M132" s="8" t="s">
        <v>2154</v>
      </c>
      <c r="N132" s="8">
        <v>87016713246</v>
      </c>
      <c r="O132" s="8">
        <v>0</v>
      </c>
      <c r="P132" s="8">
        <v>350000</v>
      </c>
      <c r="Q132" s="8" t="s">
        <v>164</v>
      </c>
    </row>
    <row r="133" spans="1:17" ht="13.2">
      <c r="A133" s="26">
        <v>45541.424037025463</v>
      </c>
      <c r="B133" s="8" t="s">
        <v>1049</v>
      </c>
      <c r="C133" s="8" t="s">
        <v>2155</v>
      </c>
      <c r="D133" s="8" t="s">
        <v>2156</v>
      </c>
      <c r="E133" s="8" t="s">
        <v>2157</v>
      </c>
      <c r="F133" s="82" t="s">
        <v>2158</v>
      </c>
      <c r="G133" s="27">
        <v>43619</v>
      </c>
      <c r="H133" s="8" t="s">
        <v>1431</v>
      </c>
      <c r="I133" s="8">
        <v>920319400588</v>
      </c>
      <c r="J133" s="8" t="s">
        <v>2008</v>
      </c>
      <c r="K133" s="8" t="s">
        <v>2159</v>
      </c>
      <c r="L133" s="8" t="s">
        <v>2160</v>
      </c>
      <c r="M133" s="8" t="s">
        <v>2161</v>
      </c>
      <c r="N133" s="8">
        <v>87077746392</v>
      </c>
      <c r="O133" s="8">
        <v>0</v>
      </c>
      <c r="P133" s="8">
        <v>320000</v>
      </c>
      <c r="Q133" s="8" t="s">
        <v>238</v>
      </c>
    </row>
    <row r="134" spans="1:17" ht="13.2">
      <c r="A134" s="26">
        <v>45541.485082777777</v>
      </c>
      <c r="B134" s="8" t="s">
        <v>1122</v>
      </c>
      <c r="C134" s="8" t="s">
        <v>2162</v>
      </c>
      <c r="D134" s="8" t="s">
        <v>2163</v>
      </c>
      <c r="E134" s="8" t="s">
        <v>2164</v>
      </c>
      <c r="F134" s="82" t="s">
        <v>2165</v>
      </c>
      <c r="G134" s="27">
        <v>42275</v>
      </c>
      <c r="H134" s="8" t="s">
        <v>1371</v>
      </c>
      <c r="I134" s="8">
        <v>820420300619</v>
      </c>
      <c r="J134" s="8" t="s">
        <v>1564</v>
      </c>
      <c r="K134" s="8" t="s">
        <v>2120</v>
      </c>
      <c r="L134" s="8" t="s">
        <v>2166</v>
      </c>
      <c r="M134" s="8" t="s">
        <v>2167</v>
      </c>
      <c r="N134" s="8">
        <v>87013017000</v>
      </c>
      <c r="O134" s="8">
        <v>550000</v>
      </c>
      <c r="P134" s="8">
        <v>0</v>
      </c>
      <c r="Q134" s="8" t="s">
        <v>293</v>
      </c>
    </row>
    <row r="135" spans="1:17" ht="13.2">
      <c r="A135" s="26">
        <v>45541.604738900467</v>
      </c>
      <c r="B135" s="8" t="s">
        <v>1049</v>
      </c>
      <c r="C135" s="8" t="s">
        <v>2168</v>
      </c>
      <c r="D135" s="8" t="s">
        <v>2169</v>
      </c>
      <c r="E135" s="8" t="s">
        <v>2170</v>
      </c>
      <c r="F135" s="82" t="s">
        <v>2171</v>
      </c>
      <c r="G135" s="27">
        <v>42943</v>
      </c>
      <c r="H135" s="8" t="s">
        <v>1371</v>
      </c>
      <c r="I135" s="82" t="s">
        <v>2172</v>
      </c>
      <c r="J135" s="8" t="s">
        <v>2173</v>
      </c>
      <c r="K135" s="8" t="s">
        <v>2174</v>
      </c>
      <c r="L135" s="8" t="s">
        <v>2175</v>
      </c>
      <c r="M135" s="8" t="s">
        <v>1583</v>
      </c>
      <c r="N135" s="8">
        <v>87473235199</v>
      </c>
      <c r="O135" s="8">
        <v>380000</v>
      </c>
      <c r="P135" s="8">
        <v>0</v>
      </c>
      <c r="Q135" s="8" t="s">
        <v>176</v>
      </c>
    </row>
    <row r="136" spans="1:17" ht="13.2">
      <c r="A136" s="26">
        <v>45544.464708067128</v>
      </c>
      <c r="B136" s="8" t="s">
        <v>1122</v>
      </c>
      <c r="C136" s="8" t="s">
        <v>2176</v>
      </c>
      <c r="D136" s="8" t="s">
        <v>1538</v>
      </c>
      <c r="E136" s="8" t="s">
        <v>2177</v>
      </c>
      <c r="F136" s="82" t="s">
        <v>2178</v>
      </c>
      <c r="G136" s="27">
        <v>45050</v>
      </c>
      <c r="H136" s="8" t="s">
        <v>1371</v>
      </c>
      <c r="I136" s="8">
        <v>780415302965</v>
      </c>
      <c r="J136" s="8" t="s">
        <v>1533</v>
      </c>
      <c r="K136" s="8" t="s">
        <v>2179</v>
      </c>
      <c r="L136" s="8" t="s">
        <v>2180</v>
      </c>
      <c r="M136" s="8">
        <v>0</v>
      </c>
      <c r="N136" s="8">
        <v>87002142490</v>
      </c>
      <c r="O136" s="8">
        <v>360000</v>
      </c>
      <c r="P136" s="8">
        <v>20000</v>
      </c>
      <c r="Q136" s="8" t="s">
        <v>166</v>
      </c>
    </row>
    <row r="137" spans="1:17" ht="13.2">
      <c r="A137" s="26">
        <v>45544.481424363425</v>
      </c>
      <c r="B137" s="8" t="s">
        <v>1071</v>
      </c>
      <c r="C137" s="8" t="s">
        <v>2181</v>
      </c>
      <c r="D137" s="8" t="s">
        <v>2103</v>
      </c>
      <c r="E137" s="8" t="s">
        <v>2182</v>
      </c>
      <c r="F137" s="82" t="s">
        <v>2183</v>
      </c>
      <c r="G137" s="27">
        <v>42146</v>
      </c>
      <c r="H137" s="8" t="s">
        <v>1371</v>
      </c>
      <c r="I137" s="8">
        <v>900526350242</v>
      </c>
      <c r="J137" s="8" t="s">
        <v>1403</v>
      </c>
      <c r="K137" s="8" t="s">
        <v>2184</v>
      </c>
      <c r="L137" s="8" t="s">
        <v>2185</v>
      </c>
      <c r="M137" s="8" t="s">
        <v>2186</v>
      </c>
      <c r="N137" s="8">
        <v>87059735628</v>
      </c>
      <c r="O137" s="8" t="s">
        <v>115</v>
      </c>
      <c r="P137" s="8">
        <v>460000</v>
      </c>
      <c r="Q137" s="8" t="s">
        <v>301</v>
      </c>
    </row>
    <row r="138" spans="1:17" ht="13.2">
      <c r="A138" s="26">
        <v>45544.704972002313</v>
      </c>
      <c r="B138" s="8" t="s">
        <v>1049</v>
      </c>
      <c r="C138" s="8" t="s">
        <v>2187</v>
      </c>
      <c r="D138" s="8" t="s">
        <v>1811</v>
      </c>
      <c r="E138" s="8" t="s">
        <v>2104</v>
      </c>
      <c r="F138" s="82" t="s">
        <v>2188</v>
      </c>
      <c r="G138" s="27">
        <v>45369</v>
      </c>
      <c r="H138" s="8" t="s">
        <v>1371</v>
      </c>
      <c r="I138" s="8">
        <v>890101301665</v>
      </c>
      <c r="J138" s="8" t="s">
        <v>1541</v>
      </c>
      <c r="K138" s="8" t="s">
        <v>1773</v>
      </c>
      <c r="L138" s="8" t="s">
        <v>2189</v>
      </c>
      <c r="M138" s="8" t="s">
        <v>2190</v>
      </c>
      <c r="N138" s="8">
        <v>87470361946</v>
      </c>
      <c r="O138" s="8">
        <v>0</v>
      </c>
      <c r="P138" s="8">
        <v>630000</v>
      </c>
      <c r="Q138" s="8" t="s">
        <v>355</v>
      </c>
    </row>
    <row r="139" spans="1:17" ht="13.2">
      <c r="A139" s="26">
        <v>45545.506025590279</v>
      </c>
      <c r="B139" s="8" t="s">
        <v>1122</v>
      </c>
      <c r="C139" s="8" t="s">
        <v>2191</v>
      </c>
      <c r="D139" s="8" t="s">
        <v>2192</v>
      </c>
      <c r="E139" s="8" t="s">
        <v>2193</v>
      </c>
      <c r="F139" s="82" t="s">
        <v>2194</v>
      </c>
      <c r="G139" s="27">
        <v>45111</v>
      </c>
      <c r="H139" s="8" t="s">
        <v>1371</v>
      </c>
      <c r="I139" s="8">
        <v>931109000062</v>
      </c>
      <c r="J139" s="8" t="s">
        <v>1533</v>
      </c>
      <c r="K139" s="8" t="s">
        <v>2195</v>
      </c>
      <c r="L139" s="8" t="s">
        <v>2196</v>
      </c>
      <c r="M139" s="8" t="s">
        <v>2197</v>
      </c>
      <c r="N139" s="8">
        <v>87773022758</v>
      </c>
      <c r="O139" s="8">
        <v>360000</v>
      </c>
      <c r="P139" s="8">
        <v>0</v>
      </c>
      <c r="Q139" s="8" t="s">
        <v>171</v>
      </c>
    </row>
    <row r="140" spans="1:17" ht="13.2">
      <c r="A140" s="26">
        <v>45545.656720474537</v>
      </c>
      <c r="B140" s="8" t="s">
        <v>1049</v>
      </c>
      <c r="C140" s="8" t="s">
        <v>2198</v>
      </c>
      <c r="D140" s="8" t="s">
        <v>1256</v>
      </c>
      <c r="E140" s="8" t="s">
        <v>1697</v>
      </c>
      <c r="F140" s="82" t="s">
        <v>2199</v>
      </c>
      <c r="G140" s="27">
        <v>41967</v>
      </c>
      <c r="H140" s="8" t="s">
        <v>1371</v>
      </c>
      <c r="I140" s="8">
        <v>820508301992</v>
      </c>
      <c r="J140" s="8" t="s">
        <v>2015</v>
      </c>
      <c r="K140" s="8" t="s">
        <v>2200</v>
      </c>
      <c r="L140" s="8" t="s">
        <v>2201</v>
      </c>
      <c r="M140" s="8" t="s">
        <v>2202</v>
      </c>
      <c r="N140" s="8">
        <v>87776221237</v>
      </c>
      <c r="O140" s="8">
        <v>0</v>
      </c>
      <c r="P140" s="8">
        <v>320000</v>
      </c>
      <c r="Q140" s="8" t="s">
        <v>190</v>
      </c>
    </row>
    <row r="141" spans="1:17" ht="13.2">
      <c r="A141" s="26">
        <v>45545.728299456023</v>
      </c>
      <c r="B141" s="8" t="s">
        <v>1122</v>
      </c>
      <c r="C141" s="8" t="s">
        <v>2203</v>
      </c>
      <c r="D141" s="8" t="s">
        <v>1053</v>
      </c>
      <c r="E141" s="8" t="s">
        <v>1083</v>
      </c>
      <c r="F141" s="82" t="s">
        <v>2204</v>
      </c>
      <c r="G141" s="27">
        <v>42471</v>
      </c>
      <c r="H141" s="8" t="s">
        <v>1371</v>
      </c>
      <c r="I141" s="8">
        <v>830404351112</v>
      </c>
      <c r="J141" s="8" t="s">
        <v>2205</v>
      </c>
      <c r="K141" s="8" t="s">
        <v>2206</v>
      </c>
      <c r="L141" s="8" t="s">
        <v>2207</v>
      </c>
      <c r="M141" s="8">
        <v>7</v>
      </c>
      <c r="N141" s="8">
        <v>87028176109</v>
      </c>
      <c r="O141" s="8">
        <v>0</v>
      </c>
      <c r="P141" s="8">
        <v>380000</v>
      </c>
      <c r="Q141" s="8" t="s">
        <v>327</v>
      </c>
    </row>
    <row r="142" spans="1:17" ht="13.2">
      <c r="A142" s="26">
        <v>45546.495528020838</v>
      </c>
      <c r="B142" s="8" t="s">
        <v>1049</v>
      </c>
      <c r="C142" s="8" t="s">
        <v>2208</v>
      </c>
      <c r="D142" s="8" t="s">
        <v>2209</v>
      </c>
      <c r="E142" s="8" t="s">
        <v>2210</v>
      </c>
      <c r="F142" s="82" t="s">
        <v>2211</v>
      </c>
      <c r="G142" s="27">
        <v>43874</v>
      </c>
      <c r="H142" s="8" t="s">
        <v>1371</v>
      </c>
      <c r="I142" s="8">
        <v>710312300669</v>
      </c>
      <c r="J142" s="8" t="s">
        <v>1372</v>
      </c>
      <c r="K142" s="8" t="s">
        <v>2106</v>
      </c>
      <c r="L142" s="8" t="s">
        <v>2212</v>
      </c>
      <c r="M142" s="8" t="s">
        <v>2213</v>
      </c>
      <c r="N142" s="8">
        <v>87017205151</v>
      </c>
      <c r="O142" s="8">
        <v>380000</v>
      </c>
      <c r="P142" s="8">
        <v>0</v>
      </c>
      <c r="Q142" s="8" t="s">
        <v>177</v>
      </c>
    </row>
    <row r="143" spans="1:17" ht="13.2">
      <c r="A143" s="26">
        <v>45546.6541005787</v>
      </c>
      <c r="B143" s="8" t="s">
        <v>1049</v>
      </c>
      <c r="C143" s="8" t="s">
        <v>2214</v>
      </c>
      <c r="D143" s="8" t="s">
        <v>2215</v>
      </c>
      <c r="E143" s="8" t="s">
        <v>2216</v>
      </c>
      <c r="F143" s="82" t="s">
        <v>2217</v>
      </c>
      <c r="G143" s="27">
        <v>43301</v>
      </c>
      <c r="H143" s="8" t="s">
        <v>1371</v>
      </c>
      <c r="I143" s="8">
        <v>700903350418</v>
      </c>
      <c r="J143" s="8" t="s">
        <v>2008</v>
      </c>
      <c r="K143" s="8" t="s">
        <v>2218</v>
      </c>
      <c r="L143" s="8" t="s">
        <v>2219</v>
      </c>
      <c r="M143" s="8" t="s">
        <v>2220</v>
      </c>
      <c r="N143" s="8">
        <v>87059156120</v>
      </c>
      <c r="O143" s="8">
        <v>380000</v>
      </c>
      <c r="P143" s="8">
        <v>0</v>
      </c>
      <c r="Q143" s="8" t="s">
        <v>188</v>
      </c>
    </row>
    <row r="144" spans="1:17" ht="13.2">
      <c r="A144" s="26">
        <v>45546.704178657412</v>
      </c>
      <c r="B144" s="8" t="s">
        <v>1122</v>
      </c>
      <c r="C144" s="8" t="s">
        <v>2221</v>
      </c>
      <c r="D144" s="8" t="s">
        <v>2222</v>
      </c>
      <c r="E144" s="8" t="s">
        <v>2223</v>
      </c>
      <c r="F144" s="82" t="s">
        <v>2224</v>
      </c>
      <c r="G144" s="27">
        <v>43523</v>
      </c>
      <c r="H144" s="8" t="s">
        <v>1371</v>
      </c>
      <c r="I144" s="8">
        <v>670101350291</v>
      </c>
      <c r="J144" s="8" t="s">
        <v>2205</v>
      </c>
      <c r="K144" s="8" t="s">
        <v>2225</v>
      </c>
      <c r="L144" s="8" t="s">
        <v>2226</v>
      </c>
      <c r="M144" s="8">
        <v>23</v>
      </c>
      <c r="N144" s="8">
        <v>87475529062</v>
      </c>
      <c r="O144" s="8">
        <v>380000</v>
      </c>
      <c r="P144" s="8">
        <v>0</v>
      </c>
      <c r="Q144" s="8" t="s">
        <v>165</v>
      </c>
    </row>
    <row r="145" spans="1:17" ht="13.2">
      <c r="A145" s="26">
        <v>45547.487724722218</v>
      </c>
      <c r="B145" s="8" t="s">
        <v>1049</v>
      </c>
      <c r="C145" s="8" t="s">
        <v>1110</v>
      </c>
      <c r="D145" s="8" t="s">
        <v>2227</v>
      </c>
      <c r="E145" s="8" t="s">
        <v>2228</v>
      </c>
      <c r="F145" s="82" t="s">
        <v>2229</v>
      </c>
      <c r="G145" s="27">
        <v>45478</v>
      </c>
      <c r="H145" s="8" t="s">
        <v>1371</v>
      </c>
      <c r="I145" s="8">
        <v>790714301419</v>
      </c>
      <c r="J145" s="8" t="s">
        <v>1541</v>
      </c>
      <c r="K145" s="8" t="s">
        <v>2230</v>
      </c>
      <c r="L145" s="8" t="s">
        <v>2231</v>
      </c>
      <c r="M145" s="8">
        <v>12</v>
      </c>
      <c r="N145" s="8">
        <v>87714920202</v>
      </c>
      <c r="O145" s="8">
        <v>380000</v>
      </c>
      <c r="P145" s="8">
        <v>0</v>
      </c>
      <c r="Q145" s="8" t="s">
        <v>194</v>
      </c>
    </row>
    <row r="146" spans="1:17" ht="13.2">
      <c r="A146" s="26">
        <v>45547.628556099538</v>
      </c>
      <c r="B146" s="8" t="s">
        <v>1049</v>
      </c>
      <c r="C146" s="8" t="s">
        <v>2232</v>
      </c>
      <c r="D146" s="8" t="s">
        <v>1109</v>
      </c>
      <c r="E146" s="8" t="s">
        <v>1487</v>
      </c>
      <c r="F146" s="82" t="s">
        <v>2233</v>
      </c>
      <c r="G146" s="27">
        <v>42244</v>
      </c>
      <c r="H146" s="8" t="s">
        <v>1371</v>
      </c>
      <c r="I146" s="8">
        <v>900901300799</v>
      </c>
      <c r="J146" s="8" t="s">
        <v>1372</v>
      </c>
      <c r="K146" s="8" t="s">
        <v>2234</v>
      </c>
      <c r="L146" s="8" t="s">
        <v>2235</v>
      </c>
      <c r="M146" s="8" t="s">
        <v>2236</v>
      </c>
      <c r="N146" s="8">
        <v>89689016368</v>
      </c>
      <c r="O146" s="8">
        <v>0</v>
      </c>
      <c r="P146" s="8">
        <v>320000</v>
      </c>
      <c r="Q146" s="8" t="s">
        <v>186</v>
      </c>
    </row>
    <row r="147" spans="1:17" ht="13.2">
      <c r="A147" s="26">
        <v>45548.612811539351</v>
      </c>
      <c r="B147" s="8" t="s">
        <v>1122</v>
      </c>
      <c r="C147" s="8" t="s">
        <v>2237</v>
      </c>
      <c r="D147" s="8" t="s">
        <v>1237</v>
      </c>
      <c r="E147" s="8" t="s">
        <v>1201</v>
      </c>
      <c r="F147" s="82" t="s">
        <v>2238</v>
      </c>
      <c r="G147" s="27">
        <v>42235</v>
      </c>
      <c r="H147" s="8" t="s">
        <v>1371</v>
      </c>
      <c r="I147" s="8">
        <v>870610350667</v>
      </c>
      <c r="J147" s="8" t="s">
        <v>1605</v>
      </c>
      <c r="K147" s="8" t="s">
        <v>2239</v>
      </c>
      <c r="L147" s="8" t="s">
        <v>2240</v>
      </c>
      <c r="M147" s="8" t="s">
        <v>2241</v>
      </c>
      <c r="N147" s="8">
        <v>87074902236</v>
      </c>
      <c r="O147" s="8">
        <v>0</v>
      </c>
      <c r="P147" s="8">
        <v>370000</v>
      </c>
      <c r="Q147" s="8" t="s">
        <v>163</v>
      </c>
    </row>
    <row r="148" spans="1:17" ht="13.2">
      <c r="A148" s="26">
        <v>45551.642889814815</v>
      </c>
      <c r="B148" s="8" t="s">
        <v>1049</v>
      </c>
      <c r="C148" s="8" t="s">
        <v>2242</v>
      </c>
      <c r="D148" s="8" t="s">
        <v>2243</v>
      </c>
      <c r="E148" s="8" t="s">
        <v>2244</v>
      </c>
      <c r="F148" s="82" t="s">
        <v>2245</v>
      </c>
      <c r="G148" s="27">
        <v>42363</v>
      </c>
      <c r="H148" s="8" t="s">
        <v>1371</v>
      </c>
      <c r="I148" s="8">
        <v>790326301549</v>
      </c>
      <c r="J148" s="8" t="s">
        <v>1889</v>
      </c>
      <c r="K148" s="8" t="s">
        <v>2246</v>
      </c>
      <c r="L148" s="8" t="s">
        <v>1535</v>
      </c>
      <c r="M148" s="8" t="s">
        <v>2247</v>
      </c>
      <c r="N148" s="8">
        <v>87072077010</v>
      </c>
      <c r="O148" s="8">
        <v>360000</v>
      </c>
      <c r="P148" s="8">
        <v>0</v>
      </c>
      <c r="Q148" s="8" t="s">
        <v>265</v>
      </c>
    </row>
    <row r="149" spans="1:17" ht="13.2">
      <c r="A149" s="26">
        <v>45552.563914108796</v>
      </c>
      <c r="B149" s="8" t="s">
        <v>1071</v>
      </c>
      <c r="C149" s="8" t="s">
        <v>2248</v>
      </c>
      <c r="D149" s="8" t="s">
        <v>2249</v>
      </c>
      <c r="E149" s="8" t="s">
        <v>2250</v>
      </c>
      <c r="F149" s="82" t="s">
        <v>2251</v>
      </c>
      <c r="G149" s="27">
        <v>40031</v>
      </c>
      <c r="H149" s="8" t="s">
        <v>1410</v>
      </c>
      <c r="I149" s="8">
        <v>640424400341</v>
      </c>
      <c r="J149" s="8" t="s">
        <v>1908</v>
      </c>
      <c r="K149" s="8" t="s">
        <v>2252</v>
      </c>
      <c r="L149" s="8" t="s">
        <v>2253</v>
      </c>
      <c r="M149" s="8" t="s">
        <v>2202</v>
      </c>
      <c r="N149" s="8">
        <v>87016511740</v>
      </c>
      <c r="O149" s="8">
        <v>0</v>
      </c>
      <c r="P149" s="8">
        <v>350000</v>
      </c>
      <c r="Q149" s="8" t="s">
        <v>160</v>
      </c>
    </row>
    <row r="150" spans="1:17" ht="13.2">
      <c r="A150" s="26">
        <v>45552.626957638888</v>
      </c>
      <c r="B150" s="8" t="s">
        <v>1049</v>
      </c>
      <c r="C150" s="8" t="s">
        <v>2254</v>
      </c>
      <c r="D150" s="8" t="s">
        <v>2255</v>
      </c>
      <c r="E150" s="8" t="s">
        <v>1505</v>
      </c>
      <c r="F150" s="82" t="s">
        <v>2256</v>
      </c>
      <c r="G150" s="27">
        <v>42402</v>
      </c>
      <c r="H150" s="8" t="s">
        <v>1371</v>
      </c>
      <c r="I150" s="8">
        <v>770815301751</v>
      </c>
      <c r="J150" s="8" t="s">
        <v>1372</v>
      </c>
      <c r="K150" s="8" t="s">
        <v>2257</v>
      </c>
      <c r="L150" s="8" t="s">
        <v>2258</v>
      </c>
      <c r="M150" s="8" t="s">
        <v>2259</v>
      </c>
      <c r="N150" s="8">
        <v>87718637835</v>
      </c>
      <c r="O150" s="8">
        <v>380000</v>
      </c>
      <c r="P150" s="8">
        <v>0</v>
      </c>
      <c r="Q150" s="8" t="s">
        <v>184</v>
      </c>
    </row>
    <row r="151" spans="1:17" ht="13.2">
      <c r="A151" s="26">
        <v>45552.771561412039</v>
      </c>
      <c r="B151" s="8" t="s">
        <v>1071</v>
      </c>
      <c r="C151" s="8" t="s">
        <v>2260</v>
      </c>
      <c r="D151" s="8" t="s">
        <v>2261</v>
      </c>
      <c r="E151" s="8" t="s">
        <v>2262</v>
      </c>
      <c r="F151" s="82" t="s">
        <v>2263</v>
      </c>
      <c r="G151" s="27">
        <v>44378</v>
      </c>
      <c r="H151" s="8" t="s">
        <v>1371</v>
      </c>
      <c r="I151" s="8">
        <v>760705400859</v>
      </c>
      <c r="J151" s="8" t="s">
        <v>1976</v>
      </c>
      <c r="K151" s="8" t="s">
        <v>1977</v>
      </c>
      <c r="L151" s="8" t="s">
        <v>2264</v>
      </c>
      <c r="M151" s="8" t="s">
        <v>2265</v>
      </c>
      <c r="N151" s="8">
        <v>87012528830</v>
      </c>
      <c r="O151" s="8">
        <v>360000</v>
      </c>
      <c r="P151" s="8">
        <v>0</v>
      </c>
      <c r="Q151" s="8" t="s">
        <v>159</v>
      </c>
    </row>
    <row r="152" spans="1:17" ht="13.2">
      <c r="A152" s="26">
        <v>45553.683932476852</v>
      </c>
      <c r="B152" s="8" t="s">
        <v>1122</v>
      </c>
      <c r="C152" s="8" t="s">
        <v>2266</v>
      </c>
      <c r="D152" s="8" t="s">
        <v>1053</v>
      </c>
      <c r="E152" s="8" t="s">
        <v>2267</v>
      </c>
      <c r="F152" s="82" t="s">
        <v>2268</v>
      </c>
      <c r="G152" s="27">
        <v>42156</v>
      </c>
      <c r="H152" s="8" t="s">
        <v>1371</v>
      </c>
      <c r="I152" s="8">
        <v>851027350934</v>
      </c>
      <c r="J152" s="8" t="s">
        <v>1533</v>
      </c>
      <c r="K152" s="8" t="s">
        <v>2269</v>
      </c>
      <c r="L152" s="8" t="s">
        <v>2270</v>
      </c>
      <c r="M152" s="8" t="s">
        <v>2271</v>
      </c>
      <c r="N152" s="8">
        <v>87024111056</v>
      </c>
      <c r="O152" s="8">
        <v>0</v>
      </c>
      <c r="P152" s="8">
        <v>340000</v>
      </c>
      <c r="Q152" s="8" t="s">
        <v>161</v>
      </c>
    </row>
    <row r="153" spans="1:17" ht="13.2">
      <c r="A153" s="26">
        <v>45553.740765092589</v>
      </c>
      <c r="B153" s="8" t="s">
        <v>1049</v>
      </c>
      <c r="C153" s="8" t="s">
        <v>2272</v>
      </c>
      <c r="D153" s="8" t="s">
        <v>1836</v>
      </c>
      <c r="E153" s="8" t="s">
        <v>1075</v>
      </c>
      <c r="F153" s="82" t="s">
        <v>2273</v>
      </c>
      <c r="G153" s="27">
        <v>42265</v>
      </c>
      <c r="H153" s="8" t="s">
        <v>1371</v>
      </c>
      <c r="I153" s="8">
        <v>811223301736</v>
      </c>
      <c r="J153" s="8" t="s">
        <v>2008</v>
      </c>
      <c r="K153" s="8" t="s">
        <v>2274</v>
      </c>
      <c r="L153" s="8" t="s">
        <v>2275</v>
      </c>
      <c r="M153" s="8" t="s">
        <v>2276</v>
      </c>
      <c r="N153" s="8">
        <v>87028037171</v>
      </c>
      <c r="O153" s="8">
        <v>360000</v>
      </c>
      <c r="P153" s="8">
        <v>0</v>
      </c>
      <c r="Q153" s="8" t="s">
        <v>185</v>
      </c>
    </row>
    <row r="154" spans="1:17" ht="13.2">
      <c r="A154" s="26">
        <v>45554.702538958329</v>
      </c>
      <c r="B154" s="8" t="s">
        <v>1049</v>
      </c>
      <c r="C154" s="8" t="s">
        <v>2277</v>
      </c>
      <c r="D154" s="8" t="s">
        <v>2278</v>
      </c>
      <c r="E154" s="8" t="s">
        <v>2279</v>
      </c>
      <c r="F154" s="82" t="s">
        <v>2280</v>
      </c>
      <c r="G154" s="27">
        <v>43061</v>
      </c>
      <c r="H154" s="8" t="s">
        <v>1371</v>
      </c>
      <c r="I154" s="8">
        <v>911015400526</v>
      </c>
      <c r="J154" s="8" t="s">
        <v>1541</v>
      </c>
      <c r="K154" s="8" t="s">
        <v>2281</v>
      </c>
      <c r="L154" s="8" t="s">
        <v>2282</v>
      </c>
      <c r="M154" s="8" t="s">
        <v>2283</v>
      </c>
      <c r="N154" s="8">
        <v>87772606069</v>
      </c>
      <c r="O154" s="8">
        <v>380000</v>
      </c>
      <c r="P154" s="8">
        <v>0</v>
      </c>
      <c r="Q154" s="8" t="s">
        <v>196</v>
      </c>
    </row>
    <row r="155" spans="1:17" ht="13.2">
      <c r="A155" s="26">
        <v>45555.58682462963</v>
      </c>
      <c r="B155" s="8" t="s">
        <v>1049</v>
      </c>
      <c r="C155" s="8" t="s">
        <v>2284</v>
      </c>
      <c r="D155" s="8" t="s">
        <v>1109</v>
      </c>
      <c r="E155" s="8" t="s">
        <v>2285</v>
      </c>
      <c r="F155" s="82" t="s">
        <v>2286</v>
      </c>
      <c r="G155" s="27">
        <v>44963</v>
      </c>
      <c r="H155" s="8" t="s">
        <v>1371</v>
      </c>
      <c r="I155" s="8">
        <v>880114301446</v>
      </c>
      <c r="J155" s="8" t="s">
        <v>2287</v>
      </c>
      <c r="K155" s="8" t="s">
        <v>1527</v>
      </c>
      <c r="L155" s="8" t="s">
        <v>2288</v>
      </c>
      <c r="M155" s="8" t="s">
        <v>2289</v>
      </c>
      <c r="N155" s="8">
        <v>87772708954</v>
      </c>
      <c r="O155" s="8">
        <v>340000</v>
      </c>
      <c r="P155" s="8">
        <v>0</v>
      </c>
      <c r="Q155" s="8" t="s">
        <v>195</v>
      </c>
    </row>
    <row r="156" spans="1:17" ht="13.2">
      <c r="A156" s="26">
        <v>45556.461238009259</v>
      </c>
      <c r="B156" s="8" t="s">
        <v>1049</v>
      </c>
      <c r="C156" s="8" t="s">
        <v>2290</v>
      </c>
      <c r="D156" s="8" t="s">
        <v>2291</v>
      </c>
      <c r="E156" s="8" t="s">
        <v>2292</v>
      </c>
      <c r="F156" s="82" t="s">
        <v>2293</v>
      </c>
      <c r="G156" s="27">
        <v>44596</v>
      </c>
      <c r="H156" s="8" t="s">
        <v>1431</v>
      </c>
      <c r="I156" s="8">
        <v>860801302435</v>
      </c>
      <c r="J156" s="8" t="s">
        <v>1541</v>
      </c>
      <c r="K156" s="8" t="s">
        <v>2294</v>
      </c>
      <c r="L156" s="8" t="s">
        <v>1722</v>
      </c>
      <c r="M156" s="8" t="s">
        <v>2295</v>
      </c>
      <c r="N156" s="8">
        <v>87079216167</v>
      </c>
      <c r="O156" s="8">
        <v>360000</v>
      </c>
      <c r="P156" s="8">
        <v>20000</v>
      </c>
      <c r="Q156" s="8" t="s">
        <v>205</v>
      </c>
    </row>
    <row r="157" spans="1:17" ht="13.2">
      <c r="A157" s="26">
        <v>45556.653692581021</v>
      </c>
      <c r="B157" s="8" t="s">
        <v>1049</v>
      </c>
      <c r="C157" s="8" t="s">
        <v>2296</v>
      </c>
      <c r="D157" s="8" t="s">
        <v>2297</v>
      </c>
      <c r="E157" s="8" t="s">
        <v>2298</v>
      </c>
      <c r="F157" s="82" t="s">
        <v>2299</v>
      </c>
      <c r="G157" s="27">
        <v>40010</v>
      </c>
      <c r="H157" s="8" t="s">
        <v>1410</v>
      </c>
      <c r="I157" s="8">
        <v>840818399010</v>
      </c>
      <c r="J157" s="8" t="s">
        <v>2008</v>
      </c>
      <c r="K157" s="8" t="s">
        <v>2218</v>
      </c>
      <c r="L157" s="8" t="s">
        <v>2300</v>
      </c>
      <c r="M157" s="8" t="s">
        <v>2301</v>
      </c>
      <c r="N157" s="8">
        <v>87071200888</v>
      </c>
      <c r="O157" s="8">
        <v>450000</v>
      </c>
      <c r="P157" s="8">
        <v>0</v>
      </c>
      <c r="Q157" s="8" t="s">
        <v>298</v>
      </c>
    </row>
    <row r="158" spans="1:17" ht="13.2">
      <c r="A158" s="26">
        <v>45557.677195798606</v>
      </c>
      <c r="B158" s="8" t="s">
        <v>1122</v>
      </c>
      <c r="C158" s="8" t="s">
        <v>2302</v>
      </c>
      <c r="D158" s="8" t="s">
        <v>2303</v>
      </c>
      <c r="F158" s="82" t="s">
        <v>2304</v>
      </c>
      <c r="G158" s="27">
        <v>44215</v>
      </c>
      <c r="H158" s="8" t="s">
        <v>1431</v>
      </c>
      <c r="I158" s="8">
        <v>650929399024</v>
      </c>
      <c r="J158" s="8" t="s">
        <v>2305</v>
      </c>
      <c r="K158" s="8" t="s">
        <v>2306</v>
      </c>
      <c r="L158" s="8" t="s">
        <v>2307</v>
      </c>
      <c r="M158" s="8">
        <v>1</v>
      </c>
      <c r="N158" s="8">
        <v>87472568872</v>
      </c>
      <c r="O158" s="8">
        <v>380000</v>
      </c>
      <c r="P158" s="8">
        <v>30000</v>
      </c>
      <c r="Q158" s="8" t="s">
        <v>284</v>
      </c>
    </row>
    <row r="159" spans="1:17" ht="13.2">
      <c r="A159" s="26">
        <v>45557.704534907403</v>
      </c>
      <c r="B159" s="8" t="s">
        <v>1122</v>
      </c>
      <c r="C159" s="8" t="s">
        <v>2308</v>
      </c>
      <c r="D159" s="8" t="s">
        <v>1244</v>
      </c>
      <c r="E159" s="8" t="s">
        <v>2309</v>
      </c>
      <c r="F159" s="82" t="s">
        <v>2310</v>
      </c>
      <c r="G159" s="27">
        <v>45460</v>
      </c>
      <c r="H159" s="8" t="s">
        <v>1371</v>
      </c>
      <c r="I159" s="8">
        <v>610413350118</v>
      </c>
      <c r="J159" s="8" t="s">
        <v>1564</v>
      </c>
      <c r="K159" s="8" t="s">
        <v>1565</v>
      </c>
      <c r="L159" s="8" t="s">
        <v>2311</v>
      </c>
      <c r="M159" s="8" t="s">
        <v>2312</v>
      </c>
      <c r="N159" s="8">
        <v>87013876620</v>
      </c>
      <c r="O159" s="8">
        <v>0</v>
      </c>
      <c r="P159" s="8">
        <v>370000</v>
      </c>
      <c r="Q159" s="8" t="s">
        <v>158</v>
      </c>
    </row>
    <row r="160" spans="1:17" ht="13.2">
      <c r="A160" s="26">
        <v>45558.50058443287</v>
      </c>
      <c r="B160" s="8" t="s">
        <v>1049</v>
      </c>
      <c r="C160" s="8" t="s">
        <v>2313</v>
      </c>
      <c r="D160" s="8" t="s">
        <v>2314</v>
      </c>
      <c r="E160" s="8" t="s">
        <v>2315</v>
      </c>
      <c r="F160" s="82" t="s">
        <v>2316</v>
      </c>
      <c r="G160" s="27">
        <v>44419</v>
      </c>
      <c r="H160" s="8" t="s">
        <v>1371</v>
      </c>
      <c r="I160" s="8">
        <v>651014301100</v>
      </c>
      <c r="J160" s="8" t="s">
        <v>1541</v>
      </c>
      <c r="K160" s="8" t="s">
        <v>1895</v>
      </c>
      <c r="L160" s="8" t="s">
        <v>2317</v>
      </c>
      <c r="M160" s="8">
        <v>79</v>
      </c>
      <c r="N160" s="8">
        <v>87014018989</v>
      </c>
      <c r="O160" s="8">
        <v>380000</v>
      </c>
      <c r="P160" s="8">
        <v>0</v>
      </c>
      <c r="Q160" s="8" t="s">
        <v>183</v>
      </c>
    </row>
    <row r="161" spans="1:17" ht="13.2">
      <c r="A161" s="26">
        <v>45558.679703206013</v>
      </c>
      <c r="B161" s="8" t="s">
        <v>1122</v>
      </c>
      <c r="C161" s="8" t="s">
        <v>2318</v>
      </c>
      <c r="D161" s="8" t="s">
        <v>2319</v>
      </c>
      <c r="E161" s="8" t="s">
        <v>2320</v>
      </c>
      <c r="F161" s="82" t="s">
        <v>2321</v>
      </c>
      <c r="G161" s="27">
        <v>45558</v>
      </c>
      <c r="H161" s="8" t="s">
        <v>1371</v>
      </c>
      <c r="I161" s="8">
        <v>860823350346</v>
      </c>
      <c r="J161" s="8" t="s">
        <v>2028</v>
      </c>
      <c r="K161" s="8" t="s">
        <v>2322</v>
      </c>
      <c r="L161" s="8" t="s">
        <v>2323</v>
      </c>
      <c r="M161" s="8" t="s">
        <v>2324</v>
      </c>
      <c r="N161" s="8">
        <v>87773142212</v>
      </c>
      <c r="O161" s="8">
        <v>395000</v>
      </c>
      <c r="P161" s="8">
        <v>0</v>
      </c>
      <c r="Q161" s="8" t="s">
        <v>157</v>
      </c>
    </row>
    <row r="162" spans="1:17" ht="13.2">
      <c r="A162" s="26">
        <v>45558.752405914347</v>
      </c>
      <c r="B162" s="8" t="s">
        <v>1122</v>
      </c>
      <c r="C162" s="8" t="s">
        <v>2325</v>
      </c>
      <c r="D162" s="8" t="s">
        <v>2326</v>
      </c>
      <c r="E162" s="8" t="s">
        <v>2327</v>
      </c>
      <c r="F162" s="82" t="s">
        <v>2328</v>
      </c>
      <c r="G162" s="27">
        <v>43964</v>
      </c>
      <c r="H162" s="8" t="s">
        <v>1371</v>
      </c>
      <c r="I162" s="8">
        <v>850205300368</v>
      </c>
      <c r="J162" s="8" t="s">
        <v>1564</v>
      </c>
      <c r="K162" s="8" t="s">
        <v>1748</v>
      </c>
      <c r="L162" s="8" t="s">
        <v>2329</v>
      </c>
      <c r="M162" s="8" t="s">
        <v>2330</v>
      </c>
      <c r="N162" s="8">
        <v>87023809088</v>
      </c>
      <c r="O162" s="8">
        <v>440000</v>
      </c>
      <c r="P162" s="8">
        <v>0</v>
      </c>
      <c r="Q162" s="8" t="s">
        <v>156</v>
      </c>
    </row>
    <row r="163" spans="1:17" ht="13.2">
      <c r="A163" s="26">
        <v>45559.436148090273</v>
      </c>
      <c r="B163" s="8" t="s">
        <v>1049</v>
      </c>
      <c r="C163" s="8" t="s">
        <v>2331</v>
      </c>
      <c r="D163" s="8" t="s">
        <v>1407</v>
      </c>
      <c r="E163" s="8" t="s">
        <v>2332</v>
      </c>
      <c r="F163" s="82" t="s">
        <v>2333</v>
      </c>
      <c r="G163" s="27">
        <v>39833</v>
      </c>
      <c r="H163" s="8" t="s">
        <v>1410</v>
      </c>
      <c r="I163" s="8">
        <v>831129300403</v>
      </c>
      <c r="J163" s="8" t="s">
        <v>2334</v>
      </c>
      <c r="K163" s="8" t="s">
        <v>1823</v>
      </c>
      <c r="L163" s="8" t="s">
        <v>2335</v>
      </c>
      <c r="M163" s="8" t="s">
        <v>2336</v>
      </c>
      <c r="N163" s="8">
        <v>87017010183</v>
      </c>
      <c r="O163" s="8">
        <v>0</v>
      </c>
      <c r="P163" s="8">
        <v>320000</v>
      </c>
      <c r="Q163" s="8" t="s">
        <v>268</v>
      </c>
    </row>
    <row r="164" spans="1:17" ht="13.2">
      <c r="A164" s="26">
        <v>45560.525814745371</v>
      </c>
      <c r="B164" s="8" t="s">
        <v>1071</v>
      </c>
      <c r="C164" s="8" t="s">
        <v>2337</v>
      </c>
      <c r="D164" s="8" t="s">
        <v>1407</v>
      </c>
      <c r="E164" s="8" t="s">
        <v>2338</v>
      </c>
      <c r="F164" s="82" t="s">
        <v>2339</v>
      </c>
      <c r="G164" s="27">
        <v>42481</v>
      </c>
      <c r="H164" s="8" t="s">
        <v>1371</v>
      </c>
      <c r="I164" s="8">
        <v>540828350397</v>
      </c>
      <c r="J164" s="8" t="s">
        <v>1403</v>
      </c>
      <c r="K164" s="8" t="s">
        <v>1766</v>
      </c>
      <c r="L164" s="8" t="s">
        <v>2340</v>
      </c>
      <c r="M164" s="8">
        <v>69</v>
      </c>
      <c r="N164" s="8">
        <v>87761208395</v>
      </c>
      <c r="O164" s="8">
        <v>0</v>
      </c>
      <c r="P164" s="8">
        <v>340000</v>
      </c>
      <c r="Q164" s="8" t="s">
        <v>154</v>
      </c>
    </row>
    <row r="165" spans="1:17" ht="13.2">
      <c r="A165" s="26">
        <v>45562.503347152779</v>
      </c>
      <c r="B165" s="8" t="s">
        <v>1049</v>
      </c>
      <c r="C165" s="8" t="s">
        <v>2341</v>
      </c>
      <c r="D165" s="8" t="s">
        <v>2342</v>
      </c>
      <c r="E165" s="8" t="s">
        <v>2343</v>
      </c>
      <c r="F165" s="82" t="s">
        <v>2344</v>
      </c>
      <c r="G165" s="27">
        <v>45261</v>
      </c>
      <c r="H165" s="8" t="s">
        <v>1371</v>
      </c>
      <c r="I165" s="8">
        <v>810522303061</v>
      </c>
      <c r="J165" s="8" t="s">
        <v>2345</v>
      </c>
      <c r="K165" s="8" t="s">
        <v>2346</v>
      </c>
      <c r="L165" s="8" t="s">
        <v>2347</v>
      </c>
      <c r="M165" s="8" t="s">
        <v>2348</v>
      </c>
      <c r="N165" s="8">
        <v>87087435052</v>
      </c>
      <c r="O165" s="8">
        <v>300000</v>
      </c>
      <c r="P165" s="8">
        <v>10000</v>
      </c>
      <c r="Q165" s="8" t="s">
        <v>180</v>
      </c>
    </row>
    <row r="166" spans="1:17" ht="13.2">
      <c r="A166" s="26">
        <v>45562.659978541662</v>
      </c>
      <c r="B166" s="8" t="s">
        <v>1049</v>
      </c>
      <c r="C166" s="8" t="s">
        <v>2349</v>
      </c>
      <c r="D166" s="8" t="s">
        <v>2350</v>
      </c>
      <c r="E166" s="8" t="s">
        <v>1913</v>
      </c>
      <c r="F166" s="82" t="s">
        <v>2351</v>
      </c>
      <c r="G166" s="27">
        <v>45195</v>
      </c>
      <c r="H166" s="8" t="s">
        <v>1371</v>
      </c>
      <c r="I166" s="8">
        <v>871108300446</v>
      </c>
      <c r="J166" s="8" t="s">
        <v>2352</v>
      </c>
      <c r="K166" s="8" t="s">
        <v>2353</v>
      </c>
      <c r="L166" s="8" t="s">
        <v>1405</v>
      </c>
      <c r="M166" s="8">
        <v>82</v>
      </c>
      <c r="N166" s="8">
        <v>87088111987</v>
      </c>
      <c r="O166" s="8">
        <v>380000</v>
      </c>
      <c r="P166" s="8">
        <v>0</v>
      </c>
      <c r="Q166" s="8" t="s">
        <v>182</v>
      </c>
    </row>
    <row r="167" spans="1:17" ht="13.2">
      <c r="A167" s="26">
        <v>45563.457770833338</v>
      </c>
      <c r="B167" s="8" t="s">
        <v>1122</v>
      </c>
      <c r="C167" s="8" t="s">
        <v>2354</v>
      </c>
      <c r="D167" s="8" t="s">
        <v>2103</v>
      </c>
      <c r="E167" s="8" t="s">
        <v>2355</v>
      </c>
      <c r="F167" s="82" t="s">
        <v>2356</v>
      </c>
      <c r="G167" s="27">
        <v>44489</v>
      </c>
      <c r="H167" s="8" t="s">
        <v>1371</v>
      </c>
      <c r="I167" s="8">
        <v>780222301551</v>
      </c>
      <c r="J167" s="8" t="s">
        <v>2357</v>
      </c>
      <c r="K167" s="8" t="s">
        <v>2239</v>
      </c>
      <c r="L167" s="8" t="s">
        <v>2358</v>
      </c>
      <c r="M167" s="8" t="s">
        <v>2359</v>
      </c>
      <c r="N167" s="8">
        <v>87713343187</v>
      </c>
      <c r="O167" s="8">
        <v>0</v>
      </c>
      <c r="P167" s="8">
        <v>760000</v>
      </c>
      <c r="Q167" s="8" t="s">
        <v>371</v>
      </c>
    </row>
    <row r="168" spans="1:17" ht="13.2">
      <c r="A168" s="26">
        <v>45563.48000851852</v>
      </c>
      <c r="B168" s="8" t="s">
        <v>1122</v>
      </c>
      <c r="C168" s="8" t="s">
        <v>2360</v>
      </c>
      <c r="D168" s="8" t="s">
        <v>1244</v>
      </c>
      <c r="E168" s="8" t="s">
        <v>1480</v>
      </c>
      <c r="F168" s="82" t="s">
        <v>2361</v>
      </c>
      <c r="G168" s="27">
        <v>45083</v>
      </c>
      <c r="H168" s="8" t="s">
        <v>1371</v>
      </c>
      <c r="I168" s="8">
        <v>910522350689</v>
      </c>
      <c r="J168" s="8" t="s">
        <v>1564</v>
      </c>
      <c r="K168" s="8" t="s">
        <v>2362</v>
      </c>
      <c r="L168" s="8" t="s">
        <v>2363</v>
      </c>
      <c r="M168" s="8" t="s">
        <v>2295</v>
      </c>
      <c r="N168" s="8">
        <v>87472595819</v>
      </c>
      <c r="O168" s="8">
        <v>0</v>
      </c>
      <c r="P168" s="8">
        <v>340000</v>
      </c>
      <c r="Q168" s="8" t="s">
        <v>155</v>
      </c>
    </row>
    <row r="169" spans="1:17" ht="13.2">
      <c r="A169" s="26">
        <v>45565.559740902783</v>
      </c>
      <c r="B169" s="8" t="s">
        <v>1071</v>
      </c>
      <c r="C169" s="8" t="s">
        <v>2364</v>
      </c>
      <c r="D169" s="8" t="s">
        <v>2365</v>
      </c>
      <c r="E169" s="8" t="s">
        <v>2366</v>
      </c>
      <c r="F169" s="82" t="s">
        <v>2367</v>
      </c>
      <c r="G169" s="27">
        <v>42501</v>
      </c>
      <c r="H169" s="8" t="s">
        <v>1371</v>
      </c>
      <c r="I169" s="8">
        <v>940415450718</v>
      </c>
      <c r="J169" s="8" t="s">
        <v>1403</v>
      </c>
      <c r="K169" s="8" t="s">
        <v>2184</v>
      </c>
      <c r="L169" s="8" t="s">
        <v>2368</v>
      </c>
      <c r="M169" s="8">
        <v>2</v>
      </c>
      <c r="N169" s="8">
        <v>87029308002</v>
      </c>
      <c r="O169" s="8" t="s">
        <v>115</v>
      </c>
      <c r="P169" s="8">
        <v>620000</v>
      </c>
      <c r="Q169" s="8" t="s">
        <v>350</v>
      </c>
    </row>
    <row r="170" spans="1:17" ht="13.2">
      <c r="A170" s="26">
        <v>45567.404575092594</v>
      </c>
      <c r="B170" s="8" t="s">
        <v>1049</v>
      </c>
      <c r="C170" s="8" t="s">
        <v>2369</v>
      </c>
      <c r="D170" s="8" t="s">
        <v>2370</v>
      </c>
      <c r="E170" s="8" t="s">
        <v>2371</v>
      </c>
      <c r="F170" s="82" t="s">
        <v>2372</v>
      </c>
      <c r="G170" s="27">
        <v>43193</v>
      </c>
      <c r="H170" s="8" t="s">
        <v>1431</v>
      </c>
      <c r="I170" s="8">
        <v>960413300966</v>
      </c>
      <c r="J170" s="8" t="s">
        <v>1541</v>
      </c>
      <c r="K170" s="8" t="s">
        <v>2373</v>
      </c>
      <c r="L170" s="8" t="s">
        <v>2374</v>
      </c>
      <c r="M170" s="8" t="s">
        <v>2167</v>
      </c>
      <c r="N170" s="8">
        <v>87086692404</v>
      </c>
      <c r="O170" s="8">
        <v>0</v>
      </c>
      <c r="P170" s="8">
        <v>380000</v>
      </c>
      <c r="Q170" s="8" t="s">
        <v>315</v>
      </c>
    </row>
    <row r="171" spans="1:17" ht="13.2">
      <c r="A171" s="26">
        <v>45568.483606712965</v>
      </c>
      <c r="B171" s="8" t="s">
        <v>1071</v>
      </c>
      <c r="C171" s="8" t="s">
        <v>2375</v>
      </c>
      <c r="D171" s="8" t="s">
        <v>2376</v>
      </c>
      <c r="E171" s="8" t="s">
        <v>1191</v>
      </c>
      <c r="F171" s="82" t="s">
        <v>2377</v>
      </c>
      <c r="G171" s="27">
        <v>38758</v>
      </c>
      <c r="H171" s="8" t="s">
        <v>1410</v>
      </c>
      <c r="I171" s="8">
        <v>810101351786</v>
      </c>
      <c r="J171" s="8" t="s">
        <v>1806</v>
      </c>
      <c r="K171" s="8" t="s">
        <v>2378</v>
      </c>
      <c r="L171" s="8" t="s">
        <v>2379</v>
      </c>
      <c r="M171" s="8">
        <v>28</v>
      </c>
      <c r="N171" s="8">
        <v>87754062114</v>
      </c>
      <c r="O171" s="8" t="s">
        <v>115</v>
      </c>
      <c r="P171" s="8">
        <v>370000</v>
      </c>
      <c r="Q171" s="8" t="s">
        <v>141</v>
      </c>
    </row>
    <row r="172" spans="1:17" ht="13.2">
      <c r="A172" s="26">
        <v>45568.701132071757</v>
      </c>
      <c r="B172" s="8" t="s">
        <v>1071</v>
      </c>
      <c r="C172" s="8" t="s">
        <v>2380</v>
      </c>
      <c r="D172" s="8" t="s">
        <v>2381</v>
      </c>
      <c r="E172" s="8" t="s">
        <v>2382</v>
      </c>
      <c r="F172" s="82" t="s">
        <v>2383</v>
      </c>
      <c r="G172" s="27">
        <v>43777</v>
      </c>
      <c r="H172" s="8" t="s">
        <v>1371</v>
      </c>
      <c r="I172" s="8">
        <v>741113350423</v>
      </c>
      <c r="J172" s="8" t="s">
        <v>1403</v>
      </c>
      <c r="K172" s="8" t="s">
        <v>2184</v>
      </c>
      <c r="L172" s="8" t="s">
        <v>2384</v>
      </c>
      <c r="M172" s="8">
        <v>63</v>
      </c>
      <c r="N172" s="8">
        <v>87015127552</v>
      </c>
      <c r="O172" s="8" t="s">
        <v>115</v>
      </c>
      <c r="P172" s="8">
        <v>380000</v>
      </c>
      <c r="Q172" s="8" t="s">
        <v>292</v>
      </c>
    </row>
    <row r="173" spans="1:17" ht="13.2">
      <c r="A173" s="26">
        <v>45570.392400277779</v>
      </c>
      <c r="B173" s="8" t="s">
        <v>1049</v>
      </c>
      <c r="C173" s="8" t="s">
        <v>2385</v>
      </c>
      <c r="D173" s="8" t="s">
        <v>1439</v>
      </c>
      <c r="E173" s="8" t="s">
        <v>1201</v>
      </c>
      <c r="F173" s="82" t="s">
        <v>2386</v>
      </c>
      <c r="G173" s="27">
        <v>43475</v>
      </c>
      <c r="H173" s="8" t="s">
        <v>1371</v>
      </c>
      <c r="I173" s="8">
        <v>890121300399</v>
      </c>
      <c r="J173" s="8" t="s">
        <v>2015</v>
      </c>
      <c r="K173" s="8" t="s">
        <v>2387</v>
      </c>
      <c r="L173" s="8" t="s">
        <v>2388</v>
      </c>
      <c r="M173" s="8" t="s">
        <v>1843</v>
      </c>
      <c r="N173" s="8">
        <v>87059907871</v>
      </c>
      <c r="O173" s="8">
        <v>320000</v>
      </c>
      <c r="P173" s="8">
        <v>0</v>
      </c>
      <c r="Q173" s="8" t="s">
        <v>229</v>
      </c>
    </row>
    <row r="174" spans="1:17" ht="13.2">
      <c r="A174" s="26">
        <v>45570.471718206019</v>
      </c>
      <c r="B174" s="8" t="s">
        <v>1049</v>
      </c>
      <c r="C174" s="8" t="s">
        <v>2389</v>
      </c>
      <c r="D174" s="8" t="s">
        <v>2319</v>
      </c>
      <c r="E174" s="8" t="s">
        <v>2390</v>
      </c>
      <c r="F174" s="82" t="s">
        <v>2391</v>
      </c>
      <c r="G174" s="27">
        <v>43311</v>
      </c>
      <c r="H174" s="8" t="s">
        <v>1371</v>
      </c>
      <c r="I174" s="8">
        <v>821201300393</v>
      </c>
      <c r="J174" s="8" t="s">
        <v>2008</v>
      </c>
      <c r="K174" s="8" t="s">
        <v>2392</v>
      </c>
      <c r="L174" s="8" t="s">
        <v>2393</v>
      </c>
      <c r="M174" s="8" t="s">
        <v>2394</v>
      </c>
      <c r="N174" s="8">
        <v>87075550035</v>
      </c>
      <c r="O174" s="8">
        <v>340000</v>
      </c>
      <c r="P174" s="8">
        <v>0</v>
      </c>
      <c r="Q174" s="8" t="s">
        <v>181</v>
      </c>
    </row>
    <row r="175" spans="1:17" ht="13.2">
      <c r="A175" s="26">
        <v>45570.779463900464</v>
      </c>
      <c r="B175" s="8" t="s">
        <v>1049</v>
      </c>
      <c r="C175" s="8" t="s">
        <v>2395</v>
      </c>
      <c r="D175" s="8" t="s">
        <v>2396</v>
      </c>
      <c r="E175" s="8" t="s">
        <v>2397</v>
      </c>
      <c r="F175" s="82" t="s">
        <v>2398</v>
      </c>
      <c r="G175" s="27">
        <v>42061</v>
      </c>
      <c r="H175" s="8" t="s">
        <v>1371</v>
      </c>
      <c r="I175" s="8">
        <v>900425301047</v>
      </c>
      <c r="J175" s="8" t="s">
        <v>2008</v>
      </c>
      <c r="K175" s="8" t="s">
        <v>2399</v>
      </c>
      <c r="L175" s="8" t="s">
        <v>2400</v>
      </c>
      <c r="M175" s="8" t="s">
        <v>2401</v>
      </c>
      <c r="N175" s="8">
        <v>87756234209</v>
      </c>
      <c r="O175" s="8">
        <v>0</v>
      </c>
      <c r="P175" s="8">
        <v>370000</v>
      </c>
      <c r="Q175" s="8" t="s">
        <v>296</v>
      </c>
    </row>
    <row r="176" spans="1:17" ht="13.2">
      <c r="A176" s="26">
        <v>45573.478494050927</v>
      </c>
      <c r="B176" s="8" t="s">
        <v>1049</v>
      </c>
      <c r="C176" s="8" t="s">
        <v>2402</v>
      </c>
      <c r="D176" s="8" t="s">
        <v>2403</v>
      </c>
      <c r="E176" s="8" t="s">
        <v>2404</v>
      </c>
      <c r="F176" s="82" t="s">
        <v>2405</v>
      </c>
      <c r="G176" s="27">
        <v>43348</v>
      </c>
      <c r="H176" s="8" t="s">
        <v>1371</v>
      </c>
      <c r="I176" s="8">
        <v>830112301129</v>
      </c>
      <c r="J176" s="8" t="s">
        <v>2008</v>
      </c>
      <c r="K176" s="8" t="s">
        <v>2218</v>
      </c>
      <c r="L176" s="8" t="s">
        <v>2406</v>
      </c>
      <c r="M176" s="8" t="s">
        <v>2407</v>
      </c>
      <c r="N176" s="8">
        <v>87053487502</v>
      </c>
      <c r="O176" s="8">
        <v>360000</v>
      </c>
      <c r="P176" s="8">
        <v>0</v>
      </c>
      <c r="Q176" s="8" t="s">
        <v>191</v>
      </c>
    </row>
    <row r="177" spans="1:17" ht="13.2">
      <c r="A177" s="26">
        <v>45576.590921898147</v>
      </c>
      <c r="B177" s="8" t="s">
        <v>1071</v>
      </c>
      <c r="C177" s="8" t="s">
        <v>2408</v>
      </c>
      <c r="D177" s="8" t="s">
        <v>1967</v>
      </c>
      <c r="E177" s="8" t="s">
        <v>2409</v>
      </c>
      <c r="F177" s="82" t="s">
        <v>2410</v>
      </c>
      <c r="G177" s="27">
        <v>42244</v>
      </c>
      <c r="H177" s="8" t="s">
        <v>1431</v>
      </c>
      <c r="I177" s="8">
        <v>940101301736</v>
      </c>
      <c r="J177" s="8" t="s">
        <v>1403</v>
      </c>
      <c r="K177" s="8" t="s">
        <v>2184</v>
      </c>
      <c r="L177" s="8" t="s">
        <v>2411</v>
      </c>
      <c r="M177" s="8" t="s">
        <v>2412</v>
      </c>
      <c r="N177" s="8">
        <v>87071995759</v>
      </c>
      <c r="O177" s="8">
        <v>730000</v>
      </c>
      <c r="P177" s="8">
        <v>0</v>
      </c>
      <c r="Q177" s="8" t="s">
        <v>365</v>
      </c>
    </row>
    <row r="178" spans="1:17" ht="13.2">
      <c r="A178" s="26">
        <v>45576.639698495375</v>
      </c>
      <c r="B178" s="8" t="s">
        <v>1049</v>
      </c>
      <c r="C178" s="8" t="s">
        <v>2413</v>
      </c>
      <c r="D178" s="8" t="s">
        <v>2414</v>
      </c>
      <c r="E178" s="8" t="s">
        <v>2415</v>
      </c>
      <c r="F178" s="82" t="s">
        <v>2416</v>
      </c>
      <c r="G178" s="27">
        <v>42209</v>
      </c>
      <c r="H178" s="8" t="s">
        <v>1371</v>
      </c>
      <c r="I178" s="8">
        <v>900715302448</v>
      </c>
      <c r="J178" s="8" t="s">
        <v>1656</v>
      </c>
      <c r="K178" s="8" t="s">
        <v>2417</v>
      </c>
      <c r="L178" s="8" t="s">
        <v>2418</v>
      </c>
      <c r="M178" s="8">
        <v>12</v>
      </c>
      <c r="N178" s="8">
        <v>87773879377</v>
      </c>
      <c r="O178" s="8">
        <v>380000</v>
      </c>
      <c r="P178" s="8">
        <v>0</v>
      </c>
      <c r="Q178" s="8" t="s">
        <v>148</v>
      </c>
    </row>
    <row r="179" spans="1:17" ht="13.2">
      <c r="A179" s="26">
        <v>45580.638582071755</v>
      </c>
      <c r="B179" s="8" t="s">
        <v>1122</v>
      </c>
      <c r="C179" s="8" t="s">
        <v>2419</v>
      </c>
      <c r="D179" s="8" t="s">
        <v>2420</v>
      </c>
      <c r="E179" s="8" t="s">
        <v>2421</v>
      </c>
      <c r="F179" s="82" t="s">
        <v>2422</v>
      </c>
      <c r="G179" s="27">
        <v>42655</v>
      </c>
      <c r="H179" s="8" t="s">
        <v>1371</v>
      </c>
      <c r="I179" s="8">
        <v>721130450121</v>
      </c>
      <c r="J179" s="8" t="s">
        <v>1533</v>
      </c>
      <c r="K179" s="8" t="s">
        <v>2423</v>
      </c>
      <c r="L179" s="8" t="s">
        <v>2424</v>
      </c>
      <c r="M179" s="8" t="s">
        <v>2425</v>
      </c>
      <c r="N179" s="8">
        <v>87054261109</v>
      </c>
      <c r="O179" s="8">
        <v>745000</v>
      </c>
      <c r="P179" s="8">
        <v>0</v>
      </c>
      <c r="Q179" s="8" t="s">
        <v>349</v>
      </c>
    </row>
    <row r="180" spans="1:17" ht="13.2">
      <c r="A180" s="26">
        <v>45582.547509317126</v>
      </c>
      <c r="B180" s="8" t="s">
        <v>1122</v>
      </c>
      <c r="C180" s="8" t="s">
        <v>2426</v>
      </c>
      <c r="D180" s="8" t="s">
        <v>2427</v>
      </c>
      <c r="E180" s="8" t="s">
        <v>2428</v>
      </c>
      <c r="F180" s="82" t="s">
        <v>2429</v>
      </c>
      <c r="G180" s="27">
        <v>38091</v>
      </c>
      <c r="H180" s="8" t="s">
        <v>1371</v>
      </c>
      <c r="I180" s="8">
        <v>580515301641</v>
      </c>
      <c r="J180" s="8" t="s">
        <v>2430</v>
      </c>
      <c r="K180" s="8" t="s">
        <v>2431</v>
      </c>
      <c r="L180" s="8" t="s">
        <v>2432</v>
      </c>
      <c r="M180" s="8">
        <v>5</v>
      </c>
      <c r="N180" s="8">
        <v>87711628984</v>
      </c>
      <c r="O180" s="8">
        <v>0</v>
      </c>
      <c r="P180" s="8">
        <v>690000</v>
      </c>
      <c r="Q180" s="8" t="s">
        <v>352</v>
      </c>
    </row>
    <row r="181" spans="1:17" ht="13.2">
      <c r="A181" s="84">
        <v>45582.562585717591</v>
      </c>
      <c r="B181" s="85" t="s">
        <v>1122</v>
      </c>
      <c r="C181" s="85" t="s">
        <v>2433</v>
      </c>
      <c r="D181" s="85" t="s">
        <v>1081</v>
      </c>
      <c r="E181" s="85" t="s">
        <v>1111</v>
      </c>
      <c r="F181" s="98" t="s">
        <v>2434</v>
      </c>
      <c r="G181" s="86">
        <v>43280</v>
      </c>
      <c r="H181" s="85" t="s">
        <v>1371</v>
      </c>
      <c r="I181" s="85">
        <v>730628350508</v>
      </c>
      <c r="J181" s="85" t="s">
        <v>1564</v>
      </c>
      <c r="K181" s="85" t="s">
        <v>2435</v>
      </c>
      <c r="L181" s="85" t="s">
        <v>2436</v>
      </c>
      <c r="M181" s="85" t="s">
        <v>2437</v>
      </c>
      <c r="N181" s="85">
        <v>87014848127</v>
      </c>
      <c r="O181" s="85">
        <v>380000</v>
      </c>
      <c r="P181" s="85">
        <v>0</v>
      </c>
      <c r="Q181" s="85" t="s">
        <v>139</v>
      </c>
    </row>
    <row r="182" spans="1:17" ht="13.2">
      <c r="A182" s="26">
        <v>45582.739759236109</v>
      </c>
      <c r="B182" s="8" t="s">
        <v>1049</v>
      </c>
      <c r="C182" s="8" t="s">
        <v>2438</v>
      </c>
      <c r="D182" s="8" t="s">
        <v>2439</v>
      </c>
      <c r="E182" s="8" t="s">
        <v>1913</v>
      </c>
      <c r="F182" s="82" t="s">
        <v>2440</v>
      </c>
      <c r="G182" s="27">
        <v>44096</v>
      </c>
      <c r="H182" s="8" t="s">
        <v>1371</v>
      </c>
      <c r="I182" s="8">
        <v>850127302182</v>
      </c>
      <c r="J182" s="8" t="s">
        <v>1541</v>
      </c>
      <c r="K182" s="8" t="s">
        <v>2441</v>
      </c>
      <c r="L182" s="8" t="s">
        <v>2442</v>
      </c>
      <c r="M182" s="8" t="s">
        <v>2443</v>
      </c>
      <c r="N182" s="8">
        <v>87013467536</v>
      </c>
      <c r="O182" s="8">
        <v>0</v>
      </c>
      <c r="P182" s="8">
        <v>340000</v>
      </c>
      <c r="Q182" s="8" t="s">
        <v>153</v>
      </c>
    </row>
    <row r="183" spans="1:17" ht="13.2">
      <c r="A183" s="26">
        <v>45584.483880509259</v>
      </c>
      <c r="B183" s="8" t="s">
        <v>1049</v>
      </c>
      <c r="C183" s="8" t="s">
        <v>2444</v>
      </c>
      <c r="D183" s="8" t="s">
        <v>2445</v>
      </c>
      <c r="E183" s="8" t="s">
        <v>2446</v>
      </c>
      <c r="F183" s="82" t="s">
        <v>2447</v>
      </c>
      <c r="G183" s="27">
        <v>44361</v>
      </c>
      <c r="H183" s="8" t="s">
        <v>1371</v>
      </c>
      <c r="I183" s="8">
        <v>850321300160</v>
      </c>
      <c r="J183" s="8" t="s">
        <v>2008</v>
      </c>
      <c r="K183" s="8" t="s">
        <v>2448</v>
      </c>
      <c r="L183" s="8" t="s">
        <v>2449</v>
      </c>
      <c r="M183" s="8" t="s">
        <v>1905</v>
      </c>
      <c r="N183" s="8">
        <v>87001015181</v>
      </c>
      <c r="O183" s="8">
        <v>460000</v>
      </c>
      <c r="P183" s="8">
        <v>0</v>
      </c>
      <c r="Q183" s="8" t="s">
        <v>359</v>
      </c>
    </row>
    <row r="184" spans="1:17" ht="13.2">
      <c r="A184" s="26">
        <v>45588.477996840273</v>
      </c>
      <c r="B184" s="8" t="s">
        <v>1122</v>
      </c>
      <c r="C184" s="8" t="s">
        <v>2450</v>
      </c>
      <c r="D184" s="8" t="s">
        <v>2451</v>
      </c>
      <c r="E184" s="8" t="s">
        <v>2452</v>
      </c>
      <c r="F184" s="82" t="s">
        <v>2453</v>
      </c>
      <c r="G184" s="27">
        <v>45588</v>
      </c>
      <c r="H184" s="8" t="s">
        <v>1371</v>
      </c>
      <c r="I184" s="8">
        <v>600120302857</v>
      </c>
      <c r="J184" s="8" t="s">
        <v>1564</v>
      </c>
      <c r="K184" s="8" t="s">
        <v>2120</v>
      </c>
      <c r="L184" s="8" t="s">
        <v>2454</v>
      </c>
      <c r="M184" s="8" t="s">
        <v>2455</v>
      </c>
      <c r="N184" s="8">
        <v>87711333335</v>
      </c>
      <c r="O184" s="8">
        <v>370000</v>
      </c>
      <c r="P184" s="8">
        <v>0</v>
      </c>
      <c r="Q184" s="8" t="s">
        <v>142</v>
      </c>
    </row>
    <row r="185" spans="1:17" ht="13.2">
      <c r="A185" s="26">
        <v>45588.488809317132</v>
      </c>
      <c r="B185" s="8" t="s">
        <v>1122</v>
      </c>
      <c r="C185" s="8" t="s">
        <v>2456</v>
      </c>
      <c r="D185" s="8" t="s">
        <v>2209</v>
      </c>
      <c r="E185" s="8" t="s">
        <v>2457</v>
      </c>
      <c r="F185" s="82" t="s">
        <v>2458</v>
      </c>
      <c r="G185" s="27">
        <v>45588</v>
      </c>
      <c r="H185" s="8" t="s">
        <v>1371</v>
      </c>
      <c r="I185" s="8">
        <v>861125300932</v>
      </c>
      <c r="J185" s="8" t="s">
        <v>1564</v>
      </c>
      <c r="K185" s="8" t="s">
        <v>2120</v>
      </c>
      <c r="L185" s="8" t="s">
        <v>2459</v>
      </c>
      <c r="M185" s="8" t="s">
        <v>2460</v>
      </c>
      <c r="N185" s="8">
        <v>87477903530</v>
      </c>
      <c r="O185" s="8">
        <v>0</v>
      </c>
      <c r="P185" s="8">
        <v>370000</v>
      </c>
      <c r="Q185" s="8" t="s">
        <v>140</v>
      </c>
    </row>
    <row r="186" spans="1:17" ht="13.2">
      <c r="A186" s="26">
        <v>45588.502733009256</v>
      </c>
      <c r="B186" s="8" t="s">
        <v>1071</v>
      </c>
      <c r="C186" s="8" t="s">
        <v>2461</v>
      </c>
      <c r="D186" s="8" t="s">
        <v>1993</v>
      </c>
      <c r="E186" s="8" t="s">
        <v>1201</v>
      </c>
      <c r="F186" s="82" t="s">
        <v>2462</v>
      </c>
      <c r="G186" s="27">
        <v>42326</v>
      </c>
      <c r="H186" s="8" t="s">
        <v>1371</v>
      </c>
      <c r="I186" s="8">
        <v>590605300555</v>
      </c>
      <c r="J186" s="8" t="s">
        <v>2463</v>
      </c>
      <c r="K186" s="8" t="s">
        <v>2464</v>
      </c>
      <c r="L186" s="8" t="s">
        <v>2465</v>
      </c>
      <c r="M186" s="8" t="s">
        <v>2466</v>
      </c>
      <c r="N186" s="8">
        <v>87769689581</v>
      </c>
      <c r="O186" s="8">
        <v>0</v>
      </c>
      <c r="P186" s="8">
        <v>370000</v>
      </c>
      <c r="Q186" s="8" t="s">
        <v>133</v>
      </c>
    </row>
    <row r="187" spans="1:17" ht="13.2">
      <c r="A187" s="26">
        <v>45588.596428171295</v>
      </c>
      <c r="B187" s="8" t="s">
        <v>1049</v>
      </c>
      <c r="C187" s="8" t="s">
        <v>2467</v>
      </c>
      <c r="D187" s="8" t="s">
        <v>2468</v>
      </c>
      <c r="E187" s="8" t="s">
        <v>2469</v>
      </c>
      <c r="F187" s="82" t="s">
        <v>2470</v>
      </c>
      <c r="G187" s="27">
        <v>44526</v>
      </c>
      <c r="H187" s="8" t="s">
        <v>1371</v>
      </c>
      <c r="I187" s="8">
        <v>720707300727</v>
      </c>
      <c r="J187" s="8" t="s">
        <v>1541</v>
      </c>
      <c r="K187" s="8" t="s">
        <v>2471</v>
      </c>
      <c r="L187" s="8" t="s">
        <v>2472</v>
      </c>
      <c r="M187" s="8" t="s">
        <v>2473</v>
      </c>
      <c r="N187" s="8">
        <v>87014419777</v>
      </c>
      <c r="O187" s="8">
        <v>540000</v>
      </c>
      <c r="P187" s="8">
        <v>0</v>
      </c>
      <c r="Q187" s="8" t="s">
        <v>360</v>
      </c>
    </row>
    <row r="188" spans="1:17" ht="13.2">
      <c r="A188" s="26">
        <v>45593.503575520837</v>
      </c>
      <c r="B188" s="8" t="s">
        <v>1049</v>
      </c>
      <c r="C188" s="8" t="s">
        <v>2474</v>
      </c>
      <c r="D188" s="8" t="s">
        <v>2475</v>
      </c>
      <c r="E188" s="8" t="s">
        <v>2476</v>
      </c>
      <c r="F188" s="82" t="s">
        <v>2477</v>
      </c>
      <c r="G188" s="27">
        <v>43033</v>
      </c>
      <c r="H188" s="8" t="s">
        <v>1431</v>
      </c>
      <c r="I188" s="8">
        <v>930410350643</v>
      </c>
      <c r="J188" s="8" t="s">
        <v>1541</v>
      </c>
      <c r="K188" s="8" t="s">
        <v>2478</v>
      </c>
      <c r="L188" s="8" t="s">
        <v>2479</v>
      </c>
      <c r="M188" s="8" t="s">
        <v>1780</v>
      </c>
      <c r="N188" s="8">
        <v>87005008710</v>
      </c>
      <c r="O188" s="8">
        <v>0</v>
      </c>
      <c r="P188" s="8">
        <v>390000</v>
      </c>
      <c r="Q188" s="8" t="s">
        <v>318</v>
      </c>
    </row>
    <row r="189" spans="1:17" ht="13.2">
      <c r="A189" s="26">
        <v>45593.709254629634</v>
      </c>
      <c r="B189" s="8" t="s">
        <v>1049</v>
      </c>
      <c r="C189" s="8" t="s">
        <v>2480</v>
      </c>
      <c r="D189" s="8" t="s">
        <v>2481</v>
      </c>
      <c r="E189" s="8" t="s">
        <v>1505</v>
      </c>
      <c r="F189" s="82" t="s">
        <v>2482</v>
      </c>
      <c r="G189" s="27">
        <v>43543</v>
      </c>
      <c r="H189" s="8" t="s">
        <v>1371</v>
      </c>
      <c r="I189" s="8">
        <v>770302302681</v>
      </c>
      <c r="J189" s="8" t="s">
        <v>2008</v>
      </c>
      <c r="K189" s="8" t="s">
        <v>2483</v>
      </c>
      <c r="L189" s="8" t="s">
        <v>2484</v>
      </c>
      <c r="M189" s="8" t="s">
        <v>2485</v>
      </c>
      <c r="N189" s="8">
        <v>87077712417</v>
      </c>
      <c r="O189" s="8">
        <v>350000</v>
      </c>
      <c r="P189" s="8">
        <v>0</v>
      </c>
      <c r="Q189" s="8" t="s">
        <v>219</v>
      </c>
    </row>
    <row r="190" spans="1:17" ht="13.2">
      <c r="A190" s="26">
        <v>45593.726436180557</v>
      </c>
      <c r="B190" s="8" t="s">
        <v>1049</v>
      </c>
      <c r="C190" s="8" t="s">
        <v>2486</v>
      </c>
      <c r="D190" s="8" t="s">
        <v>2123</v>
      </c>
      <c r="E190" s="8" t="s">
        <v>2487</v>
      </c>
      <c r="F190" s="82" t="s">
        <v>2488</v>
      </c>
      <c r="G190" s="27">
        <v>44495</v>
      </c>
      <c r="H190" s="8" t="s">
        <v>1431</v>
      </c>
      <c r="I190" s="8">
        <v>950923300322</v>
      </c>
      <c r="J190" s="8" t="s">
        <v>2008</v>
      </c>
      <c r="K190" s="8" t="s">
        <v>2489</v>
      </c>
      <c r="L190" s="8" t="s">
        <v>2490</v>
      </c>
      <c r="M190" s="8" t="s">
        <v>2491</v>
      </c>
      <c r="N190" s="8">
        <v>87076271715</v>
      </c>
      <c r="O190" s="8">
        <v>430000</v>
      </c>
      <c r="P190" s="8">
        <v>0</v>
      </c>
      <c r="Q190" s="8" t="s">
        <v>299</v>
      </c>
    </row>
    <row r="191" spans="1:17" ht="13.2">
      <c r="A191" s="26">
        <v>45594.561795173606</v>
      </c>
      <c r="B191" s="8" t="s">
        <v>1049</v>
      </c>
      <c r="C191" s="8" t="s">
        <v>2492</v>
      </c>
      <c r="D191" s="8" t="s">
        <v>2493</v>
      </c>
      <c r="E191" s="8" t="s">
        <v>2494</v>
      </c>
      <c r="F191" s="82" t="s">
        <v>2495</v>
      </c>
      <c r="G191" s="27">
        <v>42773</v>
      </c>
      <c r="H191" s="8" t="s">
        <v>1371</v>
      </c>
      <c r="I191" s="8">
        <v>870710301563</v>
      </c>
      <c r="J191" s="8" t="s">
        <v>1372</v>
      </c>
      <c r="K191" s="8" t="s">
        <v>2496</v>
      </c>
      <c r="L191" s="8" t="s">
        <v>2497</v>
      </c>
      <c r="M191" s="8">
        <v>93</v>
      </c>
      <c r="N191" s="8">
        <v>87472528288</v>
      </c>
      <c r="O191" s="8">
        <v>440000</v>
      </c>
      <c r="P191" s="8">
        <v>0</v>
      </c>
      <c r="Q191" s="8" t="s">
        <v>326</v>
      </c>
    </row>
    <row r="192" spans="1:17" ht="13.2">
      <c r="A192" s="26">
        <v>45594.715718784719</v>
      </c>
      <c r="B192" s="8" t="s">
        <v>1071</v>
      </c>
      <c r="C192" s="8" t="s">
        <v>2498</v>
      </c>
      <c r="D192" s="8" t="s">
        <v>1752</v>
      </c>
      <c r="E192" s="8" t="s">
        <v>2499</v>
      </c>
      <c r="F192" s="82" t="s">
        <v>2500</v>
      </c>
      <c r="G192" s="27">
        <v>42424</v>
      </c>
      <c r="H192" s="8" t="s">
        <v>1431</v>
      </c>
      <c r="I192" s="8">
        <v>700420350482</v>
      </c>
      <c r="J192" s="8" t="s">
        <v>1976</v>
      </c>
      <c r="K192" s="8" t="s">
        <v>2093</v>
      </c>
      <c r="L192" s="8" t="s">
        <v>2501</v>
      </c>
      <c r="M192" s="8" t="s">
        <v>2502</v>
      </c>
      <c r="N192" s="8">
        <v>87015361904</v>
      </c>
      <c r="O192" s="8">
        <v>370000</v>
      </c>
      <c r="P192" s="8">
        <v>0</v>
      </c>
      <c r="Q192" s="8" t="s">
        <v>322</v>
      </c>
    </row>
    <row r="193" spans="1:17" ht="13.2">
      <c r="A193" s="26">
        <v>45595.627250162041</v>
      </c>
      <c r="B193" s="8" t="s">
        <v>1049</v>
      </c>
      <c r="C193" s="8" t="s">
        <v>2503</v>
      </c>
      <c r="D193" s="8" t="s">
        <v>1967</v>
      </c>
      <c r="E193" s="8" t="s">
        <v>2504</v>
      </c>
      <c r="F193" s="82" t="s">
        <v>2505</v>
      </c>
      <c r="G193" s="27">
        <v>44938</v>
      </c>
      <c r="H193" s="8" t="s">
        <v>1371</v>
      </c>
      <c r="I193" s="8">
        <v>830312302263</v>
      </c>
      <c r="J193" s="8" t="s">
        <v>1889</v>
      </c>
      <c r="K193" s="8" t="s">
        <v>2506</v>
      </c>
      <c r="L193" s="8" t="s">
        <v>2507</v>
      </c>
      <c r="M193" s="8">
        <v>33</v>
      </c>
      <c r="N193" s="8">
        <v>87773072818</v>
      </c>
      <c r="O193" s="8">
        <v>700000</v>
      </c>
      <c r="P193" s="8">
        <v>100000</v>
      </c>
      <c r="Q193" s="8" t="s">
        <v>369</v>
      </c>
    </row>
    <row r="194" spans="1:17" ht="13.2">
      <c r="A194" s="26">
        <v>45596.714580601853</v>
      </c>
      <c r="B194" s="8" t="s">
        <v>1049</v>
      </c>
      <c r="C194" s="8" t="s">
        <v>2508</v>
      </c>
      <c r="D194" s="8" t="s">
        <v>2103</v>
      </c>
      <c r="E194" s="8" t="s">
        <v>2509</v>
      </c>
      <c r="F194" s="82" t="s">
        <v>2510</v>
      </c>
      <c r="G194" s="27">
        <v>42094</v>
      </c>
      <c r="H194" s="8" t="s">
        <v>1371</v>
      </c>
      <c r="I194" s="8">
        <v>911124301134</v>
      </c>
      <c r="J194" s="8" t="s">
        <v>1889</v>
      </c>
      <c r="K194" s="8" t="s">
        <v>2511</v>
      </c>
      <c r="L194" s="8" t="s">
        <v>2512</v>
      </c>
      <c r="M194" s="8">
        <v>43</v>
      </c>
      <c r="N194" s="8">
        <v>87071683813</v>
      </c>
      <c r="O194" s="8">
        <v>0</v>
      </c>
      <c r="P194" s="8">
        <v>380000</v>
      </c>
      <c r="Q194" s="8" t="s">
        <v>308</v>
      </c>
    </row>
    <row r="195" spans="1:17" ht="13.2">
      <c r="A195" s="26">
        <v>45598.57150351852</v>
      </c>
      <c r="B195" s="8" t="s">
        <v>1122</v>
      </c>
      <c r="C195" s="8" t="s">
        <v>2513</v>
      </c>
      <c r="D195" s="8" t="s">
        <v>2514</v>
      </c>
      <c r="E195" s="8" t="s">
        <v>2309</v>
      </c>
      <c r="F195" s="82" t="s">
        <v>2515</v>
      </c>
      <c r="G195" s="27">
        <v>44105</v>
      </c>
      <c r="H195" s="8" t="s">
        <v>1371</v>
      </c>
      <c r="I195" s="8">
        <v>850202350144</v>
      </c>
      <c r="J195" s="8" t="s">
        <v>1533</v>
      </c>
      <c r="K195" s="8" t="s">
        <v>2206</v>
      </c>
      <c r="L195" s="8" t="s">
        <v>2516</v>
      </c>
      <c r="M195" s="8">
        <v>58</v>
      </c>
      <c r="N195" s="8">
        <v>87085835340</v>
      </c>
      <c r="O195" s="8">
        <v>0</v>
      </c>
      <c r="P195" s="8">
        <v>380000</v>
      </c>
      <c r="Q195" s="8" t="s">
        <v>324</v>
      </c>
    </row>
    <row r="196" spans="1:17" ht="15" customHeight="1">
      <c r="A196" s="26">
        <v>45598.605633333333</v>
      </c>
      <c r="B196" s="8" t="s">
        <v>1049</v>
      </c>
      <c r="C196" s="8" t="s">
        <v>2517</v>
      </c>
      <c r="D196" s="8" t="s">
        <v>1256</v>
      </c>
      <c r="E196" s="8" t="s">
        <v>1386</v>
      </c>
      <c r="F196" s="82" t="s">
        <v>2518</v>
      </c>
      <c r="G196" s="27">
        <v>39126</v>
      </c>
      <c r="H196" s="8" t="s">
        <v>1410</v>
      </c>
      <c r="I196" s="8">
        <v>620210300516</v>
      </c>
      <c r="J196" s="8" t="s">
        <v>1372</v>
      </c>
      <c r="K196" s="8" t="s">
        <v>1941</v>
      </c>
      <c r="L196" s="8" t="s">
        <v>2519</v>
      </c>
      <c r="M196" s="8" t="s">
        <v>2520</v>
      </c>
      <c r="N196" s="8">
        <v>87075582255</v>
      </c>
      <c r="O196" s="8">
        <v>0</v>
      </c>
      <c r="P196" s="8">
        <v>380000</v>
      </c>
      <c r="Q196" s="8" t="s">
        <v>323</v>
      </c>
    </row>
    <row r="197" spans="1:17" ht="13.2">
      <c r="A197" s="26">
        <v>45600.490297430559</v>
      </c>
      <c r="B197" s="8" t="s">
        <v>1071</v>
      </c>
      <c r="C197" s="8" t="s">
        <v>2521</v>
      </c>
      <c r="D197" s="8" t="s">
        <v>1053</v>
      </c>
      <c r="E197" s="8" t="s">
        <v>1201</v>
      </c>
      <c r="F197" s="82" t="s">
        <v>2522</v>
      </c>
      <c r="G197" s="27">
        <v>42338</v>
      </c>
      <c r="H197" s="8" t="s">
        <v>1371</v>
      </c>
      <c r="I197" s="8">
        <v>901201350585</v>
      </c>
      <c r="J197" s="8" t="s">
        <v>1976</v>
      </c>
      <c r="K197" s="8" t="s">
        <v>2523</v>
      </c>
      <c r="L197" s="8" t="s">
        <v>2524</v>
      </c>
      <c r="M197" s="8" t="s">
        <v>2525</v>
      </c>
      <c r="N197" s="8">
        <v>87761590429</v>
      </c>
      <c r="O197" s="8">
        <v>450000</v>
      </c>
      <c r="P197" s="8">
        <v>0</v>
      </c>
      <c r="Q197" s="8" t="s">
        <v>291</v>
      </c>
    </row>
    <row r="198" spans="1:17" ht="13.2">
      <c r="A198" s="26">
        <v>45600.585041539351</v>
      </c>
      <c r="B198" s="8" t="s">
        <v>1049</v>
      </c>
      <c r="C198" s="8" t="s">
        <v>2526</v>
      </c>
      <c r="D198" s="8" t="s">
        <v>2527</v>
      </c>
      <c r="E198" s="8" t="s">
        <v>2528</v>
      </c>
      <c r="F198" s="82" t="s">
        <v>2529</v>
      </c>
      <c r="G198" s="27">
        <v>42713</v>
      </c>
      <c r="H198" s="8" t="s">
        <v>1371</v>
      </c>
      <c r="I198" s="8">
        <v>920111401476</v>
      </c>
      <c r="J198" s="8" t="s">
        <v>1541</v>
      </c>
      <c r="K198" s="8" t="s">
        <v>2530</v>
      </c>
      <c r="L198" s="8" t="s">
        <v>2531</v>
      </c>
      <c r="M198" s="8" t="s">
        <v>1957</v>
      </c>
      <c r="N198" s="8">
        <v>87074444130</v>
      </c>
      <c r="O198" s="8">
        <v>340000</v>
      </c>
      <c r="P198" s="8">
        <v>0</v>
      </c>
      <c r="Q198" s="8" t="s">
        <v>149</v>
      </c>
    </row>
    <row r="199" spans="1:17" ht="13.2">
      <c r="A199" s="26">
        <v>45600.671181192127</v>
      </c>
      <c r="B199" s="8" t="s">
        <v>1071</v>
      </c>
      <c r="C199" s="8" t="s">
        <v>2532</v>
      </c>
      <c r="D199" s="8" t="s">
        <v>1099</v>
      </c>
      <c r="E199" s="8" t="s">
        <v>1551</v>
      </c>
      <c r="F199" s="82" t="s">
        <v>2533</v>
      </c>
      <c r="G199" s="27">
        <v>44097</v>
      </c>
      <c r="H199" s="8" t="s">
        <v>1371</v>
      </c>
      <c r="I199" s="8">
        <v>830531350968</v>
      </c>
      <c r="J199" s="8" t="s">
        <v>1976</v>
      </c>
      <c r="K199" s="8" t="s">
        <v>1977</v>
      </c>
      <c r="L199" s="8" t="s">
        <v>2534</v>
      </c>
      <c r="M199" s="8" t="s">
        <v>2535</v>
      </c>
      <c r="N199" s="8" t="s">
        <v>2536</v>
      </c>
      <c r="O199" s="8">
        <v>380000</v>
      </c>
      <c r="P199" s="8">
        <v>0</v>
      </c>
      <c r="Q199" s="8" t="s">
        <v>138</v>
      </c>
    </row>
    <row r="200" spans="1:17" ht="13.2">
      <c r="A200" s="26">
        <v>45600.704432916667</v>
      </c>
      <c r="B200" s="8" t="s">
        <v>1122</v>
      </c>
      <c r="C200" s="8" t="s">
        <v>2537</v>
      </c>
      <c r="D200" s="8" t="s">
        <v>2538</v>
      </c>
      <c r="E200" s="8" t="s">
        <v>2539</v>
      </c>
      <c r="F200" s="82" t="s">
        <v>2540</v>
      </c>
      <c r="G200" s="27">
        <v>44692</v>
      </c>
      <c r="H200" s="8" t="s">
        <v>1371</v>
      </c>
      <c r="I200" s="8">
        <v>800103301213</v>
      </c>
      <c r="J200" s="8" t="s">
        <v>1564</v>
      </c>
      <c r="K200" s="8" t="s">
        <v>1548</v>
      </c>
      <c r="L200" s="8" t="s">
        <v>2541</v>
      </c>
      <c r="M200" s="8" t="s">
        <v>2542</v>
      </c>
      <c r="N200" s="8">
        <v>87784206011</v>
      </c>
      <c r="O200" s="8">
        <v>370000</v>
      </c>
      <c r="P200" s="8">
        <v>0</v>
      </c>
      <c r="Q200" s="8" t="s">
        <v>134</v>
      </c>
    </row>
    <row r="201" spans="1:17" ht="13.2">
      <c r="A201" s="26">
        <v>45601.763701388889</v>
      </c>
      <c r="B201" s="8" t="s">
        <v>1049</v>
      </c>
      <c r="C201" s="8" t="s">
        <v>2543</v>
      </c>
      <c r="D201" s="8" t="s">
        <v>1374</v>
      </c>
      <c r="E201" s="8" t="s">
        <v>2544</v>
      </c>
      <c r="F201" s="82" t="s">
        <v>2545</v>
      </c>
      <c r="G201" s="27">
        <v>44474</v>
      </c>
      <c r="H201" s="8" t="s">
        <v>1371</v>
      </c>
      <c r="I201" s="8">
        <v>850928301189</v>
      </c>
      <c r="J201" s="8" t="s">
        <v>2015</v>
      </c>
      <c r="K201" s="8" t="s">
        <v>2546</v>
      </c>
      <c r="L201" s="8" t="s">
        <v>2547</v>
      </c>
      <c r="M201" s="8" t="s">
        <v>2548</v>
      </c>
      <c r="N201" s="8">
        <v>87055786776</v>
      </c>
      <c r="O201" s="8">
        <v>340000</v>
      </c>
      <c r="P201" s="8">
        <v>0</v>
      </c>
      <c r="Q201" s="8" t="s">
        <v>150</v>
      </c>
    </row>
    <row r="202" spans="1:17" ht="13.2">
      <c r="A202" s="26">
        <v>45604.437691250001</v>
      </c>
      <c r="B202" s="8" t="s">
        <v>1071</v>
      </c>
      <c r="C202" s="8" t="s">
        <v>2549</v>
      </c>
      <c r="D202" s="8" t="s">
        <v>1109</v>
      </c>
      <c r="E202" s="8" t="s">
        <v>1201</v>
      </c>
      <c r="F202" s="82" t="s">
        <v>2550</v>
      </c>
      <c r="G202" s="27">
        <v>45589</v>
      </c>
      <c r="H202" s="8" t="s">
        <v>1371</v>
      </c>
      <c r="I202" s="8">
        <v>790118350188</v>
      </c>
      <c r="J202" s="8" t="s">
        <v>2113</v>
      </c>
      <c r="K202" s="8" t="s">
        <v>1977</v>
      </c>
      <c r="L202" s="8" t="s">
        <v>2551</v>
      </c>
      <c r="M202" s="8" t="s">
        <v>2552</v>
      </c>
      <c r="N202" s="8">
        <v>87072322464</v>
      </c>
      <c r="O202" s="8">
        <v>380000</v>
      </c>
      <c r="P202" s="8">
        <v>0</v>
      </c>
      <c r="Q202" s="8" t="s">
        <v>126</v>
      </c>
    </row>
    <row r="203" spans="1:17" ht="13.2">
      <c r="A203" s="26">
        <v>45604.443621377315</v>
      </c>
      <c r="B203" s="8" t="s">
        <v>1122</v>
      </c>
      <c r="C203" s="8" t="s">
        <v>2553</v>
      </c>
      <c r="D203" s="8" t="s">
        <v>1752</v>
      </c>
      <c r="E203" s="8" t="s">
        <v>2554</v>
      </c>
      <c r="F203" s="82" t="s">
        <v>2555</v>
      </c>
      <c r="G203" s="27">
        <v>43713</v>
      </c>
      <c r="H203" s="8" t="s">
        <v>1371</v>
      </c>
      <c r="I203" s="8">
        <v>830501351358</v>
      </c>
      <c r="J203" s="8" t="s">
        <v>1564</v>
      </c>
      <c r="K203" s="8" t="s">
        <v>1548</v>
      </c>
      <c r="L203" s="8" t="s">
        <v>2556</v>
      </c>
      <c r="M203" s="8" t="s">
        <v>2557</v>
      </c>
      <c r="N203" s="8">
        <v>87051033106</v>
      </c>
      <c r="O203" s="8">
        <v>360000</v>
      </c>
      <c r="P203" s="8">
        <v>0</v>
      </c>
      <c r="Q203" s="8" t="s">
        <v>136</v>
      </c>
    </row>
    <row r="204" spans="1:17" ht="13.2">
      <c r="A204" s="26">
        <v>45605.544034027778</v>
      </c>
      <c r="B204" s="8" t="s">
        <v>1049</v>
      </c>
      <c r="C204" s="8" t="s">
        <v>2558</v>
      </c>
      <c r="D204" s="8" t="s">
        <v>1967</v>
      </c>
      <c r="E204" s="8" t="s">
        <v>2559</v>
      </c>
      <c r="F204" s="82" t="s">
        <v>2560</v>
      </c>
      <c r="G204" s="27">
        <v>44286</v>
      </c>
      <c r="H204" s="8" t="s">
        <v>1371</v>
      </c>
      <c r="I204" s="8">
        <v>820828302237</v>
      </c>
      <c r="J204" s="8" t="s">
        <v>2561</v>
      </c>
      <c r="K204" s="8" t="s">
        <v>1823</v>
      </c>
      <c r="L204" s="8" t="s">
        <v>2562</v>
      </c>
      <c r="M204" s="8" t="s">
        <v>2167</v>
      </c>
      <c r="N204" s="8">
        <v>87078261680</v>
      </c>
      <c r="O204" s="8">
        <v>360000</v>
      </c>
      <c r="P204" s="8">
        <v>0</v>
      </c>
      <c r="Q204" s="8" t="s">
        <v>314</v>
      </c>
    </row>
    <row r="205" spans="1:17" ht="13.2">
      <c r="A205" s="26">
        <v>45605.55566351852</v>
      </c>
      <c r="B205" s="8" t="s">
        <v>1049</v>
      </c>
      <c r="C205" s="8" t="s">
        <v>2563</v>
      </c>
      <c r="D205" s="8" t="s">
        <v>2564</v>
      </c>
      <c r="E205" s="8" t="s">
        <v>2565</v>
      </c>
      <c r="F205" s="82" t="s">
        <v>2566</v>
      </c>
      <c r="G205" s="27">
        <v>44354</v>
      </c>
      <c r="H205" s="8" t="s">
        <v>1431</v>
      </c>
      <c r="I205" s="8">
        <v>911230300192</v>
      </c>
      <c r="J205" s="8" t="s">
        <v>1372</v>
      </c>
      <c r="K205" s="8" t="s">
        <v>2567</v>
      </c>
      <c r="L205" s="8" t="s">
        <v>2568</v>
      </c>
      <c r="M205" s="8" t="s">
        <v>2569</v>
      </c>
      <c r="N205" s="8">
        <v>87089050091</v>
      </c>
      <c r="O205" s="8">
        <v>340000</v>
      </c>
      <c r="P205" s="8">
        <v>0</v>
      </c>
      <c r="Q205" s="8" t="s">
        <v>152</v>
      </c>
    </row>
    <row r="206" spans="1:17" ht="13.2">
      <c r="A206" s="26">
        <v>45606.502348472219</v>
      </c>
      <c r="B206" s="8" t="s">
        <v>1049</v>
      </c>
      <c r="C206" s="8" t="s">
        <v>2570</v>
      </c>
      <c r="D206" s="8" t="s">
        <v>1053</v>
      </c>
      <c r="E206" s="8" t="s">
        <v>1480</v>
      </c>
      <c r="F206" s="82" t="s">
        <v>2571</v>
      </c>
      <c r="G206" s="27">
        <v>43756</v>
      </c>
      <c r="H206" s="8" t="s">
        <v>1371</v>
      </c>
      <c r="I206" s="8">
        <v>840314300051</v>
      </c>
      <c r="J206" s="8" t="s">
        <v>2008</v>
      </c>
      <c r="K206" s="8" t="s">
        <v>2218</v>
      </c>
      <c r="L206" s="8" t="s">
        <v>2572</v>
      </c>
      <c r="M206" s="8" t="s">
        <v>2573</v>
      </c>
      <c r="N206" s="8">
        <v>87772819066</v>
      </c>
      <c r="O206" s="8">
        <v>360000</v>
      </c>
      <c r="P206" s="8">
        <v>0</v>
      </c>
      <c r="Q206" s="8" t="s">
        <v>151</v>
      </c>
    </row>
    <row r="207" spans="1:17" ht="13.2">
      <c r="A207" s="26">
        <v>45606.53454119213</v>
      </c>
      <c r="B207" s="8" t="s">
        <v>1049</v>
      </c>
      <c r="C207" s="8" t="s">
        <v>2574</v>
      </c>
      <c r="D207" s="8" t="s">
        <v>1439</v>
      </c>
      <c r="E207" s="8" t="s">
        <v>1201</v>
      </c>
      <c r="F207" s="82" t="s">
        <v>2386</v>
      </c>
      <c r="G207" s="27">
        <v>43475</v>
      </c>
      <c r="H207" s="8" t="s">
        <v>1371</v>
      </c>
      <c r="I207" s="8">
        <v>890121300399</v>
      </c>
      <c r="J207" s="8" t="s">
        <v>2015</v>
      </c>
      <c r="K207" s="8" t="s">
        <v>2387</v>
      </c>
      <c r="L207" s="8" t="s">
        <v>2388</v>
      </c>
      <c r="M207" s="8" t="s">
        <v>1843</v>
      </c>
      <c r="N207" s="8">
        <v>87059907871</v>
      </c>
      <c r="O207" s="8">
        <v>0</v>
      </c>
      <c r="P207" s="8">
        <v>290000</v>
      </c>
      <c r="Q207" s="8" t="s">
        <v>147</v>
      </c>
    </row>
    <row r="208" spans="1:17" ht="13.2">
      <c r="A208" s="26">
        <v>45607.475385057871</v>
      </c>
      <c r="B208" s="8" t="s">
        <v>1122</v>
      </c>
      <c r="C208" s="8" t="s">
        <v>2575</v>
      </c>
      <c r="D208" s="8" t="s">
        <v>1322</v>
      </c>
      <c r="E208" s="8" t="s">
        <v>2404</v>
      </c>
      <c r="F208" s="82" t="s">
        <v>2576</v>
      </c>
      <c r="G208" s="27">
        <v>43840</v>
      </c>
      <c r="H208" s="8" t="s">
        <v>1431</v>
      </c>
      <c r="I208" s="8">
        <v>740204350148</v>
      </c>
      <c r="J208" s="8" t="s">
        <v>1533</v>
      </c>
      <c r="K208" s="8" t="s">
        <v>2577</v>
      </c>
      <c r="L208" s="8" t="s">
        <v>2578</v>
      </c>
      <c r="M208" s="8" t="s">
        <v>2167</v>
      </c>
      <c r="N208" s="8">
        <v>87755343918</v>
      </c>
      <c r="O208" s="8">
        <v>800000</v>
      </c>
      <c r="P208" s="8">
        <v>0</v>
      </c>
      <c r="Q208" s="8" t="s">
        <v>368</v>
      </c>
    </row>
    <row r="209" spans="1:17" ht="13.2">
      <c r="A209" s="26">
        <v>45607.514648750002</v>
      </c>
      <c r="B209" s="8" t="s">
        <v>1049</v>
      </c>
      <c r="C209" s="8" t="s">
        <v>2579</v>
      </c>
      <c r="D209" s="8" t="s">
        <v>2580</v>
      </c>
      <c r="E209" s="8" t="s">
        <v>2581</v>
      </c>
      <c r="F209" s="82" t="s">
        <v>2582</v>
      </c>
      <c r="G209" s="27">
        <v>43504</v>
      </c>
      <c r="H209" s="8" t="s">
        <v>1371</v>
      </c>
      <c r="I209" s="8">
        <v>850908301115</v>
      </c>
      <c r="J209" s="8" t="s">
        <v>1541</v>
      </c>
      <c r="K209" s="8" t="s">
        <v>2583</v>
      </c>
      <c r="L209" s="8" t="s">
        <v>2584</v>
      </c>
      <c r="M209" s="8" t="s">
        <v>2585</v>
      </c>
      <c r="N209" s="8">
        <v>87006779545</v>
      </c>
      <c r="O209" s="8">
        <v>630000</v>
      </c>
      <c r="P209" s="8">
        <v>0</v>
      </c>
      <c r="Q209" s="8" t="s">
        <v>351</v>
      </c>
    </row>
    <row r="210" spans="1:17" ht="13.2">
      <c r="A210" s="26">
        <v>45608.439642094905</v>
      </c>
      <c r="B210" s="8" t="s">
        <v>1049</v>
      </c>
      <c r="C210" s="8" t="s">
        <v>2586</v>
      </c>
      <c r="D210" s="8" t="s">
        <v>2587</v>
      </c>
      <c r="E210" s="8" t="s">
        <v>2588</v>
      </c>
      <c r="F210" s="82" t="s">
        <v>2589</v>
      </c>
      <c r="G210" s="27">
        <v>44847</v>
      </c>
      <c r="H210" s="8" t="s">
        <v>1371</v>
      </c>
      <c r="I210" s="8">
        <v>870928300312</v>
      </c>
      <c r="J210" s="8" t="s">
        <v>2590</v>
      </c>
      <c r="K210" s="8" t="s">
        <v>2591</v>
      </c>
      <c r="L210" s="8" t="s">
        <v>2592</v>
      </c>
      <c r="M210" s="8" t="s">
        <v>2466</v>
      </c>
      <c r="N210" s="8">
        <v>87017451017</v>
      </c>
      <c r="O210" s="8">
        <v>0</v>
      </c>
      <c r="P210" s="8">
        <v>320000</v>
      </c>
      <c r="Q210" s="8" t="s">
        <v>283</v>
      </c>
    </row>
    <row r="211" spans="1:17" ht="13.2">
      <c r="A211" s="26">
        <v>45609.449516296299</v>
      </c>
      <c r="B211" s="8" t="s">
        <v>1049</v>
      </c>
      <c r="C211" s="8" t="s">
        <v>2593</v>
      </c>
      <c r="D211" s="8" t="s">
        <v>2594</v>
      </c>
      <c r="E211" s="8" t="s">
        <v>2595</v>
      </c>
      <c r="F211" s="82" t="s">
        <v>2596</v>
      </c>
      <c r="G211" s="27">
        <v>44699</v>
      </c>
      <c r="H211" s="8" t="s">
        <v>1371</v>
      </c>
      <c r="I211" s="8">
        <v>901227050062</v>
      </c>
      <c r="J211" s="8" t="s">
        <v>1501</v>
      </c>
      <c r="K211" s="8" t="s">
        <v>2597</v>
      </c>
      <c r="L211" s="8" t="s">
        <v>2598</v>
      </c>
      <c r="M211" s="8" t="s">
        <v>2599</v>
      </c>
      <c r="N211" s="8">
        <v>87006776680</v>
      </c>
      <c r="O211" s="8">
        <v>380000</v>
      </c>
      <c r="P211" s="8">
        <v>0</v>
      </c>
      <c r="Q211" s="8" t="s">
        <v>146</v>
      </c>
    </row>
    <row r="212" spans="1:17" ht="13.2">
      <c r="A212" s="26">
        <v>45609.516747719907</v>
      </c>
      <c r="B212" s="8" t="s">
        <v>1049</v>
      </c>
      <c r="C212" s="8" t="s">
        <v>2600</v>
      </c>
      <c r="D212" s="8" t="s">
        <v>2587</v>
      </c>
      <c r="E212" s="8" t="s">
        <v>2601</v>
      </c>
      <c r="F212" s="82" t="s">
        <v>2602</v>
      </c>
      <c r="G212" s="27">
        <v>44372</v>
      </c>
      <c r="H212" s="8" t="s">
        <v>1371</v>
      </c>
      <c r="I212" s="8">
        <v>900901301252</v>
      </c>
      <c r="J212" s="8" t="s">
        <v>1620</v>
      </c>
      <c r="K212" s="8" t="s">
        <v>1823</v>
      </c>
      <c r="L212" s="8" t="s">
        <v>2603</v>
      </c>
      <c r="M212" s="8" t="s">
        <v>2604</v>
      </c>
      <c r="N212" s="8">
        <v>87077678082</v>
      </c>
      <c r="O212" s="8">
        <v>380000</v>
      </c>
      <c r="P212" s="8">
        <v>0</v>
      </c>
      <c r="Q212" s="8" t="s">
        <v>132</v>
      </c>
    </row>
    <row r="213" spans="1:17" ht="13.2">
      <c r="A213" s="26">
        <v>45609.598945034726</v>
      </c>
      <c r="B213" s="8" t="s">
        <v>1122</v>
      </c>
      <c r="C213" s="8" t="s">
        <v>2605</v>
      </c>
      <c r="D213" s="8" t="s">
        <v>2606</v>
      </c>
      <c r="E213" s="8" t="s">
        <v>2607</v>
      </c>
      <c r="F213" s="82" t="s">
        <v>2608</v>
      </c>
      <c r="G213" s="27">
        <v>43732</v>
      </c>
      <c r="H213" s="8" t="s">
        <v>1371</v>
      </c>
      <c r="I213" s="8">
        <v>920730351749</v>
      </c>
      <c r="J213" s="8" t="s">
        <v>1533</v>
      </c>
      <c r="K213" s="8" t="s">
        <v>2609</v>
      </c>
      <c r="L213" s="8" t="s">
        <v>2610</v>
      </c>
      <c r="M213" s="8" t="s">
        <v>2611</v>
      </c>
      <c r="N213" s="8">
        <v>87755090092</v>
      </c>
      <c r="O213" s="8">
        <v>410000</v>
      </c>
      <c r="P213" s="8">
        <v>0</v>
      </c>
      <c r="Q213" s="8" t="s">
        <v>344</v>
      </c>
    </row>
    <row r="214" spans="1:17" ht="13.2">
      <c r="A214" s="26">
        <v>45610.656318599533</v>
      </c>
      <c r="B214" s="8" t="s">
        <v>1071</v>
      </c>
      <c r="C214" s="8" t="s">
        <v>2612</v>
      </c>
      <c r="D214" s="8" t="s">
        <v>2613</v>
      </c>
      <c r="E214" s="8" t="s">
        <v>2614</v>
      </c>
      <c r="F214" s="82" t="s">
        <v>2615</v>
      </c>
      <c r="G214" s="27">
        <v>42530</v>
      </c>
      <c r="H214" s="8" t="s">
        <v>1371</v>
      </c>
      <c r="I214" s="8">
        <v>780412401749</v>
      </c>
      <c r="J214" s="8" t="s">
        <v>1976</v>
      </c>
      <c r="K214" s="8" t="s">
        <v>2616</v>
      </c>
      <c r="L214" s="8" t="s">
        <v>2617</v>
      </c>
      <c r="M214" s="8" t="s">
        <v>2618</v>
      </c>
      <c r="N214" s="8">
        <v>87057052635</v>
      </c>
      <c r="O214" s="8">
        <v>0</v>
      </c>
      <c r="P214" s="8">
        <v>370000</v>
      </c>
      <c r="Q214" s="8" t="s">
        <v>125</v>
      </c>
    </row>
    <row r="215" spans="1:17" ht="13.2">
      <c r="A215" s="26">
        <v>45612.466903252316</v>
      </c>
      <c r="B215" s="8" t="s">
        <v>1049</v>
      </c>
      <c r="C215" s="8" t="s">
        <v>2619</v>
      </c>
      <c r="D215" s="8" t="s">
        <v>1053</v>
      </c>
      <c r="E215" s="8" t="s">
        <v>1697</v>
      </c>
      <c r="F215" s="82" t="s">
        <v>2620</v>
      </c>
      <c r="G215" s="27">
        <v>45579</v>
      </c>
      <c r="H215" s="8" t="s">
        <v>1371</v>
      </c>
      <c r="I215" s="8">
        <v>791018302268</v>
      </c>
      <c r="J215" s="8" t="s">
        <v>1372</v>
      </c>
      <c r="K215" s="8" t="s">
        <v>2621</v>
      </c>
      <c r="L215" s="8" t="s">
        <v>2622</v>
      </c>
      <c r="M215" s="8" t="s">
        <v>2623</v>
      </c>
      <c r="N215" s="8">
        <v>87025569861</v>
      </c>
      <c r="O215" s="8">
        <v>380000</v>
      </c>
      <c r="P215" s="8">
        <v>0</v>
      </c>
      <c r="Q215" s="8" t="s">
        <v>145</v>
      </c>
    </row>
    <row r="216" spans="1:17" ht="13.2">
      <c r="A216" s="26">
        <v>45612.551116793984</v>
      </c>
      <c r="B216" s="8" t="s">
        <v>1049</v>
      </c>
      <c r="C216" s="8" t="s">
        <v>2624</v>
      </c>
      <c r="D216" s="8" t="s">
        <v>1190</v>
      </c>
      <c r="E216" s="8" t="s">
        <v>2625</v>
      </c>
      <c r="F216" s="82" t="s">
        <v>2626</v>
      </c>
      <c r="G216" s="27">
        <v>42207</v>
      </c>
      <c r="H216" s="8" t="s">
        <v>1371</v>
      </c>
      <c r="I216" s="8">
        <v>781220301355</v>
      </c>
      <c r="J216" s="8" t="s">
        <v>2008</v>
      </c>
      <c r="K216" s="8" t="s">
        <v>2627</v>
      </c>
      <c r="L216" s="8" t="s">
        <v>2628</v>
      </c>
      <c r="M216" s="8" t="s">
        <v>1762</v>
      </c>
      <c r="N216" s="8">
        <v>87056652554</v>
      </c>
      <c r="O216" s="8">
        <v>30000</v>
      </c>
      <c r="P216" s="8">
        <v>320000</v>
      </c>
      <c r="Q216" s="8" t="s">
        <v>345</v>
      </c>
    </row>
    <row r="217" spans="1:17" ht="13.2">
      <c r="A217" s="26">
        <v>45616.447230474536</v>
      </c>
      <c r="B217" s="8" t="s">
        <v>1071</v>
      </c>
      <c r="C217" s="8" t="s">
        <v>2629</v>
      </c>
      <c r="D217" s="8" t="s">
        <v>1262</v>
      </c>
      <c r="E217" s="8" t="s">
        <v>1111</v>
      </c>
      <c r="F217" s="82" t="s">
        <v>2630</v>
      </c>
      <c r="G217" s="27">
        <v>38938</v>
      </c>
      <c r="H217" s="8" t="s">
        <v>1410</v>
      </c>
      <c r="I217" s="8">
        <v>610506350331</v>
      </c>
      <c r="J217" s="8" t="s">
        <v>2463</v>
      </c>
      <c r="K217" s="8" t="s">
        <v>2631</v>
      </c>
      <c r="L217" s="8" t="s">
        <v>2632</v>
      </c>
      <c r="M217" s="8" t="s">
        <v>1892</v>
      </c>
      <c r="N217" s="8">
        <v>87776527448</v>
      </c>
      <c r="O217" s="8">
        <v>0</v>
      </c>
      <c r="P217" s="8">
        <v>510000</v>
      </c>
      <c r="Q217" s="8" t="s">
        <v>19</v>
      </c>
    </row>
    <row r="218" spans="1:17" ht="13.2">
      <c r="A218" s="26">
        <v>45617.60404612268</v>
      </c>
      <c r="B218" s="8" t="s">
        <v>1049</v>
      </c>
      <c r="C218" s="8" t="s">
        <v>2633</v>
      </c>
      <c r="D218" s="8" t="s">
        <v>2634</v>
      </c>
      <c r="E218" s="8" t="s">
        <v>2635</v>
      </c>
      <c r="F218" s="82" t="s">
        <v>2636</v>
      </c>
      <c r="G218" s="27">
        <v>45589</v>
      </c>
      <c r="H218" s="8" t="s">
        <v>1371</v>
      </c>
      <c r="I218" s="8">
        <v>801221302632</v>
      </c>
      <c r="J218" s="8" t="s">
        <v>1541</v>
      </c>
      <c r="K218" s="8" t="s">
        <v>2637</v>
      </c>
      <c r="L218" s="8" t="s">
        <v>2638</v>
      </c>
      <c r="M218" s="8" t="s">
        <v>2639</v>
      </c>
      <c r="N218" s="8">
        <v>87714697528</v>
      </c>
      <c r="O218" s="8">
        <v>360000</v>
      </c>
      <c r="P218" s="8">
        <v>0</v>
      </c>
      <c r="Q218" s="8" t="s">
        <v>28</v>
      </c>
    </row>
    <row r="219" spans="1:17" ht="13.2">
      <c r="A219" s="83">
        <v>45625</v>
      </c>
      <c r="B219" s="8" t="s">
        <v>1049</v>
      </c>
      <c r="C219" s="8" t="s">
        <v>2640</v>
      </c>
      <c r="D219" s="8" t="s">
        <v>1199</v>
      </c>
      <c r="E219" s="8" t="s">
        <v>1511</v>
      </c>
      <c r="F219" s="82" t="s">
        <v>2641</v>
      </c>
      <c r="G219" s="27">
        <v>42592</v>
      </c>
      <c r="H219" s="8" t="s">
        <v>1371</v>
      </c>
      <c r="I219" s="8">
        <v>900228300602</v>
      </c>
      <c r="J219" s="8" t="s">
        <v>2008</v>
      </c>
      <c r="K219" s="8" t="s">
        <v>2218</v>
      </c>
      <c r="L219" s="8" t="s">
        <v>2642</v>
      </c>
      <c r="M219" s="8" t="s">
        <v>2643</v>
      </c>
      <c r="N219" s="8">
        <v>87714088667</v>
      </c>
      <c r="O219" s="8">
        <v>1040000</v>
      </c>
      <c r="P219" s="8">
        <v>0</v>
      </c>
      <c r="Q219" s="8" t="s">
        <v>374</v>
      </c>
    </row>
    <row r="220" spans="1:17" ht="13.2">
      <c r="A220" s="26">
        <v>45625.612808240738</v>
      </c>
      <c r="B220" s="8" t="s">
        <v>1122</v>
      </c>
      <c r="C220" s="8" t="s">
        <v>2644</v>
      </c>
      <c r="D220" s="8" t="s">
        <v>2645</v>
      </c>
      <c r="E220" s="8" t="s">
        <v>1191</v>
      </c>
      <c r="F220" s="82" t="s">
        <v>2646</v>
      </c>
      <c r="G220" s="27">
        <v>43973</v>
      </c>
      <c r="H220" s="8" t="s">
        <v>1371</v>
      </c>
      <c r="I220" s="8">
        <v>880309350830</v>
      </c>
      <c r="J220" s="8" t="s">
        <v>1533</v>
      </c>
      <c r="K220" s="8" t="s">
        <v>2647</v>
      </c>
      <c r="L220" s="8" t="s">
        <v>2648</v>
      </c>
      <c r="M220" s="8" t="s">
        <v>2649</v>
      </c>
      <c r="N220" s="8">
        <v>87056716411</v>
      </c>
      <c r="O220" s="8">
        <v>0</v>
      </c>
      <c r="P220" s="8">
        <v>400000</v>
      </c>
      <c r="Q220" s="8" t="s">
        <v>290</v>
      </c>
    </row>
    <row r="221" spans="1:17" ht="13.2">
      <c r="A221" s="26">
        <v>45625.662888611114</v>
      </c>
      <c r="B221" s="8" t="s">
        <v>1049</v>
      </c>
      <c r="C221" s="8" t="s">
        <v>2650</v>
      </c>
      <c r="D221" s="8" t="s">
        <v>2651</v>
      </c>
      <c r="E221" s="8" t="s">
        <v>2652</v>
      </c>
      <c r="F221" s="82" t="s">
        <v>2653</v>
      </c>
      <c r="G221" s="27">
        <v>42524</v>
      </c>
      <c r="H221" s="8" t="s">
        <v>1431</v>
      </c>
      <c r="I221" s="8">
        <v>910614301721</v>
      </c>
      <c r="J221" s="8" t="s">
        <v>2008</v>
      </c>
      <c r="K221" s="8" t="s">
        <v>2654</v>
      </c>
      <c r="L221" s="8" t="s">
        <v>2655</v>
      </c>
      <c r="M221" s="8" t="s">
        <v>2656</v>
      </c>
      <c r="N221" s="8">
        <v>87476246565</v>
      </c>
      <c r="O221" s="8">
        <v>730000</v>
      </c>
      <c r="P221" s="8">
        <v>0</v>
      </c>
      <c r="Q221" s="8" t="s">
        <v>381</v>
      </c>
    </row>
    <row r="222" spans="1:17" ht="13.2">
      <c r="A222" s="26">
        <v>45625.763465925927</v>
      </c>
      <c r="B222" s="8" t="s">
        <v>1122</v>
      </c>
      <c r="C222" s="8" t="s">
        <v>2657</v>
      </c>
      <c r="D222" s="8" t="s">
        <v>2658</v>
      </c>
      <c r="F222" s="82" t="s">
        <v>2659</v>
      </c>
      <c r="G222" s="27">
        <v>44763</v>
      </c>
      <c r="H222" s="8" t="s">
        <v>1371</v>
      </c>
      <c r="I222" s="8">
        <v>810720350081</v>
      </c>
      <c r="J222" s="8" t="s">
        <v>1564</v>
      </c>
      <c r="K222" s="8" t="s">
        <v>1548</v>
      </c>
      <c r="L222" s="8" t="s">
        <v>2660</v>
      </c>
      <c r="M222" s="8" t="s">
        <v>2661</v>
      </c>
      <c r="N222" s="8">
        <v>87017743649</v>
      </c>
      <c r="O222" s="8">
        <v>0</v>
      </c>
      <c r="P222" s="8">
        <v>700000</v>
      </c>
      <c r="Q222" s="8" t="s">
        <v>384</v>
      </c>
    </row>
    <row r="223" spans="1:17" ht="13.2">
      <c r="A223" s="26">
        <v>45626.526907731481</v>
      </c>
      <c r="B223" s="8" t="s">
        <v>1049</v>
      </c>
      <c r="C223" s="8" t="s">
        <v>2662</v>
      </c>
      <c r="D223" s="8" t="s">
        <v>2663</v>
      </c>
      <c r="F223" s="82" t="s">
        <v>2664</v>
      </c>
      <c r="G223" s="27">
        <v>44620</v>
      </c>
      <c r="H223" s="8" t="s">
        <v>1431</v>
      </c>
      <c r="I223" s="8">
        <v>830705302597</v>
      </c>
      <c r="J223" s="8" t="s">
        <v>1372</v>
      </c>
      <c r="K223" s="8" t="s">
        <v>2665</v>
      </c>
      <c r="L223" s="8" t="s">
        <v>2666</v>
      </c>
      <c r="M223" s="8" t="s">
        <v>2667</v>
      </c>
      <c r="N223" s="8">
        <v>87759727774</v>
      </c>
      <c r="O223" s="8">
        <v>0</v>
      </c>
      <c r="P223" s="8">
        <v>390000</v>
      </c>
      <c r="Q223" s="8" t="s">
        <v>319</v>
      </c>
    </row>
    <row r="224" spans="1:17" ht="13.2">
      <c r="A224" s="26">
        <v>45629.597184722224</v>
      </c>
      <c r="B224" s="8" t="s">
        <v>1049</v>
      </c>
      <c r="C224" s="8" t="s">
        <v>2668</v>
      </c>
      <c r="D224" s="8" t="s">
        <v>1133</v>
      </c>
      <c r="E224" s="8" t="s">
        <v>2669</v>
      </c>
      <c r="F224" s="82" t="s">
        <v>2670</v>
      </c>
      <c r="G224" s="27">
        <v>44684</v>
      </c>
      <c r="H224" s="8" t="s">
        <v>1371</v>
      </c>
      <c r="I224" s="8">
        <v>910526301781</v>
      </c>
      <c r="J224" s="8" t="s">
        <v>1541</v>
      </c>
      <c r="K224" s="8" t="s">
        <v>2246</v>
      </c>
      <c r="L224" s="8" t="s">
        <v>2671</v>
      </c>
      <c r="M224" s="82" t="s">
        <v>2672</v>
      </c>
      <c r="N224" s="8">
        <v>87473524727</v>
      </c>
      <c r="O224" s="8">
        <v>380000</v>
      </c>
      <c r="P224" s="8">
        <v>0</v>
      </c>
      <c r="Q224" s="8" t="s">
        <v>129</v>
      </c>
    </row>
    <row r="225" spans="1:17" ht="13.2">
      <c r="A225" s="26">
        <v>45632.554550393514</v>
      </c>
      <c r="B225" s="8" t="s">
        <v>1049</v>
      </c>
      <c r="C225" s="8" t="s">
        <v>2673</v>
      </c>
      <c r="D225" s="8" t="s">
        <v>1407</v>
      </c>
      <c r="E225" s="8" t="s">
        <v>2674</v>
      </c>
      <c r="F225" s="82" t="s">
        <v>2675</v>
      </c>
      <c r="G225" s="27">
        <v>44755</v>
      </c>
      <c r="H225" s="8" t="s">
        <v>1371</v>
      </c>
      <c r="I225" s="8">
        <v>770705300775</v>
      </c>
      <c r="J225" s="8" t="s">
        <v>2008</v>
      </c>
      <c r="K225" s="8" t="s">
        <v>2676</v>
      </c>
      <c r="L225" s="8" t="s">
        <v>2677</v>
      </c>
      <c r="M225" s="8" t="s">
        <v>1892</v>
      </c>
      <c r="N225" s="8">
        <v>87771130338</v>
      </c>
      <c r="O225" s="8">
        <v>380000</v>
      </c>
      <c r="P225" s="8">
        <v>0</v>
      </c>
      <c r="Q225" s="8" t="s">
        <v>120</v>
      </c>
    </row>
    <row r="226" spans="1:17" ht="13.2">
      <c r="A226" s="26">
        <v>45635.508857939814</v>
      </c>
      <c r="B226" s="8" t="s">
        <v>1122</v>
      </c>
      <c r="C226" s="8" t="s">
        <v>2678</v>
      </c>
      <c r="D226" s="8" t="s">
        <v>1855</v>
      </c>
      <c r="E226" s="8" t="s">
        <v>2679</v>
      </c>
      <c r="F226" s="82" t="s">
        <v>2680</v>
      </c>
      <c r="G226" s="27">
        <v>40030</v>
      </c>
      <c r="H226" s="8" t="s">
        <v>1410</v>
      </c>
      <c r="I226" s="8">
        <v>620107350285</v>
      </c>
      <c r="J226" s="8" t="s">
        <v>1976</v>
      </c>
      <c r="K226" s="8" t="s">
        <v>2681</v>
      </c>
      <c r="L226" s="8" t="s">
        <v>2682</v>
      </c>
      <c r="M226" s="8" t="s">
        <v>2683</v>
      </c>
      <c r="N226" s="8">
        <v>87011327233</v>
      </c>
      <c r="O226" s="8">
        <v>380000</v>
      </c>
      <c r="P226" s="8">
        <v>0</v>
      </c>
      <c r="Q226" s="8" t="s">
        <v>128</v>
      </c>
    </row>
    <row r="227" spans="1:17" ht="13.2">
      <c r="A227" s="26">
        <v>45638.473138784721</v>
      </c>
      <c r="B227" s="8" t="s">
        <v>1122</v>
      </c>
      <c r="C227" s="8" t="s">
        <v>2684</v>
      </c>
      <c r="D227" s="8" t="s">
        <v>2685</v>
      </c>
      <c r="E227" s="8" t="s">
        <v>115</v>
      </c>
      <c r="F227" s="82" t="s">
        <v>2686</v>
      </c>
      <c r="G227" s="27">
        <v>42460</v>
      </c>
      <c r="H227" s="8" t="s">
        <v>1371</v>
      </c>
      <c r="I227" s="8">
        <v>800520350457</v>
      </c>
      <c r="J227" s="8" t="s">
        <v>2430</v>
      </c>
      <c r="K227" s="8" t="s">
        <v>2687</v>
      </c>
      <c r="L227" s="8" t="s">
        <v>2688</v>
      </c>
      <c r="M227" s="8" t="s">
        <v>2689</v>
      </c>
      <c r="N227" s="8">
        <v>87758558026</v>
      </c>
      <c r="O227" s="8">
        <v>380000</v>
      </c>
      <c r="P227" s="8">
        <v>0</v>
      </c>
      <c r="Q227" s="8" t="s">
        <v>137</v>
      </c>
    </row>
    <row r="228" spans="1:17" ht="16.5" customHeight="1">
      <c r="A228" s="26">
        <v>45638.507838333331</v>
      </c>
      <c r="B228" s="8" t="s">
        <v>1049</v>
      </c>
      <c r="C228" s="8" t="s">
        <v>2690</v>
      </c>
      <c r="D228" s="8" t="s">
        <v>2538</v>
      </c>
      <c r="E228" s="8" t="s">
        <v>2691</v>
      </c>
      <c r="F228" s="82" t="s">
        <v>2692</v>
      </c>
      <c r="G228" s="27">
        <v>44746</v>
      </c>
      <c r="H228" s="8" t="s">
        <v>1371</v>
      </c>
      <c r="I228" s="8">
        <v>951210301047</v>
      </c>
      <c r="J228" s="8" t="s">
        <v>2693</v>
      </c>
      <c r="K228" s="8" t="s">
        <v>2694</v>
      </c>
      <c r="L228" s="8" t="s">
        <v>2695</v>
      </c>
      <c r="M228" s="8" t="s">
        <v>2696</v>
      </c>
      <c r="N228" s="8">
        <v>87016423195</v>
      </c>
      <c r="O228" s="8">
        <v>0</v>
      </c>
      <c r="P228" s="8">
        <v>370000</v>
      </c>
      <c r="Q228" s="8" t="s">
        <v>320</v>
      </c>
    </row>
    <row r="229" spans="1:17" ht="13.2">
      <c r="A229" s="26">
        <v>45644.559105416665</v>
      </c>
      <c r="B229" s="8" t="s">
        <v>1049</v>
      </c>
      <c r="C229" s="8" t="s">
        <v>2697</v>
      </c>
      <c r="D229" s="8" t="s">
        <v>1435</v>
      </c>
      <c r="E229" s="8" t="s">
        <v>1470</v>
      </c>
      <c r="F229" s="82" t="s">
        <v>2698</v>
      </c>
      <c r="G229" s="27">
        <v>44792</v>
      </c>
      <c r="H229" s="8" t="s">
        <v>1371</v>
      </c>
      <c r="I229" s="8">
        <v>940409300346</v>
      </c>
      <c r="J229" s="8" t="s">
        <v>2008</v>
      </c>
      <c r="K229" s="8" t="s">
        <v>2699</v>
      </c>
      <c r="L229" s="8" t="s">
        <v>2700</v>
      </c>
      <c r="M229" s="8" t="s">
        <v>2359</v>
      </c>
      <c r="N229" s="8">
        <v>87077686989</v>
      </c>
      <c r="O229" s="8">
        <v>380000</v>
      </c>
      <c r="P229" s="8">
        <v>0</v>
      </c>
      <c r="Q229" s="8" t="s">
        <v>131</v>
      </c>
    </row>
    <row r="230" spans="1:17" ht="13.2">
      <c r="A230" s="26">
        <v>45652.490250543982</v>
      </c>
      <c r="B230" s="8" t="s">
        <v>1049</v>
      </c>
      <c r="C230" s="8" t="s">
        <v>2701</v>
      </c>
      <c r="D230" s="8" t="s">
        <v>2702</v>
      </c>
      <c r="E230" s="8" t="s">
        <v>1913</v>
      </c>
      <c r="F230" s="82" t="s">
        <v>2703</v>
      </c>
      <c r="G230" s="27">
        <v>42177</v>
      </c>
      <c r="H230" s="8" t="s">
        <v>1371</v>
      </c>
      <c r="I230" s="8">
        <v>900622300515</v>
      </c>
      <c r="J230" s="8" t="s">
        <v>2015</v>
      </c>
      <c r="K230" s="8" t="s">
        <v>2200</v>
      </c>
      <c r="L230" s="8" t="s">
        <v>2704</v>
      </c>
      <c r="M230" s="8" t="s">
        <v>2705</v>
      </c>
      <c r="N230" s="8">
        <v>87054000225</v>
      </c>
      <c r="O230" s="8">
        <v>0</v>
      </c>
      <c r="P230" s="8">
        <v>320000</v>
      </c>
      <c r="Q230" s="8" t="s">
        <v>130</v>
      </c>
    </row>
    <row r="231" spans="1:17" ht="13.2">
      <c r="A231" s="26">
        <v>45653.473440405098</v>
      </c>
      <c r="B231" s="8" t="s">
        <v>1122</v>
      </c>
      <c r="C231" s="8" t="s">
        <v>2706</v>
      </c>
      <c r="D231" s="8" t="s">
        <v>1141</v>
      </c>
      <c r="E231" s="8" t="s">
        <v>2707</v>
      </c>
      <c r="F231" s="82" t="s">
        <v>2708</v>
      </c>
      <c r="G231" s="27">
        <v>45653</v>
      </c>
      <c r="H231" s="8" t="s">
        <v>1371</v>
      </c>
      <c r="I231" s="8">
        <v>841203450569</v>
      </c>
      <c r="J231" s="8" t="s">
        <v>1564</v>
      </c>
      <c r="K231" s="8" t="s">
        <v>1548</v>
      </c>
      <c r="L231" s="8" t="s">
        <v>2709</v>
      </c>
      <c r="M231" s="8">
        <v>280</v>
      </c>
      <c r="N231" s="8">
        <v>87712671784</v>
      </c>
      <c r="O231" s="8">
        <v>0</v>
      </c>
      <c r="P231" s="8">
        <v>340000</v>
      </c>
      <c r="Q231" s="8" t="s">
        <v>123</v>
      </c>
    </row>
    <row r="232" spans="1:17" ht="13.2">
      <c r="A232" s="26">
        <v>45663.542299328707</v>
      </c>
      <c r="B232" s="8" t="s">
        <v>1049</v>
      </c>
      <c r="C232" s="8" t="s">
        <v>2710</v>
      </c>
      <c r="D232" s="8" t="s">
        <v>2711</v>
      </c>
      <c r="E232" s="8" t="s">
        <v>2712</v>
      </c>
      <c r="F232" s="8">
        <v>41838317</v>
      </c>
      <c r="G232" s="27">
        <v>42933</v>
      </c>
      <c r="H232" s="8" t="s">
        <v>1371</v>
      </c>
      <c r="I232" s="8">
        <v>760122303164</v>
      </c>
      <c r="J232" s="8" t="s">
        <v>2008</v>
      </c>
      <c r="K232" s="8" t="s">
        <v>2713</v>
      </c>
      <c r="L232" s="8" t="s">
        <v>2714</v>
      </c>
      <c r="M232" s="8" t="s">
        <v>2715</v>
      </c>
      <c r="N232" s="8">
        <v>87762647379</v>
      </c>
      <c r="O232" s="8">
        <v>430000</v>
      </c>
      <c r="P232" s="8">
        <v>0</v>
      </c>
      <c r="Q232" s="8" t="s">
        <v>385</v>
      </c>
    </row>
    <row r="233" spans="1:17" ht="13.2">
      <c r="A233" s="26">
        <v>45666.581226284718</v>
      </c>
      <c r="B233" s="8" t="s">
        <v>1141</v>
      </c>
      <c r="C233" s="8" t="s">
        <v>2716</v>
      </c>
      <c r="D233" s="8" t="s">
        <v>2717</v>
      </c>
      <c r="E233" s="8" t="s">
        <v>1191</v>
      </c>
      <c r="F233" s="82" t="s">
        <v>2718</v>
      </c>
      <c r="G233" s="27">
        <v>42933</v>
      </c>
      <c r="H233" s="8" t="s">
        <v>1371</v>
      </c>
      <c r="I233" s="8">
        <v>951217350393</v>
      </c>
      <c r="J233" s="8" t="s">
        <v>1564</v>
      </c>
      <c r="K233" s="8" t="s">
        <v>2719</v>
      </c>
      <c r="L233" s="8" t="s">
        <v>2720</v>
      </c>
      <c r="M233" s="8" t="s">
        <v>2721</v>
      </c>
      <c r="N233" s="8">
        <v>87005599001</v>
      </c>
      <c r="O233" s="8">
        <v>420000</v>
      </c>
      <c r="P233" s="8">
        <v>0</v>
      </c>
      <c r="Q233" s="8" t="s">
        <v>127</v>
      </c>
    </row>
    <row r="234" spans="1:17" ht="13.2">
      <c r="A234" s="26">
        <v>45666.633575891203</v>
      </c>
      <c r="B234" s="8" t="s">
        <v>1141</v>
      </c>
      <c r="C234" s="8" t="s">
        <v>2722</v>
      </c>
      <c r="D234" s="8" t="s">
        <v>2723</v>
      </c>
      <c r="E234" s="8" t="s">
        <v>2724</v>
      </c>
      <c r="F234" s="82" t="s">
        <v>2725</v>
      </c>
      <c r="G234" s="27">
        <v>42950</v>
      </c>
      <c r="H234" s="8" t="s">
        <v>1431</v>
      </c>
      <c r="I234" s="8">
        <v>810522300939</v>
      </c>
      <c r="J234" s="8" t="s">
        <v>1564</v>
      </c>
      <c r="K234" s="8" t="s">
        <v>2726</v>
      </c>
      <c r="L234" s="8" t="s">
        <v>2727</v>
      </c>
      <c r="M234" s="8" t="s">
        <v>2728</v>
      </c>
      <c r="N234" s="8">
        <v>87783246881</v>
      </c>
      <c r="O234" s="8">
        <v>550000</v>
      </c>
      <c r="P234" s="8">
        <v>0</v>
      </c>
      <c r="Q234" s="8" t="s">
        <v>346</v>
      </c>
    </row>
    <row r="235" spans="1:17" ht="13.2">
      <c r="A235" s="26">
        <v>45668.523397604164</v>
      </c>
      <c r="B235" s="8" t="s">
        <v>1049</v>
      </c>
      <c r="C235" s="8" t="s">
        <v>2729</v>
      </c>
      <c r="D235" s="8" t="s">
        <v>2730</v>
      </c>
      <c r="E235" s="8" t="s">
        <v>2731</v>
      </c>
      <c r="F235" s="82" t="s">
        <v>2732</v>
      </c>
      <c r="G235" s="27">
        <v>42440</v>
      </c>
      <c r="H235" s="8" t="s">
        <v>1371</v>
      </c>
      <c r="I235" s="8">
        <v>910323300254</v>
      </c>
      <c r="J235" s="8" t="s">
        <v>1541</v>
      </c>
      <c r="K235" s="8" t="s">
        <v>2281</v>
      </c>
      <c r="L235" s="8" t="s">
        <v>2733</v>
      </c>
      <c r="M235" s="8" t="s">
        <v>2734</v>
      </c>
      <c r="N235" s="8">
        <v>87074105575</v>
      </c>
      <c r="O235" s="8">
        <v>0</v>
      </c>
      <c r="P235" s="8">
        <v>320000</v>
      </c>
      <c r="Q235" s="8" t="s">
        <v>386</v>
      </c>
    </row>
    <row r="236" spans="1:17" ht="13.2">
      <c r="A236" s="26">
        <v>45670.572203634263</v>
      </c>
      <c r="B236" s="8" t="s">
        <v>1141</v>
      </c>
      <c r="C236" s="8" t="s">
        <v>2735</v>
      </c>
      <c r="D236" s="8" t="s">
        <v>2117</v>
      </c>
      <c r="E236" s="8" t="s">
        <v>2736</v>
      </c>
      <c r="F236" s="82" t="s">
        <v>2737</v>
      </c>
      <c r="G236" s="27">
        <v>44098</v>
      </c>
      <c r="H236" s="8" t="s">
        <v>1371</v>
      </c>
      <c r="I236" s="8">
        <v>770325350052</v>
      </c>
      <c r="J236" s="8" t="s">
        <v>1564</v>
      </c>
      <c r="K236" s="8" t="s">
        <v>2120</v>
      </c>
      <c r="L236" s="8" t="s">
        <v>2738</v>
      </c>
      <c r="M236" s="8" t="s">
        <v>2739</v>
      </c>
      <c r="N236" s="8">
        <v>87019995534</v>
      </c>
      <c r="O236" s="8">
        <v>0</v>
      </c>
      <c r="P236" s="8">
        <v>340000</v>
      </c>
      <c r="Q236" s="8" t="s">
        <v>162</v>
      </c>
    </row>
    <row r="237" spans="1:17" ht="13.2">
      <c r="A237" s="26">
        <v>45670.650010902777</v>
      </c>
      <c r="B237" s="8" t="s">
        <v>1049</v>
      </c>
      <c r="C237" s="8" t="s">
        <v>2740</v>
      </c>
      <c r="D237" s="8" t="s">
        <v>1133</v>
      </c>
      <c r="E237" s="8" t="s">
        <v>2741</v>
      </c>
      <c r="F237" s="82" t="s">
        <v>2742</v>
      </c>
      <c r="G237" s="27">
        <v>44341</v>
      </c>
      <c r="H237" s="8" t="s">
        <v>1371</v>
      </c>
      <c r="I237" s="8">
        <v>741029301766</v>
      </c>
      <c r="J237" s="8" t="s">
        <v>2008</v>
      </c>
      <c r="K237" s="8" t="s">
        <v>2654</v>
      </c>
      <c r="L237" s="8" t="s">
        <v>2743</v>
      </c>
      <c r="M237" s="8" t="s">
        <v>2744</v>
      </c>
      <c r="N237" s="8">
        <v>87476001002</v>
      </c>
      <c r="O237" s="8">
        <v>450000</v>
      </c>
      <c r="P237" s="8">
        <v>0</v>
      </c>
      <c r="Q237" s="8" t="s">
        <v>311</v>
      </c>
    </row>
    <row r="238" spans="1:17" ht="13.2">
      <c r="A238" s="26">
        <v>45673.492716412038</v>
      </c>
      <c r="B238" s="8" t="s">
        <v>1071</v>
      </c>
      <c r="C238" s="8" t="s">
        <v>2745</v>
      </c>
      <c r="D238" s="8" t="s">
        <v>1262</v>
      </c>
      <c r="E238" s="8" t="s">
        <v>1201</v>
      </c>
      <c r="F238" s="82" t="s">
        <v>2746</v>
      </c>
      <c r="G238" s="27">
        <v>43047</v>
      </c>
      <c r="H238" s="8" t="s">
        <v>1410</v>
      </c>
      <c r="I238" s="8">
        <v>820907350355</v>
      </c>
      <c r="J238" s="8" t="s">
        <v>1533</v>
      </c>
      <c r="K238" s="8" t="s">
        <v>1534</v>
      </c>
      <c r="L238" s="8" t="s">
        <v>2747</v>
      </c>
      <c r="M238" s="8" t="s">
        <v>2748</v>
      </c>
      <c r="N238" s="8">
        <v>87015204519</v>
      </c>
      <c r="O238" s="8">
        <v>0</v>
      </c>
      <c r="P238" s="8">
        <v>350000</v>
      </c>
      <c r="Q238" s="8" t="s">
        <v>387</v>
      </c>
    </row>
    <row r="239" spans="1:17" ht="13.2">
      <c r="A239" s="26">
        <v>45675.489630717595</v>
      </c>
      <c r="B239" s="8" t="s">
        <v>1141</v>
      </c>
      <c r="C239" s="8" t="s">
        <v>2749</v>
      </c>
      <c r="D239" s="8" t="s">
        <v>1053</v>
      </c>
      <c r="E239" s="8" t="s">
        <v>1697</v>
      </c>
      <c r="F239" s="82" t="s">
        <v>2750</v>
      </c>
      <c r="G239" s="27">
        <v>39737</v>
      </c>
      <c r="H239" s="8" t="s">
        <v>1410</v>
      </c>
      <c r="I239" s="8">
        <v>830621350540</v>
      </c>
      <c r="J239" s="8" t="s">
        <v>1533</v>
      </c>
      <c r="K239" s="8" t="s">
        <v>2751</v>
      </c>
      <c r="L239" s="8" t="s">
        <v>2752</v>
      </c>
      <c r="M239" s="8" t="s">
        <v>2753</v>
      </c>
      <c r="N239" s="8">
        <v>87712671941</v>
      </c>
      <c r="O239" s="8">
        <v>0</v>
      </c>
      <c r="P239" s="8">
        <v>330000</v>
      </c>
      <c r="Q239" s="8" t="s">
        <v>388</v>
      </c>
    </row>
    <row r="240" spans="1:17" ht="13.2">
      <c r="A240" s="26">
        <v>45676.51974768519</v>
      </c>
      <c r="B240" s="8" t="s">
        <v>1141</v>
      </c>
      <c r="C240" s="8" t="s">
        <v>2754</v>
      </c>
      <c r="D240" s="8" t="s">
        <v>1064</v>
      </c>
      <c r="E240" s="8" t="s">
        <v>2755</v>
      </c>
      <c r="F240" s="82" t="s">
        <v>2756</v>
      </c>
      <c r="G240" s="27">
        <v>45085</v>
      </c>
      <c r="H240" s="8" t="s">
        <v>1371</v>
      </c>
      <c r="I240" s="8">
        <v>771016301394</v>
      </c>
      <c r="J240" s="8" t="s">
        <v>1564</v>
      </c>
      <c r="K240" s="8" t="s">
        <v>1748</v>
      </c>
      <c r="L240" s="8" t="s">
        <v>2757</v>
      </c>
      <c r="M240" s="8" t="s">
        <v>2758</v>
      </c>
      <c r="N240" s="8">
        <v>87770513630</v>
      </c>
      <c r="O240" s="8">
        <v>0</v>
      </c>
      <c r="P240" s="8">
        <v>320000</v>
      </c>
      <c r="Q240" s="8" t="s">
        <v>389</v>
      </c>
    </row>
    <row r="241" spans="1:17" ht="13.2">
      <c r="A241" s="26">
        <v>45684.551741064817</v>
      </c>
      <c r="B241" s="8" t="s">
        <v>1141</v>
      </c>
      <c r="C241" s="8" t="s">
        <v>2759</v>
      </c>
      <c r="D241" s="8" t="s">
        <v>2760</v>
      </c>
      <c r="E241" s="8" t="s">
        <v>2761</v>
      </c>
      <c r="F241" s="82" t="s">
        <v>2762</v>
      </c>
      <c r="G241" s="27">
        <v>44463</v>
      </c>
      <c r="H241" s="8" t="s">
        <v>1371</v>
      </c>
      <c r="I241" s="8">
        <v>790114301427</v>
      </c>
      <c r="J241" s="8" t="s">
        <v>1564</v>
      </c>
      <c r="K241" s="8" t="s">
        <v>1548</v>
      </c>
      <c r="L241" s="8" t="s">
        <v>2763</v>
      </c>
      <c r="M241" s="8" t="s">
        <v>2764</v>
      </c>
      <c r="N241" s="8">
        <v>87024122112</v>
      </c>
      <c r="O241" s="8">
        <v>0</v>
      </c>
      <c r="P241" s="8">
        <v>330000</v>
      </c>
      <c r="Q241" s="8" t="s">
        <v>395</v>
      </c>
    </row>
    <row r="242" spans="1:17" ht="13.2">
      <c r="A242" s="26">
        <v>45684.55825850695</v>
      </c>
      <c r="B242" s="8" t="s">
        <v>1049</v>
      </c>
      <c r="C242" s="8" t="s">
        <v>2765</v>
      </c>
      <c r="D242" s="8" t="s">
        <v>2403</v>
      </c>
      <c r="E242" s="8" t="s">
        <v>2766</v>
      </c>
      <c r="F242" s="82" t="s">
        <v>2767</v>
      </c>
      <c r="G242" s="27">
        <v>44462</v>
      </c>
      <c r="H242" s="8" t="s">
        <v>1371</v>
      </c>
      <c r="I242" s="8">
        <v>710423301422</v>
      </c>
      <c r="J242" s="8" t="s">
        <v>2008</v>
      </c>
      <c r="K242" s="8" t="s">
        <v>2218</v>
      </c>
      <c r="L242" s="8" t="s">
        <v>2768</v>
      </c>
      <c r="M242" s="8" t="s">
        <v>2769</v>
      </c>
      <c r="N242" s="8">
        <v>87471594860</v>
      </c>
      <c r="O242" s="8">
        <v>380000</v>
      </c>
      <c r="P242" s="8">
        <v>0</v>
      </c>
      <c r="Q242" s="8" t="s">
        <v>396</v>
      </c>
    </row>
    <row r="243" spans="1:17" ht="13.2">
      <c r="A243" s="26">
        <v>45685.458848148148</v>
      </c>
      <c r="B243" s="8" t="s">
        <v>1141</v>
      </c>
      <c r="C243" s="8" t="s">
        <v>2770</v>
      </c>
      <c r="D243" s="8" t="s">
        <v>1053</v>
      </c>
      <c r="E243" s="8" t="s">
        <v>1111</v>
      </c>
      <c r="F243" s="82" t="s">
        <v>2771</v>
      </c>
      <c r="G243" s="27">
        <v>38909</v>
      </c>
      <c r="H243" s="8" t="s">
        <v>1410</v>
      </c>
      <c r="I243" s="8">
        <v>810520350895</v>
      </c>
      <c r="J243" s="8" t="s">
        <v>2772</v>
      </c>
      <c r="K243" s="8" t="s">
        <v>1534</v>
      </c>
      <c r="L243" s="8" t="s">
        <v>2030</v>
      </c>
      <c r="M243" s="8" t="s">
        <v>2773</v>
      </c>
      <c r="N243" s="8">
        <v>87051722406</v>
      </c>
      <c r="O243" s="8">
        <v>0</v>
      </c>
      <c r="P243" s="8">
        <v>370000</v>
      </c>
      <c r="Q243" s="8" t="s">
        <v>402</v>
      </c>
    </row>
    <row r="244" spans="1:17" ht="13.2">
      <c r="A244" s="26">
        <v>45685.643993090278</v>
      </c>
      <c r="B244" s="8" t="s">
        <v>1141</v>
      </c>
      <c r="C244" s="8" t="s">
        <v>2774</v>
      </c>
      <c r="D244" s="8" t="s">
        <v>2775</v>
      </c>
      <c r="E244" s="8" t="s">
        <v>1598</v>
      </c>
      <c r="F244" s="82" t="s">
        <v>2776</v>
      </c>
      <c r="G244" s="27">
        <v>45512</v>
      </c>
      <c r="H244" s="8" t="s">
        <v>1371</v>
      </c>
      <c r="I244" s="8">
        <v>690801350161</v>
      </c>
      <c r="J244" s="8" t="s">
        <v>1533</v>
      </c>
      <c r="K244" s="8" t="s">
        <v>2777</v>
      </c>
      <c r="L244" s="8" t="s">
        <v>2778</v>
      </c>
      <c r="M244" s="8" t="s">
        <v>2779</v>
      </c>
      <c r="N244" s="8">
        <v>87029028861</v>
      </c>
      <c r="O244" s="8">
        <v>0</v>
      </c>
      <c r="P244" s="8">
        <v>420000</v>
      </c>
      <c r="Q244" s="8" t="s">
        <v>398</v>
      </c>
    </row>
    <row r="245" spans="1:17" ht="13.2">
      <c r="A245" s="26">
        <v>45685.735538425928</v>
      </c>
      <c r="B245" s="8" t="s">
        <v>1141</v>
      </c>
      <c r="C245" s="8" t="s">
        <v>2780</v>
      </c>
      <c r="D245" s="8" t="s">
        <v>2781</v>
      </c>
      <c r="E245" s="8" t="s">
        <v>2782</v>
      </c>
      <c r="F245" s="82" t="s">
        <v>2783</v>
      </c>
      <c r="G245" s="27">
        <v>45554</v>
      </c>
      <c r="H245" s="8" t="s">
        <v>1371</v>
      </c>
      <c r="I245" s="8">
        <v>751229300618</v>
      </c>
      <c r="J245" s="8" t="s">
        <v>1564</v>
      </c>
      <c r="K245" s="8" t="s">
        <v>1748</v>
      </c>
      <c r="L245" s="8" t="s">
        <v>2784</v>
      </c>
      <c r="M245" s="8" t="s">
        <v>2785</v>
      </c>
      <c r="N245" s="8">
        <v>87019995099</v>
      </c>
      <c r="O245" s="8">
        <v>350000</v>
      </c>
      <c r="P245" s="8">
        <v>0</v>
      </c>
      <c r="Q245" s="8" t="s">
        <v>399</v>
      </c>
    </row>
    <row r="246" spans="1:17" ht="13.2">
      <c r="A246" s="26">
        <v>45686.624115914354</v>
      </c>
      <c r="B246" s="8" t="s">
        <v>1141</v>
      </c>
      <c r="C246" s="8" t="s">
        <v>2786</v>
      </c>
      <c r="D246" s="8" t="s">
        <v>2787</v>
      </c>
      <c r="E246" s="8" t="s">
        <v>2788</v>
      </c>
      <c r="F246" s="82" t="s">
        <v>2789</v>
      </c>
      <c r="G246" s="27">
        <v>43700</v>
      </c>
      <c r="H246" s="8" t="s">
        <v>1371</v>
      </c>
      <c r="I246" s="8">
        <v>740826301313</v>
      </c>
      <c r="J246" s="8" t="s">
        <v>1806</v>
      </c>
      <c r="K246" s="8" t="s">
        <v>2790</v>
      </c>
      <c r="L246" s="8" t="s">
        <v>2791</v>
      </c>
      <c r="M246" s="8" t="s">
        <v>2792</v>
      </c>
      <c r="N246" s="8">
        <v>87083151446</v>
      </c>
      <c r="O246" s="8">
        <v>420000</v>
      </c>
      <c r="P246" s="8">
        <v>0</v>
      </c>
      <c r="Q246" s="8" t="s">
        <v>394</v>
      </c>
    </row>
    <row r="247" spans="1:17" ht="13.2">
      <c r="A247" s="26">
        <v>45687.564161354167</v>
      </c>
      <c r="B247" s="8" t="s">
        <v>1049</v>
      </c>
      <c r="C247" s="8" t="s">
        <v>2793</v>
      </c>
      <c r="D247" s="8" t="s">
        <v>2794</v>
      </c>
      <c r="E247" s="8" t="s">
        <v>2795</v>
      </c>
      <c r="F247" s="82" t="s">
        <v>2796</v>
      </c>
      <c r="G247" s="27">
        <v>44938</v>
      </c>
      <c r="H247" s="8" t="s">
        <v>1371</v>
      </c>
      <c r="I247" s="8">
        <v>760218300469</v>
      </c>
      <c r="J247" s="8" t="s">
        <v>2008</v>
      </c>
      <c r="K247" s="8" t="s">
        <v>2489</v>
      </c>
      <c r="L247" s="8" t="s">
        <v>2797</v>
      </c>
      <c r="M247" s="8" t="s">
        <v>2798</v>
      </c>
      <c r="N247" s="8">
        <v>87788659595</v>
      </c>
      <c r="O247" s="8">
        <v>0</v>
      </c>
      <c r="P247" s="8">
        <v>370000</v>
      </c>
      <c r="Q247" s="8" t="s">
        <v>403</v>
      </c>
    </row>
    <row r="248" spans="1:17" ht="13.2">
      <c r="A248" s="26">
        <v>45691.643054745371</v>
      </c>
      <c r="B248" s="8" t="s">
        <v>1049</v>
      </c>
      <c r="C248" s="8" t="s">
        <v>2799</v>
      </c>
      <c r="D248" s="8" t="s">
        <v>2800</v>
      </c>
      <c r="E248" s="8" t="s">
        <v>2801</v>
      </c>
      <c r="F248" s="82" t="s">
        <v>2802</v>
      </c>
      <c r="G248" s="27">
        <v>42823</v>
      </c>
      <c r="H248" s="8" t="s">
        <v>1371</v>
      </c>
      <c r="I248" s="8">
        <v>840925399101</v>
      </c>
      <c r="J248" s="8" t="s">
        <v>1541</v>
      </c>
      <c r="K248" s="8" t="s">
        <v>2803</v>
      </c>
      <c r="L248" s="8" t="s">
        <v>2804</v>
      </c>
      <c r="M248" s="8" t="s">
        <v>2805</v>
      </c>
      <c r="N248" s="8">
        <v>87023410986</v>
      </c>
      <c r="O248" s="8">
        <v>450000</v>
      </c>
      <c r="P248" s="8">
        <v>0</v>
      </c>
      <c r="Q248" s="8" t="s">
        <v>404</v>
      </c>
    </row>
    <row r="249" spans="1:17" ht="13.2">
      <c r="A249" s="26">
        <v>45693.452804525463</v>
      </c>
      <c r="B249" s="8" t="s">
        <v>1049</v>
      </c>
      <c r="C249" s="8" t="s">
        <v>2806</v>
      </c>
      <c r="D249" s="8" t="s">
        <v>2807</v>
      </c>
      <c r="F249" s="82" t="s">
        <v>2808</v>
      </c>
      <c r="G249" s="27">
        <v>44084</v>
      </c>
      <c r="H249" s="8" t="s">
        <v>1431</v>
      </c>
      <c r="I249" s="8">
        <v>830210001122</v>
      </c>
      <c r="J249" s="8" t="s">
        <v>1541</v>
      </c>
      <c r="K249" s="8" t="s">
        <v>2809</v>
      </c>
      <c r="L249" s="8" t="s">
        <v>2810</v>
      </c>
      <c r="M249" s="8" t="s">
        <v>2359</v>
      </c>
      <c r="N249" s="8">
        <v>87086065299</v>
      </c>
      <c r="O249" s="8">
        <v>340000</v>
      </c>
      <c r="P249" s="8">
        <v>0</v>
      </c>
      <c r="Q249" s="8" t="s">
        <v>122</v>
      </c>
    </row>
    <row r="250" spans="1:17" ht="13.2">
      <c r="A250" s="26">
        <v>45693.494516226856</v>
      </c>
      <c r="B250" s="8" t="s">
        <v>1141</v>
      </c>
      <c r="C250" s="8" t="s">
        <v>2811</v>
      </c>
      <c r="D250" s="8" t="s">
        <v>1938</v>
      </c>
      <c r="E250" s="8" t="s">
        <v>1480</v>
      </c>
      <c r="F250" s="82" t="s">
        <v>2812</v>
      </c>
      <c r="G250" s="27">
        <v>45544</v>
      </c>
      <c r="H250" s="8" t="s">
        <v>1371</v>
      </c>
      <c r="I250" s="8">
        <v>770907301434</v>
      </c>
      <c r="J250" s="8" t="s">
        <v>2430</v>
      </c>
      <c r="K250" s="8" t="s">
        <v>2813</v>
      </c>
      <c r="L250" s="8" t="s">
        <v>2814</v>
      </c>
      <c r="M250" s="8" t="s">
        <v>1707</v>
      </c>
      <c r="N250" s="8">
        <v>87021820666</v>
      </c>
      <c r="O250" s="8">
        <v>370000</v>
      </c>
      <c r="P250" s="8">
        <v>0</v>
      </c>
      <c r="Q250" s="8" t="s">
        <v>405</v>
      </c>
    </row>
    <row r="251" spans="1:17" ht="13.2">
      <c r="A251" s="26">
        <v>45694.55553430556</v>
      </c>
      <c r="B251" s="8" t="s">
        <v>1049</v>
      </c>
      <c r="C251" s="8" t="s">
        <v>2815</v>
      </c>
      <c r="D251" s="8" t="s">
        <v>1262</v>
      </c>
      <c r="E251" s="8" t="s">
        <v>1135</v>
      </c>
      <c r="F251" s="82" t="s">
        <v>2816</v>
      </c>
      <c r="G251" s="27">
        <v>44593</v>
      </c>
      <c r="H251" s="8" t="s">
        <v>1371</v>
      </c>
      <c r="I251" s="8">
        <v>820622302534</v>
      </c>
      <c r="J251" s="8" t="s">
        <v>1730</v>
      </c>
      <c r="K251" s="8" t="s">
        <v>2817</v>
      </c>
      <c r="L251" s="8" t="s">
        <v>2818</v>
      </c>
      <c r="M251" s="8" t="s">
        <v>2819</v>
      </c>
      <c r="N251" s="8">
        <v>87058603521</v>
      </c>
      <c r="O251" s="8">
        <v>0</v>
      </c>
      <c r="P251" s="8">
        <v>320000</v>
      </c>
      <c r="Q251" s="8" t="s">
        <v>130</v>
      </c>
    </row>
    <row r="252" spans="1:17" ht="13.2">
      <c r="A252" s="26">
        <v>45696.572402233796</v>
      </c>
      <c r="B252" s="8" t="s">
        <v>1049</v>
      </c>
      <c r="C252" s="8" t="s">
        <v>2820</v>
      </c>
      <c r="D252" s="8" t="s">
        <v>2821</v>
      </c>
      <c r="E252" s="8" t="s">
        <v>2822</v>
      </c>
      <c r="F252" s="82" t="s">
        <v>2823</v>
      </c>
      <c r="G252" s="27">
        <v>44454</v>
      </c>
      <c r="H252" s="8" t="s">
        <v>1371</v>
      </c>
      <c r="I252" s="8">
        <v>590303302590</v>
      </c>
      <c r="J252" s="8" t="s">
        <v>1372</v>
      </c>
      <c r="K252" s="8" t="s">
        <v>2824</v>
      </c>
      <c r="L252" s="8" t="s">
        <v>2825</v>
      </c>
      <c r="M252" s="8" t="s">
        <v>2826</v>
      </c>
      <c r="N252" s="8">
        <v>87770140995</v>
      </c>
      <c r="O252" s="8">
        <v>320000</v>
      </c>
      <c r="P252" s="8">
        <v>0</v>
      </c>
      <c r="Q252" s="8" t="s">
        <v>406</v>
      </c>
    </row>
    <row r="253" spans="1:17" ht="13.2">
      <c r="A253" s="26">
        <v>45697.633090543983</v>
      </c>
      <c r="B253" s="8" t="s">
        <v>1049</v>
      </c>
      <c r="C253" s="8" t="s">
        <v>2827</v>
      </c>
      <c r="D253" s="8" t="s">
        <v>2828</v>
      </c>
      <c r="E253" s="8" t="s">
        <v>2829</v>
      </c>
      <c r="F253" s="82" t="s">
        <v>2830</v>
      </c>
      <c r="G253" s="27">
        <v>45219</v>
      </c>
      <c r="H253" s="8" t="s">
        <v>1371</v>
      </c>
      <c r="I253" s="8">
        <v>871217302504</v>
      </c>
      <c r="J253" s="8" t="s">
        <v>2008</v>
      </c>
      <c r="K253" s="8" t="s">
        <v>2831</v>
      </c>
      <c r="L253" s="8" t="s">
        <v>2832</v>
      </c>
      <c r="M253" s="8" t="s">
        <v>2833</v>
      </c>
      <c r="N253" s="8">
        <v>87714922888</v>
      </c>
      <c r="O253" s="8">
        <v>520000</v>
      </c>
      <c r="P253" s="8">
        <v>0</v>
      </c>
      <c r="Q253" s="8" t="s">
        <v>407</v>
      </c>
    </row>
    <row r="254" spans="1:17" ht="13.2">
      <c r="A254" s="26">
        <v>45698.577935243055</v>
      </c>
      <c r="B254" s="8" t="s">
        <v>1141</v>
      </c>
      <c r="C254" s="8" t="s">
        <v>2834</v>
      </c>
      <c r="D254" s="8" t="s">
        <v>2835</v>
      </c>
      <c r="E254" s="8" t="s">
        <v>2836</v>
      </c>
      <c r="F254" s="82" t="s">
        <v>2837</v>
      </c>
      <c r="G254" s="27">
        <v>45218</v>
      </c>
      <c r="H254" s="8" t="s">
        <v>1371</v>
      </c>
      <c r="I254" s="8">
        <v>990616351484</v>
      </c>
      <c r="J254" s="8" t="s">
        <v>1564</v>
      </c>
      <c r="K254" s="8" t="s">
        <v>2120</v>
      </c>
      <c r="L254" s="8" t="s">
        <v>2454</v>
      </c>
      <c r="M254" s="8" t="s">
        <v>2838</v>
      </c>
      <c r="N254" s="8">
        <v>87052270920</v>
      </c>
      <c r="O254" s="8">
        <v>430000</v>
      </c>
      <c r="P254" s="8">
        <v>0</v>
      </c>
      <c r="Q254" s="8" t="s">
        <v>408</v>
      </c>
    </row>
    <row r="255" spans="1:17" ht="13.2">
      <c r="A255" s="26">
        <v>45700.517633043986</v>
      </c>
      <c r="B255" s="8" t="s">
        <v>1049</v>
      </c>
      <c r="C255" s="8" t="s">
        <v>2839</v>
      </c>
      <c r="D255" s="8" t="s">
        <v>2840</v>
      </c>
      <c r="E255" s="8" t="s">
        <v>2841</v>
      </c>
      <c r="F255" s="82" t="s">
        <v>2842</v>
      </c>
      <c r="G255" s="27">
        <v>42615</v>
      </c>
      <c r="H255" s="8" t="s">
        <v>1371</v>
      </c>
      <c r="I255" s="8">
        <v>870130300740</v>
      </c>
      <c r="J255" s="8" t="s">
        <v>1541</v>
      </c>
      <c r="K255" s="8" t="s">
        <v>2843</v>
      </c>
      <c r="L255" s="8" t="s">
        <v>2844</v>
      </c>
      <c r="M255" s="8" t="s">
        <v>2845</v>
      </c>
      <c r="N255" s="8">
        <v>87716488686</v>
      </c>
      <c r="O255" s="8">
        <v>500000</v>
      </c>
      <c r="P255" s="8">
        <v>0</v>
      </c>
      <c r="Q255" s="8" t="s">
        <v>411</v>
      </c>
    </row>
    <row r="256" spans="1:17" ht="13.2">
      <c r="A256" s="26">
        <v>45700.61992957176</v>
      </c>
      <c r="B256" s="8" t="s">
        <v>1071</v>
      </c>
      <c r="C256" s="8" t="s">
        <v>2846</v>
      </c>
      <c r="D256" s="8" t="s">
        <v>1244</v>
      </c>
      <c r="E256" s="8" t="s">
        <v>2847</v>
      </c>
      <c r="F256" s="82" t="s">
        <v>2848</v>
      </c>
      <c r="G256" s="27">
        <v>45083</v>
      </c>
      <c r="H256" s="8" t="s">
        <v>1371</v>
      </c>
      <c r="I256" s="8">
        <v>871029350176</v>
      </c>
      <c r="J256" s="8" t="s">
        <v>1976</v>
      </c>
      <c r="K256" s="8" t="s">
        <v>2022</v>
      </c>
      <c r="L256" s="8" t="s">
        <v>2849</v>
      </c>
      <c r="M256" s="8" t="s">
        <v>2850</v>
      </c>
      <c r="N256" s="8">
        <v>87074327842</v>
      </c>
      <c r="O256" s="8">
        <v>0</v>
      </c>
      <c r="P256" s="8">
        <v>380000</v>
      </c>
      <c r="Q256" s="8" t="s">
        <v>412</v>
      </c>
    </row>
    <row r="257" spans="1:17" ht="13.2">
      <c r="A257" s="26">
        <v>45700.689620069446</v>
      </c>
      <c r="B257" s="8" t="s">
        <v>1049</v>
      </c>
      <c r="C257" s="8" t="s">
        <v>2851</v>
      </c>
      <c r="D257" s="8" t="s">
        <v>2852</v>
      </c>
      <c r="E257" s="8" t="s">
        <v>2853</v>
      </c>
      <c r="F257" s="82" t="s">
        <v>2854</v>
      </c>
      <c r="G257" s="27">
        <v>42114</v>
      </c>
      <c r="H257" s="8" t="s">
        <v>1371</v>
      </c>
      <c r="I257" s="8">
        <v>990407300909</v>
      </c>
      <c r="J257" s="8" t="s">
        <v>2855</v>
      </c>
      <c r="K257" s="8" t="s">
        <v>2856</v>
      </c>
      <c r="L257" s="8" t="s">
        <v>2857</v>
      </c>
      <c r="M257" s="8" t="s">
        <v>2858</v>
      </c>
      <c r="N257" s="8">
        <v>87007766079</v>
      </c>
      <c r="O257" s="8">
        <v>0</v>
      </c>
      <c r="P257" s="8">
        <v>330000</v>
      </c>
      <c r="Q257" s="8" t="s">
        <v>413</v>
      </c>
    </row>
    <row r="258" spans="1:17" ht="13.2">
      <c r="A258" s="26">
        <v>45701.442224942133</v>
      </c>
      <c r="B258" s="8" t="s">
        <v>1141</v>
      </c>
      <c r="C258" s="8" t="s">
        <v>2859</v>
      </c>
      <c r="D258" s="8" t="s">
        <v>1407</v>
      </c>
      <c r="F258" s="82" t="s">
        <v>2860</v>
      </c>
      <c r="G258" s="27">
        <v>43781</v>
      </c>
      <c r="H258" s="8" t="s">
        <v>1371</v>
      </c>
      <c r="I258" s="8">
        <v>830528351385</v>
      </c>
      <c r="J258" s="8" t="s">
        <v>1533</v>
      </c>
      <c r="K258" s="8" t="s">
        <v>2861</v>
      </c>
      <c r="L258" s="8" t="s">
        <v>2862</v>
      </c>
      <c r="M258" s="8" t="s">
        <v>2359</v>
      </c>
      <c r="N258" s="8">
        <v>87757329667</v>
      </c>
      <c r="O258" s="8">
        <v>370000</v>
      </c>
      <c r="P258" s="8">
        <v>0</v>
      </c>
      <c r="Q258" s="8" t="s">
        <v>409</v>
      </c>
    </row>
    <row r="259" spans="1:17" ht="13.2">
      <c r="A259" s="26">
        <v>45702.522554467592</v>
      </c>
      <c r="B259" s="8" t="s">
        <v>1049</v>
      </c>
      <c r="C259" s="8" t="s">
        <v>2863</v>
      </c>
      <c r="D259" s="8" t="s">
        <v>2084</v>
      </c>
      <c r="E259" s="8" t="s">
        <v>1111</v>
      </c>
      <c r="F259" s="82" t="s">
        <v>2864</v>
      </c>
      <c r="G259" s="27">
        <v>44764</v>
      </c>
      <c r="H259" s="8" t="s">
        <v>1371</v>
      </c>
      <c r="I259" s="8">
        <v>601001300468</v>
      </c>
      <c r="J259" s="8" t="s">
        <v>1372</v>
      </c>
      <c r="K259" s="8" t="s">
        <v>1865</v>
      </c>
      <c r="L259" s="8" t="s">
        <v>2865</v>
      </c>
      <c r="M259" s="8" t="s">
        <v>2866</v>
      </c>
      <c r="N259" s="8">
        <v>87771816675</v>
      </c>
      <c r="O259" s="8">
        <v>430000</v>
      </c>
      <c r="P259" s="8">
        <v>20000</v>
      </c>
      <c r="Q259" s="8" t="s">
        <v>416</v>
      </c>
    </row>
    <row r="260" spans="1:17" ht="13.2">
      <c r="A260" s="26">
        <v>45702.632719791669</v>
      </c>
      <c r="B260" s="8" t="s">
        <v>1049</v>
      </c>
      <c r="C260" s="8" t="s">
        <v>2867</v>
      </c>
      <c r="D260" s="8" t="s">
        <v>2868</v>
      </c>
      <c r="E260" s="8" t="s">
        <v>2869</v>
      </c>
      <c r="F260" s="82" t="s">
        <v>2870</v>
      </c>
      <c r="G260" s="27">
        <v>44956</v>
      </c>
      <c r="H260" s="8" t="s">
        <v>1371</v>
      </c>
      <c r="I260" s="8">
        <v>880913300293</v>
      </c>
      <c r="J260" s="8" t="s">
        <v>1372</v>
      </c>
      <c r="K260" s="8" t="s">
        <v>1527</v>
      </c>
      <c r="L260" s="8" t="s">
        <v>2871</v>
      </c>
      <c r="M260" s="8" t="s">
        <v>2046</v>
      </c>
      <c r="N260" s="8">
        <v>87770227755</v>
      </c>
      <c r="O260" s="8">
        <v>360000</v>
      </c>
      <c r="P260" s="8">
        <v>0</v>
      </c>
      <c r="Q260" s="8" t="s">
        <v>273</v>
      </c>
    </row>
    <row r="261" spans="1:17" ht="13.2">
      <c r="A261" s="26">
        <v>45702.709658807871</v>
      </c>
      <c r="B261" s="8" t="s">
        <v>1071</v>
      </c>
      <c r="C261" s="8" t="s">
        <v>2872</v>
      </c>
      <c r="D261" s="8" t="s">
        <v>1109</v>
      </c>
      <c r="E261" s="8" t="s">
        <v>1201</v>
      </c>
      <c r="F261" s="82" t="s">
        <v>2873</v>
      </c>
      <c r="G261" s="27">
        <v>42576</v>
      </c>
      <c r="H261" s="8" t="s">
        <v>1371</v>
      </c>
      <c r="I261" s="8">
        <v>800813301808</v>
      </c>
      <c r="J261" s="8" t="s">
        <v>1976</v>
      </c>
      <c r="K261" s="8" t="s">
        <v>2874</v>
      </c>
      <c r="L261" s="8" t="s">
        <v>2875</v>
      </c>
      <c r="M261" s="8" t="s">
        <v>2876</v>
      </c>
      <c r="N261" s="8">
        <v>87477304745</v>
      </c>
      <c r="O261" s="8">
        <v>360000</v>
      </c>
      <c r="P261" s="8">
        <v>0</v>
      </c>
      <c r="Q261" s="8" t="s">
        <v>417</v>
      </c>
    </row>
    <row r="262" spans="1:17" ht="13.2">
      <c r="A262" s="26">
        <v>45703.672893668976</v>
      </c>
      <c r="B262" s="8" t="s">
        <v>1141</v>
      </c>
      <c r="C262" s="8" t="s">
        <v>2877</v>
      </c>
      <c r="D262" s="8" t="s">
        <v>2878</v>
      </c>
      <c r="F262" s="82" t="s">
        <v>2879</v>
      </c>
      <c r="G262" s="27">
        <v>45433</v>
      </c>
      <c r="H262" s="8" t="s">
        <v>1431</v>
      </c>
      <c r="I262" s="8">
        <v>790622350417</v>
      </c>
      <c r="J262" s="8" t="s">
        <v>2880</v>
      </c>
      <c r="K262" s="8" t="s">
        <v>2881</v>
      </c>
      <c r="L262" s="8" t="s">
        <v>2882</v>
      </c>
      <c r="M262" s="8" t="s">
        <v>2883</v>
      </c>
      <c r="N262" s="8">
        <v>87761254712</v>
      </c>
      <c r="O262" s="8">
        <v>400000</v>
      </c>
      <c r="P262" s="8">
        <v>0</v>
      </c>
      <c r="Q262" s="8" t="s">
        <v>410</v>
      </c>
    </row>
    <row r="263" spans="1:17" ht="13.2">
      <c r="A263" s="26">
        <v>45703.787904062498</v>
      </c>
      <c r="B263" s="8" t="s">
        <v>1141</v>
      </c>
      <c r="C263" s="8" t="s">
        <v>2884</v>
      </c>
      <c r="D263" s="8" t="s">
        <v>2885</v>
      </c>
      <c r="E263" s="8" t="s">
        <v>2886</v>
      </c>
      <c r="F263" s="82" t="s">
        <v>2887</v>
      </c>
      <c r="G263" s="27">
        <v>44403</v>
      </c>
      <c r="H263" s="8" t="s">
        <v>1371</v>
      </c>
      <c r="I263" s="8">
        <v>770105350096</v>
      </c>
      <c r="J263" s="8" t="s">
        <v>1564</v>
      </c>
      <c r="K263" s="8" t="s">
        <v>2888</v>
      </c>
      <c r="L263" s="8" t="s">
        <v>2889</v>
      </c>
      <c r="M263" s="8" t="s">
        <v>1892</v>
      </c>
      <c r="N263" s="8">
        <v>87073750755</v>
      </c>
      <c r="O263" s="8">
        <v>430000</v>
      </c>
      <c r="P263" s="8">
        <v>0</v>
      </c>
      <c r="Q263" s="8" t="s">
        <v>414</v>
      </c>
    </row>
    <row r="264" spans="1:17" ht="13.2">
      <c r="A264" s="26">
        <v>45705.447462175929</v>
      </c>
      <c r="B264" s="8" t="s">
        <v>1141</v>
      </c>
      <c r="C264" s="8" t="s">
        <v>2890</v>
      </c>
      <c r="D264" s="8" t="s">
        <v>1226</v>
      </c>
      <c r="E264" s="8" t="s">
        <v>1487</v>
      </c>
      <c r="F264" s="82" t="s">
        <v>2891</v>
      </c>
      <c r="G264" s="27">
        <v>45358</v>
      </c>
      <c r="H264" s="8" t="s">
        <v>1371</v>
      </c>
      <c r="I264" s="8">
        <v>890106351509</v>
      </c>
      <c r="J264" s="8" t="s">
        <v>1533</v>
      </c>
      <c r="K264" s="8" t="s">
        <v>2892</v>
      </c>
      <c r="L264" s="8" t="s">
        <v>2893</v>
      </c>
      <c r="M264" s="8" t="s">
        <v>2894</v>
      </c>
      <c r="N264" s="8">
        <v>87783775907</v>
      </c>
      <c r="O264" s="8">
        <v>440000</v>
      </c>
      <c r="P264" s="8">
        <v>0</v>
      </c>
      <c r="Q264" s="8" t="s">
        <v>393</v>
      </c>
    </row>
    <row r="265" spans="1:17" ht="13.2">
      <c r="A265" s="26">
        <v>45705.483753715278</v>
      </c>
      <c r="B265" s="8" t="s">
        <v>1071</v>
      </c>
      <c r="C265" s="8" t="s">
        <v>2895</v>
      </c>
      <c r="D265" s="8" t="s">
        <v>1435</v>
      </c>
      <c r="E265" s="8" t="s">
        <v>1480</v>
      </c>
      <c r="F265" s="82" t="s">
        <v>2896</v>
      </c>
      <c r="G265" s="27">
        <v>42893</v>
      </c>
      <c r="H265" s="8" t="s">
        <v>1371</v>
      </c>
      <c r="I265" s="8">
        <v>720612350539</v>
      </c>
      <c r="J265" s="8" t="s">
        <v>1976</v>
      </c>
      <c r="K265" s="8" t="s">
        <v>1977</v>
      </c>
      <c r="L265" s="8" t="s">
        <v>2897</v>
      </c>
      <c r="M265" s="8" t="s">
        <v>2898</v>
      </c>
      <c r="N265" s="8">
        <v>87056534730</v>
      </c>
      <c r="O265" s="8">
        <v>360000</v>
      </c>
      <c r="P265" s="8">
        <v>0</v>
      </c>
      <c r="Q265" s="8" t="s">
        <v>420</v>
      </c>
    </row>
    <row r="266" spans="1:17" ht="13.2">
      <c r="A266" s="26">
        <v>45705.497051527782</v>
      </c>
      <c r="B266" s="8" t="s">
        <v>1071</v>
      </c>
      <c r="C266" s="8" t="s">
        <v>2899</v>
      </c>
      <c r="D266" s="8" t="s">
        <v>1053</v>
      </c>
      <c r="E266" s="8" t="s">
        <v>1480</v>
      </c>
      <c r="F266" s="82" t="s">
        <v>2900</v>
      </c>
      <c r="G266" s="27">
        <v>44613</v>
      </c>
      <c r="H266" s="8" t="s">
        <v>1371</v>
      </c>
      <c r="I266" s="8">
        <v>860612350399</v>
      </c>
      <c r="J266" s="8" t="s">
        <v>1976</v>
      </c>
      <c r="K266" s="8" t="s">
        <v>1977</v>
      </c>
      <c r="L266" s="8" t="s">
        <v>2901</v>
      </c>
      <c r="M266" s="8" t="s">
        <v>2902</v>
      </c>
      <c r="N266" s="8">
        <v>87052380940</v>
      </c>
      <c r="O266" s="8">
        <v>430000</v>
      </c>
      <c r="P266" s="8">
        <v>0</v>
      </c>
      <c r="Q266" s="8" t="s">
        <v>421</v>
      </c>
    </row>
    <row r="267" spans="1:17" ht="13.2">
      <c r="A267" s="26">
        <v>45705.608389849542</v>
      </c>
      <c r="B267" s="8" t="s">
        <v>1141</v>
      </c>
      <c r="C267" s="8" t="s">
        <v>2903</v>
      </c>
      <c r="D267" s="8" t="s">
        <v>2904</v>
      </c>
      <c r="E267" s="8" t="s">
        <v>2457</v>
      </c>
      <c r="F267" s="82" t="s">
        <v>2905</v>
      </c>
      <c r="G267" s="27">
        <v>44270</v>
      </c>
      <c r="H267" s="8" t="s">
        <v>1371</v>
      </c>
      <c r="I267" s="8">
        <v>851016302647</v>
      </c>
      <c r="J267" s="8" t="s">
        <v>1564</v>
      </c>
      <c r="K267" s="8" t="s">
        <v>2906</v>
      </c>
      <c r="L267" s="8" t="s">
        <v>2907</v>
      </c>
      <c r="M267" s="8" t="s">
        <v>2236</v>
      </c>
      <c r="N267" s="8">
        <v>87085354993</v>
      </c>
      <c r="O267" s="8">
        <v>37000</v>
      </c>
      <c r="P267" s="8">
        <v>0</v>
      </c>
      <c r="Q267" s="8" t="s">
        <v>418</v>
      </c>
    </row>
    <row r="268" spans="1:17" ht="13.2">
      <c r="A268" s="26">
        <v>45706.439477372682</v>
      </c>
      <c r="B268" s="8" t="s">
        <v>1141</v>
      </c>
      <c r="C268" s="8" t="s">
        <v>2908</v>
      </c>
      <c r="D268" s="8" t="s">
        <v>1081</v>
      </c>
      <c r="E268" s="8" t="s">
        <v>2909</v>
      </c>
      <c r="F268" s="82" t="s">
        <v>2910</v>
      </c>
      <c r="G268" s="27">
        <v>43360</v>
      </c>
      <c r="H268" s="8" t="s">
        <v>1371</v>
      </c>
      <c r="I268" s="8">
        <v>830507350302</v>
      </c>
      <c r="J268" s="8" t="s">
        <v>1533</v>
      </c>
      <c r="K268" s="8" t="s">
        <v>2206</v>
      </c>
      <c r="L268" s="8" t="s">
        <v>2911</v>
      </c>
      <c r="M268" s="8" t="s">
        <v>2912</v>
      </c>
      <c r="N268" s="8">
        <v>87057099916</v>
      </c>
      <c r="O268" s="8">
        <v>450000</v>
      </c>
      <c r="P268" s="8">
        <v>0</v>
      </c>
      <c r="Q268" s="8" t="s">
        <v>422</v>
      </c>
    </row>
    <row r="269" spans="1:17" ht="13.2">
      <c r="A269" s="26">
        <v>45706.444375543986</v>
      </c>
      <c r="B269" s="8" t="s">
        <v>1141</v>
      </c>
      <c r="C269" s="8" t="s">
        <v>2913</v>
      </c>
      <c r="D269" s="8" t="s">
        <v>2914</v>
      </c>
      <c r="E269" s="8" t="s">
        <v>1697</v>
      </c>
      <c r="F269" s="82" t="s">
        <v>2915</v>
      </c>
      <c r="G269" s="27">
        <v>44883</v>
      </c>
      <c r="H269" s="8" t="s">
        <v>1371</v>
      </c>
      <c r="I269" s="8">
        <v>980827351618</v>
      </c>
      <c r="J269" s="8" t="s">
        <v>1564</v>
      </c>
      <c r="K269" s="8" t="s">
        <v>1548</v>
      </c>
      <c r="L269" s="8" t="s">
        <v>2916</v>
      </c>
      <c r="M269" s="8" t="s">
        <v>2917</v>
      </c>
      <c r="N269" s="8">
        <v>87472012075</v>
      </c>
      <c r="O269" s="8">
        <v>380000</v>
      </c>
      <c r="P269" s="8">
        <v>0</v>
      </c>
      <c r="Q269" s="8" t="s">
        <v>425</v>
      </c>
    </row>
    <row r="270" spans="1:17" ht="13.2">
      <c r="A270" s="26">
        <v>45706.62916217593</v>
      </c>
      <c r="B270" s="8" t="s">
        <v>1141</v>
      </c>
      <c r="C270" s="8" t="s">
        <v>2918</v>
      </c>
      <c r="D270" s="8" t="s">
        <v>2919</v>
      </c>
      <c r="E270" s="8">
        <v>0</v>
      </c>
      <c r="F270" s="82" t="s">
        <v>2920</v>
      </c>
      <c r="G270" s="27">
        <v>45083</v>
      </c>
      <c r="H270" s="8" t="s">
        <v>1371</v>
      </c>
      <c r="I270" s="8">
        <v>890911351625</v>
      </c>
      <c r="J270" s="8" t="s">
        <v>1533</v>
      </c>
      <c r="K270" s="8" t="s">
        <v>2921</v>
      </c>
      <c r="L270" s="8" t="s">
        <v>2922</v>
      </c>
      <c r="M270" s="8" t="s">
        <v>2923</v>
      </c>
      <c r="N270" s="8">
        <v>87078018186</v>
      </c>
      <c r="O270" s="8">
        <v>400000</v>
      </c>
      <c r="P270" s="8">
        <v>0</v>
      </c>
      <c r="Q270" s="8" t="s">
        <v>426</v>
      </c>
    </row>
    <row r="271" spans="1:17" ht="13.2">
      <c r="A271" s="26">
        <v>45706.655501840272</v>
      </c>
      <c r="B271" s="8" t="s">
        <v>1071</v>
      </c>
      <c r="C271" s="8" t="s">
        <v>2924</v>
      </c>
      <c r="D271" s="8" t="s">
        <v>2925</v>
      </c>
      <c r="E271" s="8" t="s">
        <v>2926</v>
      </c>
      <c r="F271" s="82" t="s">
        <v>2927</v>
      </c>
      <c r="G271" s="27">
        <v>43143</v>
      </c>
      <c r="H271" s="8" t="s">
        <v>1371</v>
      </c>
      <c r="I271" s="8">
        <v>620413450374</v>
      </c>
      <c r="J271" s="8" t="s">
        <v>2463</v>
      </c>
      <c r="K271" s="8" t="s">
        <v>2928</v>
      </c>
      <c r="L271" s="8" t="s">
        <v>2929</v>
      </c>
      <c r="M271" s="8" t="s">
        <v>2930</v>
      </c>
      <c r="N271" s="8">
        <v>87473508022</v>
      </c>
      <c r="O271" s="8">
        <v>360000</v>
      </c>
      <c r="P271" s="8">
        <v>0</v>
      </c>
      <c r="Q271" s="8" t="s">
        <v>427</v>
      </c>
    </row>
    <row r="272" spans="1:17" ht="13.2">
      <c r="A272" s="26">
        <v>45707.504454861111</v>
      </c>
      <c r="B272" s="8" t="s">
        <v>1141</v>
      </c>
      <c r="C272" s="8" t="s">
        <v>2931</v>
      </c>
      <c r="D272" s="8" t="s">
        <v>2932</v>
      </c>
      <c r="E272" s="8" t="s">
        <v>1511</v>
      </c>
      <c r="F272" s="82" t="s">
        <v>2933</v>
      </c>
      <c r="G272" s="27">
        <v>44070</v>
      </c>
      <c r="H272" s="8" t="s">
        <v>1371</v>
      </c>
      <c r="I272" s="8">
        <v>900107351531</v>
      </c>
      <c r="J272" s="8" t="s">
        <v>1533</v>
      </c>
      <c r="K272" s="8" t="s">
        <v>2934</v>
      </c>
      <c r="L272" s="8" t="s">
        <v>2935</v>
      </c>
      <c r="M272" s="8" t="s">
        <v>2936</v>
      </c>
      <c r="N272" s="8">
        <v>87473886918</v>
      </c>
      <c r="O272" s="8">
        <v>400000</v>
      </c>
      <c r="P272" s="8">
        <v>0</v>
      </c>
      <c r="Q272" s="8" t="s">
        <v>428</v>
      </c>
    </row>
    <row r="273" spans="1:17" ht="13.2">
      <c r="A273" s="26">
        <v>45707.623053460644</v>
      </c>
      <c r="B273" s="8" t="s">
        <v>1049</v>
      </c>
      <c r="C273" s="8" t="s">
        <v>2937</v>
      </c>
      <c r="D273" s="8" t="s">
        <v>1255</v>
      </c>
      <c r="E273" s="8" t="s">
        <v>2938</v>
      </c>
      <c r="F273" s="82" t="s">
        <v>2939</v>
      </c>
      <c r="G273" s="27">
        <v>44246</v>
      </c>
      <c r="H273" s="8" t="s">
        <v>1371</v>
      </c>
      <c r="I273" s="8">
        <v>850726301963</v>
      </c>
      <c r="J273" s="8" t="s">
        <v>2008</v>
      </c>
      <c r="K273" s="8" t="s">
        <v>2940</v>
      </c>
      <c r="L273" s="8" t="s">
        <v>2941</v>
      </c>
      <c r="M273" s="8" t="s">
        <v>2942</v>
      </c>
      <c r="N273" s="8">
        <v>87057752002</v>
      </c>
      <c r="O273" s="8">
        <v>360000</v>
      </c>
      <c r="P273" s="8">
        <v>0</v>
      </c>
      <c r="Q273" s="8" t="s">
        <v>429</v>
      </c>
    </row>
    <row r="274" spans="1:17" ht="13.2">
      <c r="A274" s="26">
        <v>45707.699215891203</v>
      </c>
      <c r="B274" s="8" t="s">
        <v>1141</v>
      </c>
      <c r="C274" s="8" t="s">
        <v>2943</v>
      </c>
      <c r="D274" s="8" t="s">
        <v>2944</v>
      </c>
      <c r="E274" s="8" t="s">
        <v>2945</v>
      </c>
      <c r="F274" s="82" t="s">
        <v>2946</v>
      </c>
      <c r="G274" s="27">
        <v>45580</v>
      </c>
      <c r="H274" s="8" t="s">
        <v>1371</v>
      </c>
      <c r="I274" s="8">
        <v>891202351079</v>
      </c>
      <c r="J274" s="8" t="s">
        <v>1564</v>
      </c>
      <c r="K274" s="8" t="s">
        <v>2888</v>
      </c>
      <c r="L274" s="8" t="s">
        <v>2947</v>
      </c>
      <c r="M274" s="8" t="s">
        <v>2948</v>
      </c>
      <c r="N274" s="8">
        <v>87753509198</v>
      </c>
      <c r="O274" s="8">
        <v>370000</v>
      </c>
      <c r="P274" s="8">
        <v>60000</v>
      </c>
      <c r="Q274" s="8" t="s">
        <v>423</v>
      </c>
    </row>
    <row r="275" spans="1:17" ht="13.2">
      <c r="A275" s="26">
        <v>45708.548565567129</v>
      </c>
      <c r="B275" s="8" t="s">
        <v>1049</v>
      </c>
      <c r="C275" s="8" t="s">
        <v>2949</v>
      </c>
      <c r="D275" s="8" t="s">
        <v>2319</v>
      </c>
      <c r="E275" s="8" t="s">
        <v>2950</v>
      </c>
      <c r="F275" s="82" t="s">
        <v>2951</v>
      </c>
      <c r="G275" s="27">
        <v>42838</v>
      </c>
      <c r="H275" s="8" t="s">
        <v>1371</v>
      </c>
      <c r="I275" s="8">
        <v>831022300233</v>
      </c>
      <c r="J275" s="8" t="s">
        <v>2015</v>
      </c>
      <c r="K275" s="8" t="s">
        <v>2952</v>
      </c>
      <c r="L275" s="8" t="s">
        <v>2953</v>
      </c>
      <c r="M275" s="8" t="s">
        <v>2954</v>
      </c>
      <c r="N275" s="8">
        <v>87024873754</v>
      </c>
      <c r="O275" s="8">
        <v>0</v>
      </c>
      <c r="P275" s="8">
        <v>340000</v>
      </c>
      <c r="Q275" s="8" t="s">
        <v>430</v>
      </c>
    </row>
    <row r="276" spans="1:17" ht="13.2">
      <c r="A276" s="26">
        <v>45709.408150023148</v>
      </c>
      <c r="B276" s="8" t="s">
        <v>1141</v>
      </c>
      <c r="C276" s="8" t="s">
        <v>2955</v>
      </c>
      <c r="D276" s="8" t="s">
        <v>1855</v>
      </c>
      <c r="E276" s="8" t="s">
        <v>2956</v>
      </c>
      <c r="F276" s="82" t="s">
        <v>2957</v>
      </c>
      <c r="G276" s="27">
        <v>45014</v>
      </c>
      <c r="H276" s="8" t="s">
        <v>1371</v>
      </c>
      <c r="I276" s="82" t="s">
        <v>2958</v>
      </c>
      <c r="J276" s="8" t="s">
        <v>1976</v>
      </c>
      <c r="K276" s="8" t="s">
        <v>2959</v>
      </c>
      <c r="L276" s="8" t="s">
        <v>2960</v>
      </c>
      <c r="M276" s="8" t="s">
        <v>2961</v>
      </c>
      <c r="N276" s="8">
        <v>87017197510</v>
      </c>
      <c r="O276" s="8">
        <v>370000</v>
      </c>
      <c r="P276" s="8">
        <v>0</v>
      </c>
      <c r="Q276" s="8" t="s">
        <v>431</v>
      </c>
    </row>
    <row r="277" spans="1:17" ht="13.2">
      <c r="A277" s="26">
        <v>45709.708430300925</v>
      </c>
      <c r="B277" s="8" t="s">
        <v>1071</v>
      </c>
      <c r="C277" s="8" t="s">
        <v>2962</v>
      </c>
      <c r="D277" s="8" t="s">
        <v>2963</v>
      </c>
      <c r="E277" s="8" t="s">
        <v>2964</v>
      </c>
      <c r="F277" s="82" t="s">
        <v>2965</v>
      </c>
      <c r="G277" s="27">
        <v>42248</v>
      </c>
      <c r="H277" s="8" t="s">
        <v>1371</v>
      </c>
      <c r="I277" s="8">
        <v>590207300938</v>
      </c>
      <c r="J277" s="8" t="s">
        <v>1976</v>
      </c>
      <c r="K277" s="8" t="s">
        <v>2966</v>
      </c>
      <c r="L277" s="8" t="s">
        <v>2967</v>
      </c>
      <c r="M277" s="8" t="s">
        <v>2968</v>
      </c>
      <c r="N277" s="8">
        <v>87478816465</v>
      </c>
      <c r="O277" s="8">
        <v>0</v>
      </c>
      <c r="P277" s="8">
        <v>300000</v>
      </c>
      <c r="Q277" s="8" t="s">
        <v>433</v>
      </c>
    </row>
    <row r="278" spans="1:17" ht="13.2">
      <c r="A278" s="26">
        <v>45709.757148344906</v>
      </c>
      <c r="B278" s="8" t="s">
        <v>1141</v>
      </c>
      <c r="C278" s="8" t="s">
        <v>2969</v>
      </c>
      <c r="D278" s="8" t="s">
        <v>2970</v>
      </c>
      <c r="E278" s="8" t="s">
        <v>2971</v>
      </c>
      <c r="F278" s="82" t="s">
        <v>2972</v>
      </c>
      <c r="G278" s="27">
        <v>43159</v>
      </c>
      <c r="H278" s="8" t="s">
        <v>1371</v>
      </c>
      <c r="I278" s="8">
        <v>730904301400</v>
      </c>
      <c r="J278" s="8" t="s">
        <v>2973</v>
      </c>
      <c r="K278" s="8" t="s">
        <v>2974</v>
      </c>
      <c r="L278" s="8" t="s">
        <v>2975</v>
      </c>
      <c r="M278" s="8" t="s">
        <v>2976</v>
      </c>
      <c r="N278" s="8">
        <v>87475384230</v>
      </c>
      <c r="O278" s="8">
        <v>0</v>
      </c>
      <c r="P278" s="8">
        <v>330000</v>
      </c>
      <c r="Q278" s="8" t="s">
        <v>432</v>
      </c>
    </row>
    <row r="279" spans="1:17" ht="13.2">
      <c r="A279" s="26">
        <v>45709.778598599536</v>
      </c>
      <c r="B279" s="8" t="s">
        <v>1141</v>
      </c>
      <c r="C279" s="8" t="s">
        <v>2977</v>
      </c>
      <c r="D279" s="8" t="s">
        <v>1993</v>
      </c>
      <c r="E279" s="8" t="s">
        <v>2978</v>
      </c>
      <c r="F279" s="82" t="s">
        <v>2979</v>
      </c>
      <c r="G279" s="27">
        <v>43411</v>
      </c>
      <c r="H279" s="8" t="s">
        <v>1371</v>
      </c>
      <c r="I279" s="8">
        <v>870730350560</v>
      </c>
      <c r="J279" s="8" t="s">
        <v>1547</v>
      </c>
      <c r="K279" s="8" t="s">
        <v>2980</v>
      </c>
      <c r="L279" s="8" t="s">
        <v>2981</v>
      </c>
      <c r="M279" s="8" t="s">
        <v>2982</v>
      </c>
      <c r="N279" s="8">
        <v>87078068699</v>
      </c>
      <c r="O279" s="8">
        <v>510000</v>
      </c>
      <c r="P279" s="8">
        <v>0</v>
      </c>
      <c r="Q279" s="8" t="s">
        <v>362</v>
      </c>
    </row>
    <row r="280" spans="1:17" ht="13.2">
      <c r="A280" s="26">
        <v>45710.454419664355</v>
      </c>
      <c r="B280" s="8" t="s">
        <v>1071</v>
      </c>
      <c r="C280" s="8" t="s">
        <v>2983</v>
      </c>
      <c r="D280" s="8" t="s">
        <v>1262</v>
      </c>
      <c r="E280" s="8" t="s">
        <v>1487</v>
      </c>
      <c r="F280" s="82" t="s">
        <v>2984</v>
      </c>
      <c r="G280" s="27">
        <v>44062</v>
      </c>
      <c r="H280" s="8" t="s">
        <v>1371</v>
      </c>
      <c r="I280" s="8">
        <v>890407350766</v>
      </c>
      <c r="J280" s="8" t="s">
        <v>1976</v>
      </c>
      <c r="K280" s="8" t="s">
        <v>2985</v>
      </c>
      <c r="L280" s="8" t="s">
        <v>2986</v>
      </c>
      <c r="M280" s="8" t="s">
        <v>2987</v>
      </c>
      <c r="N280" s="8">
        <v>87057435505</v>
      </c>
      <c r="O280" s="8">
        <v>0</v>
      </c>
      <c r="P280" s="8">
        <v>350000</v>
      </c>
      <c r="Q280" s="8" t="s">
        <v>434</v>
      </c>
    </row>
    <row r="281" spans="1:17" ht="13.2">
      <c r="A281" s="26">
        <v>45712.459207407403</v>
      </c>
      <c r="B281" s="8" t="s">
        <v>1049</v>
      </c>
      <c r="C281" s="8" t="s">
        <v>2988</v>
      </c>
      <c r="D281" s="8" t="s">
        <v>2989</v>
      </c>
      <c r="E281" s="8"/>
      <c r="F281" s="82" t="s">
        <v>2990</v>
      </c>
      <c r="G281" s="27">
        <v>44901</v>
      </c>
      <c r="H281" s="8" t="s">
        <v>1431</v>
      </c>
      <c r="I281" s="8">
        <v>920807351559</v>
      </c>
      <c r="J281" s="8" t="s">
        <v>2991</v>
      </c>
      <c r="K281" s="8" t="s">
        <v>2992</v>
      </c>
      <c r="L281" s="8" t="s">
        <v>2993</v>
      </c>
      <c r="M281" s="8" t="s">
        <v>2994</v>
      </c>
      <c r="N281" s="8">
        <v>87058709392</v>
      </c>
      <c r="O281" s="8">
        <v>610000</v>
      </c>
      <c r="P281" s="8">
        <v>0</v>
      </c>
      <c r="Q281" s="8" t="s">
        <v>435</v>
      </c>
    </row>
    <row r="282" spans="1:17" ht="13.2">
      <c r="A282" s="26">
        <v>45712.500164594909</v>
      </c>
      <c r="B282" s="8" t="s">
        <v>1049</v>
      </c>
      <c r="C282" s="8" t="s">
        <v>2995</v>
      </c>
      <c r="D282" s="8" t="s">
        <v>2996</v>
      </c>
      <c r="E282" s="8" t="s">
        <v>2997</v>
      </c>
      <c r="F282" s="82" t="s">
        <v>2998</v>
      </c>
      <c r="G282" s="27">
        <v>43475</v>
      </c>
      <c r="H282" s="8" t="s">
        <v>1371</v>
      </c>
      <c r="I282" s="8">
        <v>890702300327</v>
      </c>
      <c r="J282" s="8" t="s">
        <v>2008</v>
      </c>
      <c r="K282" s="8" t="s">
        <v>2999</v>
      </c>
      <c r="L282" s="8" t="s">
        <v>3000</v>
      </c>
      <c r="M282" s="8" t="s">
        <v>3001</v>
      </c>
      <c r="N282" s="8">
        <v>87010768887</v>
      </c>
      <c r="O282" s="8">
        <v>380000</v>
      </c>
      <c r="P282" s="8">
        <v>0</v>
      </c>
      <c r="Q282" s="8" t="s">
        <v>436</v>
      </c>
    </row>
    <row r="283" spans="1:17" ht="13.2">
      <c r="A283" s="26">
        <v>45713.49051664352</v>
      </c>
      <c r="B283" s="8" t="s">
        <v>1141</v>
      </c>
      <c r="C283" s="8" t="s">
        <v>3002</v>
      </c>
      <c r="D283" s="8" t="s">
        <v>2564</v>
      </c>
      <c r="E283" s="8" t="s">
        <v>3003</v>
      </c>
      <c r="F283" s="82" t="s">
        <v>3004</v>
      </c>
      <c r="G283" s="27">
        <v>44719</v>
      </c>
      <c r="H283" s="8" t="s">
        <v>1371</v>
      </c>
      <c r="I283" s="8">
        <v>830812350033</v>
      </c>
      <c r="J283" s="8" t="s">
        <v>1564</v>
      </c>
      <c r="K283" s="8" t="s">
        <v>3005</v>
      </c>
      <c r="L283" s="8" t="s">
        <v>3006</v>
      </c>
      <c r="M283" s="8" t="s">
        <v>3007</v>
      </c>
      <c r="N283" s="8">
        <v>87015394644</v>
      </c>
      <c r="O283" s="8">
        <v>400000</v>
      </c>
      <c r="P283" s="8">
        <v>0</v>
      </c>
      <c r="Q283" s="8" t="s">
        <v>438</v>
      </c>
    </row>
    <row r="284" spans="1:17" ht="13.2">
      <c r="A284" s="26">
        <v>45713.589177777772</v>
      </c>
      <c r="B284" s="8" t="s">
        <v>1141</v>
      </c>
      <c r="C284" s="8" t="s">
        <v>3008</v>
      </c>
      <c r="D284" s="8" t="s">
        <v>1439</v>
      </c>
      <c r="E284" s="8" t="s">
        <v>2847</v>
      </c>
      <c r="F284" s="82" t="s">
        <v>3009</v>
      </c>
      <c r="G284" s="27">
        <v>44594</v>
      </c>
      <c r="H284" s="8" t="s">
        <v>1371</v>
      </c>
      <c r="I284" s="8">
        <v>720328350199</v>
      </c>
      <c r="J284" s="8" t="s">
        <v>1564</v>
      </c>
      <c r="K284" s="8" t="s">
        <v>3005</v>
      </c>
      <c r="L284" s="8" t="s">
        <v>3010</v>
      </c>
      <c r="M284" s="8" t="s">
        <v>2548</v>
      </c>
      <c r="N284" s="8">
        <v>87016098609</v>
      </c>
      <c r="O284" s="8">
        <v>350000</v>
      </c>
      <c r="P284" s="8">
        <v>0</v>
      </c>
      <c r="Q284" s="8" t="s">
        <v>419</v>
      </c>
    </row>
    <row r="285" spans="1:17" ht="13.2">
      <c r="A285" s="26">
        <v>45713.708344780098</v>
      </c>
      <c r="B285" s="8" t="s">
        <v>1071</v>
      </c>
      <c r="C285" s="8" t="s">
        <v>3011</v>
      </c>
      <c r="D285" s="8" t="s">
        <v>1899</v>
      </c>
      <c r="E285" s="8" t="s">
        <v>3012</v>
      </c>
      <c r="F285" s="82" t="s">
        <v>3013</v>
      </c>
      <c r="G285" s="27">
        <v>43482</v>
      </c>
      <c r="H285" s="8" t="s">
        <v>1371</v>
      </c>
      <c r="I285" s="8">
        <v>951206351292</v>
      </c>
      <c r="J285" s="8" t="s">
        <v>1976</v>
      </c>
      <c r="K285" s="8" t="s">
        <v>3014</v>
      </c>
      <c r="L285" s="8" t="s">
        <v>3015</v>
      </c>
      <c r="M285" s="8" t="s">
        <v>3016</v>
      </c>
      <c r="N285" s="8">
        <v>87009010406</v>
      </c>
      <c r="O285" s="8">
        <v>360000</v>
      </c>
      <c r="P285" s="8">
        <v>0</v>
      </c>
      <c r="Q285" s="8" t="s">
        <v>439</v>
      </c>
    </row>
    <row r="286" spans="1:17" ht="13.2">
      <c r="A286" s="26">
        <v>45714.526706296296</v>
      </c>
      <c r="B286" s="8" t="s">
        <v>1049</v>
      </c>
      <c r="C286" s="8" t="s">
        <v>3017</v>
      </c>
      <c r="D286" s="8" t="s">
        <v>1081</v>
      </c>
      <c r="E286" s="8" t="s">
        <v>1697</v>
      </c>
      <c r="F286" s="82" t="s">
        <v>3018</v>
      </c>
      <c r="G286" s="27">
        <v>45190</v>
      </c>
      <c r="H286" s="8" t="s">
        <v>1371</v>
      </c>
      <c r="I286" s="8">
        <v>880823303249</v>
      </c>
      <c r="J286" s="8" t="s">
        <v>2008</v>
      </c>
      <c r="K286" s="8" t="s">
        <v>2218</v>
      </c>
      <c r="L286" s="8" t="s">
        <v>3019</v>
      </c>
      <c r="M286" s="8" t="s">
        <v>2046</v>
      </c>
      <c r="N286" s="8">
        <v>87076535393</v>
      </c>
      <c r="O286" s="8">
        <v>360000</v>
      </c>
      <c r="P286" s="8">
        <v>0</v>
      </c>
      <c r="Q286" s="8" t="s">
        <v>440</v>
      </c>
    </row>
    <row r="287" spans="1:17" ht="13.2">
      <c r="A287" s="26">
        <v>45714.743467222223</v>
      </c>
      <c r="B287" s="8" t="s">
        <v>1071</v>
      </c>
      <c r="C287" s="8" t="s">
        <v>3020</v>
      </c>
      <c r="D287" s="8" t="s">
        <v>1407</v>
      </c>
      <c r="E287" s="8" t="s">
        <v>3021</v>
      </c>
      <c r="F287" s="82" t="s">
        <v>3022</v>
      </c>
      <c r="G287" s="27">
        <v>45138</v>
      </c>
      <c r="H287" s="8" t="s">
        <v>1371</v>
      </c>
      <c r="I287" s="8">
        <v>810221350730</v>
      </c>
      <c r="J287" s="8" t="s">
        <v>1976</v>
      </c>
      <c r="K287" s="8" t="s">
        <v>1977</v>
      </c>
      <c r="L287" s="8" t="s">
        <v>3023</v>
      </c>
      <c r="M287" s="8" t="s">
        <v>3024</v>
      </c>
      <c r="N287" s="8">
        <v>87787920163</v>
      </c>
      <c r="O287" s="8">
        <v>0</v>
      </c>
      <c r="P287" s="8">
        <v>330000</v>
      </c>
      <c r="Q287" s="8" t="s">
        <v>443</v>
      </c>
    </row>
    <row r="288" spans="1:17" ht="13.2">
      <c r="A288" s="26">
        <v>45715.514720370367</v>
      </c>
      <c r="B288" s="8" t="s">
        <v>1071</v>
      </c>
      <c r="C288" s="8" t="s">
        <v>3025</v>
      </c>
      <c r="D288" s="8" t="s">
        <v>2514</v>
      </c>
      <c r="E288" s="8" t="s">
        <v>3026</v>
      </c>
      <c r="F288" s="82" t="s">
        <v>3027</v>
      </c>
      <c r="G288" s="27">
        <v>44792</v>
      </c>
      <c r="H288" s="8" t="s">
        <v>1371</v>
      </c>
      <c r="I288" s="8">
        <v>770823350337</v>
      </c>
      <c r="J288" s="8" t="s">
        <v>1976</v>
      </c>
      <c r="K288" s="8" t="s">
        <v>1977</v>
      </c>
      <c r="L288" s="8" t="s">
        <v>3028</v>
      </c>
      <c r="M288" s="8" t="s">
        <v>3029</v>
      </c>
      <c r="N288" s="8">
        <v>87775336103</v>
      </c>
      <c r="O288" s="8">
        <v>0</v>
      </c>
      <c r="P288" s="8">
        <v>380000</v>
      </c>
      <c r="Q288" s="8" t="s">
        <v>444</v>
      </c>
    </row>
    <row r="289" spans="1:17" ht="13.2">
      <c r="A289" s="26">
        <v>45715.686476550924</v>
      </c>
      <c r="B289" s="8" t="s">
        <v>1141</v>
      </c>
      <c r="C289" s="8" t="s">
        <v>3030</v>
      </c>
      <c r="D289" s="8" t="s">
        <v>3031</v>
      </c>
      <c r="E289" s="8" t="s">
        <v>3032</v>
      </c>
      <c r="F289" s="82" t="s">
        <v>3033</v>
      </c>
      <c r="G289" s="27">
        <v>38378</v>
      </c>
      <c r="H289" s="8" t="s">
        <v>1410</v>
      </c>
      <c r="I289" s="8">
        <v>590810302070</v>
      </c>
      <c r="J289" s="8" t="s">
        <v>1372</v>
      </c>
      <c r="K289" s="8" t="s">
        <v>3034</v>
      </c>
      <c r="L289" s="8" t="s">
        <v>3035</v>
      </c>
      <c r="M289" s="8" t="s">
        <v>1762</v>
      </c>
      <c r="N289" s="8">
        <v>87013370569</v>
      </c>
      <c r="O289" s="8">
        <v>0</v>
      </c>
      <c r="P289" s="8">
        <v>700000</v>
      </c>
      <c r="Q289" s="8" t="s">
        <v>445</v>
      </c>
    </row>
    <row r="290" spans="1:17" ht="13.2">
      <c r="A290" s="26">
        <v>45716.478334305561</v>
      </c>
      <c r="B290" s="8" t="s">
        <v>1071</v>
      </c>
      <c r="C290" s="8" t="s">
        <v>3036</v>
      </c>
      <c r="D290" s="8" t="s">
        <v>1580</v>
      </c>
      <c r="E290" s="8" t="s">
        <v>1386</v>
      </c>
      <c r="F290" s="82" t="s">
        <v>3037</v>
      </c>
      <c r="G290" s="27">
        <v>43640</v>
      </c>
      <c r="H290" s="8" t="s">
        <v>1371</v>
      </c>
      <c r="I290" s="8">
        <v>900326351729</v>
      </c>
      <c r="J290" s="8" t="s">
        <v>1976</v>
      </c>
      <c r="K290" s="8" t="s">
        <v>3038</v>
      </c>
      <c r="L290" s="8" t="s">
        <v>3039</v>
      </c>
      <c r="M290" s="8" t="s">
        <v>2128</v>
      </c>
      <c r="N290" s="8">
        <v>87057411267</v>
      </c>
      <c r="O290" s="8">
        <v>380000</v>
      </c>
      <c r="P290" s="8">
        <v>0</v>
      </c>
      <c r="Q290" s="8" t="s">
        <v>446</v>
      </c>
    </row>
    <row r="291" spans="1:17" ht="13.2">
      <c r="A291" s="26">
        <v>45719.474980717598</v>
      </c>
      <c r="B291" s="8" t="s">
        <v>1071</v>
      </c>
      <c r="C291" s="8" t="s">
        <v>3040</v>
      </c>
      <c r="D291" s="8" t="s">
        <v>1855</v>
      </c>
      <c r="E291" s="8" t="s">
        <v>1386</v>
      </c>
      <c r="F291" s="82" t="s">
        <v>3041</v>
      </c>
      <c r="G291" s="27">
        <v>44482</v>
      </c>
      <c r="H291" s="8" t="s">
        <v>1371</v>
      </c>
      <c r="I291" s="8">
        <v>860514350821</v>
      </c>
      <c r="J291" s="8" t="s">
        <v>1976</v>
      </c>
      <c r="K291" s="8" t="s">
        <v>3042</v>
      </c>
      <c r="L291" s="8" t="s">
        <v>2153</v>
      </c>
      <c r="M291" s="8" t="s">
        <v>3043</v>
      </c>
      <c r="N291" s="8">
        <v>87774707773</v>
      </c>
      <c r="O291" s="8">
        <v>400000</v>
      </c>
      <c r="P291" s="8">
        <v>0</v>
      </c>
      <c r="Q291" s="8" t="s">
        <v>447</v>
      </c>
    </row>
    <row r="292" spans="1:17" ht="13.2">
      <c r="A292" s="26">
        <v>45719.577136192129</v>
      </c>
      <c r="B292" s="8" t="s">
        <v>1049</v>
      </c>
      <c r="C292" s="8" t="s">
        <v>3044</v>
      </c>
      <c r="D292" s="8" t="s">
        <v>3045</v>
      </c>
      <c r="E292" s="8" t="s">
        <v>3046</v>
      </c>
      <c r="F292" s="82" t="s">
        <v>3047</v>
      </c>
      <c r="G292" s="27">
        <v>43258</v>
      </c>
      <c r="H292" s="8" t="s">
        <v>1371</v>
      </c>
      <c r="I292" s="8">
        <v>700101302021</v>
      </c>
      <c r="J292" s="8" t="s">
        <v>2008</v>
      </c>
      <c r="K292" s="8" t="s">
        <v>3048</v>
      </c>
      <c r="L292" s="8" t="s">
        <v>3049</v>
      </c>
      <c r="M292" s="8" t="s">
        <v>3050</v>
      </c>
      <c r="N292" s="8">
        <v>87771633875</v>
      </c>
      <c r="O292" s="8">
        <v>340000</v>
      </c>
      <c r="P292" s="8">
        <v>0</v>
      </c>
      <c r="Q292" s="8" t="s">
        <v>448</v>
      </c>
    </row>
    <row r="293" spans="1:17" ht="13.2">
      <c r="A293" s="26">
        <v>45719.630806539353</v>
      </c>
      <c r="B293" s="8" t="s">
        <v>1141</v>
      </c>
      <c r="C293" s="8" t="s">
        <v>3051</v>
      </c>
      <c r="D293" s="8" t="s">
        <v>1071</v>
      </c>
      <c r="E293" s="8" t="s">
        <v>3052</v>
      </c>
      <c r="F293" s="82" t="s">
        <v>3053</v>
      </c>
      <c r="G293" s="27">
        <v>42283</v>
      </c>
      <c r="H293" s="8" t="s">
        <v>1371</v>
      </c>
      <c r="I293" s="8">
        <v>620910301629</v>
      </c>
      <c r="J293" s="8" t="s">
        <v>1564</v>
      </c>
      <c r="K293" s="8" t="s">
        <v>1748</v>
      </c>
      <c r="L293" s="8" t="s">
        <v>3054</v>
      </c>
      <c r="M293" s="8" t="s">
        <v>3055</v>
      </c>
      <c r="N293" s="8">
        <v>87789955207</v>
      </c>
      <c r="O293" s="8">
        <v>370000</v>
      </c>
      <c r="P293" s="8">
        <v>0</v>
      </c>
      <c r="Q293" s="8" t="s">
        <v>441</v>
      </c>
    </row>
    <row r="294" spans="1:17" ht="13.2">
      <c r="A294" s="26">
        <v>45719.69455137731</v>
      </c>
      <c r="B294" s="8" t="s">
        <v>1049</v>
      </c>
      <c r="C294" s="8" t="s">
        <v>3056</v>
      </c>
      <c r="D294" s="8" t="s">
        <v>3057</v>
      </c>
      <c r="E294" s="8" t="s">
        <v>1939</v>
      </c>
      <c r="F294" s="82" t="s">
        <v>3058</v>
      </c>
      <c r="G294" s="27">
        <v>44110</v>
      </c>
      <c r="H294" s="8" t="s">
        <v>1371</v>
      </c>
      <c r="I294" s="8">
        <v>880908300028</v>
      </c>
      <c r="J294" s="8" t="s">
        <v>2218</v>
      </c>
      <c r="K294" s="8" t="s">
        <v>3059</v>
      </c>
      <c r="L294" s="8" t="s">
        <v>3060</v>
      </c>
      <c r="M294" s="8" t="s">
        <v>2051</v>
      </c>
      <c r="N294" s="8">
        <v>87078116475</v>
      </c>
      <c r="O294" s="8">
        <v>0</v>
      </c>
      <c r="P294" s="8">
        <v>390000</v>
      </c>
      <c r="Q294" s="8" t="s">
        <v>449</v>
      </c>
    </row>
    <row r="295" spans="1:17" ht="13.2">
      <c r="A295" s="26">
        <v>45720.462615960649</v>
      </c>
      <c r="B295" s="8" t="s">
        <v>1071</v>
      </c>
      <c r="C295" s="8" t="s">
        <v>3061</v>
      </c>
      <c r="D295" s="8" t="s">
        <v>2209</v>
      </c>
      <c r="E295" s="8" t="s">
        <v>3062</v>
      </c>
      <c r="F295" s="82" t="s">
        <v>3063</v>
      </c>
      <c r="G295" s="27">
        <v>42733</v>
      </c>
      <c r="H295" s="8" t="s">
        <v>1371</v>
      </c>
      <c r="I295" s="8">
        <v>760725301631</v>
      </c>
      <c r="J295" s="8" t="s">
        <v>1976</v>
      </c>
      <c r="K295" s="8" t="s">
        <v>2616</v>
      </c>
      <c r="L295" s="8" t="s">
        <v>3064</v>
      </c>
      <c r="M295" s="8" t="s">
        <v>2961</v>
      </c>
      <c r="N295" s="8">
        <v>87476885893</v>
      </c>
      <c r="O295" s="8">
        <v>380000</v>
      </c>
      <c r="P295" s="8">
        <v>0</v>
      </c>
      <c r="Q295" s="8" t="s">
        <v>450</v>
      </c>
    </row>
    <row r="296" spans="1:17" ht="13.2">
      <c r="A296" s="26">
        <v>45722.470324768517</v>
      </c>
      <c r="B296" s="8" t="s">
        <v>1049</v>
      </c>
      <c r="C296" s="8" t="s">
        <v>3065</v>
      </c>
      <c r="D296" s="8" t="s">
        <v>1260</v>
      </c>
      <c r="E296" s="8" t="s">
        <v>1697</v>
      </c>
      <c r="F296" s="82" t="s">
        <v>3066</v>
      </c>
      <c r="G296" s="27">
        <v>42487</v>
      </c>
      <c r="H296" s="8" t="s">
        <v>1371</v>
      </c>
      <c r="I296" s="8">
        <v>710505301804</v>
      </c>
      <c r="J296" s="8" t="s">
        <v>2991</v>
      </c>
      <c r="K296" s="8" t="s">
        <v>3067</v>
      </c>
      <c r="L296" s="8" t="s">
        <v>3068</v>
      </c>
      <c r="M296" s="8" t="s">
        <v>3069</v>
      </c>
      <c r="N296" s="8">
        <v>87076392393</v>
      </c>
      <c r="O296" s="8">
        <v>0</v>
      </c>
      <c r="P296" s="8">
        <v>410000</v>
      </c>
      <c r="Q296" s="8" t="s">
        <v>451</v>
      </c>
    </row>
    <row r="297" spans="1:17" ht="13.2">
      <c r="A297" s="26">
        <v>45722.593023761576</v>
      </c>
      <c r="B297" s="8" t="s">
        <v>1049</v>
      </c>
      <c r="C297" s="8" t="s">
        <v>3070</v>
      </c>
      <c r="D297" s="8" t="s">
        <v>3071</v>
      </c>
      <c r="E297" s="8" t="s">
        <v>3072</v>
      </c>
      <c r="F297" s="82" t="s">
        <v>3073</v>
      </c>
      <c r="G297" s="27">
        <v>42145</v>
      </c>
      <c r="H297" s="8" t="s">
        <v>1371</v>
      </c>
      <c r="I297" s="8">
        <v>700525302126</v>
      </c>
      <c r="J297" s="8" t="s">
        <v>1541</v>
      </c>
      <c r="K297" s="8" t="s">
        <v>2099</v>
      </c>
      <c r="L297" s="8" t="s">
        <v>3074</v>
      </c>
      <c r="M297" s="8" t="s">
        <v>3075</v>
      </c>
      <c r="N297" s="8">
        <v>87771184642</v>
      </c>
      <c r="O297" s="8">
        <v>120000</v>
      </c>
      <c r="P297" s="8">
        <v>200000</v>
      </c>
      <c r="Q297" s="8" t="s">
        <v>452</v>
      </c>
    </row>
    <row r="298" spans="1:17" ht="13.2">
      <c r="A298" s="26">
        <v>45722.62392341435</v>
      </c>
      <c r="B298" s="8" t="s">
        <v>1049</v>
      </c>
      <c r="C298" s="8" t="s">
        <v>3076</v>
      </c>
      <c r="D298" s="8" t="s">
        <v>1234</v>
      </c>
      <c r="E298" s="8" t="s">
        <v>1954</v>
      </c>
      <c r="F298" s="82" t="s">
        <v>3077</v>
      </c>
      <c r="G298" s="27">
        <v>42472</v>
      </c>
      <c r="H298" s="8" t="s">
        <v>1371</v>
      </c>
      <c r="I298" s="8">
        <v>910530300864</v>
      </c>
      <c r="J298" s="8" t="s">
        <v>1541</v>
      </c>
      <c r="K298" s="8" t="s">
        <v>3078</v>
      </c>
      <c r="L298" s="8" t="s">
        <v>3079</v>
      </c>
      <c r="M298" s="8" t="s">
        <v>2046</v>
      </c>
      <c r="N298" s="8">
        <v>87477000761</v>
      </c>
      <c r="O298" s="8">
        <v>430000</v>
      </c>
      <c r="P298" s="8">
        <v>0</v>
      </c>
      <c r="Q298" s="8" t="s">
        <v>297</v>
      </c>
    </row>
    <row r="299" spans="1:17" ht="13.2">
      <c r="A299" s="26">
        <v>45723.703939016203</v>
      </c>
      <c r="B299" s="8" t="s">
        <v>1071</v>
      </c>
      <c r="C299" s="8" t="s">
        <v>3080</v>
      </c>
      <c r="D299" s="8" t="s">
        <v>2209</v>
      </c>
      <c r="E299" s="8" t="s">
        <v>3081</v>
      </c>
      <c r="F299" s="82" t="s">
        <v>3082</v>
      </c>
      <c r="G299" s="27">
        <v>42331</v>
      </c>
      <c r="H299" s="8" t="s">
        <v>1371</v>
      </c>
      <c r="I299" s="8">
        <v>710201350245</v>
      </c>
      <c r="J299" s="8" t="s">
        <v>1976</v>
      </c>
      <c r="K299" s="8" t="s">
        <v>2616</v>
      </c>
      <c r="L299" s="8" t="s">
        <v>3083</v>
      </c>
      <c r="M299" s="8" t="s">
        <v>3084</v>
      </c>
      <c r="N299" s="8">
        <v>87017376456</v>
      </c>
      <c r="O299" s="8">
        <v>360000</v>
      </c>
      <c r="P299" s="8">
        <v>0</v>
      </c>
      <c r="Q299" s="8" t="s">
        <v>453</v>
      </c>
    </row>
    <row r="300" spans="1:17" ht="13.2">
      <c r="A300" s="26">
        <v>45727.404723807871</v>
      </c>
      <c r="B300" s="8" t="s">
        <v>1049</v>
      </c>
      <c r="C300" s="8" t="s">
        <v>3085</v>
      </c>
      <c r="D300" s="8" t="s">
        <v>3086</v>
      </c>
      <c r="E300" s="8" t="s">
        <v>3087</v>
      </c>
      <c r="F300" s="82" t="s">
        <v>3088</v>
      </c>
      <c r="G300" s="27">
        <v>44799</v>
      </c>
      <c r="H300" s="8" t="s">
        <v>1371</v>
      </c>
      <c r="I300" s="8">
        <v>881209401253</v>
      </c>
      <c r="J300" s="8" t="s">
        <v>2008</v>
      </c>
      <c r="K300" s="8" t="s">
        <v>2218</v>
      </c>
      <c r="L300" s="8" t="s">
        <v>2642</v>
      </c>
      <c r="M300" s="8" t="s">
        <v>3089</v>
      </c>
      <c r="N300" s="8">
        <v>87012245224</v>
      </c>
      <c r="O300" s="8">
        <v>0</v>
      </c>
      <c r="P300" s="8">
        <v>700000</v>
      </c>
      <c r="Q300" s="8" t="s">
        <v>454</v>
      </c>
    </row>
    <row r="301" spans="1:17" ht="13.2">
      <c r="A301" s="26">
        <v>45727.439908449072</v>
      </c>
      <c r="B301" s="8" t="s">
        <v>1071</v>
      </c>
      <c r="C301" s="8" t="s">
        <v>3090</v>
      </c>
      <c r="D301" s="8" t="s">
        <v>1256</v>
      </c>
      <c r="E301" s="8" t="s">
        <v>2847</v>
      </c>
      <c r="F301" s="82" t="s">
        <v>3091</v>
      </c>
      <c r="G301" s="27">
        <v>43809</v>
      </c>
      <c r="H301" s="8" t="s">
        <v>1371</v>
      </c>
      <c r="I301" s="8">
        <v>641126300754</v>
      </c>
      <c r="J301" s="8" t="s">
        <v>1976</v>
      </c>
      <c r="K301" s="8" t="s">
        <v>3092</v>
      </c>
      <c r="L301" s="8" t="s">
        <v>3093</v>
      </c>
      <c r="M301" s="8" t="s">
        <v>3094</v>
      </c>
      <c r="N301" s="8">
        <v>87009751304</v>
      </c>
      <c r="O301" s="8">
        <v>0</v>
      </c>
      <c r="P301" s="8">
        <v>420000</v>
      </c>
      <c r="Q301" s="8" t="s">
        <v>455</v>
      </c>
    </row>
    <row r="302" spans="1:17" ht="13.2">
      <c r="A302" s="26">
        <v>45727.455634606478</v>
      </c>
      <c r="B302" s="8" t="s">
        <v>1071</v>
      </c>
      <c r="C302" s="8" t="s">
        <v>3095</v>
      </c>
      <c r="D302" s="8" t="s">
        <v>1993</v>
      </c>
      <c r="E302" s="8" t="s">
        <v>1511</v>
      </c>
      <c r="F302" s="82" t="s">
        <v>3096</v>
      </c>
      <c r="G302" s="27">
        <v>38533</v>
      </c>
      <c r="H302" s="8" t="s">
        <v>1410</v>
      </c>
      <c r="I302" s="8">
        <v>600626350372</v>
      </c>
      <c r="J302" s="8" t="s">
        <v>1908</v>
      </c>
      <c r="K302" s="8" t="s">
        <v>3097</v>
      </c>
      <c r="L302" s="8" t="s">
        <v>2628</v>
      </c>
      <c r="M302" s="8" t="s">
        <v>1775</v>
      </c>
      <c r="N302" s="8">
        <v>87711061370</v>
      </c>
      <c r="O302" s="8">
        <v>0</v>
      </c>
      <c r="P302" s="8">
        <v>350000</v>
      </c>
      <c r="Q302" s="8" t="s">
        <v>456</v>
      </c>
    </row>
    <row r="303" spans="1:17" ht="13.2">
      <c r="A303" s="26">
        <v>45727.477174305561</v>
      </c>
      <c r="B303" s="8" t="s">
        <v>1141</v>
      </c>
      <c r="C303" s="8" t="s">
        <v>3098</v>
      </c>
      <c r="D303" s="8" t="s">
        <v>3099</v>
      </c>
      <c r="E303" s="8" t="s">
        <v>3100</v>
      </c>
      <c r="F303" s="82" t="s">
        <v>3101</v>
      </c>
      <c r="G303" s="27">
        <v>39542</v>
      </c>
      <c r="H303" s="8" t="s">
        <v>1410</v>
      </c>
      <c r="I303" s="8">
        <v>630129301556</v>
      </c>
      <c r="J303" s="8" t="s">
        <v>2772</v>
      </c>
      <c r="K303" s="8" t="s">
        <v>3102</v>
      </c>
      <c r="L303" s="8" t="s">
        <v>2143</v>
      </c>
      <c r="M303" s="8" t="s">
        <v>3103</v>
      </c>
      <c r="N303" s="8">
        <v>87753806182</v>
      </c>
      <c r="O303" s="8">
        <v>0</v>
      </c>
      <c r="P303" s="8">
        <v>310000</v>
      </c>
      <c r="Q303" s="8" t="s">
        <v>457</v>
      </c>
    </row>
    <row r="304" spans="1:17" ht="13.2">
      <c r="A304" s="26">
        <v>45727.607430254633</v>
      </c>
      <c r="B304" s="8" t="s">
        <v>1049</v>
      </c>
      <c r="C304" s="8" t="s">
        <v>3104</v>
      </c>
      <c r="D304" s="8" t="s">
        <v>3105</v>
      </c>
      <c r="E304" s="8" t="s">
        <v>3106</v>
      </c>
      <c r="F304" s="82" t="s">
        <v>3107</v>
      </c>
      <c r="G304" s="27">
        <v>44904</v>
      </c>
      <c r="H304" s="8" t="s">
        <v>1371</v>
      </c>
      <c r="I304" s="8">
        <v>961022301228</v>
      </c>
      <c r="J304" s="8" t="s">
        <v>2008</v>
      </c>
      <c r="K304" s="8" t="s">
        <v>3108</v>
      </c>
      <c r="L304" s="8" t="s">
        <v>3109</v>
      </c>
      <c r="M304" s="8" t="s">
        <v>3110</v>
      </c>
      <c r="N304" s="8">
        <v>87079906066</v>
      </c>
      <c r="O304" s="8">
        <v>450000</v>
      </c>
      <c r="P304" s="8">
        <v>0</v>
      </c>
      <c r="Q304" s="8" t="s">
        <v>458</v>
      </c>
    </row>
    <row r="305" spans="1:17" ht="13.2">
      <c r="A305" s="26">
        <v>45727.649540625003</v>
      </c>
      <c r="B305" s="8" t="s">
        <v>1049</v>
      </c>
      <c r="C305" s="8" t="s">
        <v>3111</v>
      </c>
      <c r="D305" s="8" t="s">
        <v>3112</v>
      </c>
      <c r="E305" s="8" t="s">
        <v>3113</v>
      </c>
      <c r="F305" s="82" t="s">
        <v>3114</v>
      </c>
      <c r="G305" s="27">
        <v>45275</v>
      </c>
      <c r="H305" s="8" t="s">
        <v>1431</v>
      </c>
      <c r="I305" s="8">
        <v>920918301050</v>
      </c>
      <c r="J305" s="8" t="s">
        <v>3115</v>
      </c>
      <c r="K305" s="8" t="s">
        <v>3116</v>
      </c>
      <c r="L305" s="8" t="s">
        <v>3117</v>
      </c>
      <c r="M305" s="8" t="s">
        <v>2046</v>
      </c>
      <c r="N305" s="8">
        <v>87089008464</v>
      </c>
      <c r="O305" s="8">
        <v>360000</v>
      </c>
      <c r="P305" s="8">
        <v>0</v>
      </c>
      <c r="Q305" s="8" t="s">
        <v>459</v>
      </c>
    </row>
    <row r="306" spans="1:17" ht="13.2">
      <c r="A306" s="26">
        <v>45727.666814444441</v>
      </c>
      <c r="B306" s="8" t="s">
        <v>1071</v>
      </c>
      <c r="C306" s="8" t="s">
        <v>3118</v>
      </c>
      <c r="D306" s="8" t="s">
        <v>1993</v>
      </c>
      <c r="E306" s="8" t="s">
        <v>1487</v>
      </c>
      <c r="F306" s="82" t="s">
        <v>3119</v>
      </c>
      <c r="G306" s="27">
        <v>38470</v>
      </c>
      <c r="H306" s="8" t="s">
        <v>1410</v>
      </c>
      <c r="I306" s="8">
        <v>600120300994</v>
      </c>
      <c r="J306" s="8" t="s">
        <v>1908</v>
      </c>
      <c r="K306" s="8" t="s">
        <v>3120</v>
      </c>
      <c r="L306" s="8" t="s">
        <v>3121</v>
      </c>
      <c r="M306" s="8" t="s">
        <v>3122</v>
      </c>
      <c r="N306" s="8">
        <v>87761538638</v>
      </c>
      <c r="O306" s="8">
        <v>360000</v>
      </c>
      <c r="P306" s="8">
        <v>30000</v>
      </c>
      <c r="Q306" s="8" t="s">
        <v>460</v>
      </c>
    </row>
    <row r="307" spans="1:17" ht="13.2">
      <c r="A307" s="26">
        <v>45727.668021782403</v>
      </c>
      <c r="B307" s="8" t="s">
        <v>1141</v>
      </c>
      <c r="C307" s="8" t="s">
        <v>3123</v>
      </c>
      <c r="D307" s="8" t="s">
        <v>1226</v>
      </c>
      <c r="E307" s="8" t="s">
        <v>1201</v>
      </c>
      <c r="F307" s="82" t="s">
        <v>3124</v>
      </c>
      <c r="G307" s="27">
        <v>43910</v>
      </c>
      <c r="H307" s="8" t="s">
        <v>1371</v>
      </c>
      <c r="I307" s="8">
        <v>850323350336</v>
      </c>
      <c r="J307" s="8" t="s">
        <v>1564</v>
      </c>
      <c r="K307" s="8" t="s">
        <v>1565</v>
      </c>
      <c r="L307" s="8" t="s">
        <v>2081</v>
      </c>
      <c r="M307" s="8" t="s">
        <v>3125</v>
      </c>
      <c r="N307" s="8">
        <v>87029629887</v>
      </c>
      <c r="O307" s="8">
        <v>370000</v>
      </c>
      <c r="P307" s="8">
        <v>0</v>
      </c>
      <c r="Q307" s="8" t="s">
        <v>461</v>
      </c>
    </row>
    <row r="308" spans="1:17" ht="13.2">
      <c r="A308" s="26">
        <v>45729.568188055557</v>
      </c>
      <c r="B308" s="8" t="s">
        <v>1049</v>
      </c>
      <c r="C308" s="8" t="s">
        <v>3126</v>
      </c>
      <c r="D308" s="8" t="s">
        <v>1260</v>
      </c>
      <c r="E308" s="8" t="s">
        <v>1201</v>
      </c>
      <c r="F308" s="82" t="s">
        <v>3127</v>
      </c>
      <c r="G308" s="27">
        <v>44669</v>
      </c>
      <c r="H308" s="8" t="s">
        <v>1371</v>
      </c>
      <c r="I308" s="8">
        <v>770523302118</v>
      </c>
      <c r="J308" s="8" t="s">
        <v>2008</v>
      </c>
      <c r="K308" s="8" t="s">
        <v>3128</v>
      </c>
      <c r="L308" s="8" t="s">
        <v>3129</v>
      </c>
      <c r="M308" s="8" t="s">
        <v>3130</v>
      </c>
      <c r="N308" s="8">
        <v>87772314488</v>
      </c>
      <c r="O308" s="8">
        <v>350000</v>
      </c>
      <c r="P308" s="8">
        <v>0</v>
      </c>
      <c r="Q308" s="8" t="s">
        <v>462</v>
      </c>
    </row>
    <row r="309" spans="1:17" ht="13.2">
      <c r="A309" s="26">
        <v>45730.437544606481</v>
      </c>
      <c r="B309" s="8" t="s">
        <v>1049</v>
      </c>
      <c r="C309" s="8" t="s">
        <v>3131</v>
      </c>
      <c r="D309" s="8" t="s">
        <v>2594</v>
      </c>
      <c r="E309" s="8" t="s">
        <v>2595</v>
      </c>
      <c r="F309" s="82" t="s">
        <v>2596</v>
      </c>
      <c r="G309" s="27">
        <v>44699</v>
      </c>
      <c r="H309" s="8" t="s">
        <v>1371</v>
      </c>
      <c r="I309" s="8">
        <v>901227050062</v>
      </c>
      <c r="J309" s="8" t="s">
        <v>3132</v>
      </c>
      <c r="K309" s="8" t="s">
        <v>3133</v>
      </c>
      <c r="L309" s="8" t="s">
        <v>3134</v>
      </c>
      <c r="M309" s="8" t="s">
        <v>3135</v>
      </c>
      <c r="N309" s="8">
        <v>87006776680</v>
      </c>
      <c r="O309" s="8">
        <v>0</v>
      </c>
      <c r="P309" s="8">
        <v>330000</v>
      </c>
      <c r="Q309" s="8" t="s">
        <v>463</v>
      </c>
    </row>
    <row r="310" spans="1:17" ht="13.2">
      <c r="A310" s="26">
        <v>45730.504742754631</v>
      </c>
      <c r="B310" s="8" t="s">
        <v>1141</v>
      </c>
      <c r="C310" s="8" t="s">
        <v>3136</v>
      </c>
      <c r="D310" s="8" t="s">
        <v>3137</v>
      </c>
      <c r="E310" s="8" t="s">
        <v>3138</v>
      </c>
      <c r="F310" s="82" t="s">
        <v>3139</v>
      </c>
      <c r="G310" s="27">
        <v>42398</v>
      </c>
      <c r="H310" s="8" t="s">
        <v>1371</v>
      </c>
      <c r="I310" s="8">
        <v>910917300065</v>
      </c>
      <c r="J310" s="8" t="s">
        <v>1564</v>
      </c>
      <c r="K310" s="8" t="s">
        <v>1565</v>
      </c>
      <c r="L310" s="8" t="s">
        <v>3140</v>
      </c>
      <c r="M310" s="8" t="s">
        <v>3141</v>
      </c>
      <c r="N310" s="8">
        <v>87785498922</v>
      </c>
      <c r="O310" s="8">
        <v>0</v>
      </c>
      <c r="P310" s="8">
        <v>370000</v>
      </c>
      <c r="Q310" s="8" t="s">
        <v>143</v>
      </c>
    </row>
    <row r="311" spans="1:17" ht="13.2">
      <c r="A311" s="26">
        <v>45730.653712071755</v>
      </c>
      <c r="B311" s="8" t="s">
        <v>1141</v>
      </c>
      <c r="C311" s="8" t="s">
        <v>3142</v>
      </c>
      <c r="D311" s="8" t="s">
        <v>3143</v>
      </c>
      <c r="E311" s="8" t="s">
        <v>3144</v>
      </c>
      <c r="F311" s="82" t="s">
        <v>3145</v>
      </c>
      <c r="G311" s="27">
        <v>44676</v>
      </c>
      <c r="H311" s="8" t="s">
        <v>1431</v>
      </c>
      <c r="I311" s="8">
        <v>940824402206</v>
      </c>
      <c r="J311" s="8" t="s">
        <v>1882</v>
      </c>
      <c r="K311" s="8" t="s">
        <v>3146</v>
      </c>
      <c r="L311" s="8" t="s">
        <v>3147</v>
      </c>
      <c r="M311" s="8" t="s">
        <v>3148</v>
      </c>
      <c r="N311" s="8">
        <v>87070074849</v>
      </c>
      <c r="O311" s="8">
        <v>0</v>
      </c>
      <c r="P311" s="8">
        <v>360000</v>
      </c>
      <c r="Q311" s="8" t="s">
        <v>424</v>
      </c>
    </row>
    <row r="312" spans="1:17" ht="13.2">
      <c r="A312" s="26">
        <v>45731.476158194448</v>
      </c>
      <c r="B312" s="8" t="s">
        <v>1071</v>
      </c>
      <c r="C312" s="8" t="s">
        <v>3149</v>
      </c>
      <c r="D312" s="8" t="s">
        <v>3150</v>
      </c>
      <c r="E312" s="8" t="s">
        <v>3151</v>
      </c>
      <c r="F312" s="82" t="s">
        <v>3152</v>
      </c>
      <c r="G312" s="27">
        <v>39597</v>
      </c>
      <c r="H312" s="8" t="s">
        <v>1410</v>
      </c>
      <c r="I312" s="8">
        <v>811107350406</v>
      </c>
      <c r="J312" s="8" t="s">
        <v>1908</v>
      </c>
      <c r="K312" s="8" t="s">
        <v>3153</v>
      </c>
      <c r="L312" s="8" t="s">
        <v>3154</v>
      </c>
      <c r="M312" s="8" t="s">
        <v>3155</v>
      </c>
      <c r="N312" s="8">
        <v>87715414241</v>
      </c>
      <c r="O312" s="8">
        <v>0</v>
      </c>
      <c r="P312" s="8">
        <v>370000</v>
      </c>
      <c r="Q312" s="8" t="s">
        <v>465</v>
      </c>
    </row>
    <row r="313" spans="1:17" ht="13.2">
      <c r="A313" s="26">
        <v>45733.458143009258</v>
      </c>
      <c r="B313" s="8" t="s">
        <v>1141</v>
      </c>
      <c r="C313" s="8" t="s">
        <v>3156</v>
      </c>
      <c r="D313" s="8" t="s">
        <v>1244</v>
      </c>
      <c r="E313" s="8" t="s">
        <v>2956</v>
      </c>
      <c r="F313" s="82" t="s">
        <v>3157</v>
      </c>
      <c r="G313" s="27">
        <v>44189</v>
      </c>
      <c r="H313" s="8" t="s">
        <v>1371</v>
      </c>
      <c r="I313" s="8">
        <v>830824350207</v>
      </c>
      <c r="J313" s="8" t="s">
        <v>1564</v>
      </c>
      <c r="K313" s="8" t="s">
        <v>2120</v>
      </c>
      <c r="L313" s="8" t="s">
        <v>2311</v>
      </c>
      <c r="M313" s="8" t="s">
        <v>3158</v>
      </c>
      <c r="N313" s="8">
        <v>87072031815</v>
      </c>
      <c r="O313" s="8">
        <v>0</v>
      </c>
      <c r="P313" s="8">
        <v>540000</v>
      </c>
      <c r="Q313" s="8" t="s">
        <v>358</v>
      </c>
    </row>
    <row r="314" spans="1:17" ht="13.2">
      <c r="A314" s="26">
        <v>45733.470388831018</v>
      </c>
      <c r="B314" s="8" t="s">
        <v>1049</v>
      </c>
      <c r="C314" s="8" t="s">
        <v>3159</v>
      </c>
      <c r="D314" s="8" t="s">
        <v>3160</v>
      </c>
      <c r="E314" s="8"/>
      <c r="F314" s="82" t="s">
        <v>3161</v>
      </c>
      <c r="G314" s="27">
        <v>44228</v>
      </c>
      <c r="H314" s="8" t="s">
        <v>1371</v>
      </c>
      <c r="I314" s="8">
        <v>561222301093</v>
      </c>
      <c r="J314" s="8" t="s">
        <v>2218</v>
      </c>
      <c r="K314" s="8" t="s">
        <v>3162</v>
      </c>
      <c r="L314" s="8" t="s">
        <v>3163</v>
      </c>
      <c r="M314" s="8" t="s">
        <v>3164</v>
      </c>
      <c r="N314" s="8">
        <v>87772289777</v>
      </c>
      <c r="O314" s="8">
        <v>0</v>
      </c>
      <c r="P314" s="8">
        <v>310000</v>
      </c>
      <c r="Q314" s="8" t="s">
        <v>472</v>
      </c>
    </row>
    <row r="315" spans="1:17" ht="13.2">
      <c r="A315" s="26">
        <v>45733.497392013887</v>
      </c>
      <c r="B315" s="8" t="s">
        <v>1071</v>
      </c>
      <c r="C315" s="8" t="s">
        <v>3165</v>
      </c>
      <c r="D315" s="8" t="s">
        <v>1226</v>
      </c>
      <c r="E315" s="8" t="s">
        <v>1480</v>
      </c>
      <c r="F315" s="82" t="s">
        <v>3166</v>
      </c>
      <c r="G315" s="27">
        <v>44888</v>
      </c>
      <c r="H315" s="8" t="s">
        <v>1371</v>
      </c>
      <c r="I315" s="8">
        <v>871201350626</v>
      </c>
      <c r="J315" s="8" t="s">
        <v>1908</v>
      </c>
      <c r="K315" s="8" t="s">
        <v>3097</v>
      </c>
      <c r="L315" s="8" t="s">
        <v>3167</v>
      </c>
      <c r="M315" s="8" t="s">
        <v>3168</v>
      </c>
      <c r="N315" s="8">
        <v>87011053076</v>
      </c>
      <c r="O315" s="8">
        <v>0</v>
      </c>
      <c r="P315" s="8">
        <v>370000</v>
      </c>
      <c r="Q315" s="8" t="s">
        <v>473</v>
      </c>
    </row>
    <row r="316" spans="1:17" ht="13.2">
      <c r="A316" s="26">
        <v>45733.606888043985</v>
      </c>
      <c r="B316" s="8" t="s">
        <v>1049</v>
      </c>
      <c r="C316" s="8" t="s">
        <v>3169</v>
      </c>
      <c r="D316" s="8" t="s">
        <v>3170</v>
      </c>
      <c r="E316" s="8" t="s">
        <v>3171</v>
      </c>
      <c r="F316" s="82" t="s">
        <v>3172</v>
      </c>
      <c r="G316" s="27">
        <v>45576</v>
      </c>
      <c r="H316" s="8" t="s">
        <v>1371</v>
      </c>
      <c r="I316" s="8">
        <v>860410402476</v>
      </c>
      <c r="J316" s="8" t="s">
        <v>3132</v>
      </c>
      <c r="K316" s="8" t="s">
        <v>3173</v>
      </c>
      <c r="L316" s="8" t="s">
        <v>3174</v>
      </c>
      <c r="M316" s="8" t="s">
        <v>3155</v>
      </c>
      <c r="N316" s="8">
        <v>87755180292</v>
      </c>
      <c r="O316" s="8">
        <v>0</v>
      </c>
      <c r="P316" s="8">
        <v>340000</v>
      </c>
      <c r="Q316" s="8" t="s">
        <v>474</v>
      </c>
    </row>
    <row r="317" spans="1:17" ht="13.2">
      <c r="A317" s="26">
        <v>45733.637587048608</v>
      </c>
      <c r="B317" s="8" t="s">
        <v>1071</v>
      </c>
      <c r="C317" s="8" t="s">
        <v>3175</v>
      </c>
      <c r="D317" s="8" t="s">
        <v>1439</v>
      </c>
      <c r="E317" s="8" t="s">
        <v>1968</v>
      </c>
      <c r="F317" s="82" t="s">
        <v>3176</v>
      </c>
      <c r="G317" s="27">
        <v>42503</v>
      </c>
      <c r="H317" s="8" t="s">
        <v>1371</v>
      </c>
      <c r="I317" s="8">
        <v>911008350667</v>
      </c>
      <c r="J317" s="8" t="s">
        <v>1976</v>
      </c>
      <c r="K317" s="8" t="s">
        <v>1977</v>
      </c>
      <c r="L317" s="8" t="s">
        <v>3177</v>
      </c>
      <c r="M317" s="8" t="s">
        <v>3178</v>
      </c>
      <c r="N317" s="8">
        <v>87771809110</v>
      </c>
      <c r="O317" s="8">
        <v>0</v>
      </c>
      <c r="P317" s="8">
        <v>420000</v>
      </c>
      <c r="Q317" s="8" t="s">
        <v>475</v>
      </c>
    </row>
    <row r="318" spans="1:17" ht="13.2">
      <c r="A318" s="26">
        <v>45733.755481446758</v>
      </c>
      <c r="B318" s="8" t="s">
        <v>1049</v>
      </c>
      <c r="C318" s="8" t="s">
        <v>3179</v>
      </c>
      <c r="D318" s="8" t="s">
        <v>1435</v>
      </c>
      <c r="E318" s="8" t="s">
        <v>2059</v>
      </c>
      <c r="F318" s="82" t="s">
        <v>3180</v>
      </c>
      <c r="G318" s="27">
        <v>44481</v>
      </c>
      <c r="H318" s="8" t="s">
        <v>1371</v>
      </c>
      <c r="I318" s="8">
        <v>780305302134</v>
      </c>
      <c r="J318" s="8" t="s">
        <v>2008</v>
      </c>
      <c r="K318" s="8" t="s">
        <v>3181</v>
      </c>
      <c r="L318" s="8" t="s">
        <v>3182</v>
      </c>
      <c r="M318" s="8" t="s">
        <v>3183</v>
      </c>
      <c r="N318" s="8">
        <v>87476157455</v>
      </c>
      <c r="O318" s="8">
        <v>0</v>
      </c>
      <c r="P318" s="8">
        <v>400000</v>
      </c>
      <c r="Q318" s="8" t="s">
        <v>476</v>
      </c>
    </row>
    <row r="319" spans="1:17" ht="13.2">
      <c r="A319" s="26">
        <v>45734.505191747681</v>
      </c>
      <c r="B319" s="8" t="s">
        <v>1141</v>
      </c>
      <c r="C319" s="8" t="s">
        <v>3184</v>
      </c>
      <c r="D319" s="8" t="s">
        <v>3185</v>
      </c>
      <c r="E319" s="8" t="s">
        <v>3186</v>
      </c>
      <c r="F319" s="82" t="s">
        <v>3187</v>
      </c>
      <c r="G319" s="27">
        <v>39063</v>
      </c>
      <c r="H319" s="8" t="s">
        <v>1410</v>
      </c>
      <c r="I319" s="8">
        <v>611003350131</v>
      </c>
      <c r="J319" s="8" t="s">
        <v>1533</v>
      </c>
      <c r="K319" s="8" t="s">
        <v>3188</v>
      </c>
      <c r="L319" s="8" t="s">
        <v>2688</v>
      </c>
      <c r="M319" s="8" t="s">
        <v>3189</v>
      </c>
      <c r="N319" s="8">
        <v>87778695258</v>
      </c>
      <c r="O319" s="8">
        <v>440000</v>
      </c>
      <c r="P319" s="8">
        <v>0</v>
      </c>
      <c r="Q319" s="8" t="s">
        <v>437</v>
      </c>
    </row>
    <row r="320" spans="1:17" ht="13.2">
      <c r="A320" s="26">
        <v>45734.521379606478</v>
      </c>
      <c r="B320" s="8" t="s">
        <v>1049</v>
      </c>
      <c r="C320" s="8" t="s">
        <v>3190</v>
      </c>
      <c r="D320" s="8" t="s">
        <v>1252</v>
      </c>
      <c r="E320" s="8" t="s">
        <v>3191</v>
      </c>
      <c r="F320" s="82" t="s">
        <v>3192</v>
      </c>
      <c r="G320" s="27">
        <v>44648</v>
      </c>
      <c r="H320" s="8" t="s">
        <v>1371</v>
      </c>
      <c r="I320" s="8">
        <v>720420300985</v>
      </c>
      <c r="J320" s="8" t="s">
        <v>2015</v>
      </c>
      <c r="K320" s="8" t="s">
        <v>3193</v>
      </c>
      <c r="L320" s="8" t="s">
        <v>3194</v>
      </c>
      <c r="M320" s="8" t="s">
        <v>3195</v>
      </c>
      <c r="N320" s="8">
        <v>87073846007</v>
      </c>
      <c r="O320" s="8">
        <v>0</v>
      </c>
      <c r="P320" s="8">
        <v>320000</v>
      </c>
      <c r="Q320" s="8" t="s">
        <v>477</v>
      </c>
    </row>
    <row r="321" spans="1:17" ht="13.2">
      <c r="A321" s="26">
        <v>45734.589838622684</v>
      </c>
      <c r="B321" s="8" t="s">
        <v>1049</v>
      </c>
      <c r="C321" s="8" t="s">
        <v>3196</v>
      </c>
      <c r="D321" s="8" t="s">
        <v>3197</v>
      </c>
      <c r="E321" s="8"/>
      <c r="F321" s="82" t="s">
        <v>3198</v>
      </c>
      <c r="G321" s="27">
        <v>44130</v>
      </c>
      <c r="H321" s="8" t="s">
        <v>1371</v>
      </c>
      <c r="I321" s="8">
        <v>730829301304</v>
      </c>
      <c r="J321" s="8" t="s">
        <v>2218</v>
      </c>
      <c r="K321" s="8" t="s">
        <v>3199</v>
      </c>
      <c r="L321" s="8" t="s">
        <v>3200</v>
      </c>
      <c r="M321" s="8" t="s">
        <v>3201</v>
      </c>
      <c r="N321" s="8">
        <v>87017162828</v>
      </c>
      <c r="O321" s="8">
        <v>0</v>
      </c>
      <c r="P321" s="8">
        <v>340000</v>
      </c>
      <c r="Q321" s="8" t="s">
        <v>478</v>
      </c>
    </row>
    <row r="322" spans="1:17" ht="13.2">
      <c r="A322" s="26">
        <v>45735.487529201389</v>
      </c>
      <c r="B322" s="8" t="s">
        <v>1049</v>
      </c>
      <c r="C322" s="8" t="s">
        <v>3202</v>
      </c>
      <c r="D322" s="8" t="s">
        <v>3203</v>
      </c>
      <c r="E322" s="8" t="s">
        <v>3204</v>
      </c>
      <c r="F322" s="82" t="s">
        <v>3205</v>
      </c>
      <c r="G322" s="27">
        <v>42107</v>
      </c>
      <c r="H322" s="8" t="s">
        <v>1371</v>
      </c>
      <c r="I322" s="8">
        <v>740109303229</v>
      </c>
      <c r="J322" s="8" t="s">
        <v>3206</v>
      </c>
      <c r="K322" s="8" t="s">
        <v>3207</v>
      </c>
      <c r="L322" s="8" t="s">
        <v>3208</v>
      </c>
      <c r="M322" s="8" t="s">
        <v>3209</v>
      </c>
      <c r="N322" s="8">
        <v>87025503771</v>
      </c>
      <c r="O322" s="8">
        <v>380000</v>
      </c>
      <c r="P322" s="8">
        <v>0</v>
      </c>
      <c r="Q322" s="8" t="s">
        <v>502</v>
      </c>
    </row>
    <row r="323" spans="1:17" ht="13.2">
      <c r="A323" s="26">
        <v>45735.566511863421</v>
      </c>
      <c r="B323" s="8" t="s">
        <v>1141</v>
      </c>
      <c r="C323" s="8" t="s">
        <v>3210</v>
      </c>
      <c r="D323" s="8" t="s">
        <v>1435</v>
      </c>
      <c r="E323" s="8" t="s">
        <v>3211</v>
      </c>
      <c r="F323" s="82" t="s">
        <v>3212</v>
      </c>
      <c r="G323" s="27">
        <v>44082</v>
      </c>
      <c r="H323" s="8" t="s">
        <v>1371</v>
      </c>
      <c r="I323" s="8">
        <v>720414301514</v>
      </c>
      <c r="J323" s="8" t="s">
        <v>1882</v>
      </c>
      <c r="K323" s="8" t="s">
        <v>3213</v>
      </c>
      <c r="L323" s="8" t="s">
        <v>2459</v>
      </c>
      <c r="M323" s="8" t="s">
        <v>3214</v>
      </c>
      <c r="N323" s="8">
        <v>87470307352</v>
      </c>
      <c r="O323" s="8">
        <v>0</v>
      </c>
      <c r="P323" s="8">
        <v>330000</v>
      </c>
      <c r="Q323" s="8" t="s">
        <v>506</v>
      </c>
    </row>
    <row r="324" spans="1:17" ht="13.2">
      <c r="A324" s="26">
        <v>45735.625330879629</v>
      </c>
      <c r="B324" s="8" t="s">
        <v>1049</v>
      </c>
      <c r="C324" s="8" t="s">
        <v>3215</v>
      </c>
      <c r="D324" s="8" t="s">
        <v>3216</v>
      </c>
      <c r="E324" s="8" t="s">
        <v>3217</v>
      </c>
      <c r="F324" s="82" t="s">
        <v>3218</v>
      </c>
      <c r="G324" s="27">
        <v>39849</v>
      </c>
      <c r="H324" s="8" t="s">
        <v>1410</v>
      </c>
      <c r="I324" s="8">
        <v>831025300276</v>
      </c>
      <c r="J324" s="8" t="s">
        <v>2008</v>
      </c>
      <c r="K324" s="8" t="s">
        <v>3219</v>
      </c>
      <c r="L324" s="8" t="s">
        <v>3220</v>
      </c>
      <c r="M324" s="8" t="s">
        <v>3221</v>
      </c>
      <c r="N324" s="8">
        <v>87758277246</v>
      </c>
      <c r="O324" s="8">
        <v>720000</v>
      </c>
      <c r="P324" s="8">
        <v>0</v>
      </c>
      <c r="Q324" s="8" t="s">
        <v>485</v>
      </c>
    </row>
    <row r="325" spans="1:17" ht="13.2">
      <c r="A325" s="26">
        <v>45736.418662280092</v>
      </c>
      <c r="B325" s="8" t="s">
        <v>1071</v>
      </c>
      <c r="C325" s="8" t="s">
        <v>3222</v>
      </c>
      <c r="D325" s="8" t="s">
        <v>3223</v>
      </c>
      <c r="E325" s="8" t="s">
        <v>3087</v>
      </c>
      <c r="F325" s="82" t="s">
        <v>3224</v>
      </c>
      <c r="G325" s="27">
        <v>42768</v>
      </c>
      <c r="H325" s="8" t="s">
        <v>1371</v>
      </c>
      <c r="I325" s="82" t="s">
        <v>3225</v>
      </c>
      <c r="J325" s="8" t="s">
        <v>1976</v>
      </c>
      <c r="K325" s="8" t="s">
        <v>2093</v>
      </c>
      <c r="L325" s="8" t="s">
        <v>3226</v>
      </c>
      <c r="M325" s="8" t="s">
        <v>1687</v>
      </c>
      <c r="N325" s="8">
        <v>87022054124</v>
      </c>
      <c r="O325" s="8">
        <v>410000</v>
      </c>
      <c r="P325" s="8">
        <v>0</v>
      </c>
      <c r="Q325" s="8" t="s">
        <v>507</v>
      </c>
    </row>
    <row r="326" spans="1:17" ht="13.2">
      <c r="A326" s="26">
        <v>45736.49972472222</v>
      </c>
      <c r="B326" s="8" t="s">
        <v>1049</v>
      </c>
      <c r="C326" s="8" t="s">
        <v>3227</v>
      </c>
      <c r="D326" s="8" t="s">
        <v>3228</v>
      </c>
      <c r="E326" s="8" t="s">
        <v>3229</v>
      </c>
      <c r="F326" s="82" t="s">
        <v>3230</v>
      </c>
      <c r="G326" s="27">
        <v>45135</v>
      </c>
      <c r="H326" s="8" t="s">
        <v>1371</v>
      </c>
      <c r="I326" s="8">
        <v>880615301737</v>
      </c>
      <c r="J326" s="8" t="s">
        <v>2008</v>
      </c>
      <c r="K326" s="8" t="s">
        <v>3231</v>
      </c>
      <c r="L326" s="8" t="s">
        <v>3232</v>
      </c>
      <c r="M326" s="8" t="s">
        <v>3233</v>
      </c>
      <c r="N326" s="8">
        <v>87072408836</v>
      </c>
      <c r="O326" s="8">
        <v>0</v>
      </c>
      <c r="P326" s="8">
        <v>340000</v>
      </c>
      <c r="Q326" s="8" t="s">
        <v>480</v>
      </c>
    </row>
    <row r="327" spans="1:17" ht="13.2">
      <c r="A327" s="26">
        <v>45736.745178078709</v>
      </c>
      <c r="B327" s="8" t="s">
        <v>1141</v>
      </c>
      <c r="C327" s="8" t="s">
        <v>3234</v>
      </c>
      <c r="D327" s="8" t="s">
        <v>1739</v>
      </c>
      <c r="E327" s="8" t="s">
        <v>1832</v>
      </c>
      <c r="F327" s="82" t="s">
        <v>3235</v>
      </c>
      <c r="G327" s="27">
        <v>45307</v>
      </c>
      <c r="H327" s="8" t="s">
        <v>1371</v>
      </c>
      <c r="I327" s="8">
        <v>871006300075</v>
      </c>
      <c r="J327" s="8" t="s">
        <v>1564</v>
      </c>
      <c r="K327" s="8" t="s">
        <v>3236</v>
      </c>
      <c r="L327" s="8" t="s">
        <v>3237</v>
      </c>
      <c r="M327" s="8" t="s">
        <v>3238</v>
      </c>
      <c r="N327" s="8">
        <v>87475670747</v>
      </c>
      <c r="O327" s="8">
        <v>200000</v>
      </c>
      <c r="P327" s="8">
        <v>200000</v>
      </c>
      <c r="Q327" s="8" t="s">
        <v>470</v>
      </c>
    </row>
    <row r="328" spans="1:17" ht="13.2">
      <c r="A328" s="88">
        <v>45757</v>
      </c>
      <c r="B328" s="8" t="s">
        <v>1049</v>
      </c>
      <c r="C328" s="8" t="s">
        <v>3239</v>
      </c>
      <c r="D328" s="8" t="s">
        <v>1109</v>
      </c>
      <c r="E328" s="8" t="s">
        <v>1697</v>
      </c>
      <c r="F328" s="82" t="s">
        <v>3240</v>
      </c>
      <c r="G328" s="27">
        <v>44343</v>
      </c>
      <c r="H328" s="8" t="s">
        <v>1371</v>
      </c>
      <c r="I328" s="8">
        <v>790916302831</v>
      </c>
      <c r="J328" s="8" t="s">
        <v>2008</v>
      </c>
      <c r="K328" s="8" t="s">
        <v>3241</v>
      </c>
      <c r="L328" s="8" t="s">
        <v>3242</v>
      </c>
      <c r="M328" s="8" t="s">
        <v>3243</v>
      </c>
      <c r="N328" s="8">
        <v>87075458443</v>
      </c>
      <c r="O328" s="8">
        <v>380000</v>
      </c>
      <c r="P328" s="8">
        <v>0</v>
      </c>
      <c r="Q328" s="8" t="s">
        <v>481</v>
      </c>
    </row>
    <row r="329" spans="1:17" ht="13.2">
      <c r="A329" s="26">
        <v>45740.624455011573</v>
      </c>
      <c r="B329" s="8" t="s">
        <v>1049</v>
      </c>
      <c r="C329" s="8" t="s">
        <v>3244</v>
      </c>
      <c r="D329" s="8" t="s">
        <v>3245</v>
      </c>
      <c r="E329" s="8" t="s">
        <v>3246</v>
      </c>
      <c r="F329" s="82" t="s">
        <v>3247</v>
      </c>
      <c r="G329" s="27">
        <v>44076</v>
      </c>
      <c r="H329" s="8" t="s">
        <v>1371</v>
      </c>
      <c r="I329" s="8">
        <v>870426302171</v>
      </c>
      <c r="J329" s="8" t="s">
        <v>3248</v>
      </c>
      <c r="K329" s="8" t="s">
        <v>3249</v>
      </c>
      <c r="L329" s="8" t="s">
        <v>3250</v>
      </c>
      <c r="M329" s="8" t="s">
        <v>2295</v>
      </c>
      <c r="N329" s="8">
        <v>87772410166</v>
      </c>
      <c r="O329" s="8">
        <v>300000</v>
      </c>
      <c r="P329" s="8">
        <v>90000</v>
      </c>
      <c r="Q329" s="8" t="s">
        <v>479</v>
      </c>
    </row>
    <row r="330" spans="1:17" ht="13.2">
      <c r="A330" s="26">
        <v>45741.549687141203</v>
      </c>
      <c r="B330" s="8" t="s">
        <v>1141</v>
      </c>
      <c r="C330" s="8" t="s">
        <v>3251</v>
      </c>
      <c r="D330" s="8" t="s">
        <v>3252</v>
      </c>
      <c r="E330" s="8" t="s">
        <v>3253</v>
      </c>
      <c r="F330" s="82" t="s">
        <v>3254</v>
      </c>
      <c r="G330" s="27">
        <v>43040</v>
      </c>
      <c r="H330" s="8" t="s">
        <v>1371</v>
      </c>
      <c r="I330" s="8">
        <v>841123351516</v>
      </c>
      <c r="J330" s="8" t="s">
        <v>1564</v>
      </c>
      <c r="K330" s="8" t="s">
        <v>2120</v>
      </c>
      <c r="L330" s="8" t="s">
        <v>3255</v>
      </c>
      <c r="M330" s="8" t="s">
        <v>3256</v>
      </c>
      <c r="N330" s="8">
        <v>87751709261</v>
      </c>
      <c r="O330" s="8">
        <v>370000</v>
      </c>
      <c r="P330" s="8">
        <v>0</v>
      </c>
      <c r="Q330" s="8" t="s">
        <v>467</v>
      </c>
    </row>
    <row r="331" spans="1:17" ht="13.2">
      <c r="A331" s="26">
        <v>45741.654650763885</v>
      </c>
      <c r="B331" s="8" t="s">
        <v>1049</v>
      </c>
      <c r="C331" s="8" t="s">
        <v>3257</v>
      </c>
      <c r="D331" s="8" t="s">
        <v>2342</v>
      </c>
      <c r="E331" s="8" t="s">
        <v>2343</v>
      </c>
      <c r="F331" s="82" t="s">
        <v>2344</v>
      </c>
      <c r="G331" s="27">
        <v>45261</v>
      </c>
      <c r="H331" s="8" t="s">
        <v>1371</v>
      </c>
      <c r="I331" s="8">
        <v>810522303061</v>
      </c>
      <c r="J331" s="8" t="s">
        <v>1489</v>
      </c>
      <c r="K331" s="8" t="s">
        <v>3258</v>
      </c>
      <c r="L331" s="8" t="s">
        <v>3259</v>
      </c>
      <c r="M331" s="8" t="s">
        <v>3260</v>
      </c>
      <c r="N331" s="8">
        <v>87087435052</v>
      </c>
      <c r="O331" s="8">
        <v>0</v>
      </c>
      <c r="P331" s="8">
        <v>310000</v>
      </c>
      <c r="Q331" s="8" t="s">
        <v>501</v>
      </c>
    </row>
    <row r="332" spans="1:17" ht="13.2">
      <c r="A332" s="26">
        <v>45742.481905428242</v>
      </c>
      <c r="B332" s="8" t="s">
        <v>1049</v>
      </c>
      <c r="C332" s="8" t="s">
        <v>3261</v>
      </c>
      <c r="D332" s="8" t="s">
        <v>1053</v>
      </c>
      <c r="E332" s="8" t="s">
        <v>1386</v>
      </c>
      <c r="F332" s="82" t="s">
        <v>3262</v>
      </c>
      <c r="G332" s="27">
        <v>42361</v>
      </c>
      <c r="H332" s="8" t="s">
        <v>1371</v>
      </c>
      <c r="I332" s="8">
        <v>901202300297</v>
      </c>
      <c r="J332" s="8" t="s">
        <v>2008</v>
      </c>
      <c r="K332" s="8" t="s">
        <v>3263</v>
      </c>
      <c r="L332" s="8" t="s">
        <v>3264</v>
      </c>
      <c r="M332" s="8" t="s">
        <v>3265</v>
      </c>
      <c r="N332" s="8">
        <v>87772968605</v>
      </c>
      <c r="O332" s="8">
        <v>0</v>
      </c>
      <c r="P332" s="8">
        <v>340000</v>
      </c>
      <c r="Q332" s="8" t="s">
        <v>498</v>
      </c>
    </row>
    <row r="333" spans="1:17" ht="13.2">
      <c r="A333" s="26">
        <v>45742.553098020835</v>
      </c>
      <c r="B333" s="8" t="s">
        <v>1071</v>
      </c>
      <c r="C333" s="8" t="s">
        <v>3266</v>
      </c>
      <c r="D333" s="8" t="s">
        <v>3267</v>
      </c>
      <c r="E333" s="8" t="s">
        <v>3268</v>
      </c>
      <c r="F333" s="82" t="s">
        <v>3269</v>
      </c>
      <c r="G333" s="27">
        <v>43136</v>
      </c>
      <c r="H333" s="8" t="s">
        <v>1371</v>
      </c>
      <c r="I333" s="8">
        <v>840325350533</v>
      </c>
      <c r="J333" s="8" t="s">
        <v>1976</v>
      </c>
      <c r="K333" s="8" t="s">
        <v>2616</v>
      </c>
      <c r="L333" s="8" t="s">
        <v>3270</v>
      </c>
      <c r="M333" s="8" t="s">
        <v>3271</v>
      </c>
      <c r="N333" s="8">
        <v>87052643999</v>
      </c>
      <c r="O333" s="8">
        <v>360000</v>
      </c>
      <c r="P333" s="8">
        <v>0</v>
      </c>
      <c r="Q333" s="8" t="s">
        <v>508</v>
      </c>
    </row>
    <row r="334" spans="1:17" ht="13.2">
      <c r="A334" s="26">
        <v>45742.654818634255</v>
      </c>
      <c r="B334" s="8" t="s">
        <v>1049</v>
      </c>
      <c r="C334" s="8" t="s">
        <v>3272</v>
      </c>
      <c r="D334" s="8" t="s">
        <v>3273</v>
      </c>
      <c r="E334" s="8" t="s">
        <v>3274</v>
      </c>
      <c r="F334" s="82" t="s">
        <v>3275</v>
      </c>
      <c r="G334" s="27">
        <v>44238</v>
      </c>
      <c r="H334" s="8" t="s">
        <v>1371</v>
      </c>
      <c r="I334" s="8">
        <v>660405302084</v>
      </c>
      <c r="J334" s="8" t="s">
        <v>3276</v>
      </c>
      <c r="K334" s="8" t="s">
        <v>3277</v>
      </c>
      <c r="L334" s="8" t="s">
        <v>3278</v>
      </c>
      <c r="M334" s="8" t="s">
        <v>2942</v>
      </c>
      <c r="N334" s="8">
        <v>87011118167</v>
      </c>
      <c r="O334" s="8">
        <v>0</v>
      </c>
      <c r="P334" s="8">
        <v>340000</v>
      </c>
      <c r="Q334" s="8" t="s">
        <v>499</v>
      </c>
    </row>
    <row r="335" spans="1:17" ht="13.2">
      <c r="A335" s="26">
        <v>45742.70561099537</v>
      </c>
      <c r="B335" s="8" t="s">
        <v>1049</v>
      </c>
      <c r="C335" s="8" t="s">
        <v>3279</v>
      </c>
      <c r="D335" s="8" t="s">
        <v>3280</v>
      </c>
      <c r="E335" s="8" t="s">
        <v>3281</v>
      </c>
      <c r="F335" s="82" t="s">
        <v>3282</v>
      </c>
      <c r="G335" s="27">
        <v>44529</v>
      </c>
      <c r="H335" s="8" t="s">
        <v>1371</v>
      </c>
      <c r="I335" s="8">
        <v>830708301743</v>
      </c>
      <c r="J335" s="8" t="s">
        <v>1372</v>
      </c>
      <c r="K335" s="8" t="s">
        <v>3283</v>
      </c>
      <c r="L335" s="8" t="s">
        <v>3284</v>
      </c>
      <c r="M335" s="8" t="s">
        <v>2197</v>
      </c>
      <c r="N335" s="8">
        <v>87016892049</v>
      </c>
      <c r="O335" s="8">
        <v>340000</v>
      </c>
      <c r="P335" s="8">
        <v>0</v>
      </c>
      <c r="Q335" s="8" t="s">
        <v>503</v>
      </c>
    </row>
    <row r="336" spans="1:17" ht="13.2">
      <c r="A336" s="26">
        <v>45742.708243738423</v>
      </c>
      <c r="B336" s="8" t="s">
        <v>1049</v>
      </c>
      <c r="C336" s="8" t="s">
        <v>3285</v>
      </c>
      <c r="D336" s="8" t="s">
        <v>3286</v>
      </c>
      <c r="E336" s="8" t="s">
        <v>1939</v>
      </c>
      <c r="F336" s="82" t="s">
        <v>3287</v>
      </c>
      <c r="G336" s="27">
        <v>44335</v>
      </c>
      <c r="H336" s="8" t="s">
        <v>1371</v>
      </c>
      <c r="I336" s="8">
        <v>660115303462</v>
      </c>
      <c r="J336" s="8" t="s">
        <v>3288</v>
      </c>
      <c r="K336" s="8" t="s">
        <v>3289</v>
      </c>
      <c r="L336" s="8" t="s">
        <v>3290</v>
      </c>
      <c r="M336" s="8" t="s">
        <v>3291</v>
      </c>
      <c r="N336" s="8">
        <v>87771642122</v>
      </c>
      <c r="O336" s="8">
        <v>300000</v>
      </c>
      <c r="P336" s="8">
        <v>0</v>
      </c>
      <c r="Q336" s="8" t="s">
        <v>509</v>
      </c>
    </row>
    <row r="337" spans="1:17" ht="13.2">
      <c r="A337" s="26">
        <v>45743.662270069442</v>
      </c>
      <c r="B337" s="8" t="s">
        <v>1071</v>
      </c>
      <c r="C337" s="8" t="s">
        <v>3292</v>
      </c>
      <c r="D337" s="8" t="s">
        <v>3293</v>
      </c>
      <c r="E337" s="8" t="s">
        <v>3294</v>
      </c>
      <c r="F337" s="82" t="s">
        <v>3295</v>
      </c>
      <c r="G337" s="27">
        <v>42264</v>
      </c>
      <c r="H337" s="8" t="s">
        <v>1371</v>
      </c>
      <c r="I337" s="8">
        <v>600315350084</v>
      </c>
      <c r="J337" s="8" t="s">
        <v>2463</v>
      </c>
      <c r="K337" s="8" t="s">
        <v>3296</v>
      </c>
      <c r="L337" s="8" t="s">
        <v>3297</v>
      </c>
      <c r="M337" s="8" t="s">
        <v>3298</v>
      </c>
      <c r="N337" s="8">
        <v>87756592748</v>
      </c>
      <c r="O337" s="8">
        <v>430000</v>
      </c>
      <c r="P337" s="8">
        <v>0</v>
      </c>
      <c r="Q337" s="8" t="s">
        <v>510</v>
      </c>
    </row>
    <row r="338" spans="1:17" ht="13.2">
      <c r="A338" s="26">
        <v>45744.472898113425</v>
      </c>
      <c r="B338" s="8" t="s">
        <v>1071</v>
      </c>
      <c r="C338" s="8" t="s">
        <v>3299</v>
      </c>
      <c r="D338" s="8" t="s">
        <v>1228</v>
      </c>
      <c r="E338" s="8" t="s">
        <v>3300</v>
      </c>
      <c r="F338" s="82" t="s">
        <v>3301</v>
      </c>
      <c r="G338" s="27">
        <v>44168</v>
      </c>
      <c r="H338" s="8" t="s">
        <v>1371</v>
      </c>
      <c r="I338" s="8">
        <v>670615301347</v>
      </c>
      <c r="J338" s="8" t="s">
        <v>1806</v>
      </c>
      <c r="K338" s="8" t="s">
        <v>3302</v>
      </c>
      <c r="L338" s="8" t="s">
        <v>3303</v>
      </c>
      <c r="M338" s="8" t="s">
        <v>3304</v>
      </c>
      <c r="N338" s="8">
        <v>87775871205</v>
      </c>
      <c r="O338" s="8" t="s">
        <v>115</v>
      </c>
      <c r="P338" s="8">
        <v>420000</v>
      </c>
      <c r="Q338" s="8" t="s">
        <v>511</v>
      </c>
    </row>
    <row r="339" spans="1:17" ht="13.2">
      <c r="A339" s="26">
        <v>45744.501226284723</v>
      </c>
      <c r="B339" s="8" t="s">
        <v>1071</v>
      </c>
      <c r="C339" s="8" t="s">
        <v>3305</v>
      </c>
      <c r="D339" s="8" t="s">
        <v>1053</v>
      </c>
      <c r="E339" s="8" t="s">
        <v>2267</v>
      </c>
      <c r="F339" s="82" t="s">
        <v>3306</v>
      </c>
      <c r="G339" s="27">
        <v>45554</v>
      </c>
      <c r="H339" s="8" t="s">
        <v>1371</v>
      </c>
      <c r="I339" s="8">
        <v>790726350224</v>
      </c>
      <c r="J339" s="8" t="s">
        <v>1403</v>
      </c>
      <c r="K339" s="8" t="s">
        <v>2184</v>
      </c>
      <c r="L339" s="8" t="s">
        <v>3307</v>
      </c>
      <c r="M339" s="8" t="s">
        <v>3308</v>
      </c>
      <c r="N339" s="8">
        <v>87053106604</v>
      </c>
      <c r="O339" s="8" t="s">
        <v>3309</v>
      </c>
      <c r="P339" s="8">
        <v>380000</v>
      </c>
      <c r="Q339" s="8" t="s">
        <v>512</v>
      </c>
    </row>
    <row r="340" spans="1:17" ht="13.2">
      <c r="A340" s="26">
        <v>45744.652911192126</v>
      </c>
      <c r="B340" s="8" t="s">
        <v>1049</v>
      </c>
      <c r="C340" s="8" t="s">
        <v>3310</v>
      </c>
      <c r="D340" s="8" t="s">
        <v>3311</v>
      </c>
      <c r="E340" s="8" t="s">
        <v>3312</v>
      </c>
      <c r="F340" s="82" t="s">
        <v>3313</v>
      </c>
      <c r="G340" s="27">
        <v>42535</v>
      </c>
      <c r="H340" s="8" t="s">
        <v>1371</v>
      </c>
      <c r="I340" s="8">
        <v>850203000526</v>
      </c>
      <c r="J340" s="8" t="s">
        <v>2855</v>
      </c>
      <c r="K340" s="8" t="s">
        <v>3314</v>
      </c>
      <c r="L340" s="8" t="s">
        <v>3315</v>
      </c>
      <c r="M340" s="8" t="s">
        <v>3316</v>
      </c>
      <c r="N340" s="8">
        <v>87087598717</v>
      </c>
      <c r="O340" s="8">
        <v>310000</v>
      </c>
      <c r="P340" s="8" t="s">
        <v>115</v>
      </c>
      <c r="Q340" s="8" t="s">
        <v>504</v>
      </c>
    </row>
    <row r="341" spans="1:17" ht="13.2">
      <c r="A341" s="26">
        <v>45744.66985637731</v>
      </c>
      <c r="B341" s="8" t="s">
        <v>1049</v>
      </c>
      <c r="C341" s="8" t="s">
        <v>3317</v>
      </c>
      <c r="D341" s="8" t="s">
        <v>1199</v>
      </c>
      <c r="E341" s="8" t="s">
        <v>3318</v>
      </c>
      <c r="F341" s="82" t="s">
        <v>3319</v>
      </c>
      <c r="G341" s="27">
        <v>43362</v>
      </c>
      <c r="H341" s="8" t="s">
        <v>1371</v>
      </c>
      <c r="I341" s="82" t="s">
        <v>3320</v>
      </c>
      <c r="J341" s="8" t="s">
        <v>1392</v>
      </c>
      <c r="K341" s="8" t="s">
        <v>3321</v>
      </c>
      <c r="L341" s="8" t="s">
        <v>3322</v>
      </c>
      <c r="M341" s="8" t="s">
        <v>3323</v>
      </c>
      <c r="N341" s="8">
        <v>87076155465</v>
      </c>
      <c r="O341" s="8">
        <v>340000</v>
      </c>
      <c r="P341" s="8" t="s">
        <v>115</v>
      </c>
      <c r="Q341" s="8" t="s">
        <v>500</v>
      </c>
    </row>
    <row r="342" spans="1:17" ht="13.2">
      <c r="A342" s="26">
        <v>45745.496425578705</v>
      </c>
      <c r="B342" s="8" t="s">
        <v>1141</v>
      </c>
      <c r="C342" s="8" t="s">
        <v>3324</v>
      </c>
      <c r="D342" s="8" t="s">
        <v>3150</v>
      </c>
      <c r="E342" s="8" t="s">
        <v>3325</v>
      </c>
      <c r="F342" s="82" t="s">
        <v>3326</v>
      </c>
      <c r="G342" s="27">
        <v>43573</v>
      </c>
      <c r="H342" s="8" t="s">
        <v>1371</v>
      </c>
      <c r="I342" s="8">
        <v>740630301453</v>
      </c>
      <c r="J342" s="8" t="s">
        <v>1533</v>
      </c>
      <c r="K342" s="8" t="s">
        <v>3327</v>
      </c>
      <c r="L342" s="8" t="s">
        <v>3328</v>
      </c>
      <c r="M342" s="8" t="s">
        <v>3155</v>
      </c>
      <c r="N342" s="8">
        <v>87022477469</v>
      </c>
      <c r="O342" s="8">
        <v>440000</v>
      </c>
      <c r="P342" s="8">
        <v>0</v>
      </c>
      <c r="Q342" s="8" t="s">
        <v>513</v>
      </c>
    </row>
    <row r="343" spans="1:17" ht="13.2">
      <c r="A343" s="26">
        <v>45745.544799386575</v>
      </c>
      <c r="B343" s="8" t="s">
        <v>1071</v>
      </c>
      <c r="C343" s="8" t="s">
        <v>3329</v>
      </c>
      <c r="D343" s="8" t="s">
        <v>3330</v>
      </c>
      <c r="E343" s="8" t="s">
        <v>2250</v>
      </c>
      <c r="F343" s="82" t="s">
        <v>3331</v>
      </c>
      <c r="G343" s="27">
        <v>42270</v>
      </c>
      <c r="H343" s="8" t="s">
        <v>1371</v>
      </c>
      <c r="I343" s="8">
        <v>820913350526</v>
      </c>
      <c r="J343" s="8" t="s">
        <v>2463</v>
      </c>
      <c r="K343" s="8" t="s">
        <v>3332</v>
      </c>
      <c r="L343" s="8" t="s">
        <v>3333</v>
      </c>
      <c r="M343" s="8" t="s">
        <v>3334</v>
      </c>
      <c r="N343" s="8">
        <v>87781568303</v>
      </c>
      <c r="O343" s="8">
        <v>300000</v>
      </c>
      <c r="P343" s="8">
        <v>30000</v>
      </c>
      <c r="Q343" s="8" t="s">
        <v>514</v>
      </c>
    </row>
    <row r="344" spans="1:17" ht="13.2">
      <c r="A344" s="26">
        <v>45747.632128124998</v>
      </c>
      <c r="B344" s="8" t="s">
        <v>1071</v>
      </c>
      <c r="C344" s="8" t="s">
        <v>3335</v>
      </c>
      <c r="D344" s="8" t="s">
        <v>1099</v>
      </c>
      <c r="E344" s="8" t="s">
        <v>3336</v>
      </c>
      <c r="F344" s="82" t="s">
        <v>3337</v>
      </c>
      <c r="G344" s="27">
        <v>44567</v>
      </c>
      <c r="H344" s="8" t="s">
        <v>1371</v>
      </c>
      <c r="I344" s="8">
        <v>670301300470</v>
      </c>
      <c r="J344" s="8" t="s">
        <v>1976</v>
      </c>
      <c r="K344" s="8" t="s">
        <v>3338</v>
      </c>
      <c r="L344" s="8" t="s">
        <v>3339</v>
      </c>
      <c r="M344" s="8" t="s">
        <v>3340</v>
      </c>
      <c r="N344" s="8">
        <v>87470191067</v>
      </c>
      <c r="O344" s="8">
        <v>360000</v>
      </c>
      <c r="P344" s="8">
        <v>30000</v>
      </c>
      <c r="Q344" s="8" t="s">
        <v>515</v>
      </c>
    </row>
    <row r="345" spans="1:17" ht="13.2">
      <c r="A345" s="26">
        <v>45747.674080949073</v>
      </c>
      <c r="B345" s="8" t="s">
        <v>1141</v>
      </c>
      <c r="C345" s="8" t="s">
        <v>3341</v>
      </c>
      <c r="D345" s="8" t="s">
        <v>3342</v>
      </c>
      <c r="F345" s="82" t="s">
        <v>3343</v>
      </c>
      <c r="G345" s="27">
        <v>45426</v>
      </c>
      <c r="H345" s="8" t="s">
        <v>1431</v>
      </c>
      <c r="I345" s="8">
        <v>860220399063</v>
      </c>
      <c r="J345" s="8" t="s">
        <v>1533</v>
      </c>
      <c r="K345" s="8" t="s">
        <v>3344</v>
      </c>
      <c r="L345" s="8" t="s">
        <v>3345</v>
      </c>
      <c r="M345" s="8" t="s">
        <v>3346</v>
      </c>
      <c r="N345" s="8">
        <v>87753142763</v>
      </c>
      <c r="O345" s="8">
        <v>826000</v>
      </c>
      <c r="P345" s="8">
        <v>0</v>
      </c>
      <c r="Q345" s="8" t="s">
        <v>390</v>
      </c>
    </row>
    <row r="346" spans="1:17" ht="13.2">
      <c r="A346" s="26">
        <v>45748.707500370372</v>
      </c>
      <c r="B346" s="8" t="s">
        <v>1049</v>
      </c>
      <c r="C346" s="8" t="s">
        <v>3347</v>
      </c>
      <c r="D346" s="8" t="s">
        <v>3348</v>
      </c>
      <c r="E346" s="8" t="s">
        <v>2607</v>
      </c>
      <c r="F346" s="82" t="s">
        <v>3349</v>
      </c>
      <c r="G346" s="27">
        <v>43854</v>
      </c>
      <c r="H346" s="8" t="s">
        <v>1371</v>
      </c>
      <c r="I346" s="8">
        <v>790818300812</v>
      </c>
      <c r="J346" s="8" t="s">
        <v>2008</v>
      </c>
      <c r="K346" s="8" t="s">
        <v>2218</v>
      </c>
      <c r="L346" s="8" t="s">
        <v>3350</v>
      </c>
      <c r="M346" s="8" t="s">
        <v>3351</v>
      </c>
      <c r="N346" s="8">
        <v>8777777130</v>
      </c>
      <c r="O346" s="8">
        <v>520000</v>
      </c>
      <c r="P346" s="8">
        <v>0</v>
      </c>
      <c r="Q346" s="8" t="s">
        <v>516</v>
      </c>
    </row>
    <row r="347" spans="1:17" ht="13.2">
      <c r="A347" s="26">
        <v>45748.724679293984</v>
      </c>
      <c r="B347" s="8" t="s">
        <v>1049</v>
      </c>
      <c r="C347" s="8" t="s">
        <v>3352</v>
      </c>
      <c r="D347" s="8" t="s">
        <v>1374</v>
      </c>
      <c r="E347" s="8" t="s">
        <v>3353</v>
      </c>
      <c r="F347" s="82" t="s">
        <v>3354</v>
      </c>
      <c r="G347" s="27">
        <v>42587</v>
      </c>
      <c r="H347" s="8" t="s">
        <v>1371</v>
      </c>
      <c r="I347" s="8">
        <v>800512302681</v>
      </c>
      <c r="J347" s="8" t="s">
        <v>2015</v>
      </c>
      <c r="K347" s="8" t="s">
        <v>3355</v>
      </c>
      <c r="L347" s="8" t="s">
        <v>3356</v>
      </c>
      <c r="M347" s="8" t="s">
        <v>2150</v>
      </c>
      <c r="N347" s="8">
        <v>87715721580</v>
      </c>
      <c r="O347" s="8">
        <v>0</v>
      </c>
      <c r="P347" s="8">
        <v>340000</v>
      </c>
      <c r="Q347" s="8" t="s">
        <v>488</v>
      </c>
    </row>
    <row r="348" spans="1:17" ht="13.2">
      <c r="A348" s="26">
        <v>45749.464391956019</v>
      </c>
      <c r="B348" s="8" t="s">
        <v>1071</v>
      </c>
      <c r="C348" s="8" t="s">
        <v>3357</v>
      </c>
      <c r="D348" s="8" t="s">
        <v>1262</v>
      </c>
      <c r="E348" s="8" t="s">
        <v>1083</v>
      </c>
      <c r="F348" s="82" t="s">
        <v>3358</v>
      </c>
      <c r="G348" s="27">
        <v>44693</v>
      </c>
      <c r="H348" s="8" t="s">
        <v>1371</v>
      </c>
      <c r="I348" s="8">
        <v>670506350154</v>
      </c>
      <c r="J348" s="8" t="s">
        <v>1976</v>
      </c>
      <c r="K348" s="8" t="s">
        <v>1977</v>
      </c>
      <c r="L348" s="8" t="s">
        <v>3359</v>
      </c>
      <c r="M348" s="8" t="s">
        <v>3360</v>
      </c>
      <c r="N348" s="8">
        <v>87787007895</v>
      </c>
      <c r="O348" s="8">
        <v>200000</v>
      </c>
      <c r="P348" s="8">
        <v>150000</v>
      </c>
      <c r="Q348" s="8" t="s">
        <v>517</v>
      </c>
    </row>
    <row r="349" spans="1:17" ht="13.2">
      <c r="A349" s="26">
        <v>45749.506921099535</v>
      </c>
      <c r="B349" s="8" t="s">
        <v>1141</v>
      </c>
      <c r="C349" s="8" t="s">
        <v>3361</v>
      </c>
      <c r="D349" s="8" t="s">
        <v>3057</v>
      </c>
      <c r="E349" s="8" t="s">
        <v>1697</v>
      </c>
      <c r="F349" s="82" t="s">
        <v>3362</v>
      </c>
      <c r="G349" s="27">
        <v>42410</v>
      </c>
      <c r="H349" s="8" t="s">
        <v>1371</v>
      </c>
      <c r="I349" s="8">
        <v>560521300622</v>
      </c>
      <c r="J349" s="8" t="s">
        <v>2430</v>
      </c>
      <c r="K349" s="8" t="s">
        <v>2934</v>
      </c>
      <c r="L349" s="8" t="s">
        <v>3363</v>
      </c>
      <c r="M349" s="8" t="s">
        <v>2295</v>
      </c>
      <c r="N349" s="8">
        <v>87023295189</v>
      </c>
      <c r="O349" s="8">
        <v>350000</v>
      </c>
      <c r="P349" s="8">
        <v>0</v>
      </c>
      <c r="Q349" s="8" t="s">
        <v>471</v>
      </c>
    </row>
    <row r="350" spans="1:17" ht="13.2">
      <c r="A350" s="26">
        <v>45749.542831851853</v>
      </c>
      <c r="B350" s="8" t="s">
        <v>1049</v>
      </c>
      <c r="C350" s="8" t="s">
        <v>3364</v>
      </c>
      <c r="D350" s="8" t="s">
        <v>3365</v>
      </c>
      <c r="E350" s="8" t="s">
        <v>3366</v>
      </c>
      <c r="F350" s="8">
        <v>44995705</v>
      </c>
      <c r="G350" s="27">
        <v>43719</v>
      </c>
      <c r="H350" s="8" t="s">
        <v>1371</v>
      </c>
      <c r="I350" s="8">
        <v>901117301075</v>
      </c>
      <c r="J350" s="8" t="s">
        <v>2008</v>
      </c>
      <c r="K350" s="8" t="s">
        <v>3367</v>
      </c>
      <c r="L350" s="8" t="s">
        <v>3368</v>
      </c>
      <c r="M350" s="8" t="s">
        <v>3369</v>
      </c>
      <c r="N350" s="8">
        <v>87025861905</v>
      </c>
      <c r="O350" s="8">
        <v>80000</v>
      </c>
      <c r="P350" s="8">
        <v>260000</v>
      </c>
      <c r="Q350" s="8" t="s">
        <v>493</v>
      </c>
    </row>
    <row r="351" spans="1:17" ht="13.2">
      <c r="A351" s="26">
        <v>45749.554326041667</v>
      </c>
      <c r="B351" s="8" t="s">
        <v>1049</v>
      </c>
      <c r="C351" s="8" t="s">
        <v>3370</v>
      </c>
      <c r="D351" s="8" t="s">
        <v>1938</v>
      </c>
      <c r="E351" s="8" t="s">
        <v>1480</v>
      </c>
      <c r="F351" s="82" t="s">
        <v>3371</v>
      </c>
      <c r="G351" s="27">
        <v>43994</v>
      </c>
      <c r="H351" s="8" t="s">
        <v>1371</v>
      </c>
      <c r="I351" s="8">
        <v>810912300156</v>
      </c>
      <c r="J351" s="8" t="s">
        <v>2015</v>
      </c>
      <c r="K351" s="8" t="s">
        <v>3372</v>
      </c>
      <c r="L351" s="8" t="s">
        <v>3373</v>
      </c>
      <c r="M351" s="8">
        <v>7</v>
      </c>
      <c r="N351" s="8">
        <v>87772970940</v>
      </c>
      <c r="O351" s="8">
        <v>0</v>
      </c>
      <c r="P351" s="8">
        <v>310000</v>
      </c>
      <c r="Q351" s="8" t="s">
        <v>505</v>
      </c>
    </row>
    <row r="352" spans="1:17" ht="13.2">
      <c r="A352" s="26">
        <v>45749.567807731481</v>
      </c>
      <c r="B352" s="8" t="s">
        <v>1049</v>
      </c>
      <c r="C352" s="8" t="s">
        <v>3374</v>
      </c>
      <c r="D352" s="8" t="s">
        <v>3375</v>
      </c>
      <c r="E352" s="8" t="s">
        <v>3376</v>
      </c>
      <c r="F352" s="82" t="s">
        <v>3377</v>
      </c>
      <c r="G352" s="27">
        <v>45715</v>
      </c>
      <c r="H352" s="8" t="s">
        <v>1431</v>
      </c>
      <c r="I352" s="8">
        <v>861212301478</v>
      </c>
      <c r="J352" s="8" t="s">
        <v>3241</v>
      </c>
      <c r="K352" s="8" t="s">
        <v>3378</v>
      </c>
      <c r="L352" s="8" t="s">
        <v>3379</v>
      </c>
      <c r="M352" s="8" t="s">
        <v>3380</v>
      </c>
      <c r="N352" s="8">
        <v>87079395230</v>
      </c>
      <c r="O352" s="8">
        <v>30000</v>
      </c>
      <c r="P352" s="8">
        <v>310000</v>
      </c>
      <c r="Q352" s="8" t="s">
        <v>492</v>
      </c>
    </row>
    <row r="353" spans="1:17" ht="13.2">
      <c r="A353" s="26">
        <v>45749.616786747691</v>
      </c>
      <c r="B353" s="8" t="s">
        <v>1049</v>
      </c>
      <c r="C353" s="8" t="s">
        <v>3381</v>
      </c>
      <c r="D353" s="8" t="s">
        <v>1252</v>
      </c>
      <c r="E353" s="8" t="s">
        <v>3382</v>
      </c>
      <c r="F353" s="82" t="s">
        <v>3383</v>
      </c>
      <c r="G353" s="27">
        <v>42984</v>
      </c>
      <c r="H353" s="8" t="s">
        <v>1371</v>
      </c>
      <c r="I353" s="8">
        <v>830831300982</v>
      </c>
      <c r="J353" s="8" t="s">
        <v>3384</v>
      </c>
      <c r="K353" s="8" t="s">
        <v>3385</v>
      </c>
      <c r="L353" s="8" t="s">
        <v>3386</v>
      </c>
      <c r="M353" s="8" t="s">
        <v>3387</v>
      </c>
      <c r="N353" s="8">
        <v>87770750171</v>
      </c>
      <c r="O353" s="8">
        <v>370000</v>
      </c>
      <c r="P353" s="8">
        <v>0</v>
      </c>
      <c r="Q353" s="8" t="s">
        <v>487</v>
      </c>
    </row>
    <row r="354" spans="1:17" ht="13.2">
      <c r="A354" s="26">
        <v>45749.621194884261</v>
      </c>
      <c r="B354" s="8" t="s">
        <v>1141</v>
      </c>
      <c r="C354" s="8" t="s">
        <v>3388</v>
      </c>
      <c r="D354" s="8" t="s">
        <v>1053</v>
      </c>
      <c r="E354" s="8" t="s">
        <v>1697</v>
      </c>
      <c r="F354" s="82" t="s">
        <v>3389</v>
      </c>
      <c r="G354" s="27">
        <v>45428</v>
      </c>
      <c r="H354" s="8" t="s">
        <v>1371</v>
      </c>
      <c r="I354" s="8">
        <v>830319351091</v>
      </c>
      <c r="J354" s="8" t="s">
        <v>1533</v>
      </c>
      <c r="K354" s="8" t="s">
        <v>3390</v>
      </c>
      <c r="L354" s="8" t="s">
        <v>3391</v>
      </c>
      <c r="M354" s="8" t="s">
        <v>1762</v>
      </c>
      <c r="N354" s="8">
        <v>87023164000</v>
      </c>
      <c r="O354" s="8">
        <v>360000</v>
      </c>
      <c r="P354" s="8">
        <v>0</v>
      </c>
      <c r="Q354" s="8" t="s">
        <v>442</v>
      </c>
    </row>
    <row r="355" spans="1:17" ht="13.2">
      <c r="A355" s="26">
        <v>45749.670565879627</v>
      </c>
      <c r="B355" s="8" t="s">
        <v>1049</v>
      </c>
      <c r="C355" s="8" t="s">
        <v>3392</v>
      </c>
      <c r="D355" s="8" t="s">
        <v>1256</v>
      </c>
      <c r="E355" s="8" t="s">
        <v>1386</v>
      </c>
      <c r="F355" s="82" t="s">
        <v>3393</v>
      </c>
      <c r="G355" s="27">
        <v>44199</v>
      </c>
      <c r="H355" s="8" t="s">
        <v>1371</v>
      </c>
      <c r="I355" s="8">
        <v>820203399043</v>
      </c>
      <c r="J355" s="8" t="s">
        <v>2015</v>
      </c>
      <c r="K355" s="8" t="s">
        <v>2387</v>
      </c>
      <c r="L355" s="8" t="s">
        <v>3394</v>
      </c>
      <c r="M355" s="8" t="s">
        <v>2202</v>
      </c>
      <c r="N355" s="8">
        <v>87776484087</v>
      </c>
      <c r="O355" s="8">
        <v>340000</v>
      </c>
      <c r="P355" s="8">
        <v>0</v>
      </c>
      <c r="Q355" s="8" t="s">
        <v>519</v>
      </c>
    </row>
    <row r="356" spans="1:17" ht="13.2">
      <c r="A356" s="26">
        <v>45749.713891319443</v>
      </c>
      <c r="B356" s="8" t="s">
        <v>1049</v>
      </c>
      <c r="C356" s="8" t="s">
        <v>3395</v>
      </c>
      <c r="D356" s="8" t="s">
        <v>3396</v>
      </c>
      <c r="E356" s="8" t="s">
        <v>3397</v>
      </c>
      <c r="F356" s="82" t="s">
        <v>3398</v>
      </c>
      <c r="G356" s="27">
        <v>42590</v>
      </c>
      <c r="H356" s="8" t="s">
        <v>1371</v>
      </c>
      <c r="I356" s="8">
        <v>760218302594</v>
      </c>
      <c r="J356" s="8" t="s">
        <v>2991</v>
      </c>
      <c r="K356" s="8" t="s">
        <v>3399</v>
      </c>
      <c r="L356" s="8" t="s">
        <v>3400</v>
      </c>
      <c r="M356" s="8" t="s">
        <v>3401</v>
      </c>
      <c r="N356" s="8">
        <v>87772288188</v>
      </c>
      <c r="O356" s="8">
        <v>0</v>
      </c>
      <c r="P356" s="8">
        <v>390000</v>
      </c>
      <c r="Q356" s="8" t="s">
        <v>520</v>
      </c>
    </row>
    <row r="357" spans="1:17" ht="13.2">
      <c r="A357" s="26">
        <v>45750.519191168976</v>
      </c>
      <c r="B357" s="8" t="s">
        <v>1141</v>
      </c>
      <c r="C357" s="8" t="s">
        <v>3402</v>
      </c>
      <c r="D357" s="8" t="s">
        <v>1435</v>
      </c>
      <c r="E357" s="8" t="s">
        <v>3403</v>
      </c>
      <c r="F357" s="82" t="s">
        <v>3404</v>
      </c>
      <c r="G357" s="27">
        <v>39730</v>
      </c>
      <c r="H357" s="8" t="s">
        <v>1371</v>
      </c>
      <c r="I357" s="8">
        <v>821105350853</v>
      </c>
      <c r="J357" s="8" t="s">
        <v>1564</v>
      </c>
      <c r="K357" s="8" t="s">
        <v>1565</v>
      </c>
      <c r="L357" s="8" t="s">
        <v>3405</v>
      </c>
      <c r="M357" s="8" t="s">
        <v>3406</v>
      </c>
      <c r="N357" s="8">
        <v>87013671039</v>
      </c>
      <c r="O357" s="8">
        <v>430000</v>
      </c>
      <c r="P357" s="8">
        <v>0</v>
      </c>
      <c r="Q357" s="8" t="s">
        <v>521</v>
      </c>
    </row>
    <row r="358" spans="1:17" ht="13.2">
      <c r="A358" s="26">
        <v>45750.537777557867</v>
      </c>
      <c r="B358" s="8" t="s">
        <v>1049</v>
      </c>
      <c r="C358" s="8" t="s">
        <v>3407</v>
      </c>
      <c r="D358" s="8" t="s">
        <v>1993</v>
      </c>
      <c r="E358" s="8" t="s">
        <v>3408</v>
      </c>
      <c r="F358" s="82" t="s">
        <v>3409</v>
      </c>
      <c r="G358" s="27">
        <v>44740</v>
      </c>
      <c r="H358" s="8" t="s">
        <v>1371</v>
      </c>
      <c r="I358" s="8">
        <v>870416301041</v>
      </c>
      <c r="J358" s="8" t="s">
        <v>2855</v>
      </c>
      <c r="K358" s="8" t="s">
        <v>3410</v>
      </c>
      <c r="L358" s="8" t="s">
        <v>3411</v>
      </c>
      <c r="M358" s="8" t="s">
        <v>1628</v>
      </c>
      <c r="N358" s="8">
        <v>87773120800</v>
      </c>
      <c r="O358" s="8">
        <v>0</v>
      </c>
      <c r="P358" s="8">
        <v>320000</v>
      </c>
      <c r="Q358" s="8" t="s">
        <v>518</v>
      </c>
    </row>
    <row r="359" spans="1:17" ht="13.2">
      <c r="A359" s="26">
        <v>45751.512207002314</v>
      </c>
      <c r="B359" s="8" t="s">
        <v>1071</v>
      </c>
      <c r="C359" s="8" t="s">
        <v>3412</v>
      </c>
      <c r="D359" s="8" t="s">
        <v>1855</v>
      </c>
      <c r="E359" s="8" t="s">
        <v>1480</v>
      </c>
      <c r="F359" s="82" t="s">
        <v>3413</v>
      </c>
      <c r="G359" s="27">
        <v>45215</v>
      </c>
      <c r="H359" s="8" t="s">
        <v>1371</v>
      </c>
      <c r="I359" s="8">
        <v>740617350044</v>
      </c>
      <c r="J359" s="8" t="s">
        <v>1976</v>
      </c>
      <c r="K359" s="8" t="s">
        <v>3414</v>
      </c>
      <c r="L359" s="8" t="s">
        <v>3415</v>
      </c>
      <c r="M359" s="8" t="s">
        <v>3416</v>
      </c>
      <c r="N359" s="8">
        <v>87015827740</v>
      </c>
      <c r="O359" s="8">
        <v>360000</v>
      </c>
      <c r="P359" s="8">
        <v>0</v>
      </c>
      <c r="Q359" s="8" t="s">
        <v>522</v>
      </c>
    </row>
    <row r="360" spans="1:17" ht="13.2">
      <c r="A360" s="26">
        <v>45751.557708182867</v>
      </c>
      <c r="B360" s="8" t="s">
        <v>1071</v>
      </c>
      <c r="C360" s="8" t="s">
        <v>3417</v>
      </c>
      <c r="D360" s="8" t="s">
        <v>1407</v>
      </c>
      <c r="E360" s="8" t="s">
        <v>3418</v>
      </c>
      <c r="F360" s="82" t="s">
        <v>3419</v>
      </c>
      <c r="G360" s="27">
        <v>44909</v>
      </c>
      <c r="H360" s="8" t="s">
        <v>1371</v>
      </c>
      <c r="I360" s="8">
        <v>921222351175</v>
      </c>
      <c r="J360" s="8" t="s">
        <v>1976</v>
      </c>
      <c r="K360" s="8" t="s">
        <v>3420</v>
      </c>
      <c r="L360" s="8" t="s">
        <v>3421</v>
      </c>
      <c r="M360" s="8" t="s">
        <v>3422</v>
      </c>
      <c r="N360" s="8">
        <v>87054504261</v>
      </c>
      <c r="O360" s="8">
        <v>360000</v>
      </c>
      <c r="P360" s="8">
        <v>0</v>
      </c>
      <c r="Q360" s="8" t="s">
        <v>523</v>
      </c>
    </row>
    <row r="361" spans="1:17" ht="13.2">
      <c r="A361" s="26">
        <v>45751.604357685181</v>
      </c>
      <c r="B361" s="8" t="s">
        <v>1071</v>
      </c>
      <c r="C361" s="8" t="s">
        <v>3423</v>
      </c>
      <c r="D361" s="8" t="s">
        <v>1677</v>
      </c>
      <c r="E361" s="8" t="s">
        <v>1470</v>
      </c>
      <c r="F361" s="82" t="s">
        <v>3424</v>
      </c>
      <c r="G361" s="27">
        <v>44473</v>
      </c>
      <c r="H361" s="8" t="s">
        <v>1371</v>
      </c>
      <c r="I361" s="8">
        <v>570506300375</v>
      </c>
      <c r="J361" s="8" t="s">
        <v>2463</v>
      </c>
      <c r="K361" s="8" t="s">
        <v>3425</v>
      </c>
      <c r="L361" s="8" t="s">
        <v>2632</v>
      </c>
      <c r="M361" s="8" t="s">
        <v>3426</v>
      </c>
      <c r="N361" s="8">
        <v>87776208126</v>
      </c>
      <c r="O361" s="8">
        <v>530000</v>
      </c>
      <c r="P361" s="8">
        <v>0</v>
      </c>
      <c r="Q361" s="8" t="s">
        <v>524</v>
      </c>
    </row>
    <row r="362" spans="1:17" ht="13.2">
      <c r="A362" s="26">
        <v>45754.465570763889</v>
      </c>
      <c r="B362" s="8" t="s">
        <v>1049</v>
      </c>
      <c r="C362" s="8" t="s">
        <v>3427</v>
      </c>
      <c r="D362" s="8" t="s">
        <v>3428</v>
      </c>
      <c r="E362" s="8" t="s">
        <v>2250</v>
      </c>
      <c r="F362" s="82" t="s">
        <v>3429</v>
      </c>
      <c r="G362" s="27">
        <v>39290</v>
      </c>
      <c r="H362" s="8" t="s">
        <v>1410</v>
      </c>
      <c r="I362" s="8">
        <v>820427401999</v>
      </c>
      <c r="J362" s="8" t="s">
        <v>2008</v>
      </c>
      <c r="K362" s="8" t="s">
        <v>3430</v>
      </c>
      <c r="L362" s="8" t="s">
        <v>3431</v>
      </c>
      <c r="M362" s="8" t="s">
        <v>3426</v>
      </c>
      <c r="N362" s="8">
        <v>87052260070</v>
      </c>
      <c r="O362" s="8">
        <v>0</v>
      </c>
      <c r="P362" s="8">
        <v>340000</v>
      </c>
      <c r="Q362" s="8" t="s">
        <v>486</v>
      </c>
    </row>
    <row r="363" spans="1:17" ht="13.2">
      <c r="A363" s="26">
        <v>45754.482414363425</v>
      </c>
      <c r="B363" s="8" t="s">
        <v>1049</v>
      </c>
      <c r="C363" s="8" t="s">
        <v>3432</v>
      </c>
      <c r="D363" s="8" t="s">
        <v>3433</v>
      </c>
      <c r="E363" s="8" t="s">
        <v>3434</v>
      </c>
      <c r="F363" s="82" t="s">
        <v>3435</v>
      </c>
      <c r="G363" s="27">
        <v>42606</v>
      </c>
      <c r="H363" s="8" t="s">
        <v>1431</v>
      </c>
      <c r="I363" s="8">
        <v>931030300664</v>
      </c>
      <c r="J363" s="8" t="s">
        <v>3436</v>
      </c>
      <c r="K363" s="8" t="s">
        <v>3437</v>
      </c>
      <c r="L363" s="8" t="s">
        <v>3438</v>
      </c>
      <c r="M363" s="8" t="s">
        <v>1687</v>
      </c>
      <c r="N363" s="8">
        <v>87082525134</v>
      </c>
      <c r="O363" s="8">
        <v>0</v>
      </c>
      <c r="P363" s="8">
        <v>310000</v>
      </c>
      <c r="Q363" s="8" t="s">
        <v>482</v>
      </c>
    </row>
    <row r="364" spans="1:17" ht="13.2">
      <c r="A364" s="26">
        <v>45754.517832025464</v>
      </c>
      <c r="B364" s="8" t="s">
        <v>1049</v>
      </c>
      <c r="C364" s="8" t="s">
        <v>3439</v>
      </c>
      <c r="D364" s="8" t="s">
        <v>1770</v>
      </c>
      <c r="E364" s="8" t="s">
        <v>3440</v>
      </c>
      <c r="F364" s="82" t="s">
        <v>3441</v>
      </c>
      <c r="G364" s="27">
        <v>45517</v>
      </c>
      <c r="H364" s="8" t="s">
        <v>1371</v>
      </c>
      <c r="I364" s="8">
        <v>850622301135</v>
      </c>
      <c r="J364" s="8" t="s">
        <v>3442</v>
      </c>
      <c r="K364" s="8" t="s">
        <v>3443</v>
      </c>
      <c r="L364" s="8" t="s">
        <v>3444</v>
      </c>
      <c r="M364" s="8" t="s">
        <v>3445</v>
      </c>
      <c r="N364" s="8">
        <v>87016957777</v>
      </c>
      <c r="O364" s="8">
        <v>380000</v>
      </c>
      <c r="P364" s="8">
        <v>0</v>
      </c>
      <c r="Q364" s="8" t="s">
        <v>532</v>
      </c>
    </row>
    <row r="365" spans="1:17" ht="13.2">
      <c r="A365" s="26">
        <v>45754.625204652781</v>
      </c>
      <c r="B365" s="8" t="s">
        <v>1071</v>
      </c>
      <c r="C365" s="8" t="s">
        <v>3446</v>
      </c>
      <c r="D365" s="8" t="s">
        <v>1739</v>
      </c>
      <c r="E365" s="8" t="s">
        <v>3447</v>
      </c>
      <c r="F365" s="82" t="s">
        <v>3448</v>
      </c>
      <c r="G365" s="27">
        <v>42327</v>
      </c>
      <c r="H365" s="8" t="s">
        <v>1371</v>
      </c>
      <c r="I365" s="8">
        <v>811022350375</v>
      </c>
      <c r="J365" s="8" t="s">
        <v>1403</v>
      </c>
      <c r="K365" s="8" t="s">
        <v>2184</v>
      </c>
      <c r="L365" s="8" t="s">
        <v>3449</v>
      </c>
      <c r="M365" s="8" t="s">
        <v>3450</v>
      </c>
      <c r="N365" s="8">
        <v>87017093458</v>
      </c>
      <c r="O365" s="8" t="s">
        <v>115</v>
      </c>
      <c r="P365" s="8">
        <v>320000</v>
      </c>
      <c r="Q365" s="8" t="s">
        <v>525</v>
      </c>
    </row>
    <row r="366" spans="1:17" ht="13.2">
      <c r="A366" s="26">
        <v>45754.640969155094</v>
      </c>
      <c r="B366" s="8" t="s">
        <v>1071</v>
      </c>
      <c r="C366" s="8" t="s">
        <v>3451</v>
      </c>
      <c r="D366" s="8" t="s">
        <v>1236</v>
      </c>
      <c r="E366" s="8" t="s">
        <v>3452</v>
      </c>
      <c r="F366" s="82" t="s">
        <v>3453</v>
      </c>
      <c r="G366" s="27">
        <v>44945</v>
      </c>
      <c r="H366" s="8" t="s">
        <v>1371</v>
      </c>
      <c r="I366" s="8">
        <v>780124400224</v>
      </c>
      <c r="J366" s="8" t="s">
        <v>1403</v>
      </c>
      <c r="K366" s="8" t="s">
        <v>2184</v>
      </c>
      <c r="L366" s="8" t="s">
        <v>3454</v>
      </c>
      <c r="M366" s="8" t="s">
        <v>3455</v>
      </c>
      <c r="N366" s="8">
        <v>87012576963</v>
      </c>
      <c r="O366" s="8" t="s">
        <v>115</v>
      </c>
      <c r="P366" s="8">
        <v>415000</v>
      </c>
      <c r="Q366" s="8" t="s">
        <v>526</v>
      </c>
    </row>
    <row r="367" spans="1:17" ht="13.2">
      <c r="A367" s="26">
        <v>45755.439674247682</v>
      </c>
      <c r="B367" s="8" t="s">
        <v>1141</v>
      </c>
      <c r="C367" s="8" t="s">
        <v>3456</v>
      </c>
      <c r="D367" s="8" t="s">
        <v>1226</v>
      </c>
      <c r="E367" s="8" t="s">
        <v>3457</v>
      </c>
      <c r="F367" s="82" t="s">
        <v>3458</v>
      </c>
      <c r="G367" s="27">
        <v>44116</v>
      </c>
      <c r="H367" s="8" t="s">
        <v>1371</v>
      </c>
      <c r="I367" s="8">
        <v>690329300526</v>
      </c>
      <c r="J367" s="8" t="s">
        <v>1533</v>
      </c>
      <c r="K367" s="8" t="s">
        <v>3459</v>
      </c>
      <c r="L367" s="8" t="s">
        <v>3460</v>
      </c>
      <c r="M367" s="8" t="s">
        <v>3122</v>
      </c>
      <c r="N367" s="8">
        <v>87028968019</v>
      </c>
      <c r="O367" s="8">
        <v>350000</v>
      </c>
      <c r="P367" s="8">
        <v>0</v>
      </c>
      <c r="Q367" s="8" t="s">
        <v>468</v>
      </c>
    </row>
    <row r="368" spans="1:17" ht="13.2">
      <c r="A368" s="26">
        <v>45755.509539108796</v>
      </c>
      <c r="B368" s="8" t="s">
        <v>1141</v>
      </c>
      <c r="C368" s="8" t="s">
        <v>3461</v>
      </c>
      <c r="D368" s="8" t="s">
        <v>2658</v>
      </c>
      <c r="F368" s="82" t="s">
        <v>3462</v>
      </c>
      <c r="G368" s="27">
        <v>44321</v>
      </c>
      <c r="H368" s="8" t="s">
        <v>1371</v>
      </c>
      <c r="I368" s="8">
        <v>761010350596</v>
      </c>
      <c r="J368" s="8" t="s">
        <v>3463</v>
      </c>
      <c r="K368" s="8" t="s">
        <v>3464</v>
      </c>
      <c r="L368" s="8" t="s">
        <v>3465</v>
      </c>
      <c r="M368" s="8" t="s">
        <v>2095</v>
      </c>
      <c r="N368" s="8">
        <v>87016470593</v>
      </c>
      <c r="O368" s="8">
        <v>370000</v>
      </c>
      <c r="P368" s="8">
        <v>0</v>
      </c>
      <c r="Q368" s="8" t="s">
        <v>528</v>
      </c>
    </row>
    <row r="369" spans="1:17" ht="13.2">
      <c r="A369" s="26">
        <v>45755.542992337963</v>
      </c>
      <c r="B369" s="8" t="s">
        <v>1071</v>
      </c>
      <c r="C369" s="8" t="s">
        <v>3466</v>
      </c>
      <c r="D369" s="8" t="s">
        <v>1053</v>
      </c>
      <c r="E369" s="8" t="s">
        <v>1201</v>
      </c>
      <c r="F369" s="82" t="s">
        <v>3467</v>
      </c>
      <c r="G369" s="27">
        <v>45175</v>
      </c>
      <c r="H369" s="8" t="s">
        <v>1371</v>
      </c>
      <c r="I369" s="8">
        <v>780825300787</v>
      </c>
      <c r="J369" s="8" t="s">
        <v>1976</v>
      </c>
      <c r="K369" s="8" t="s">
        <v>3468</v>
      </c>
      <c r="L369" s="8" t="s">
        <v>3469</v>
      </c>
      <c r="M369" s="8" t="s">
        <v>3470</v>
      </c>
      <c r="N369" s="8">
        <v>87471316409</v>
      </c>
      <c r="O369" s="8">
        <v>350000</v>
      </c>
      <c r="P369" s="8" t="s">
        <v>115</v>
      </c>
      <c r="Q369" s="8" t="s">
        <v>533</v>
      </c>
    </row>
    <row r="370" spans="1:17" ht="13.2">
      <c r="A370" s="26">
        <v>45755.589455555557</v>
      </c>
      <c r="B370" s="8" t="s">
        <v>1141</v>
      </c>
      <c r="C370" s="8" t="s">
        <v>3471</v>
      </c>
      <c r="D370" s="8" t="s">
        <v>1172</v>
      </c>
      <c r="E370" s="8" t="s">
        <v>1487</v>
      </c>
      <c r="F370" s="82" t="s">
        <v>3472</v>
      </c>
      <c r="G370" s="27">
        <v>39241</v>
      </c>
      <c r="H370" s="8" t="s">
        <v>1410</v>
      </c>
      <c r="I370" s="8">
        <v>820514350140</v>
      </c>
      <c r="J370" s="8" t="s">
        <v>1564</v>
      </c>
      <c r="K370" s="8" t="s">
        <v>1748</v>
      </c>
      <c r="L370" s="8" t="s">
        <v>3473</v>
      </c>
      <c r="M370" s="8" t="s">
        <v>3474</v>
      </c>
      <c r="N370" s="8">
        <v>87013226917</v>
      </c>
      <c r="O370" s="8">
        <v>440000</v>
      </c>
      <c r="P370" s="8">
        <v>0</v>
      </c>
      <c r="Q370" s="8" t="s">
        <v>531</v>
      </c>
    </row>
    <row r="371" spans="1:17" ht="13.2">
      <c r="A371" s="26">
        <v>45757.548772210648</v>
      </c>
      <c r="B371" s="8" t="s">
        <v>1141</v>
      </c>
      <c r="C371" s="8" t="s">
        <v>3475</v>
      </c>
      <c r="D371" s="8" t="s">
        <v>1228</v>
      </c>
      <c r="E371" s="8" t="s">
        <v>3476</v>
      </c>
      <c r="F371" s="82" t="s">
        <v>3477</v>
      </c>
      <c r="G371" s="27">
        <v>42409</v>
      </c>
      <c r="H371" s="8" t="s">
        <v>1371</v>
      </c>
      <c r="I371" s="8">
        <v>841020350429</v>
      </c>
      <c r="J371" s="8" t="s">
        <v>1533</v>
      </c>
      <c r="K371" s="8" t="s">
        <v>3478</v>
      </c>
      <c r="L371" s="8" t="s">
        <v>1686</v>
      </c>
      <c r="M371" s="8" t="s">
        <v>2202</v>
      </c>
      <c r="N371" s="8">
        <v>87017776566</v>
      </c>
      <c r="O371" s="8">
        <v>330000</v>
      </c>
      <c r="P371" s="8">
        <v>0</v>
      </c>
      <c r="Q371" s="8" t="s">
        <v>464</v>
      </c>
    </row>
    <row r="372" spans="1:17" ht="13.2">
      <c r="A372" s="26">
        <v>45757.673608668978</v>
      </c>
      <c r="B372" s="8" t="s">
        <v>1141</v>
      </c>
      <c r="C372" s="8" t="s">
        <v>3479</v>
      </c>
      <c r="D372" s="8" t="s">
        <v>3480</v>
      </c>
      <c r="E372" s="8" t="s">
        <v>3481</v>
      </c>
      <c r="F372" s="82" t="s">
        <v>3482</v>
      </c>
      <c r="G372" s="27">
        <v>45154</v>
      </c>
      <c r="H372" s="8" t="s">
        <v>1371</v>
      </c>
      <c r="I372" s="8">
        <v>790204301278</v>
      </c>
      <c r="J372" s="8" t="s">
        <v>1564</v>
      </c>
      <c r="K372" s="8" t="s">
        <v>1748</v>
      </c>
      <c r="L372" s="8" t="s">
        <v>3483</v>
      </c>
      <c r="M372" s="8" t="s">
        <v>3484</v>
      </c>
      <c r="N372" s="8">
        <v>87078430616</v>
      </c>
      <c r="O372" s="8">
        <v>0</v>
      </c>
      <c r="P372" s="8">
        <v>410000</v>
      </c>
      <c r="Q372" s="8" t="s">
        <v>530</v>
      </c>
    </row>
    <row r="373" spans="1:17" ht="13.2">
      <c r="A373" s="26">
        <v>45757.714653009258</v>
      </c>
      <c r="B373" s="8" t="s">
        <v>1071</v>
      </c>
      <c r="C373" s="8" t="s">
        <v>3485</v>
      </c>
      <c r="D373" s="8" t="s">
        <v>3486</v>
      </c>
      <c r="E373" s="8" t="s">
        <v>3487</v>
      </c>
      <c r="F373" s="82" t="s">
        <v>3488</v>
      </c>
      <c r="G373" s="27">
        <v>43061</v>
      </c>
      <c r="H373" s="8" t="s">
        <v>1431</v>
      </c>
      <c r="I373" s="8">
        <v>980211301305</v>
      </c>
      <c r="J373" s="8" t="s">
        <v>2008</v>
      </c>
      <c r="K373" s="8" t="s">
        <v>2218</v>
      </c>
      <c r="L373" s="8" t="s">
        <v>3489</v>
      </c>
      <c r="M373" s="8" t="s">
        <v>3490</v>
      </c>
      <c r="N373" s="8">
        <v>87471724288</v>
      </c>
      <c r="O373" s="8">
        <v>380000</v>
      </c>
      <c r="P373" s="8">
        <v>0</v>
      </c>
      <c r="Q373" s="8" t="s">
        <v>484</v>
      </c>
    </row>
    <row r="374" spans="1:17" ht="13.2">
      <c r="A374" s="26">
        <v>45758.47688047454</v>
      </c>
      <c r="B374" s="8" t="s">
        <v>1049</v>
      </c>
      <c r="C374" s="8" t="s">
        <v>3491</v>
      </c>
      <c r="D374" s="8" t="s">
        <v>3492</v>
      </c>
      <c r="E374" s="8" t="s">
        <v>1191</v>
      </c>
      <c r="F374" s="82" t="s">
        <v>3493</v>
      </c>
      <c r="G374" s="27">
        <v>45030</v>
      </c>
      <c r="H374" s="8" t="s">
        <v>1371</v>
      </c>
      <c r="I374" s="8">
        <v>780131300023</v>
      </c>
      <c r="J374" s="8" t="s">
        <v>2008</v>
      </c>
      <c r="K374" s="8" t="s">
        <v>3494</v>
      </c>
      <c r="L374" s="8" t="s">
        <v>3495</v>
      </c>
      <c r="M374" s="8" t="s">
        <v>2051</v>
      </c>
      <c r="N374" s="8">
        <v>87477374548</v>
      </c>
      <c r="O374" s="8">
        <v>360000</v>
      </c>
      <c r="P374" s="8">
        <v>0</v>
      </c>
      <c r="Q374" s="8" t="s">
        <v>495</v>
      </c>
    </row>
    <row r="375" spans="1:17" ht="13.2">
      <c r="A375" s="26">
        <v>45760.655983946759</v>
      </c>
      <c r="B375" s="8" t="s">
        <v>1141</v>
      </c>
      <c r="C375" s="8" t="s">
        <v>3496</v>
      </c>
      <c r="D375" s="8" t="s">
        <v>1967</v>
      </c>
      <c r="F375" s="82" t="s">
        <v>3497</v>
      </c>
      <c r="G375" s="27">
        <v>42754</v>
      </c>
      <c r="H375" s="8" t="s">
        <v>1371</v>
      </c>
      <c r="I375" s="82" t="s">
        <v>3498</v>
      </c>
      <c r="J375" s="8" t="s">
        <v>1533</v>
      </c>
      <c r="K375" s="8" t="s">
        <v>3499</v>
      </c>
      <c r="L375" s="8" t="s">
        <v>3500</v>
      </c>
      <c r="M375" s="8" t="s">
        <v>3501</v>
      </c>
      <c r="N375" s="8">
        <v>87057474821</v>
      </c>
      <c r="O375" s="8">
        <v>0</v>
      </c>
      <c r="P375" s="8">
        <v>330000</v>
      </c>
      <c r="Q375" s="8" t="s">
        <v>527</v>
      </c>
    </row>
    <row r="376" spans="1:17" ht="13.2">
      <c r="A376" s="26">
        <v>45761.51126136574</v>
      </c>
      <c r="B376" s="8" t="s">
        <v>1071</v>
      </c>
      <c r="C376" s="8" t="s">
        <v>3502</v>
      </c>
      <c r="D376" s="8" t="s">
        <v>1262</v>
      </c>
      <c r="E376" s="8" t="s">
        <v>1480</v>
      </c>
      <c r="F376" s="82" t="s">
        <v>3503</v>
      </c>
      <c r="G376" s="27">
        <v>44608</v>
      </c>
      <c r="H376" s="8" t="s">
        <v>1371</v>
      </c>
      <c r="I376" s="8">
        <v>940823350076</v>
      </c>
      <c r="J376" s="8" t="s">
        <v>1976</v>
      </c>
      <c r="K376" s="8" t="s">
        <v>3504</v>
      </c>
      <c r="L376" s="8" t="s">
        <v>3505</v>
      </c>
      <c r="M376" s="8" t="s">
        <v>3501</v>
      </c>
      <c r="N376" s="8">
        <v>87072479999</v>
      </c>
      <c r="O376" s="8">
        <v>0</v>
      </c>
      <c r="P376" s="8">
        <v>360000</v>
      </c>
      <c r="Q376" s="8" t="s">
        <v>534</v>
      </c>
    </row>
    <row r="377" spans="1:17" ht="13.2">
      <c r="A377" s="26">
        <v>45762.476094826387</v>
      </c>
      <c r="B377" s="8" t="s">
        <v>1049</v>
      </c>
      <c r="C377" s="8" t="s">
        <v>3506</v>
      </c>
      <c r="D377" s="8" t="s">
        <v>1081</v>
      </c>
      <c r="E377" s="8" t="s">
        <v>3507</v>
      </c>
      <c r="F377" s="82" t="s">
        <v>3508</v>
      </c>
      <c r="G377" s="27">
        <v>45065</v>
      </c>
      <c r="H377" s="8" t="s">
        <v>1371</v>
      </c>
      <c r="I377" s="8">
        <v>790430300566</v>
      </c>
      <c r="J377" s="8" t="s">
        <v>2008</v>
      </c>
      <c r="K377" s="8" t="s">
        <v>3241</v>
      </c>
      <c r="L377" s="8" t="s">
        <v>3509</v>
      </c>
      <c r="M377" s="8" t="s">
        <v>3510</v>
      </c>
      <c r="N377" s="8">
        <v>87004044104</v>
      </c>
      <c r="O377" s="8">
        <v>360000</v>
      </c>
      <c r="P377" s="8">
        <v>0</v>
      </c>
      <c r="Q377" s="8" t="s">
        <v>536</v>
      </c>
    </row>
    <row r="378" spans="1:17" ht="13.2">
      <c r="A378" s="26">
        <v>45762.562294409727</v>
      </c>
      <c r="B378" s="8" t="s">
        <v>1071</v>
      </c>
      <c r="C378" s="8" t="s">
        <v>3511</v>
      </c>
      <c r="D378" s="8" t="s">
        <v>1921</v>
      </c>
      <c r="E378" s="8" t="s">
        <v>3512</v>
      </c>
      <c r="F378" s="82" t="s">
        <v>3513</v>
      </c>
      <c r="G378" s="27">
        <v>42608</v>
      </c>
      <c r="H378" s="8" t="s">
        <v>1371</v>
      </c>
      <c r="I378" s="8">
        <v>790723301041</v>
      </c>
      <c r="J378" s="8" t="s">
        <v>1976</v>
      </c>
      <c r="K378" s="8" t="s">
        <v>1977</v>
      </c>
      <c r="L378" s="8" t="s">
        <v>3514</v>
      </c>
      <c r="M378" s="8" t="s">
        <v>3515</v>
      </c>
      <c r="N378" s="8">
        <v>87477447457</v>
      </c>
      <c r="O378" s="8">
        <v>0</v>
      </c>
      <c r="P378" s="8">
        <v>390000</v>
      </c>
      <c r="Q378" s="8" t="s">
        <v>537</v>
      </c>
    </row>
    <row r="379" spans="1:17" ht="13.2">
      <c r="A379" s="26">
        <v>45762.571593125002</v>
      </c>
      <c r="B379" s="8" t="s">
        <v>1141</v>
      </c>
      <c r="C379" s="8" t="s">
        <v>3516</v>
      </c>
      <c r="D379" s="8" t="s">
        <v>1855</v>
      </c>
      <c r="E379" s="8" t="s">
        <v>2267</v>
      </c>
      <c r="F379" s="82" t="s">
        <v>3517</v>
      </c>
      <c r="G379" s="27">
        <v>45688</v>
      </c>
      <c r="H379" s="8" t="s">
        <v>1371</v>
      </c>
      <c r="I379" s="8">
        <v>740310350174</v>
      </c>
      <c r="J379" s="8" t="s">
        <v>1564</v>
      </c>
      <c r="K379" s="8" t="s">
        <v>3518</v>
      </c>
      <c r="L379" s="8" t="s">
        <v>3519</v>
      </c>
      <c r="M379" s="8" t="s">
        <v>3520</v>
      </c>
      <c r="N379" s="8">
        <v>87011447740</v>
      </c>
      <c r="O379" s="8">
        <v>350000</v>
      </c>
      <c r="P379" s="8">
        <v>0</v>
      </c>
      <c r="Q379" s="8" t="s">
        <v>400</v>
      </c>
    </row>
    <row r="380" spans="1:17" ht="13.2">
      <c r="A380" s="26">
        <v>45762.581215439815</v>
      </c>
      <c r="B380" s="8" t="s">
        <v>1049</v>
      </c>
      <c r="C380" s="8" t="s">
        <v>3521</v>
      </c>
      <c r="D380" s="8" t="s">
        <v>1256</v>
      </c>
      <c r="E380" s="8" t="s">
        <v>1055</v>
      </c>
      <c r="F380" s="82" t="s">
        <v>3522</v>
      </c>
      <c r="G380" s="27">
        <v>44267</v>
      </c>
      <c r="H380" s="8" t="s">
        <v>1371</v>
      </c>
      <c r="I380" s="8">
        <v>830326300392</v>
      </c>
      <c r="J380" s="8" t="s">
        <v>2008</v>
      </c>
      <c r="K380" s="8" t="s">
        <v>3523</v>
      </c>
      <c r="L380" s="8" t="s">
        <v>3524</v>
      </c>
      <c r="M380" s="8" t="s">
        <v>3525</v>
      </c>
      <c r="N380" s="8">
        <v>87771935602</v>
      </c>
      <c r="O380" s="8">
        <v>380000</v>
      </c>
      <c r="P380" s="8">
        <v>0</v>
      </c>
      <c r="Q380" s="8" t="s">
        <v>538</v>
      </c>
    </row>
    <row r="381" spans="1:17" ht="13.2">
      <c r="A381" s="26">
        <v>45762.679768634262</v>
      </c>
      <c r="B381" s="8" t="s">
        <v>1071</v>
      </c>
      <c r="C381" s="8" t="s">
        <v>3526</v>
      </c>
      <c r="D381" s="8" t="s">
        <v>1253</v>
      </c>
      <c r="E381" s="8" t="s">
        <v>2250</v>
      </c>
      <c r="F381" s="82" t="s">
        <v>3527</v>
      </c>
      <c r="G381" s="27">
        <v>43269</v>
      </c>
      <c r="H381" s="8" t="s">
        <v>1371</v>
      </c>
      <c r="I381" s="8">
        <v>791026450199</v>
      </c>
      <c r="J381" s="8" t="s">
        <v>1976</v>
      </c>
      <c r="K381" s="8" t="s">
        <v>1977</v>
      </c>
      <c r="L381" s="8" t="s">
        <v>3528</v>
      </c>
      <c r="M381" s="8" t="s">
        <v>3529</v>
      </c>
      <c r="N381" s="8">
        <v>87057052680</v>
      </c>
      <c r="O381" s="8">
        <v>430000</v>
      </c>
      <c r="P381" s="8">
        <v>0</v>
      </c>
      <c r="Q381" s="8" t="s">
        <v>539</v>
      </c>
    </row>
    <row r="382" spans="1:17" ht="13.2">
      <c r="A382" s="26">
        <v>45762.695650787035</v>
      </c>
      <c r="B382" s="8" t="s">
        <v>1071</v>
      </c>
      <c r="C382" s="8" t="s">
        <v>2919</v>
      </c>
      <c r="D382" s="8" t="s">
        <v>3530</v>
      </c>
      <c r="E382" s="8" t="s">
        <v>3531</v>
      </c>
      <c r="F382" s="82" t="s">
        <v>3532</v>
      </c>
      <c r="G382" s="27">
        <v>43389</v>
      </c>
      <c r="H382" s="8" t="s">
        <v>1431</v>
      </c>
      <c r="I382" s="82" t="s">
        <v>3533</v>
      </c>
      <c r="J382" s="8" t="s">
        <v>2113</v>
      </c>
      <c r="K382" s="8" t="s">
        <v>2022</v>
      </c>
      <c r="L382" s="8" t="s">
        <v>3534</v>
      </c>
      <c r="M382" s="8" t="s">
        <v>2202</v>
      </c>
      <c r="N382" s="8">
        <v>87774952895</v>
      </c>
      <c r="O382" s="8">
        <v>360000</v>
      </c>
      <c r="P382" s="8">
        <v>50000</v>
      </c>
      <c r="Q382" s="8" t="s">
        <v>540</v>
      </c>
    </row>
    <row r="383" spans="1:17" ht="13.2">
      <c r="A383" s="26">
        <v>45763.425166412038</v>
      </c>
      <c r="B383" s="8" t="s">
        <v>1071</v>
      </c>
      <c r="C383" s="8" t="s">
        <v>3535</v>
      </c>
      <c r="D383" s="8" t="s">
        <v>1855</v>
      </c>
      <c r="E383" s="8" t="s">
        <v>3536</v>
      </c>
      <c r="F383" s="82" t="s">
        <v>3537</v>
      </c>
      <c r="G383" s="27">
        <v>44672</v>
      </c>
      <c r="H383" s="8" t="s">
        <v>1371</v>
      </c>
      <c r="I383" s="8">
        <v>780211302212</v>
      </c>
      <c r="J383" s="8" t="s">
        <v>1976</v>
      </c>
      <c r="K383" s="8" t="s">
        <v>1977</v>
      </c>
      <c r="L383" s="8" t="s">
        <v>3538</v>
      </c>
      <c r="M383" s="8" t="s">
        <v>3539</v>
      </c>
      <c r="N383" s="8">
        <v>87058997262</v>
      </c>
      <c r="O383" s="8">
        <v>360000</v>
      </c>
      <c r="P383" s="8">
        <v>0</v>
      </c>
      <c r="Q383" s="8" t="s">
        <v>541</v>
      </c>
    </row>
    <row r="384" spans="1:17" ht="13.2">
      <c r="A384" s="26">
        <v>45763.515382534722</v>
      </c>
      <c r="B384" s="8" t="s">
        <v>1071</v>
      </c>
      <c r="C384" s="8" t="s">
        <v>3540</v>
      </c>
      <c r="D384" s="8" t="s">
        <v>1739</v>
      </c>
      <c r="E384" s="8" t="s">
        <v>3541</v>
      </c>
      <c r="F384" s="82" t="s">
        <v>3542</v>
      </c>
      <c r="G384" s="27">
        <v>43117</v>
      </c>
      <c r="H384" s="8" t="s">
        <v>1371</v>
      </c>
      <c r="I384" s="8">
        <v>751008300281</v>
      </c>
      <c r="J384" s="8" t="s">
        <v>1976</v>
      </c>
      <c r="K384" s="8" t="s">
        <v>1977</v>
      </c>
      <c r="L384" s="8" t="s">
        <v>3543</v>
      </c>
      <c r="M384" s="8" t="s">
        <v>3544</v>
      </c>
      <c r="N384" s="8">
        <v>87075269088</v>
      </c>
      <c r="O384" s="8">
        <v>390000</v>
      </c>
      <c r="P384" s="8">
        <v>0</v>
      </c>
      <c r="Q384" s="8" t="s">
        <v>542</v>
      </c>
    </row>
    <row r="385" spans="1:17" ht="13.2">
      <c r="A385" s="26">
        <v>45764.441692407403</v>
      </c>
      <c r="B385" s="8" t="s">
        <v>1071</v>
      </c>
      <c r="C385" s="8" t="s">
        <v>3545</v>
      </c>
      <c r="D385" s="8" t="s">
        <v>1099</v>
      </c>
      <c r="E385" s="8" t="s">
        <v>1697</v>
      </c>
      <c r="F385" s="82" t="s">
        <v>3546</v>
      </c>
      <c r="G385" s="27">
        <v>44813</v>
      </c>
      <c r="H385" s="8" t="s">
        <v>1371</v>
      </c>
      <c r="I385" s="8">
        <v>840307351325</v>
      </c>
      <c r="J385" s="8" t="s">
        <v>1976</v>
      </c>
      <c r="K385" s="8" t="s">
        <v>2001</v>
      </c>
      <c r="L385" s="8" t="s">
        <v>3547</v>
      </c>
      <c r="M385" s="8" t="s">
        <v>3548</v>
      </c>
      <c r="N385" s="8">
        <v>87773131030</v>
      </c>
      <c r="O385" s="8">
        <v>390000</v>
      </c>
      <c r="P385" s="8">
        <v>0</v>
      </c>
      <c r="Q385" s="8" t="s">
        <v>543</v>
      </c>
    </row>
    <row r="386" spans="1:17" ht="13.2">
      <c r="A386" s="26">
        <v>45764.633644965274</v>
      </c>
      <c r="B386" s="8" t="s">
        <v>1141</v>
      </c>
      <c r="C386" s="8" t="s">
        <v>3549</v>
      </c>
      <c r="D386" s="8" t="s">
        <v>1237</v>
      </c>
      <c r="E386" s="8" t="s">
        <v>2956</v>
      </c>
      <c r="F386" s="82" t="s">
        <v>3550</v>
      </c>
      <c r="G386" s="27">
        <v>45735</v>
      </c>
      <c r="H386" s="8" t="s">
        <v>1371</v>
      </c>
      <c r="I386" s="8">
        <v>841106351078</v>
      </c>
      <c r="J386" s="8" t="s">
        <v>1882</v>
      </c>
      <c r="K386" s="8" t="s">
        <v>3551</v>
      </c>
      <c r="L386" s="8" t="s">
        <v>3552</v>
      </c>
      <c r="M386" s="8" t="s">
        <v>2167</v>
      </c>
      <c r="N386" s="8">
        <v>87715921992</v>
      </c>
      <c r="O386" s="8">
        <v>780000</v>
      </c>
      <c r="P386" s="8">
        <v>0</v>
      </c>
      <c r="Q386" s="8" t="s">
        <v>545</v>
      </c>
    </row>
    <row r="387" spans="1:17" ht="13.2">
      <c r="A387" s="26">
        <v>45764.674664872684</v>
      </c>
      <c r="B387" s="8" t="s">
        <v>1071</v>
      </c>
      <c r="C387" s="8" t="s">
        <v>3553</v>
      </c>
      <c r="D387" s="8" t="s">
        <v>3554</v>
      </c>
      <c r="E387" s="8" t="s">
        <v>2869</v>
      </c>
      <c r="F387" s="82" t="s">
        <v>3555</v>
      </c>
      <c r="G387" s="27">
        <v>45735</v>
      </c>
      <c r="H387" s="8" t="s">
        <v>1371</v>
      </c>
      <c r="I387" s="8">
        <v>850612351414</v>
      </c>
      <c r="J387" s="8" t="s">
        <v>1976</v>
      </c>
      <c r="K387" s="8" t="s">
        <v>3556</v>
      </c>
      <c r="L387" s="8" t="s">
        <v>3557</v>
      </c>
      <c r="M387" s="8" t="s">
        <v>2051</v>
      </c>
      <c r="N387" s="8">
        <v>87712431414</v>
      </c>
      <c r="O387" s="8">
        <v>50000</v>
      </c>
      <c r="P387" s="8">
        <v>200000</v>
      </c>
      <c r="Q387" s="8" t="s">
        <v>544</v>
      </c>
    </row>
    <row r="388" spans="1:17" ht="13.2">
      <c r="A388" s="26">
        <v>45766.58295019676</v>
      </c>
      <c r="B388" s="8" t="s">
        <v>1049</v>
      </c>
      <c r="C388" s="8" t="s">
        <v>3558</v>
      </c>
      <c r="D388" s="8" t="s">
        <v>1439</v>
      </c>
      <c r="E388" s="8" t="s">
        <v>1201</v>
      </c>
      <c r="F388" s="82" t="s">
        <v>2386</v>
      </c>
      <c r="G388" s="27">
        <v>43475</v>
      </c>
      <c r="H388" s="8" t="s">
        <v>1371</v>
      </c>
      <c r="I388" s="8">
        <v>890121300399</v>
      </c>
      <c r="J388" s="8" t="s">
        <v>2015</v>
      </c>
      <c r="K388" s="8" t="s">
        <v>2387</v>
      </c>
      <c r="L388" s="8" t="s">
        <v>3559</v>
      </c>
      <c r="M388" s="8" t="s">
        <v>3560</v>
      </c>
      <c r="N388" s="8">
        <v>87059907871</v>
      </c>
      <c r="O388" s="8">
        <v>0</v>
      </c>
      <c r="P388" s="8">
        <v>280000</v>
      </c>
      <c r="Q388" s="8" t="s">
        <v>546</v>
      </c>
    </row>
    <row r="389" spans="1:17" ht="13.2">
      <c r="A389" s="26">
        <v>45766.839623692125</v>
      </c>
      <c r="B389" s="8" t="s">
        <v>1049</v>
      </c>
      <c r="C389" s="8" t="s">
        <v>3561</v>
      </c>
      <c r="D389" s="8" t="s">
        <v>3562</v>
      </c>
      <c r="E389" s="8" t="s">
        <v>3563</v>
      </c>
      <c r="F389" s="82" t="s">
        <v>3564</v>
      </c>
      <c r="G389" s="27">
        <v>43497</v>
      </c>
      <c r="H389" s="8" t="s">
        <v>1371</v>
      </c>
      <c r="I389" s="8">
        <v>831225301027</v>
      </c>
      <c r="J389" s="8" t="s">
        <v>2008</v>
      </c>
      <c r="K389" s="8" t="s">
        <v>3565</v>
      </c>
      <c r="L389" s="8" t="s">
        <v>3566</v>
      </c>
      <c r="M389" s="8" t="s">
        <v>3567</v>
      </c>
      <c r="N389" s="8">
        <v>87082206012</v>
      </c>
      <c r="O389" s="8" t="s">
        <v>3568</v>
      </c>
      <c r="P389" s="8">
        <v>0</v>
      </c>
      <c r="Q389" s="8" t="s">
        <v>547</v>
      </c>
    </row>
    <row r="390" spans="1:17" ht="13.2">
      <c r="A390" s="26">
        <v>45768.54271465278</v>
      </c>
      <c r="B390" s="8" t="s">
        <v>1049</v>
      </c>
      <c r="C390" s="8" t="s">
        <v>3569</v>
      </c>
      <c r="D390" s="8" t="s">
        <v>1845</v>
      </c>
      <c r="E390" s="8" t="s">
        <v>3570</v>
      </c>
      <c r="F390" s="82" t="s">
        <v>3571</v>
      </c>
      <c r="G390" s="27">
        <v>44813</v>
      </c>
      <c r="H390" s="8" t="s">
        <v>1371</v>
      </c>
      <c r="I390" s="8">
        <v>880724302123</v>
      </c>
      <c r="J390" s="8" t="s">
        <v>3572</v>
      </c>
      <c r="K390" s="8" t="s">
        <v>3573</v>
      </c>
      <c r="L390" s="8" t="s">
        <v>3574</v>
      </c>
      <c r="M390" s="8" t="s">
        <v>1762</v>
      </c>
      <c r="N390" s="8">
        <v>87476489259</v>
      </c>
      <c r="O390" s="8">
        <v>0</v>
      </c>
      <c r="P390" s="8">
        <v>310000</v>
      </c>
      <c r="Q390" s="8" t="s">
        <v>496</v>
      </c>
    </row>
    <row r="391" spans="1:17" ht="13.2">
      <c r="A391" s="26">
        <v>45768.564429131948</v>
      </c>
      <c r="B391" s="8" t="s">
        <v>1071</v>
      </c>
      <c r="C391" s="8" t="s">
        <v>3575</v>
      </c>
      <c r="D391" s="8" t="s">
        <v>1172</v>
      </c>
      <c r="E391" s="8" t="s">
        <v>1386</v>
      </c>
      <c r="F391" s="82" t="s">
        <v>3576</v>
      </c>
      <c r="G391" s="27">
        <v>39841</v>
      </c>
      <c r="H391" s="8" t="s">
        <v>1410</v>
      </c>
      <c r="I391" s="8">
        <v>840112351177</v>
      </c>
      <c r="J391" s="8" t="s">
        <v>1976</v>
      </c>
      <c r="K391" s="8" t="s">
        <v>3577</v>
      </c>
      <c r="L391" s="8" t="s">
        <v>3421</v>
      </c>
      <c r="M391" s="8" t="s">
        <v>1529</v>
      </c>
      <c r="N391" s="8">
        <v>87054234256</v>
      </c>
      <c r="O391" s="8">
        <v>360000</v>
      </c>
      <c r="P391" s="8">
        <v>0</v>
      </c>
      <c r="Q391" s="8" t="s">
        <v>548</v>
      </c>
    </row>
    <row r="392" spans="1:17" ht="13.2">
      <c r="A392" s="26">
        <v>45768.595706296299</v>
      </c>
      <c r="B392" s="8" t="s">
        <v>1141</v>
      </c>
      <c r="C392" s="8" t="s">
        <v>3578</v>
      </c>
      <c r="D392" s="8" t="s">
        <v>2403</v>
      </c>
      <c r="E392" s="8" t="s">
        <v>3579</v>
      </c>
      <c r="F392" s="82" t="s">
        <v>3580</v>
      </c>
      <c r="G392" s="27">
        <v>44707</v>
      </c>
      <c r="H392" s="8" t="s">
        <v>1371</v>
      </c>
      <c r="I392" s="8">
        <v>870921350698</v>
      </c>
      <c r="J392" s="8" t="s">
        <v>1564</v>
      </c>
      <c r="K392" s="8" t="s">
        <v>3581</v>
      </c>
      <c r="L392" s="8" t="s">
        <v>2556</v>
      </c>
      <c r="M392" s="8" t="s">
        <v>3582</v>
      </c>
      <c r="N392" s="8">
        <v>87771005025</v>
      </c>
      <c r="O392" s="8">
        <v>370000</v>
      </c>
      <c r="P392" s="8">
        <v>0</v>
      </c>
      <c r="Q392" s="8" t="s">
        <v>562</v>
      </c>
    </row>
    <row r="393" spans="1:17" ht="13.2">
      <c r="A393" s="26">
        <v>45768.602817152772</v>
      </c>
      <c r="B393" s="8" t="s">
        <v>1141</v>
      </c>
      <c r="C393" s="8" t="s">
        <v>3583</v>
      </c>
      <c r="D393" s="8" t="s">
        <v>1993</v>
      </c>
      <c r="E393" s="8" t="s">
        <v>1386</v>
      </c>
      <c r="F393" s="82" t="s">
        <v>3584</v>
      </c>
      <c r="G393" s="27">
        <v>42269</v>
      </c>
      <c r="H393" s="8" t="s">
        <v>1371</v>
      </c>
      <c r="I393" s="8">
        <v>85102351273</v>
      </c>
      <c r="J393" s="8" t="s">
        <v>1564</v>
      </c>
      <c r="K393" s="8" t="s">
        <v>2888</v>
      </c>
      <c r="L393" s="8" t="s">
        <v>3585</v>
      </c>
      <c r="M393" s="8" t="s">
        <v>1744</v>
      </c>
      <c r="N393" s="8">
        <v>87476669330</v>
      </c>
      <c r="O393" s="8">
        <v>400000</v>
      </c>
      <c r="P393" s="8">
        <v>0</v>
      </c>
      <c r="Q393" s="8" t="s">
        <v>550</v>
      </c>
    </row>
    <row r="394" spans="1:17" ht="13.2">
      <c r="A394" s="26">
        <v>45768.614206666665</v>
      </c>
      <c r="B394" s="8" t="s">
        <v>1141</v>
      </c>
      <c r="C394" s="8" t="s">
        <v>3586</v>
      </c>
      <c r="D394" s="8" t="s">
        <v>3587</v>
      </c>
      <c r="E394" s="8" t="s">
        <v>3588</v>
      </c>
      <c r="F394" s="82" t="s">
        <v>3589</v>
      </c>
      <c r="G394" s="27">
        <v>43612</v>
      </c>
      <c r="H394" s="8" t="s">
        <v>1371</v>
      </c>
      <c r="I394" s="8">
        <v>861229350548</v>
      </c>
      <c r="J394" s="8" t="s">
        <v>1564</v>
      </c>
      <c r="K394" s="8" t="s">
        <v>1565</v>
      </c>
      <c r="L394" s="8" t="s">
        <v>3590</v>
      </c>
      <c r="M394" s="8" t="s">
        <v>3591</v>
      </c>
      <c r="N394" s="8">
        <v>87017493856</v>
      </c>
      <c r="O394" s="8">
        <v>0</v>
      </c>
      <c r="P394" s="8">
        <v>360000</v>
      </c>
      <c r="Q394" s="8" t="s">
        <v>552</v>
      </c>
    </row>
    <row r="395" spans="1:17" ht="13.2">
      <c r="A395" s="26">
        <v>45768.664526493056</v>
      </c>
      <c r="B395" s="8" t="s">
        <v>1141</v>
      </c>
      <c r="C395" s="8" t="s">
        <v>3592</v>
      </c>
      <c r="D395" s="8" t="s">
        <v>3593</v>
      </c>
      <c r="E395" s="8" t="s">
        <v>3594</v>
      </c>
      <c r="F395" s="82" t="s">
        <v>3595</v>
      </c>
      <c r="G395" s="27">
        <v>45216</v>
      </c>
      <c r="H395" s="8" t="s">
        <v>1371</v>
      </c>
      <c r="I395" s="8">
        <v>920113351714</v>
      </c>
      <c r="J395" s="8" t="s">
        <v>1564</v>
      </c>
      <c r="K395" s="8" t="s">
        <v>3596</v>
      </c>
      <c r="L395" s="8" t="s">
        <v>3597</v>
      </c>
      <c r="M395" s="8" t="s">
        <v>3598</v>
      </c>
      <c r="N395" s="8">
        <v>87082320908</v>
      </c>
      <c r="O395" s="8">
        <v>345000</v>
      </c>
      <c r="P395" s="8">
        <v>0</v>
      </c>
      <c r="Q395" s="8" t="s">
        <v>135</v>
      </c>
    </row>
    <row r="396" spans="1:17" ht="13.2">
      <c r="A396" s="26">
        <v>45769.562135034721</v>
      </c>
      <c r="B396" s="8" t="s">
        <v>1049</v>
      </c>
      <c r="C396" s="8" t="s">
        <v>3599</v>
      </c>
      <c r="D396" s="8" t="s">
        <v>3286</v>
      </c>
      <c r="E396" s="8" t="s">
        <v>1511</v>
      </c>
      <c r="F396" s="82" t="s">
        <v>3600</v>
      </c>
      <c r="G396" s="27">
        <v>45232</v>
      </c>
      <c r="H396" s="8" t="s">
        <v>1371</v>
      </c>
      <c r="I396" s="8">
        <v>871207303200</v>
      </c>
      <c r="J396" s="8" t="s">
        <v>2008</v>
      </c>
      <c r="K396" s="8" t="s">
        <v>2399</v>
      </c>
      <c r="L396" s="8" t="s">
        <v>3601</v>
      </c>
      <c r="M396" s="8" t="s">
        <v>3602</v>
      </c>
      <c r="N396" s="8">
        <v>87471537651</v>
      </c>
      <c r="O396" s="8">
        <v>520000</v>
      </c>
      <c r="P396" s="8">
        <v>0</v>
      </c>
      <c r="Q396" s="8" t="s">
        <v>553</v>
      </c>
    </row>
    <row r="397" spans="1:17" ht="13.2">
      <c r="A397" s="26">
        <v>45769.656040046291</v>
      </c>
      <c r="B397" s="8" t="s">
        <v>1071</v>
      </c>
      <c r="C397" s="8" t="s">
        <v>3603</v>
      </c>
      <c r="D397" s="8" t="s">
        <v>3604</v>
      </c>
      <c r="E397" s="8" t="s">
        <v>1913</v>
      </c>
      <c r="F397" s="82" t="s">
        <v>3605</v>
      </c>
      <c r="G397" s="27">
        <v>44380</v>
      </c>
      <c r="H397" s="8" t="s">
        <v>1371</v>
      </c>
      <c r="I397" s="8">
        <v>920330351516</v>
      </c>
      <c r="J397" s="8" t="s">
        <v>1976</v>
      </c>
      <c r="K397" s="8" t="s">
        <v>2616</v>
      </c>
      <c r="L397" s="8" t="s">
        <v>3182</v>
      </c>
      <c r="M397" s="8" t="s">
        <v>3606</v>
      </c>
      <c r="N397" s="8">
        <v>87710220777</v>
      </c>
      <c r="O397" s="8">
        <v>360000</v>
      </c>
      <c r="P397" s="8">
        <v>30000</v>
      </c>
      <c r="Q397" s="8" t="s">
        <v>554</v>
      </c>
    </row>
    <row r="398" spans="1:17" ht="13.2">
      <c r="A398" s="26">
        <v>45770.487558136578</v>
      </c>
      <c r="B398" s="8" t="s">
        <v>1141</v>
      </c>
      <c r="C398" s="8" t="s">
        <v>3607</v>
      </c>
      <c r="D398" s="8" t="s">
        <v>2481</v>
      </c>
      <c r="E398" s="8" t="s">
        <v>3608</v>
      </c>
      <c r="F398" s="82" t="s">
        <v>3609</v>
      </c>
      <c r="G398" s="27">
        <v>44344</v>
      </c>
      <c r="H398" s="8" t="s">
        <v>1371</v>
      </c>
      <c r="I398" s="8">
        <v>860502350896</v>
      </c>
      <c r="J398" s="8" t="s">
        <v>3610</v>
      </c>
      <c r="K398" s="8" t="s">
        <v>3611</v>
      </c>
      <c r="L398" s="8" t="s">
        <v>3612</v>
      </c>
      <c r="M398" s="8" t="s">
        <v>2139</v>
      </c>
      <c r="N398" s="8">
        <v>87011908802</v>
      </c>
      <c r="O398" s="8">
        <v>0</v>
      </c>
      <c r="P398" s="8">
        <v>360000</v>
      </c>
      <c r="Q398" s="8" t="s">
        <v>555</v>
      </c>
    </row>
    <row r="399" spans="1:17" ht="13.2">
      <c r="A399" s="26">
        <v>45770.502138483796</v>
      </c>
      <c r="B399" s="8" t="s">
        <v>1071</v>
      </c>
      <c r="C399" s="8" t="s">
        <v>3613</v>
      </c>
      <c r="D399" s="8" t="s">
        <v>1109</v>
      </c>
      <c r="E399" s="8" t="s">
        <v>2059</v>
      </c>
      <c r="F399" s="82" t="s">
        <v>3614</v>
      </c>
      <c r="G399" s="27">
        <v>42600</v>
      </c>
      <c r="H399" s="8" t="s">
        <v>1371</v>
      </c>
      <c r="I399" s="8">
        <v>910826350641</v>
      </c>
      <c r="J399" s="8" t="s">
        <v>1976</v>
      </c>
      <c r="K399" s="8" t="s">
        <v>3615</v>
      </c>
      <c r="L399" s="8" t="s">
        <v>3616</v>
      </c>
      <c r="M399" s="8" t="s">
        <v>3617</v>
      </c>
      <c r="N399" s="8">
        <v>87088565754</v>
      </c>
      <c r="O399" s="8">
        <v>567000</v>
      </c>
      <c r="P399" s="8">
        <v>100000</v>
      </c>
      <c r="Q399" s="8" t="s">
        <v>557</v>
      </c>
    </row>
    <row r="400" spans="1:17" ht="13.2">
      <c r="A400" s="26">
        <v>45771.491514942129</v>
      </c>
      <c r="B400" s="8" t="s">
        <v>1141</v>
      </c>
      <c r="C400" s="8" t="s">
        <v>3618</v>
      </c>
      <c r="D400" s="8" t="s">
        <v>3619</v>
      </c>
      <c r="E400" s="8" t="s">
        <v>3620</v>
      </c>
      <c r="F400" s="82" t="s">
        <v>3621</v>
      </c>
      <c r="G400" s="27">
        <v>45071</v>
      </c>
      <c r="H400" s="8" t="s">
        <v>1371</v>
      </c>
      <c r="I400" s="8">
        <v>780520300088</v>
      </c>
      <c r="J400" s="8" t="s">
        <v>1564</v>
      </c>
      <c r="K400" s="8" t="s">
        <v>3518</v>
      </c>
      <c r="L400" s="8" t="s">
        <v>3622</v>
      </c>
      <c r="M400" s="8" t="s">
        <v>3623</v>
      </c>
      <c r="N400" s="8">
        <v>87782052149</v>
      </c>
      <c r="O400" s="8">
        <v>0</v>
      </c>
      <c r="P400" s="8">
        <v>360000</v>
      </c>
      <c r="Q400" s="8" t="s">
        <v>558</v>
      </c>
    </row>
    <row r="401" spans="1:17" ht="13.2">
      <c r="A401" s="26">
        <v>45771.647476215279</v>
      </c>
      <c r="B401" s="8" t="s">
        <v>1071</v>
      </c>
      <c r="C401" s="8" t="s">
        <v>3624</v>
      </c>
      <c r="D401" s="8" t="s">
        <v>1099</v>
      </c>
      <c r="E401" s="8" t="s">
        <v>3625</v>
      </c>
      <c r="F401" s="82" t="s">
        <v>3626</v>
      </c>
      <c r="G401" s="27">
        <v>43234</v>
      </c>
      <c r="H401" s="8" t="s">
        <v>1371</v>
      </c>
      <c r="I401" s="8">
        <v>730405350505</v>
      </c>
      <c r="J401" s="8" t="s">
        <v>1976</v>
      </c>
      <c r="K401" s="8" t="s">
        <v>3627</v>
      </c>
      <c r="L401" s="8" t="s">
        <v>3628</v>
      </c>
      <c r="M401" s="8" t="s">
        <v>3629</v>
      </c>
      <c r="N401" s="8">
        <v>87051022191</v>
      </c>
      <c r="O401" s="8">
        <v>0</v>
      </c>
      <c r="P401" s="8">
        <v>300000</v>
      </c>
      <c r="Q401" s="8" t="s">
        <v>559</v>
      </c>
    </row>
    <row r="402" spans="1:17" ht="13.2">
      <c r="A402" s="26">
        <v>45771.654714594908</v>
      </c>
      <c r="B402" s="8" t="s">
        <v>1141</v>
      </c>
      <c r="C402" s="8" t="s">
        <v>3630</v>
      </c>
      <c r="D402" s="8" t="s">
        <v>3631</v>
      </c>
      <c r="E402" s="8" t="s">
        <v>3632</v>
      </c>
      <c r="F402" s="82" t="s">
        <v>3633</v>
      </c>
      <c r="G402" s="27">
        <v>45734</v>
      </c>
      <c r="H402" s="8" t="s">
        <v>1371</v>
      </c>
      <c r="I402" s="8">
        <v>900628351413</v>
      </c>
      <c r="J402" s="8" t="s">
        <v>1564</v>
      </c>
      <c r="K402" s="8" t="s">
        <v>1548</v>
      </c>
      <c r="L402" s="8" t="s">
        <v>3634</v>
      </c>
      <c r="M402" s="8" t="s">
        <v>3635</v>
      </c>
      <c r="N402" s="8">
        <v>87054253358</v>
      </c>
      <c r="O402" s="8">
        <v>0</v>
      </c>
      <c r="P402" s="8">
        <v>370000</v>
      </c>
      <c r="Q402" s="8" t="s">
        <v>560</v>
      </c>
    </row>
    <row r="403" spans="1:17" ht="13.2">
      <c r="A403" s="26">
        <v>45771.715239768513</v>
      </c>
      <c r="B403" s="8" t="s">
        <v>1071</v>
      </c>
      <c r="C403" s="8" t="s">
        <v>3636</v>
      </c>
      <c r="D403" s="8" t="s">
        <v>3637</v>
      </c>
      <c r="E403" s="8" t="s">
        <v>3638</v>
      </c>
      <c r="F403" s="82" t="s">
        <v>3639</v>
      </c>
      <c r="G403" s="27">
        <v>39905</v>
      </c>
      <c r="H403" s="8" t="s">
        <v>1410</v>
      </c>
      <c r="I403" s="8">
        <v>810113350802</v>
      </c>
      <c r="J403" s="8" t="s">
        <v>1976</v>
      </c>
      <c r="K403" s="8" t="s">
        <v>3640</v>
      </c>
      <c r="L403" s="8" t="s">
        <v>3641</v>
      </c>
      <c r="M403" s="8" t="s">
        <v>3642</v>
      </c>
      <c r="N403" s="8">
        <v>87078480805</v>
      </c>
      <c r="O403" s="8">
        <v>0</v>
      </c>
      <c r="P403" s="8">
        <v>380000</v>
      </c>
      <c r="Q403" s="8" t="s">
        <v>561</v>
      </c>
    </row>
    <row r="404" spans="1:17" ht="13.2">
      <c r="A404" s="26">
        <v>45772.596937604161</v>
      </c>
      <c r="B404" s="8" t="s">
        <v>1049</v>
      </c>
      <c r="C404" s="8" t="s">
        <v>3643</v>
      </c>
      <c r="D404" s="8" t="s">
        <v>1239</v>
      </c>
      <c r="E404" s="8" t="s">
        <v>3644</v>
      </c>
      <c r="F404" s="82" t="s">
        <v>3645</v>
      </c>
      <c r="G404" s="27">
        <v>45026</v>
      </c>
      <c r="H404" s="8" t="s">
        <v>1371</v>
      </c>
      <c r="I404" s="8">
        <v>880802302711</v>
      </c>
      <c r="J404" s="8" t="s">
        <v>3646</v>
      </c>
      <c r="K404" s="8" t="s">
        <v>3647</v>
      </c>
      <c r="L404" s="8" t="s">
        <v>3559</v>
      </c>
      <c r="M404" s="8" t="s">
        <v>3648</v>
      </c>
      <c r="N404" s="8">
        <v>87074256985</v>
      </c>
      <c r="O404" s="8">
        <v>0</v>
      </c>
      <c r="P404" s="8">
        <v>340000</v>
      </c>
      <c r="Q404" s="8" t="s">
        <v>563</v>
      </c>
    </row>
    <row r="405" spans="1:17" ht="13.2">
      <c r="A405" s="26">
        <v>45772.636169803242</v>
      </c>
      <c r="B405" s="8" t="s">
        <v>1049</v>
      </c>
      <c r="C405" s="8" t="s">
        <v>3649</v>
      </c>
      <c r="D405" s="8" t="s">
        <v>3650</v>
      </c>
      <c r="E405" s="8" t="s">
        <v>3651</v>
      </c>
      <c r="F405" s="82" t="s">
        <v>3652</v>
      </c>
      <c r="G405" s="27">
        <v>44077</v>
      </c>
      <c r="H405" s="8" t="s">
        <v>1431</v>
      </c>
      <c r="I405" s="82" t="s">
        <v>3653</v>
      </c>
      <c r="J405" s="8" t="s">
        <v>3132</v>
      </c>
      <c r="K405" s="8" t="s">
        <v>3654</v>
      </c>
      <c r="L405" s="8" t="s">
        <v>3655</v>
      </c>
      <c r="M405" s="8" t="s">
        <v>3656</v>
      </c>
      <c r="N405" s="8">
        <v>87077170115</v>
      </c>
      <c r="O405" s="8">
        <v>310000</v>
      </c>
      <c r="P405" s="8">
        <v>30000</v>
      </c>
      <c r="Q405" s="8" t="s">
        <v>564</v>
      </c>
    </row>
    <row r="406" spans="1:17" ht="16.5" customHeight="1">
      <c r="A406" s="26">
        <v>45772.69788417824</v>
      </c>
      <c r="B406" s="8" t="s">
        <v>1141</v>
      </c>
      <c r="C406" s="8" t="s">
        <v>3657</v>
      </c>
      <c r="D406" s="8" t="s">
        <v>3658</v>
      </c>
      <c r="E406" s="8" t="s">
        <v>1126</v>
      </c>
      <c r="F406" s="82" t="s">
        <v>3659</v>
      </c>
      <c r="G406" s="27">
        <v>44259</v>
      </c>
      <c r="H406" s="8" t="s">
        <v>1371</v>
      </c>
      <c r="I406" s="8">
        <v>860105450031</v>
      </c>
      <c r="J406" s="8" t="s">
        <v>2028</v>
      </c>
      <c r="K406" s="8" t="s">
        <v>2322</v>
      </c>
      <c r="L406" s="8" t="s">
        <v>3660</v>
      </c>
      <c r="M406" s="8" t="s">
        <v>3661</v>
      </c>
      <c r="N406" s="8">
        <v>87079161686</v>
      </c>
      <c r="O406" s="8">
        <v>0</v>
      </c>
      <c r="P406" s="8">
        <v>380000</v>
      </c>
      <c r="Q406" s="8" t="s">
        <v>565</v>
      </c>
    </row>
    <row r="407" spans="1:17" ht="13.2">
      <c r="A407" s="26">
        <v>45773.614035462961</v>
      </c>
      <c r="B407" s="8" t="s">
        <v>1049</v>
      </c>
      <c r="C407" s="8" t="s">
        <v>3662</v>
      </c>
      <c r="D407" s="8" t="s">
        <v>3663</v>
      </c>
      <c r="E407" s="8" t="s">
        <v>3664</v>
      </c>
      <c r="F407" s="82" t="s">
        <v>3665</v>
      </c>
      <c r="G407" s="27">
        <v>45773</v>
      </c>
      <c r="H407" s="8" t="s">
        <v>1371</v>
      </c>
      <c r="I407" s="8">
        <v>780814300036</v>
      </c>
      <c r="J407" s="8" t="s">
        <v>2008</v>
      </c>
      <c r="K407" s="8" t="s">
        <v>3666</v>
      </c>
      <c r="L407" s="8" t="s">
        <v>3667</v>
      </c>
      <c r="M407" s="8" t="s">
        <v>3668</v>
      </c>
      <c r="N407" s="8">
        <v>87076988881</v>
      </c>
      <c r="O407" s="8">
        <v>380000</v>
      </c>
      <c r="P407" s="8">
        <v>0</v>
      </c>
      <c r="Q407" s="8" t="s">
        <v>566</v>
      </c>
    </row>
    <row r="408" spans="1:17" ht="13.2">
      <c r="A408" s="26">
        <v>45775.422975925925</v>
      </c>
      <c r="B408" s="8" t="s">
        <v>1049</v>
      </c>
      <c r="C408" s="8" t="s">
        <v>3669</v>
      </c>
      <c r="D408" s="8" t="s">
        <v>1236</v>
      </c>
      <c r="E408" s="8" t="s">
        <v>3452</v>
      </c>
      <c r="F408" s="82" t="s">
        <v>3670</v>
      </c>
      <c r="G408" s="27">
        <v>42467</v>
      </c>
      <c r="H408" s="8" t="s">
        <v>1371</v>
      </c>
      <c r="I408" s="8">
        <v>711219401561</v>
      </c>
      <c r="J408" s="8" t="s">
        <v>2015</v>
      </c>
      <c r="K408" s="8" t="s">
        <v>3671</v>
      </c>
      <c r="L408" s="8" t="s">
        <v>3672</v>
      </c>
      <c r="M408" s="8" t="s">
        <v>1583</v>
      </c>
      <c r="N408" s="8">
        <v>87714541736</v>
      </c>
      <c r="O408" s="8">
        <v>0</v>
      </c>
      <c r="P408" s="8">
        <v>300000</v>
      </c>
      <c r="Q408" s="8" t="s">
        <v>567</v>
      </c>
    </row>
    <row r="409" spans="1:17" ht="13.2">
      <c r="A409" s="26">
        <v>45775.449612025463</v>
      </c>
      <c r="B409" s="8" t="s">
        <v>1049</v>
      </c>
      <c r="C409" s="8" t="s">
        <v>3673</v>
      </c>
      <c r="D409" s="8" t="s">
        <v>1109</v>
      </c>
      <c r="E409" s="8" t="s">
        <v>3507</v>
      </c>
      <c r="F409" s="82" t="s">
        <v>3674</v>
      </c>
      <c r="G409" s="27">
        <v>45071</v>
      </c>
      <c r="H409" s="8" t="s">
        <v>1371</v>
      </c>
      <c r="I409" s="8">
        <v>731102301582</v>
      </c>
      <c r="J409" s="8" t="s">
        <v>2008</v>
      </c>
      <c r="K409" s="8" t="s">
        <v>3675</v>
      </c>
      <c r="L409" s="8" t="s">
        <v>3676</v>
      </c>
      <c r="M409" s="8" t="s">
        <v>1892</v>
      </c>
      <c r="N409" s="8">
        <v>87051392970</v>
      </c>
      <c r="O409" s="8">
        <v>450000</v>
      </c>
      <c r="P409" s="8">
        <v>0</v>
      </c>
      <c r="Q409" s="8" t="s">
        <v>568</v>
      </c>
    </row>
    <row r="410" spans="1:17" ht="13.2">
      <c r="A410" s="26">
        <v>45775.591514131942</v>
      </c>
      <c r="B410" s="8" t="s">
        <v>1141</v>
      </c>
      <c r="C410" s="8" t="s">
        <v>3677</v>
      </c>
      <c r="D410" s="8" t="s">
        <v>3678</v>
      </c>
      <c r="E410" s="8" t="s">
        <v>3679</v>
      </c>
      <c r="F410" s="82" t="s">
        <v>3680</v>
      </c>
      <c r="G410" s="27">
        <v>44869</v>
      </c>
      <c r="H410" s="8" t="s">
        <v>1371</v>
      </c>
      <c r="I410" s="8">
        <v>850404350380</v>
      </c>
      <c r="J410" s="8" t="s">
        <v>1564</v>
      </c>
      <c r="K410" s="8" t="s">
        <v>1565</v>
      </c>
      <c r="L410" s="8" t="s">
        <v>3681</v>
      </c>
      <c r="M410" s="8" t="s">
        <v>2202</v>
      </c>
      <c r="N410" s="8">
        <v>87004505465</v>
      </c>
      <c r="O410" s="8">
        <v>420000</v>
      </c>
      <c r="P410" s="8">
        <v>0</v>
      </c>
      <c r="Q410" s="8" t="s">
        <v>392</v>
      </c>
    </row>
    <row r="411" spans="1:17" ht="13.2">
      <c r="A411" s="26">
        <v>45775.685056562499</v>
      </c>
      <c r="B411" s="8" t="s">
        <v>1071</v>
      </c>
      <c r="C411" s="8" t="s">
        <v>3682</v>
      </c>
      <c r="D411" s="8" t="s">
        <v>3683</v>
      </c>
      <c r="E411" s="8" t="s">
        <v>3684</v>
      </c>
      <c r="F411" s="82" t="s">
        <v>3685</v>
      </c>
      <c r="G411" s="27">
        <v>42716</v>
      </c>
      <c r="H411" s="8" t="s">
        <v>1371</v>
      </c>
      <c r="I411" s="8">
        <v>740717350038</v>
      </c>
      <c r="J411" s="8" t="s">
        <v>1976</v>
      </c>
      <c r="K411" s="8" t="s">
        <v>1977</v>
      </c>
      <c r="L411" s="8" t="s">
        <v>3686</v>
      </c>
      <c r="M411" s="8" t="s">
        <v>2611</v>
      </c>
      <c r="N411" s="8">
        <v>87078532574</v>
      </c>
      <c r="O411" s="8">
        <v>0</v>
      </c>
      <c r="P411" s="8">
        <v>360000</v>
      </c>
      <c r="Q411" s="8" t="s">
        <v>569</v>
      </c>
    </row>
    <row r="412" spans="1:17" ht="13.2">
      <c r="A412" s="26">
        <v>45776.398913831013</v>
      </c>
      <c r="B412" s="8" t="s">
        <v>1141</v>
      </c>
      <c r="C412" s="8" t="s">
        <v>3687</v>
      </c>
      <c r="D412" s="8" t="s">
        <v>1262</v>
      </c>
      <c r="E412" s="8" t="s">
        <v>2909</v>
      </c>
      <c r="F412" s="82" t="s">
        <v>3688</v>
      </c>
      <c r="G412" s="27">
        <v>44242</v>
      </c>
      <c r="H412" s="8" t="s">
        <v>1371</v>
      </c>
      <c r="I412" s="8">
        <v>660808300108</v>
      </c>
      <c r="J412" s="8" t="s">
        <v>1564</v>
      </c>
      <c r="K412" s="8" t="s">
        <v>1565</v>
      </c>
      <c r="L412" s="8" t="s">
        <v>3689</v>
      </c>
      <c r="M412" s="8" t="s">
        <v>3690</v>
      </c>
      <c r="N412" s="8">
        <v>87013396637</v>
      </c>
      <c r="O412" s="8">
        <v>0</v>
      </c>
      <c r="P412" s="8">
        <v>360000</v>
      </c>
      <c r="Q412" s="8" t="s">
        <v>570</v>
      </c>
    </row>
    <row r="413" spans="1:17" ht="13.2">
      <c r="A413" s="26">
        <v>45777.532371956018</v>
      </c>
      <c r="B413" s="8" t="s">
        <v>1141</v>
      </c>
      <c r="C413" s="8" t="s">
        <v>3691</v>
      </c>
      <c r="D413" s="8" t="s">
        <v>3692</v>
      </c>
      <c r="E413" s="8" t="s">
        <v>3693</v>
      </c>
      <c r="F413" s="82" t="s">
        <v>3694</v>
      </c>
      <c r="G413" s="27">
        <v>44847</v>
      </c>
      <c r="H413" s="8" t="s">
        <v>1431</v>
      </c>
      <c r="I413" s="8">
        <v>901207350845</v>
      </c>
      <c r="J413" s="8" t="s">
        <v>1564</v>
      </c>
      <c r="K413" s="8" t="s">
        <v>3596</v>
      </c>
      <c r="L413" s="8" t="s">
        <v>3695</v>
      </c>
      <c r="M413" s="8" t="s">
        <v>3130</v>
      </c>
      <c r="N413" s="8">
        <v>87016065567</v>
      </c>
      <c r="O413" s="8">
        <v>430000</v>
      </c>
      <c r="P413" s="8">
        <v>0</v>
      </c>
      <c r="Q413" s="8" t="s">
        <v>571</v>
      </c>
    </row>
    <row r="414" spans="1:17" ht="13.2">
      <c r="A414" s="26">
        <v>45777.687092905093</v>
      </c>
      <c r="B414" s="8" t="s">
        <v>1141</v>
      </c>
      <c r="C414" s="8" t="s">
        <v>3696</v>
      </c>
      <c r="D414" s="8" t="s">
        <v>3267</v>
      </c>
      <c r="E414" s="8" t="s">
        <v>2182</v>
      </c>
      <c r="F414" s="82" t="s">
        <v>3697</v>
      </c>
      <c r="G414" s="27">
        <v>43474</v>
      </c>
      <c r="H414" s="8" t="s">
        <v>1371</v>
      </c>
      <c r="I414" s="8">
        <v>780420302070</v>
      </c>
      <c r="J414" s="8" t="s">
        <v>1976</v>
      </c>
      <c r="K414" s="8" t="s">
        <v>3698</v>
      </c>
      <c r="L414" s="8" t="s">
        <v>3699</v>
      </c>
      <c r="M414" s="8" t="s">
        <v>3700</v>
      </c>
      <c r="N414" s="8">
        <v>87018528869</v>
      </c>
      <c r="O414" s="8">
        <v>350000</v>
      </c>
      <c r="P414" s="8">
        <v>0</v>
      </c>
      <c r="Q414" s="8" t="s">
        <v>572</v>
      </c>
    </row>
    <row r="415" spans="1:17" ht="13.2">
      <c r="A415" s="26">
        <v>45781.559119351848</v>
      </c>
      <c r="B415" s="8" t="s">
        <v>1141</v>
      </c>
      <c r="C415" s="8" t="s">
        <v>3701</v>
      </c>
      <c r="D415" s="8" t="s">
        <v>1053</v>
      </c>
      <c r="E415" s="8" t="s">
        <v>1386</v>
      </c>
      <c r="F415" s="82" t="s">
        <v>3702</v>
      </c>
      <c r="G415" s="27">
        <v>42467</v>
      </c>
      <c r="H415" s="8" t="s">
        <v>1371</v>
      </c>
      <c r="I415" s="8">
        <v>911124350688</v>
      </c>
      <c r="J415" s="8" t="s">
        <v>1564</v>
      </c>
      <c r="K415" s="8" t="s">
        <v>1548</v>
      </c>
      <c r="L415" s="8" t="s">
        <v>3703</v>
      </c>
      <c r="M415" s="8" t="s">
        <v>3704</v>
      </c>
      <c r="N415" s="8">
        <v>87781527410</v>
      </c>
      <c r="O415" s="8">
        <v>340000</v>
      </c>
      <c r="P415" s="8">
        <v>0</v>
      </c>
      <c r="Q415" s="8" t="s">
        <v>573</v>
      </c>
    </row>
    <row r="416" spans="1:17" ht="13.2">
      <c r="A416" s="26">
        <v>45782.429976979169</v>
      </c>
      <c r="B416" s="8" t="s">
        <v>1049</v>
      </c>
      <c r="C416" s="8" t="s">
        <v>3705</v>
      </c>
      <c r="D416" s="8" t="s">
        <v>3706</v>
      </c>
      <c r="E416" s="8" t="s">
        <v>1517</v>
      </c>
      <c r="F416" s="82" t="s">
        <v>3707</v>
      </c>
      <c r="G416" s="27">
        <v>44011</v>
      </c>
      <c r="H416" s="8" t="s">
        <v>1431</v>
      </c>
      <c r="I416" s="82" t="s">
        <v>3708</v>
      </c>
      <c r="J416" s="8" t="s">
        <v>2008</v>
      </c>
      <c r="K416" s="8" t="s">
        <v>2218</v>
      </c>
      <c r="L416" s="8" t="s">
        <v>3709</v>
      </c>
      <c r="M416" s="8" t="s">
        <v>3710</v>
      </c>
      <c r="N416" s="8">
        <v>87754573372</v>
      </c>
      <c r="O416" s="8">
        <v>0</v>
      </c>
      <c r="P416" s="8">
        <v>340000</v>
      </c>
      <c r="Q416" s="8" t="s">
        <v>574</v>
      </c>
    </row>
    <row r="417" spans="1:17" ht="13.2">
      <c r="A417" s="26">
        <v>45782.501005266204</v>
      </c>
      <c r="B417" s="8" t="s">
        <v>1071</v>
      </c>
      <c r="C417" s="8" t="s">
        <v>3711</v>
      </c>
      <c r="D417" s="8" t="s">
        <v>2403</v>
      </c>
      <c r="E417" s="8" t="s">
        <v>3712</v>
      </c>
      <c r="F417" s="82" t="s">
        <v>3713</v>
      </c>
      <c r="G417" s="27">
        <v>45259</v>
      </c>
      <c r="H417" s="8" t="s">
        <v>1371</v>
      </c>
      <c r="I417" s="82" t="s">
        <v>3714</v>
      </c>
      <c r="J417" s="8" t="s">
        <v>1976</v>
      </c>
      <c r="K417" s="8" t="s">
        <v>3715</v>
      </c>
      <c r="L417" s="8" t="s">
        <v>2897</v>
      </c>
      <c r="M417" s="8" t="s">
        <v>3075</v>
      </c>
      <c r="N417" s="8">
        <v>87711635092</v>
      </c>
      <c r="O417" s="8">
        <v>50000</v>
      </c>
      <c r="P417" s="8">
        <v>300000</v>
      </c>
      <c r="Q417" s="8" t="s">
        <v>575</v>
      </c>
    </row>
    <row r="418" spans="1:17" ht="13.2">
      <c r="A418" s="26">
        <v>45782.513438680558</v>
      </c>
      <c r="B418" s="8" t="s">
        <v>1049</v>
      </c>
      <c r="C418" s="8" t="s">
        <v>3716</v>
      </c>
      <c r="D418" s="8" t="s">
        <v>3717</v>
      </c>
      <c r="E418" s="8" t="s">
        <v>3718</v>
      </c>
      <c r="F418" s="82" t="s">
        <v>3719</v>
      </c>
      <c r="G418" s="27">
        <v>45643</v>
      </c>
      <c r="H418" s="8" t="s">
        <v>1371</v>
      </c>
      <c r="I418" s="8">
        <v>891220301487</v>
      </c>
      <c r="J418" s="8" t="s">
        <v>2008</v>
      </c>
      <c r="K418" s="8" t="s">
        <v>3720</v>
      </c>
      <c r="L418" s="8" t="s">
        <v>3721</v>
      </c>
      <c r="M418" s="8" t="s">
        <v>3722</v>
      </c>
      <c r="N418" s="8">
        <v>87072207720</v>
      </c>
      <c r="O418" s="8">
        <v>360000</v>
      </c>
      <c r="P418" s="8">
        <v>0</v>
      </c>
      <c r="Q418" s="8" t="s">
        <v>576</v>
      </c>
    </row>
    <row r="419" spans="1:17" ht="13.2">
      <c r="A419" s="26">
        <v>45782.54071429398</v>
      </c>
      <c r="B419" s="8" t="s">
        <v>1049</v>
      </c>
      <c r="C419" s="8" t="s">
        <v>3723</v>
      </c>
      <c r="D419" s="8" t="s">
        <v>1803</v>
      </c>
      <c r="E419" s="8" t="s">
        <v>3579</v>
      </c>
      <c r="F419" s="82" t="s">
        <v>3724</v>
      </c>
      <c r="G419" s="27">
        <v>45278</v>
      </c>
      <c r="H419" s="8" t="s">
        <v>1371</v>
      </c>
      <c r="I419" s="8">
        <v>891123300451</v>
      </c>
      <c r="J419" s="8" t="s">
        <v>3725</v>
      </c>
      <c r="K419" s="8" t="s">
        <v>3726</v>
      </c>
      <c r="L419" s="8" t="s">
        <v>3727</v>
      </c>
      <c r="M419" s="8" t="s">
        <v>2046</v>
      </c>
      <c r="N419" s="8">
        <v>87073444376</v>
      </c>
      <c r="O419" s="8">
        <v>340000</v>
      </c>
      <c r="P419" s="8">
        <v>0</v>
      </c>
      <c r="Q419" s="8" t="s">
        <v>494</v>
      </c>
    </row>
    <row r="420" spans="1:17" ht="13.2">
      <c r="A420" s="26">
        <v>45782.622616689812</v>
      </c>
      <c r="B420" s="8" t="s">
        <v>1141</v>
      </c>
      <c r="C420" s="8" t="s">
        <v>3728</v>
      </c>
      <c r="D420" s="8" t="s">
        <v>1071</v>
      </c>
      <c r="F420" s="82" t="s">
        <v>3729</v>
      </c>
      <c r="G420" s="27">
        <v>44463</v>
      </c>
      <c r="H420" s="8" t="s">
        <v>1371</v>
      </c>
      <c r="I420" s="8">
        <v>831223300414</v>
      </c>
      <c r="J420" s="8" t="s">
        <v>1564</v>
      </c>
      <c r="K420" s="8" t="s">
        <v>3596</v>
      </c>
      <c r="L420" s="8" t="s">
        <v>2100</v>
      </c>
      <c r="M420" s="8" t="s">
        <v>3730</v>
      </c>
      <c r="N420" s="8">
        <v>87027774934</v>
      </c>
      <c r="O420" s="8">
        <v>0</v>
      </c>
      <c r="P420" s="8">
        <v>750000</v>
      </c>
      <c r="Q420" s="8" t="s">
        <v>529</v>
      </c>
    </row>
    <row r="421" spans="1:17" ht="13.2">
      <c r="A421" s="26">
        <v>45782.644672499999</v>
      </c>
      <c r="B421" s="8" t="s">
        <v>1071</v>
      </c>
      <c r="C421" s="8" t="s">
        <v>3731</v>
      </c>
      <c r="D421" s="8" t="s">
        <v>1498</v>
      </c>
      <c r="E421" s="8" t="s">
        <v>3732</v>
      </c>
      <c r="F421" s="82" t="s">
        <v>3733</v>
      </c>
      <c r="G421" s="27">
        <v>44525</v>
      </c>
      <c r="H421" s="8" t="s">
        <v>1371</v>
      </c>
      <c r="I421" s="8">
        <v>861019350516</v>
      </c>
      <c r="J421" s="8" t="s">
        <v>2463</v>
      </c>
      <c r="K421" s="8" t="s">
        <v>3734</v>
      </c>
      <c r="L421" s="8" t="s">
        <v>3735</v>
      </c>
      <c r="M421" s="8" t="s">
        <v>2128</v>
      </c>
      <c r="N421" s="8">
        <v>87088661363</v>
      </c>
      <c r="O421" s="8">
        <v>340000</v>
      </c>
      <c r="P421" s="8">
        <v>0</v>
      </c>
      <c r="Q421" s="8" t="s">
        <v>577</v>
      </c>
    </row>
    <row r="422" spans="1:17" ht="13.2">
      <c r="A422" s="26">
        <v>45783.444475578704</v>
      </c>
      <c r="B422" s="8" t="s">
        <v>1071</v>
      </c>
      <c r="C422" s="8" t="s">
        <v>3736</v>
      </c>
      <c r="D422" s="8" t="s">
        <v>3737</v>
      </c>
      <c r="E422" s="8" t="s">
        <v>3738</v>
      </c>
      <c r="F422" s="82" t="s">
        <v>3739</v>
      </c>
      <c r="G422" s="27">
        <v>44637</v>
      </c>
      <c r="H422" s="8" t="s">
        <v>1371</v>
      </c>
      <c r="I422" s="8">
        <v>870223351196</v>
      </c>
      <c r="J422" s="8" t="s">
        <v>1908</v>
      </c>
      <c r="K422" s="8" t="s">
        <v>3740</v>
      </c>
      <c r="L422" s="8" t="s">
        <v>3741</v>
      </c>
      <c r="M422" s="8" t="s">
        <v>1775</v>
      </c>
      <c r="N422" s="8">
        <v>87053018287</v>
      </c>
      <c r="O422" s="8">
        <v>0</v>
      </c>
      <c r="P422" s="8">
        <v>390000</v>
      </c>
      <c r="Q422" s="8" t="s">
        <v>584</v>
      </c>
    </row>
    <row r="423" spans="1:17" ht="13.2">
      <c r="A423" s="26">
        <v>45783.453964120374</v>
      </c>
      <c r="B423" s="8" t="s">
        <v>1049</v>
      </c>
      <c r="C423" s="8" t="s">
        <v>3742</v>
      </c>
      <c r="D423" s="8" t="s">
        <v>2209</v>
      </c>
      <c r="E423" s="8" t="s">
        <v>3743</v>
      </c>
      <c r="F423" s="82" t="s">
        <v>3744</v>
      </c>
      <c r="G423" s="27">
        <v>43511</v>
      </c>
      <c r="H423" s="8" t="s">
        <v>1371</v>
      </c>
      <c r="I423" s="8">
        <v>740315302508</v>
      </c>
      <c r="J423" s="8" t="s">
        <v>2008</v>
      </c>
      <c r="K423" s="8" t="s">
        <v>3745</v>
      </c>
      <c r="L423" s="8" t="s">
        <v>3746</v>
      </c>
      <c r="M423" s="8" t="s">
        <v>3747</v>
      </c>
      <c r="N423" s="8" t="s">
        <v>3748</v>
      </c>
      <c r="O423" s="8">
        <v>0</v>
      </c>
      <c r="P423" s="8">
        <v>310000</v>
      </c>
      <c r="Q423" s="8" t="s">
        <v>585</v>
      </c>
    </row>
    <row r="424" spans="1:17" ht="13.2">
      <c r="A424" s="26">
        <v>45783.676331608796</v>
      </c>
      <c r="B424" s="8" t="s">
        <v>1071</v>
      </c>
      <c r="C424" s="8" t="s">
        <v>3749</v>
      </c>
      <c r="D424" s="8" t="s">
        <v>1228</v>
      </c>
      <c r="E424" s="8" t="s">
        <v>3750</v>
      </c>
      <c r="F424" s="82" t="s">
        <v>3751</v>
      </c>
      <c r="G424" s="27">
        <v>38366</v>
      </c>
      <c r="H424" s="8" t="s">
        <v>1410</v>
      </c>
      <c r="I424" s="8">
        <v>581013300796</v>
      </c>
      <c r="J424" s="8" t="s">
        <v>1976</v>
      </c>
      <c r="K424" s="8" t="s">
        <v>3752</v>
      </c>
      <c r="L424" s="8" t="s">
        <v>3753</v>
      </c>
      <c r="M424" s="8" t="s">
        <v>3754</v>
      </c>
      <c r="N424" s="8">
        <v>87054236413</v>
      </c>
      <c r="O424" s="8">
        <v>0</v>
      </c>
      <c r="P424" s="8">
        <v>465000</v>
      </c>
      <c r="Q424" s="8" t="s">
        <v>586</v>
      </c>
    </row>
    <row r="425" spans="1:17" ht="13.2">
      <c r="A425" s="26">
        <v>45783.759963819444</v>
      </c>
      <c r="B425" s="8" t="s">
        <v>1071</v>
      </c>
      <c r="C425" s="8" t="s">
        <v>3755</v>
      </c>
      <c r="D425" s="8" t="s">
        <v>1242</v>
      </c>
      <c r="E425" s="8" t="s">
        <v>1191</v>
      </c>
      <c r="F425" s="82" t="s">
        <v>3756</v>
      </c>
      <c r="G425" s="27">
        <v>42620</v>
      </c>
      <c r="H425" s="8" t="s">
        <v>1371</v>
      </c>
      <c r="I425" s="8">
        <v>911008351080</v>
      </c>
      <c r="J425" s="8" t="s">
        <v>1976</v>
      </c>
      <c r="K425" s="8" t="s">
        <v>1977</v>
      </c>
      <c r="L425" s="8" t="s">
        <v>3757</v>
      </c>
      <c r="M425" s="8" t="s">
        <v>3758</v>
      </c>
      <c r="N425" s="8">
        <v>87750280202</v>
      </c>
      <c r="O425" s="8">
        <v>360000</v>
      </c>
      <c r="P425" s="8">
        <v>0</v>
      </c>
      <c r="Q425" s="8" t="s">
        <v>587</v>
      </c>
    </row>
    <row r="426" spans="1:17" ht="13.2">
      <c r="A426" s="26">
        <v>45784.570218969908</v>
      </c>
      <c r="B426" s="8" t="s">
        <v>1141</v>
      </c>
      <c r="C426" s="8" t="s">
        <v>3759</v>
      </c>
      <c r="D426" s="8" t="s">
        <v>2651</v>
      </c>
      <c r="E426" s="8" t="s">
        <v>3760</v>
      </c>
      <c r="F426" s="82" t="s">
        <v>3761</v>
      </c>
      <c r="G426" s="27">
        <v>44295</v>
      </c>
      <c r="H426" s="8" t="s">
        <v>1371</v>
      </c>
      <c r="I426" s="8">
        <v>841106300422</v>
      </c>
      <c r="J426" s="8" t="s">
        <v>1564</v>
      </c>
      <c r="K426" s="8" t="s">
        <v>2120</v>
      </c>
      <c r="L426" s="8" t="s">
        <v>1749</v>
      </c>
      <c r="M426" s="8" t="s">
        <v>3762</v>
      </c>
      <c r="N426" s="8">
        <v>87758324247</v>
      </c>
      <c r="O426" s="8">
        <v>470000</v>
      </c>
      <c r="P426" s="8">
        <v>0</v>
      </c>
      <c r="Q426" s="8" t="s">
        <v>582</v>
      </c>
    </row>
    <row r="427" spans="1:17" ht="13.2">
      <c r="A427" s="26">
        <v>45785.397384386575</v>
      </c>
      <c r="B427" s="8" t="s">
        <v>1049</v>
      </c>
      <c r="C427" s="8" t="s">
        <v>3763</v>
      </c>
      <c r="D427" s="8" t="s">
        <v>1967</v>
      </c>
      <c r="E427" s="8" t="s">
        <v>3764</v>
      </c>
      <c r="F427" s="82" t="s">
        <v>3765</v>
      </c>
      <c r="G427" s="27">
        <v>44575</v>
      </c>
      <c r="H427" s="8" t="s">
        <v>1371</v>
      </c>
      <c r="I427" s="8">
        <v>861222302212</v>
      </c>
      <c r="J427" s="8" t="s">
        <v>3288</v>
      </c>
      <c r="K427" s="8" t="s">
        <v>3766</v>
      </c>
      <c r="L427" s="8" t="s">
        <v>3767</v>
      </c>
      <c r="M427" s="8" t="s">
        <v>1905</v>
      </c>
      <c r="N427" s="8">
        <v>87088318991</v>
      </c>
      <c r="O427" s="8">
        <v>0</v>
      </c>
      <c r="P427" s="8">
        <v>310000</v>
      </c>
      <c r="Q427" s="8" t="s">
        <v>491</v>
      </c>
    </row>
    <row r="428" spans="1:17" ht="13.2">
      <c r="A428" s="26">
        <v>45785.49229037037</v>
      </c>
      <c r="B428" s="8" t="s">
        <v>1141</v>
      </c>
      <c r="C428" s="8" t="s">
        <v>3768</v>
      </c>
      <c r="D428" s="8" t="s">
        <v>3769</v>
      </c>
      <c r="E428" s="8" t="s">
        <v>3770</v>
      </c>
      <c r="F428" s="82" t="s">
        <v>3771</v>
      </c>
      <c r="G428" s="27">
        <v>45408</v>
      </c>
      <c r="H428" s="8" t="s">
        <v>1371</v>
      </c>
      <c r="I428" s="8">
        <v>860629350109</v>
      </c>
      <c r="J428" s="8" t="s">
        <v>3772</v>
      </c>
      <c r="K428" s="8" t="s">
        <v>3773</v>
      </c>
      <c r="L428" s="8" t="s">
        <v>3774</v>
      </c>
      <c r="M428" s="8" t="s">
        <v>2202</v>
      </c>
      <c r="N428" s="8">
        <v>87075377888</v>
      </c>
      <c r="O428" s="8">
        <v>0</v>
      </c>
      <c r="P428" s="8">
        <v>440000</v>
      </c>
      <c r="Q428" s="8" t="s">
        <v>466</v>
      </c>
    </row>
    <row r="429" spans="1:17" ht="13.2">
      <c r="A429" s="26">
        <v>45785.539461053238</v>
      </c>
      <c r="B429" s="8" t="s">
        <v>1049</v>
      </c>
      <c r="C429" s="8" t="s">
        <v>3775</v>
      </c>
      <c r="D429" s="8" t="s">
        <v>3776</v>
      </c>
      <c r="E429" s="8" t="s">
        <v>3777</v>
      </c>
      <c r="F429" s="82" t="s">
        <v>3778</v>
      </c>
      <c r="G429" s="27">
        <v>45194</v>
      </c>
      <c r="H429" s="8" t="s">
        <v>1431</v>
      </c>
      <c r="I429" s="8">
        <v>960211300452</v>
      </c>
      <c r="J429" s="8" t="s">
        <v>2008</v>
      </c>
      <c r="K429" s="8" t="s">
        <v>3779</v>
      </c>
      <c r="L429" s="8" t="s">
        <v>3780</v>
      </c>
      <c r="M429" s="8" t="s">
        <v>3781</v>
      </c>
      <c r="N429" s="8">
        <v>87763009900</v>
      </c>
      <c r="O429" s="8">
        <v>340000</v>
      </c>
      <c r="P429" s="8">
        <v>0</v>
      </c>
      <c r="Q429" s="8" t="s">
        <v>489</v>
      </c>
    </row>
    <row r="430" spans="1:17" ht="13.2">
      <c r="A430" s="26">
        <v>45787.622231990739</v>
      </c>
      <c r="B430" s="8" t="s">
        <v>1049</v>
      </c>
      <c r="C430" s="8" t="s">
        <v>3782</v>
      </c>
      <c r="D430" s="8" t="s">
        <v>1053</v>
      </c>
      <c r="E430" s="8" t="s">
        <v>2909</v>
      </c>
      <c r="F430" s="82" t="s">
        <v>3783</v>
      </c>
      <c r="G430" s="27">
        <v>45079</v>
      </c>
      <c r="H430" s="8" t="s">
        <v>1371</v>
      </c>
      <c r="I430" s="8">
        <v>720815301633</v>
      </c>
      <c r="J430" s="8" t="s">
        <v>2008</v>
      </c>
      <c r="K430" s="8" t="s">
        <v>2218</v>
      </c>
      <c r="L430" s="8" t="s">
        <v>3784</v>
      </c>
      <c r="M430" s="8" t="s">
        <v>3785</v>
      </c>
      <c r="N430" s="8">
        <v>87057109208</v>
      </c>
      <c r="O430" s="8">
        <v>690000</v>
      </c>
      <c r="P430" s="8">
        <v>0</v>
      </c>
      <c r="Q430" s="8" t="s">
        <v>483</v>
      </c>
    </row>
    <row r="431" spans="1:17" ht="13.2">
      <c r="A431" s="26">
        <v>45788.572846273149</v>
      </c>
      <c r="B431" s="8" t="s">
        <v>1141</v>
      </c>
      <c r="C431" s="8" t="s">
        <v>3786</v>
      </c>
      <c r="D431" s="8" t="s">
        <v>2084</v>
      </c>
      <c r="E431" s="8" t="s">
        <v>1451</v>
      </c>
      <c r="F431" s="82" t="s">
        <v>3787</v>
      </c>
      <c r="G431" s="27">
        <v>44734</v>
      </c>
      <c r="H431" s="8" t="s">
        <v>1371</v>
      </c>
      <c r="I431" s="82" t="s">
        <v>3788</v>
      </c>
      <c r="J431" s="8" t="s">
        <v>124</v>
      </c>
      <c r="K431" s="8" t="s">
        <v>1565</v>
      </c>
      <c r="L431" s="8" t="s">
        <v>3789</v>
      </c>
      <c r="M431" s="8" t="s">
        <v>3790</v>
      </c>
      <c r="N431" s="8">
        <v>87018186041</v>
      </c>
      <c r="O431" s="8">
        <v>420000</v>
      </c>
      <c r="P431" s="8">
        <v>0</v>
      </c>
      <c r="Q431" s="8" t="s">
        <v>397</v>
      </c>
    </row>
    <row r="432" spans="1:17" ht="13.2">
      <c r="A432" s="26">
        <v>45789.530035694443</v>
      </c>
      <c r="B432" s="8" t="s">
        <v>1141</v>
      </c>
      <c r="C432" s="8" t="s">
        <v>3791</v>
      </c>
      <c r="D432" s="8" t="s">
        <v>3792</v>
      </c>
      <c r="E432" s="8" t="s">
        <v>3793</v>
      </c>
      <c r="F432" s="82" t="s">
        <v>3794</v>
      </c>
      <c r="G432" s="27">
        <v>45763</v>
      </c>
      <c r="H432" s="8" t="s">
        <v>1371</v>
      </c>
      <c r="I432" s="8">
        <v>800414301571</v>
      </c>
      <c r="J432" s="8" t="s">
        <v>124</v>
      </c>
      <c r="K432" s="8" t="s">
        <v>1548</v>
      </c>
      <c r="L432" s="8" t="s">
        <v>3795</v>
      </c>
      <c r="M432" s="8" t="s">
        <v>3291</v>
      </c>
      <c r="N432" s="8">
        <v>87017745251</v>
      </c>
      <c r="O432" s="8">
        <v>440000</v>
      </c>
      <c r="P432" s="8">
        <v>0</v>
      </c>
      <c r="Q432" s="8" t="s">
        <v>580</v>
      </c>
    </row>
    <row r="433" spans="1:17" ht="13.2">
      <c r="A433" s="26">
        <v>45789.642876967591</v>
      </c>
      <c r="B433" s="8" t="s">
        <v>1049</v>
      </c>
      <c r="C433" s="8" t="s">
        <v>3796</v>
      </c>
      <c r="D433" s="8" t="s">
        <v>1262</v>
      </c>
      <c r="E433" s="8" t="s">
        <v>1111</v>
      </c>
      <c r="F433" s="82" t="s">
        <v>3797</v>
      </c>
      <c r="G433" s="27">
        <v>42411</v>
      </c>
      <c r="H433" s="8" t="s">
        <v>1371</v>
      </c>
      <c r="I433" s="8">
        <v>610710300235</v>
      </c>
      <c r="J433" s="8" t="s">
        <v>2008</v>
      </c>
      <c r="K433" s="8" t="s">
        <v>3798</v>
      </c>
      <c r="L433" s="8" t="s">
        <v>2941</v>
      </c>
      <c r="M433" s="8" t="s">
        <v>3122</v>
      </c>
      <c r="N433" s="8">
        <v>87016117375</v>
      </c>
      <c r="O433" s="8">
        <v>0</v>
      </c>
      <c r="P433" s="8">
        <v>340000</v>
      </c>
      <c r="Q433" s="8" t="s">
        <v>588</v>
      </c>
    </row>
    <row r="434" spans="1:17" ht="13.2">
      <c r="A434" s="26">
        <v>45789.761661712968</v>
      </c>
      <c r="B434" s="8" t="s">
        <v>1071</v>
      </c>
      <c r="C434" s="8" t="s">
        <v>3799</v>
      </c>
      <c r="D434" s="8" t="s">
        <v>1407</v>
      </c>
      <c r="E434" s="8" t="s">
        <v>3800</v>
      </c>
      <c r="F434" s="82" t="s">
        <v>3801</v>
      </c>
      <c r="G434" s="27">
        <v>45607</v>
      </c>
      <c r="H434" s="8" t="s">
        <v>1371</v>
      </c>
      <c r="I434" s="8">
        <v>860403350362</v>
      </c>
      <c r="J434" s="8" t="s">
        <v>1976</v>
      </c>
      <c r="K434" s="8" t="s">
        <v>1977</v>
      </c>
      <c r="L434" s="8" t="s">
        <v>3802</v>
      </c>
      <c r="M434" s="8" t="s">
        <v>3803</v>
      </c>
      <c r="N434" s="8">
        <v>87783408594</v>
      </c>
      <c r="O434" s="8">
        <v>340000</v>
      </c>
      <c r="P434" s="8">
        <v>0</v>
      </c>
      <c r="Q434" s="8" t="s">
        <v>589</v>
      </c>
    </row>
    <row r="435" spans="1:17" ht="13.2">
      <c r="A435" s="26">
        <v>45790.546589722224</v>
      </c>
      <c r="B435" s="8" t="s">
        <v>1141</v>
      </c>
      <c r="C435" s="8" t="s">
        <v>2097</v>
      </c>
      <c r="D435" s="8" t="s">
        <v>3804</v>
      </c>
      <c r="F435" s="82" t="s">
        <v>3805</v>
      </c>
      <c r="G435" s="27">
        <v>42902</v>
      </c>
      <c r="H435" s="8" t="s">
        <v>1431</v>
      </c>
      <c r="I435" s="8">
        <v>920615350884</v>
      </c>
      <c r="J435" s="8" t="s">
        <v>1564</v>
      </c>
      <c r="K435" s="8" t="s">
        <v>2120</v>
      </c>
      <c r="L435" s="8" t="s">
        <v>3806</v>
      </c>
      <c r="M435" s="8" t="s">
        <v>3807</v>
      </c>
      <c r="N435" s="8">
        <v>87055545999</v>
      </c>
      <c r="O435" s="8">
        <v>0</v>
      </c>
      <c r="P435" s="8">
        <v>690000</v>
      </c>
      <c r="Q435" s="8" t="s">
        <v>579</v>
      </c>
    </row>
    <row r="436" spans="1:17" ht="13.2">
      <c r="A436" s="26">
        <v>45790.585924803236</v>
      </c>
      <c r="B436" s="8" t="s">
        <v>1141</v>
      </c>
      <c r="C436" s="8" t="s">
        <v>3808</v>
      </c>
      <c r="D436" s="8" t="s">
        <v>2775</v>
      </c>
      <c r="E436" s="8" t="s">
        <v>1201</v>
      </c>
      <c r="F436" s="82" t="s">
        <v>3809</v>
      </c>
      <c r="G436" s="27">
        <v>44086</v>
      </c>
      <c r="H436" s="8" t="s">
        <v>1371</v>
      </c>
      <c r="I436" s="8">
        <v>850607350479</v>
      </c>
      <c r="J436" s="8" t="s">
        <v>1564</v>
      </c>
      <c r="K436" s="8" t="s">
        <v>1548</v>
      </c>
      <c r="L436" s="8" t="s">
        <v>3810</v>
      </c>
      <c r="M436" s="8" t="s">
        <v>3811</v>
      </c>
      <c r="N436" s="8">
        <v>87014958435</v>
      </c>
      <c r="O436" s="8">
        <v>400000</v>
      </c>
      <c r="P436" s="8">
        <v>0</v>
      </c>
      <c r="Q436" s="8" t="s">
        <v>556</v>
      </c>
    </row>
    <row r="437" spans="1:17" ht="13.2">
      <c r="A437" s="26">
        <v>45790.616896412037</v>
      </c>
      <c r="B437" s="8" t="s">
        <v>1049</v>
      </c>
      <c r="C437" s="8" t="s">
        <v>3812</v>
      </c>
      <c r="D437" s="8" t="s">
        <v>1836</v>
      </c>
      <c r="E437" s="8" t="s">
        <v>2014</v>
      </c>
      <c r="F437" s="82" t="s">
        <v>3813</v>
      </c>
      <c r="G437" s="27">
        <v>45309</v>
      </c>
      <c r="H437" s="8" t="s">
        <v>1371</v>
      </c>
      <c r="I437" s="8">
        <v>790619301016</v>
      </c>
      <c r="J437" s="8" t="s">
        <v>2008</v>
      </c>
      <c r="K437" s="8" t="s">
        <v>3666</v>
      </c>
      <c r="L437" s="8" t="s">
        <v>3814</v>
      </c>
      <c r="M437" s="8" t="s">
        <v>3815</v>
      </c>
      <c r="N437" s="8">
        <v>87011674597</v>
      </c>
      <c r="O437" s="8">
        <v>0</v>
      </c>
      <c r="P437" s="8">
        <v>340000</v>
      </c>
      <c r="Q437" s="8" t="s">
        <v>590</v>
      </c>
    </row>
    <row r="438" spans="1:17" ht="13.2">
      <c r="A438" s="26">
        <v>45790.640591053241</v>
      </c>
      <c r="B438" s="8" t="s">
        <v>1071</v>
      </c>
      <c r="C438" s="8" t="s">
        <v>3816</v>
      </c>
      <c r="D438" s="8" t="s">
        <v>3817</v>
      </c>
      <c r="E438" s="8" t="s">
        <v>1083</v>
      </c>
      <c r="F438" s="82" t="s">
        <v>3818</v>
      </c>
      <c r="G438" s="27">
        <v>43335</v>
      </c>
      <c r="H438" s="8" t="s">
        <v>1371</v>
      </c>
      <c r="I438" s="82" t="s">
        <v>3819</v>
      </c>
      <c r="J438" s="8" t="s">
        <v>1976</v>
      </c>
      <c r="K438" s="8" t="s">
        <v>1977</v>
      </c>
      <c r="L438" s="8" t="s">
        <v>3820</v>
      </c>
      <c r="M438" s="8" t="s">
        <v>3821</v>
      </c>
      <c r="N438" s="8">
        <v>87777432113</v>
      </c>
      <c r="O438" s="8">
        <v>340000</v>
      </c>
      <c r="P438" s="8">
        <v>0</v>
      </c>
      <c r="Q438" s="8" t="s">
        <v>591</v>
      </c>
    </row>
    <row r="439" spans="1:17" ht="13.2">
      <c r="A439" s="26">
        <v>45790.752942499996</v>
      </c>
      <c r="B439" s="8" t="s">
        <v>1141</v>
      </c>
      <c r="C439" s="8" t="s">
        <v>3822</v>
      </c>
      <c r="D439" s="8" t="s">
        <v>3823</v>
      </c>
      <c r="E439" s="8" t="s">
        <v>3824</v>
      </c>
      <c r="F439" s="82" t="s">
        <v>3825</v>
      </c>
      <c r="G439" s="27">
        <v>43161</v>
      </c>
      <c r="H439" s="8" t="s">
        <v>1371</v>
      </c>
      <c r="I439" s="8">
        <v>880204400512</v>
      </c>
      <c r="J439" s="8" t="s">
        <v>1564</v>
      </c>
      <c r="K439" s="8" t="s">
        <v>1548</v>
      </c>
      <c r="L439" s="8" t="s">
        <v>3826</v>
      </c>
      <c r="M439" s="8" t="s">
        <v>3827</v>
      </c>
      <c r="N439" s="8">
        <v>87753147033</v>
      </c>
      <c r="O439" s="8">
        <v>400000</v>
      </c>
      <c r="P439" s="8">
        <v>0</v>
      </c>
      <c r="Q439" s="8" t="s">
        <v>581</v>
      </c>
    </row>
    <row r="440" spans="1:17" ht="13.2">
      <c r="A440" s="26">
        <v>45791.561626157403</v>
      </c>
      <c r="B440" s="8" t="s">
        <v>1141</v>
      </c>
      <c r="C440" s="8" t="s">
        <v>3828</v>
      </c>
      <c r="D440" s="8" t="s">
        <v>2481</v>
      </c>
      <c r="E440" s="8" t="s">
        <v>3829</v>
      </c>
      <c r="F440" s="82" t="s">
        <v>3830</v>
      </c>
      <c r="G440" s="27">
        <v>45358</v>
      </c>
      <c r="H440" s="8" t="s">
        <v>1371</v>
      </c>
      <c r="I440" s="8">
        <v>880404000495</v>
      </c>
      <c r="J440" s="8" t="s">
        <v>1564</v>
      </c>
      <c r="K440" s="8" t="s">
        <v>1565</v>
      </c>
      <c r="L440" s="8" t="s">
        <v>1405</v>
      </c>
      <c r="M440" s="8" t="s">
        <v>3831</v>
      </c>
      <c r="N440" s="8">
        <v>87075553936</v>
      </c>
      <c r="O440" s="8">
        <v>400000</v>
      </c>
      <c r="P440" s="8">
        <v>0</v>
      </c>
      <c r="Q440" s="8" t="s">
        <v>592</v>
      </c>
    </row>
    <row r="441" spans="1:17" ht="13.2">
      <c r="A441" s="26">
        <v>45791.624951990743</v>
      </c>
      <c r="B441" s="8" t="s">
        <v>1141</v>
      </c>
      <c r="C441" s="8" t="s">
        <v>3832</v>
      </c>
      <c r="D441" s="8" t="s">
        <v>3833</v>
      </c>
      <c r="F441" s="82" t="s">
        <v>3834</v>
      </c>
      <c r="G441" s="27">
        <v>44636</v>
      </c>
      <c r="H441" s="8" t="s">
        <v>1431</v>
      </c>
      <c r="I441" s="8">
        <v>880123399033</v>
      </c>
      <c r="J441" s="8" t="s">
        <v>1564</v>
      </c>
      <c r="K441" s="8" t="s">
        <v>1565</v>
      </c>
      <c r="L441" s="8" t="s">
        <v>3006</v>
      </c>
      <c r="M441" s="8" t="s">
        <v>3835</v>
      </c>
      <c r="N441" s="8">
        <v>87054635565</v>
      </c>
      <c r="O441" s="8">
        <v>0</v>
      </c>
      <c r="P441" s="8">
        <v>360000</v>
      </c>
      <c r="Q441" s="8" t="s">
        <v>594</v>
      </c>
    </row>
    <row r="442" spans="1:17" ht="13.2">
      <c r="A442" s="26">
        <v>45791.6672234375</v>
      </c>
      <c r="B442" s="8" t="s">
        <v>1141</v>
      </c>
      <c r="C442" s="8" t="s">
        <v>3836</v>
      </c>
      <c r="D442" s="8" t="s">
        <v>3837</v>
      </c>
      <c r="E442" s="8" t="s">
        <v>3838</v>
      </c>
      <c r="F442" s="82" t="s">
        <v>3839</v>
      </c>
      <c r="G442" s="27">
        <v>42310</v>
      </c>
      <c r="H442" s="8" t="s">
        <v>1431</v>
      </c>
      <c r="I442" s="8">
        <v>630117300959</v>
      </c>
      <c r="J442" s="8" t="s">
        <v>1605</v>
      </c>
      <c r="K442" s="8" t="s">
        <v>3840</v>
      </c>
      <c r="L442" s="8" t="s">
        <v>3841</v>
      </c>
      <c r="M442" s="8" t="s">
        <v>3842</v>
      </c>
      <c r="N442" s="8">
        <v>87054666733</v>
      </c>
      <c r="O442" s="8">
        <v>0</v>
      </c>
      <c r="P442" s="8">
        <v>380000</v>
      </c>
      <c r="Q442" s="8" t="s">
        <v>593</v>
      </c>
    </row>
    <row r="443" spans="1:17" ht="13.2">
      <c r="A443" s="26">
        <v>45791.741973784723</v>
      </c>
      <c r="B443" s="8" t="s">
        <v>1071</v>
      </c>
      <c r="C443" s="8" t="s">
        <v>3843</v>
      </c>
      <c r="D443" s="8" t="s">
        <v>2481</v>
      </c>
      <c r="E443" s="8" t="s">
        <v>3844</v>
      </c>
      <c r="F443" s="82" t="s">
        <v>3845</v>
      </c>
      <c r="G443" s="27">
        <v>44076</v>
      </c>
      <c r="H443" s="8" t="s">
        <v>1371</v>
      </c>
      <c r="I443" s="8">
        <v>851006351056</v>
      </c>
      <c r="J443" s="8" t="s">
        <v>1976</v>
      </c>
      <c r="K443" s="8" t="s">
        <v>3846</v>
      </c>
      <c r="L443" s="8" t="s">
        <v>2628</v>
      </c>
      <c r="M443" s="8" t="s">
        <v>3847</v>
      </c>
      <c r="N443" s="8" t="s">
        <v>3848</v>
      </c>
      <c r="O443" s="8">
        <v>0</v>
      </c>
      <c r="P443" s="8">
        <v>300000</v>
      </c>
      <c r="Q443" s="8" t="s">
        <v>597</v>
      </c>
    </row>
    <row r="444" spans="1:17" ht="13.2">
      <c r="A444" s="26">
        <v>45792.668918495372</v>
      </c>
      <c r="B444" s="8" t="s">
        <v>1049</v>
      </c>
      <c r="C444" s="8" t="s">
        <v>3849</v>
      </c>
      <c r="D444" s="8" t="s">
        <v>2209</v>
      </c>
      <c r="E444" s="8" t="s">
        <v>3850</v>
      </c>
      <c r="F444" s="82" t="s">
        <v>3851</v>
      </c>
      <c r="G444" s="27">
        <v>45208</v>
      </c>
      <c r="H444" s="8" t="s">
        <v>1371</v>
      </c>
      <c r="I444" s="8">
        <v>891225301325</v>
      </c>
      <c r="J444" s="8" t="s">
        <v>2008</v>
      </c>
      <c r="K444" s="8" t="s">
        <v>3852</v>
      </c>
      <c r="L444" s="8" t="s">
        <v>3853</v>
      </c>
      <c r="M444" s="8" t="s">
        <v>3854</v>
      </c>
      <c r="N444" s="8" t="s">
        <v>3855</v>
      </c>
      <c r="O444" s="8">
        <v>0</v>
      </c>
      <c r="P444" s="8">
        <v>340000</v>
      </c>
      <c r="Q444" s="8" t="s">
        <v>598</v>
      </c>
    </row>
    <row r="445" spans="1:17" ht="13.2">
      <c r="A445" s="26">
        <v>45793.768707349533</v>
      </c>
      <c r="B445" s="8" t="s">
        <v>1141</v>
      </c>
      <c r="C445" s="8" t="s">
        <v>3856</v>
      </c>
      <c r="D445" s="8" t="s">
        <v>3197</v>
      </c>
      <c r="F445" s="82" t="s">
        <v>3857</v>
      </c>
      <c r="G445" s="27">
        <v>42909</v>
      </c>
      <c r="H445" s="8" t="s">
        <v>1431</v>
      </c>
      <c r="I445" s="8">
        <v>780308350359</v>
      </c>
      <c r="J445" s="8" t="s">
        <v>1533</v>
      </c>
      <c r="K445" s="8" t="s">
        <v>2577</v>
      </c>
      <c r="L445" s="8" t="s">
        <v>3858</v>
      </c>
      <c r="M445" s="8" t="s">
        <v>3155</v>
      </c>
      <c r="N445" s="8">
        <v>87761167810</v>
      </c>
      <c r="O445" s="8">
        <v>470000</v>
      </c>
      <c r="P445" s="8">
        <v>300000</v>
      </c>
      <c r="Q445" s="8" t="s">
        <v>599</v>
      </c>
    </row>
    <row r="446" spans="1:17" ht="13.2">
      <c r="A446" s="26">
        <v>45794.405327685185</v>
      </c>
      <c r="B446" s="8" t="s">
        <v>1049</v>
      </c>
      <c r="C446" s="8" t="s">
        <v>3859</v>
      </c>
      <c r="D446" s="8" t="s">
        <v>1228</v>
      </c>
      <c r="E446" s="8" t="s">
        <v>3860</v>
      </c>
      <c r="F446" s="82" t="s">
        <v>3861</v>
      </c>
      <c r="G446" s="27">
        <v>45542</v>
      </c>
      <c r="H446" s="8" t="s">
        <v>1371</v>
      </c>
      <c r="I446" s="8">
        <v>680803300055</v>
      </c>
      <c r="J446" s="8" t="s">
        <v>1372</v>
      </c>
      <c r="K446" s="8" t="s">
        <v>2106</v>
      </c>
      <c r="L446" s="8" t="s">
        <v>3862</v>
      </c>
      <c r="M446" s="8" t="s">
        <v>3130</v>
      </c>
      <c r="N446" s="8">
        <v>87073754046</v>
      </c>
      <c r="O446" s="8">
        <v>340000</v>
      </c>
      <c r="P446" s="8">
        <v>0</v>
      </c>
      <c r="Q446" s="8" t="s">
        <v>601</v>
      </c>
    </row>
    <row r="447" spans="1:17" ht="13.2">
      <c r="A447" s="26">
        <v>45794.597018483793</v>
      </c>
      <c r="B447" s="8" t="s">
        <v>1071</v>
      </c>
      <c r="C447" s="8" t="s">
        <v>3863</v>
      </c>
      <c r="D447" s="8" t="s">
        <v>1109</v>
      </c>
      <c r="E447" s="8" t="s">
        <v>2956</v>
      </c>
      <c r="F447" s="82" t="s">
        <v>3864</v>
      </c>
      <c r="G447" s="27">
        <v>39279</v>
      </c>
      <c r="H447" s="8" t="s">
        <v>1371</v>
      </c>
      <c r="I447" s="8">
        <v>820623350103</v>
      </c>
      <c r="J447" s="8" t="s">
        <v>3865</v>
      </c>
      <c r="K447" s="8" t="s">
        <v>3866</v>
      </c>
      <c r="L447" s="8" t="s">
        <v>3867</v>
      </c>
      <c r="M447" s="8" t="s">
        <v>3868</v>
      </c>
      <c r="N447" s="8" t="s">
        <v>3869</v>
      </c>
      <c r="O447" s="8">
        <v>300000</v>
      </c>
      <c r="P447" s="8">
        <v>0</v>
      </c>
      <c r="Q447" s="8" t="s">
        <v>602</v>
      </c>
    </row>
    <row r="448" spans="1:17" ht="13.2">
      <c r="A448" s="26">
        <v>45796.511901724538</v>
      </c>
      <c r="B448" s="8" t="s">
        <v>1071</v>
      </c>
      <c r="C448" s="8" t="s">
        <v>3870</v>
      </c>
      <c r="D448" s="8" t="s">
        <v>1739</v>
      </c>
      <c r="E448" s="8" t="s">
        <v>3318</v>
      </c>
      <c r="F448" s="82" t="s">
        <v>3871</v>
      </c>
      <c r="G448" s="27">
        <v>45623</v>
      </c>
      <c r="H448" s="8" t="s">
        <v>1371</v>
      </c>
      <c r="I448" s="8">
        <v>981212350252</v>
      </c>
      <c r="J448" s="8" t="s">
        <v>1908</v>
      </c>
      <c r="K448" s="8" t="s">
        <v>3872</v>
      </c>
      <c r="L448" s="8" t="s">
        <v>3873</v>
      </c>
      <c r="M448" s="8" t="s">
        <v>3874</v>
      </c>
      <c r="N448" s="8">
        <v>87473960653</v>
      </c>
      <c r="O448" s="8">
        <v>0</v>
      </c>
      <c r="P448" s="8">
        <v>320000</v>
      </c>
      <c r="Q448" s="8" t="s">
        <v>604</v>
      </c>
    </row>
    <row r="449" spans="1:17" ht="13.2">
      <c r="A449" s="26">
        <v>45796.528938113421</v>
      </c>
      <c r="B449" s="8" t="s">
        <v>1049</v>
      </c>
      <c r="C449" s="8" t="s">
        <v>3875</v>
      </c>
      <c r="D449" s="8" t="s">
        <v>2209</v>
      </c>
      <c r="E449" s="8" t="s">
        <v>3876</v>
      </c>
      <c r="F449" s="82" t="s">
        <v>3877</v>
      </c>
      <c r="G449" s="27">
        <v>43818</v>
      </c>
      <c r="H449" s="8" t="s">
        <v>1431</v>
      </c>
      <c r="I449" s="8">
        <v>921111301571</v>
      </c>
      <c r="J449" s="8" t="s">
        <v>3132</v>
      </c>
      <c r="K449" s="8" t="s">
        <v>3878</v>
      </c>
      <c r="L449" s="8" t="s">
        <v>3879</v>
      </c>
      <c r="M449" s="8" t="s">
        <v>1583</v>
      </c>
      <c r="N449" s="8">
        <v>87052232757</v>
      </c>
      <c r="O449" s="8">
        <v>750000</v>
      </c>
      <c r="P449" s="8">
        <v>0</v>
      </c>
      <c r="Q449" s="8" t="s">
        <v>605</v>
      </c>
    </row>
    <row r="450" spans="1:17" ht="13.2">
      <c r="A450" s="26">
        <v>45796.584489594912</v>
      </c>
      <c r="B450" s="8" t="s">
        <v>1049</v>
      </c>
      <c r="C450" s="8" t="s">
        <v>59</v>
      </c>
      <c r="D450" s="8" t="s">
        <v>3880</v>
      </c>
      <c r="E450" s="8" t="s">
        <v>3881</v>
      </c>
      <c r="F450" s="82" t="s">
        <v>3882</v>
      </c>
      <c r="G450" s="27">
        <v>43802</v>
      </c>
      <c r="H450" s="8" t="s">
        <v>1371</v>
      </c>
      <c r="I450" s="8">
        <v>950709001194</v>
      </c>
      <c r="J450" s="8" t="s">
        <v>2991</v>
      </c>
      <c r="K450" s="8" t="s">
        <v>2218</v>
      </c>
      <c r="L450" s="8" t="s">
        <v>3883</v>
      </c>
      <c r="M450" s="8" t="s">
        <v>3884</v>
      </c>
      <c r="N450" s="8">
        <v>87078113123</v>
      </c>
      <c r="O450" s="8">
        <v>0</v>
      </c>
      <c r="P450" s="8">
        <v>360000</v>
      </c>
      <c r="Q450" s="8" t="s">
        <v>313</v>
      </c>
    </row>
    <row r="451" spans="1:17" ht="13.2">
      <c r="A451" s="26">
        <v>45796.61496013889</v>
      </c>
      <c r="B451" s="8" t="s">
        <v>1141</v>
      </c>
      <c r="C451" s="8" t="s">
        <v>3885</v>
      </c>
      <c r="D451" s="8" t="s">
        <v>2651</v>
      </c>
      <c r="E451" s="8" t="s">
        <v>3886</v>
      </c>
      <c r="F451" s="82" t="s">
        <v>3887</v>
      </c>
      <c r="G451" s="27">
        <v>44827</v>
      </c>
      <c r="H451" s="8" t="s">
        <v>1371</v>
      </c>
      <c r="I451" s="8">
        <v>871026302368</v>
      </c>
      <c r="J451" s="8" t="s">
        <v>1564</v>
      </c>
      <c r="K451" s="8" t="s">
        <v>1548</v>
      </c>
      <c r="L451" s="8" t="s">
        <v>3888</v>
      </c>
      <c r="M451" s="8" t="s">
        <v>2095</v>
      </c>
      <c r="N451" s="8">
        <v>87023484860</v>
      </c>
      <c r="O451" s="8">
        <v>400000</v>
      </c>
      <c r="P451" s="8">
        <v>0</v>
      </c>
      <c r="Q451" s="8" t="s">
        <v>606</v>
      </c>
    </row>
    <row r="452" spans="1:17" ht="13.2">
      <c r="A452" s="26">
        <v>45796.692032129635</v>
      </c>
      <c r="B452" s="8" t="s">
        <v>1049</v>
      </c>
      <c r="C452" s="8" t="s">
        <v>3889</v>
      </c>
      <c r="D452" s="8" t="s">
        <v>3890</v>
      </c>
      <c r="E452" s="8" t="s">
        <v>3891</v>
      </c>
      <c r="F452" s="82" t="s">
        <v>3892</v>
      </c>
      <c r="G452" s="27">
        <v>45771</v>
      </c>
      <c r="H452" s="8" t="s">
        <v>1431</v>
      </c>
      <c r="I452" s="82" t="s">
        <v>3893</v>
      </c>
      <c r="J452" s="8" t="s">
        <v>3241</v>
      </c>
      <c r="K452" s="8" t="s">
        <v>3894</v>
      </c>
      <c r="L452" s="8" t="s">
        <v>3895</v>
      </c>
      <c r="M452" s="8" t="s">
        <v>3896</v>
      </c>
      <c r="N452" s="8">
        <v>87476664518</v>
      </c>
      <c r="O452" s="8">
        <v>360000</v>
      </c>
      <c r="P452" s="8">
        <v>0</v>
      </c>
      <c r="Q452" s="8" t="s">
        <v>607</v>
      </c>
    </row>
    <row r="453" spans="1:17" ht="13.2">
      <c r="A453" s="26">
        <v>45797.426725937505</v>
      </c>
      <c r="B453" s="8" t="s">
        <v>1141</v>
      </c>
      <c r="C453" s="8" t="s">
        <v>3897</v>
      </c>
      <c r="D453" s="8" t="s">
        <v>1739</v>
      </c>
      <c r="E453" s="8" t="s">
        <v>3898</v>
      </c>
      <c r="F453" s="82" t="s">
        <v>3899</v>
      </c>
      <c r="G453" s="27">
        <v>42240</v>
      </c>
      <c r="H453" s="8" t="s">
        <v>1371</v>
      </c>
      <c r="I453" s="8">
        <v>820126350964</v>
      </c>
      <c r="J453" s="8" t="s">
        <v>1533</v>
      </c>
      <c r="K453" s="8" t="s">
        <v>3551</v>
      </c>
      <c r="L453" s="8" t="s">
        <v>3900</v>
      </c>
      <c r="M453" s="8">
        <v>2</v>
      </c>
      <c r="N453" s="8">
        <v>87761612828</v>
      </c>
      <c r="O453" s="8">
        <v>370000</v>
      </c>
      <c r="P453" s="8">
        <v>0</v>
      </c>
      <c r="Q453" s="8" t="s">
        <v>596</v>
      </c>
    </row>
    <row r="454" spans="1:17" ht="13.2">
      <c r="A454" s="26">
        <v>45797.584879282411</v>
      </c>
      <c r="B454" s="8" t="s">
        <v>1071</v>
      </c>
      <c r="C454" s="8" t="s">
        <v>3901</v>
      </c>
      <c r="D454" s="8" t="s">
        <v>3286</v>
      </c>
      <c r="E454" s="8" t="s">
        <v>2847</v>
      </c>
      <c r="F454" s="82" t="s">
        <v>3902</v>
      </c>
      <c r="G454" s="27">
        <v>44881</v>
      </c>
      <c r="H454" s="8" t="s">
        <v>1371</v>
      </c>
      <c r="I454" s="8">
        <v>771129350040</v>
      </c>
      <c r="J454" s="8" t="s">
        <v>1908</v>
      </c>
      <c r="K454" s="8" t="s">
        <v>3903</v>
      </c>
      <c r="L454" s="8" t="s">
        <v>3904</v>
      </c>
      <c r="M454" s="8" t="s">
        <v>3122</v>
      </c>
      <c r="N454" s="8">
        <v>87774176296</v>
      </c>
      <c r="O454" s="8">
        <v>0</v>
      </c>
      <c r="P454" s="8">
        <v>350000</v>
      </c>
      <c r="Q454" s="8" t="s">
        <v>613</v>
      </c>
    </row>
    <row r="455" spans="1:17" ht="13.2">
      <c r="A455" s="26">
        <v>45798.42703810185</v>
      </c>
      <c r="B455" s="8" t="s">
        <v>1141</v>
      </c>
      <c r="C455" s="8" t="s">
        <v>3905</v>
      </c>
      <c r="D455" s="8" t="s">
        <v>1407</v>
      </c>
      <c r="E455" s="8" t="s">
        <v>3906</v>
      </c>
      <c r="F455" s="82" t="s">
        <v>3907</v>
      </c>
      <c r="G455" s="27">
        <v>45574</v>
      </c>
      <c r="H455" s="8" t="s">
        <v>1371</v>
      </c>
      <c r="I455" s="8">
        <v>850427351012</v>
      </c>
      <c r="J455" s="8" t="s">
        <v>1564</v>
      </c>
      <c r="K455" s="8" t="s">
        <v>1565</v>
      </c>
      <c r="L455" s="8" t="s">
        <v>2442</v>
      </c>
      <c r="M455" s="8" t="s">
        <v>3908</v>
      </c>
      <c r="N455" s="8">
        <v>87026120335</v>
      </c>
      <c r="O455" s="8">
        <v>400000</v>
      </c>
      <c r="P455" s="8">
        <v>0</v>
      </c>
      <c r="Q455" s="8" t="s">
        <v>608</v>
      </c>
    </row>
    <row r="456" spans="1:17" ht="13.2">
      <c r="A456" s="26">
        <v>45798.517840995366</v>
      </c>
      <c r="B456" s="8" t="s">
        <v>1071</v>
      </c>
      <c r="C456" s="8" t="s">
        <v>3909</v>
      </c>
      <c r="D456" s="8" t="s">
        <v>3910</v>
      </c>
      <c r="E456" s="8" t="s">
        <v>3911</v>
      </c>
      <c r="F456" s="82" t="s">
        <v>3912</v>
      </c>
      <c r="G456" s="27">
        <v>45147</v>
      </c>
      <c r="H456" s="8" t="s">
        <v>1371</v>
      </c>
      <c r="I456" s="8">
        <v>780819300569</v>
      </c>
      <c r="J456" s="8" t="s">
        <v>1976</v>
      </c>
      <c r="K456" s="8" t="s">
        <v>3913</v>
      </c>
      <c r="L456" s="8" t="s">
        <v>3914</v>
      </c>
      <c r="M456" s="8" t="s">
        <v>3915</v>
      </c>
      <c r="N456" s="8">
        <v>87055402301</v>
      </c>
      <c r="O456" s="8">
        <v>360000</v>
      </c>
      <c r="P456" s="8">
        <v>0</v>
      </c>
      <c r="Q456" s="8" t="s">
        <v>614</v>
      </c>
    </row>
    <row r="457" spans="1:17" ht="13.2">
      <c r="A457" s="26">
        <v>45798.749258252312</v>
      </c>
      <c r="B457" s="8" t="s">
        <v>1071</v>
      </c>
      <c r="C457" s="8" t="s">
        <v>3916</v>
      </c>
      <c r="D457" s="8" t="s">
        <v>1967</v>
      </c>
      <c r="E457" s="8" t="s">
        <v>3917</v>
      </c>
      <c r="F457" s="82" t="s">
        <v>3918</v>
      </c>
      <c r="G457" s="27">
        <v>44363</v>
      </c>
      <c r="H457" s="8" t="s">
        <v>1371</v>
      </c>
      <c r="I457" s="8">
        <v>810530350740</v>
      </c>
      <c r="J457" s="8" t="s">
        <v>1976</v>
      </c>
      <c r="K457" s="8" t="s">
        <v>1977</v>
      </c>
      <c r="L457" s="8" t="s">
        <v>3538</v>
      </c>
      <c r="M457" s="8" t="s">
        <v>3919</v>
      </c>
      <c r="N457" s="8">
        <v>87786827997</v>
      </c>
      <c r="O457" s="8">
        <v>320000</v>
      </c>
      <c r="P457" s="8">
        <v>50000</v>
      </c>
      <c r="Q457" s="8" t="s">
        <v>615</v>
      </c>
    </row>
    <row r="458" spans="1:17" ht="13.2">
      <c r="A458" s="26">
        <v>45798.750401122685</v>
      </c>
      <c r="B458" s="8" t="s">
        <v>1141</v>
      </c>
      <c r="C458" s="8" t="s">
        <v>3920</v>
      </c>
      <c r="D458" s="8" t="s">
        <v>1899</v>
      </c>
      <c r="E458" s="8" t="s">
        <v>3921</v>
      </c>
      <c r="F458" s="82" t="s">
        <v>3922</v>
      </c>
      <c r="G458" s="27">
        <v>45597</v>
      </c>
      <c r="H458" s="8" t="s">
        <v>1371</v>
      </c>
      <c r="I458" s="8">
        <v>891118350212</v>
      </c>
      <c r="J458" s="8" t="s">
        <v>2357</v>
      </c>
      <c r="K458" s="8" t="s">
        <v>2239</v>
      </c>
      <c r="L458" s="8" t="s">
        <v>3923</v>
      </c>
      <c r="M458" s="8" t="s">
        <v>3924</v>
      </c>
      <c r="N458" s="8">
        <v>87004116853</v>
      </c>
      <c r="O458" s="8">
        <v>0</v>
      </c>
      <c r="P458" s="8">
        <v>470000</v>
      </c>
      <c r="Q458" s="8" t="s">
        <v>583</v>
      </c>
    </row>
    <row r="459" spans="1:17" ht="13.2">
      <c r="A459" s="26">
        <v>45799.556406840275</v>
      </c>
      <c r="B459" s="8" t="s">
        <v>1141</v>
      </c>
      <c r="C459" s="8" t="s">
        <v>3925</v>
      </c>
      <c r="D459" s="8" t="s">
        <v>1660</v>
      </c>
      <c r="E459" s="8" t="s">
        <v>3926</v>
      </c>
      <c r="F459" s="82" t="s">
        <v>3927</v>
      </c>
      <c r="G459" s="27">
        <v>43206</v>
      </c>
      <c r="H459" s="8" t="s">
        <v>1371</v>
      </c>
      <c r="I459" s="8">
        <v>850805301833</v>
      </c>
      <c r="J459" s="8" t="s">
        <v>3928</v>
      </c>
      <c r="K459" s="8" t="s">
        <v>3929</v>
      </c>
      <c r="L459" s="8" t="s">
        <v>3930</v>
      </c>
      <c r="M459" s="8" t="s">
        <v>3931</v>
      </c>
      <c r="N459" s="8">
        <v>87079592686</v>
      </c>
      <c r="O459" s="8">
        <v>360000</v>
      </c>
      <c r="P459" s="8">
        <v>0</v>
      </c>
      <c r="Q459" s="8" t="s">
        <v>609</v>
      </c>
    </row>
    <row r="460" spans="1:17" ht="13.2">
      <c r="A460" s="26">
        <v>45800.41459832176</v>
      </c>
      <c r="B460" s="8" t="s">
        <v>1141</v>
      </c>
      <c r="C460" s="8" t="s">
        <v>3932</v>
      </c>
      <c r="D460" s="8" t="s">
        <v>3933</v>
      </c>
      <c r="E460" s="8" t="s">
        <v>3934</v>
      </c>
      <c r="F460" s="82" t="s">
        <v>3935</v>
      </c>
      <c r="G460" s="27">
        <v>43117</v>
      </c>
      <c r="H460" s="8" t="s">
        <v>1371</v>
      </c>
      <c r="I460" s="8">
        <v>740510450287</v>
      </c>
      <c r="J460" s="8" t="s">
        <v>2430</v>
      </c>
      <c r="K460" s="8" t="s">
        <v>3936</v>
      </c>
      <c r="L460" s="8" t="s">
        <v>3937</v>
      </c>
      <c r="M460" s="8" t="s">
        <v>3938</v>
      </c>
      <c r="N460" s="8">
        <v>87053103762</v>
      </c>
      <c r="O460" s="8">
        <v>370000</v>
      </c>
      <c r="P460" s="8">
        <v>0</v>
      </c>
      <c r="Q460" s="8" t="s">
        <v>616</v>
      </c>
    </row>
    <row r="461" spans="1:17" ht="13.2">
      <c r="A461" s="26">
        <v>45800.59033126157</v>
      </c>
      <c r="B461" s="8" t="s">
        <v>1071</v>
      </c>
      <c r="C461" s="8" t="s">
        <v>3939</v>
      </c>
      <c r="D461" s="8" t="s">
        <v>1124</v>
      </c>
      <c r="E461" s="8" t="s">
        <v>3452</v>
      </c>
      <c r="F461" s="82" t="s">
        <v>3940</v>
      </c>
      <c r="G461" s="27">
        <v>45523</v>
      </c>
      <c r="H461" s="8" t="s">
        <v>1371</v>
      </c>
      <c r="I461" s="8">
        <v>910421450616</v>
      </c>
      <c r="J461" s="8" t="s">
        <v>1976</v>
      </c>
      <c r="K461" s="8" t="s">
        <v>1977</v>
      </c>
      <c r="L461" s="8" t="s">
        <v>3941</v>
      </c>
      <c r="M461" s="8" t="s">
        <v>3214</v>
      </c>
      <c r="N461" s="8">
        <v>87771167016</v>
      </c>
      <c r="O461" s="8">
        <v>440000</v>
      </c>
      <c r="P461" s="8">
        <v>0</v>
      </c>
      <c r="Q461" s="8" t="s">
        <v>619</v>
      </c>
    </row>
    <row r="462" spans="1:17" ht="13.2">
      <c r="A462" s="26">
        <v>45800.663670104172</v>
      </c>
      <c r="B462" s="8" t="s">
        <v>1071</v>
      </c>
      <c r="C462" s="8" t="s">
        <v>3942</v>
      </c>
      <c r="D462" s="8" t="s">
        <v>2117</v>
      </c>
      <c r="E462" s="8" t="s">
        <v>3943</v>
      </c>
      <c r="F462" s="82" t="s">
        <v>3944</v>
      </c>
      <c r="G462" s="27">
        <v>44777</v>
      </c>
      <c r="H462" s="8" t="s">
        <v>1371</v>
      </c>
      <c r="I462" s="8">
        <v>890415350204</v>
      </c>
      <c r="J462" s="8" t="s">
        <v>1976</v>
      </c>
      <c r="K462" s="8" t="s">
        <v>3945</v>
      </c>
      <c r="L462" s="8" t="s">
        <v>3946</v>
      </c>
      <c r="M462" s="8" t="s">
        <v>3947</v>
      </c>
      <c r="N462" s="8">
        <v>87761896889</v>
      </c>
      <c r="O462" s="8">
        <v>350000</v>
      </c>
      <c r="P462" s="8">
        <v>0</v>
      </c>
      <c r="Q462" s="8" t="s">
        <v>620</v>
      </c>
    </row>
    <row r="463" spans="1:17" ht="13.2">
      <c r="A463" s="26">
        <v>45800.692843356483</v>
      </c>
      <c r="B463" s="8" t="s">
        <v>1141</v>
      </c>
      <c r="C463" s="8" t="s">
        <v>3948</v>
      </c>
      <c r="D463" s="8" t="s">
        <v>3949</v>
      </c>
      <c r="E463" s="8" t="s">
        <v>3950</v>
      </c>
      <c r="F463" s="82" t="s">
        <v>3951</v>
      </c>
      <c r="G463" s="27">
        <v>42041</v>
      </c>
      <c r="H463" s="8" t="s">
        <v>1371</v>
      </c>
      <c r="I463" s="8">
        <v>710520303189</v>
      </c>
      <c r="J463" s="8" t="s">
        <v>2430</v>
      </c>
      <c r="K463" s="8" t="s">
        <v>3213</v>
      </c>
      <c r="L463" s="8" t="s">
        <v>3952</v>
      </c>
      <c r="M463" s="8" t="s">
        <v>2095</v>
      </c>
      <c r="N463" s="8">
        <v>87780104675</v>
      </c>
      <c r="O463" s="8">
        <v>0</v>
      </c>
      <c r="P463" s="8">
        <v>360000</v>
      </c>
      <c r="Q463" s="8" t="s">
        <v>617</v>
      </c>
    </row>
    <row r="464" spans="1:17" ht="13.2">
      <c r="A464" s="26">
        <v>45801.673205543979</v>
      </c>
      <c r="B464" s="8" t="s">
        <v>1141</v>
      </c>
      <c r="C464" s="8" t="s">
        <v>3953</v>
      </c>
      <c r="D464" s="8" t="s">
        <v>1244</v>
      </c>
      <c r="E464" s="8" t="s">
        <v>2267</v>
      </c>
      <c r="F464" s="82" t="s">
        <v>3954</v>
      </c>
      <c r="G464" s="27">
        <v>44313</v>
      </c>
      <c r="H464" s="8" t="s">
        <v>1371</v>
      </c>
      <c r="I464" s="8">
        <v>820213351033</v>
      </c>
      <c r="J464" s="8" t="s">
        <v>1533</v>
      </c>
      <c r="K464" s="8" t="s">
        <v>3955</v>
      </c>
      <c r="L464" s="8" t="s">
        <v>3956</v>
      </c>
      <c r="M464" s="8" t="s">
        <v>2994</v>
      </c>
      <c r="N464" s="8">
        <v>87052990825</v>
      </c>
      <c r="O464" s="8">
        <v>0</v>
      </c>
      <c r="P464" s="8">
        <v>360000</v>
      </c>
      <c r="Q464" s="8" t="s">
        <v>621</v>
      </c>
    </row>
    <row r="465" spans="1:17" ht="13.2">
      <c r="A465" s="26">
        <v>45803.554004768521</v>
      </c>
      <c r="B465" s="8" t="s">
        <v>1049</v>
      </c>
      <c r="C465" s="8" t="s">
        <v>3957</v>
      </c>
      <c r="D465" s="8" t="s">
        <v>1531</v>
      </c>
      <c r="E465" s="8" t="s">
        <v>1083</v>
      </c>
      <c r="F465" s="82" t="s">
        <v>3958</v>
      </c>
      <c r="G465" s="27">
        <v>45112</v>
      </c>
      <c r="H465" s="8" t="s">
        <v>1371</v>
      </c>
      <c r="I465" s="8">
        <v>880812300363</v>
      </c>
      <c r="J465" s="8" t="s">
        <v>2008</v>
      </c>
      <c r="K465" s="8" t="s">
        <v>3241</v>
      </c>
      <c r="L465" s="8" t="s">
        <v>3959</v>
      </c>
      <c r="M465" s="8" t="s">
        <v>3960</v>
      </c>
      <c r="N465" s="8">
        <v>87773999983</v>
      </c>
      <c r="O465" s="8">
        <v>0</v>
      </c>
      <c r="P465" s="8">
        <v>380000</v>
      </c>
      <c r="Q465" s="8" t="s">
        <v>622</v>
      </c>
    </row>
    <row r="466" spans="1:17" ht="13.2">
      <c r="A466" s="26">
        <v>45803.650620983797</v>
      </c>
      <c r="B466" s="8" t="s">
        <v>1071</v>
      </c>
      <c r="C466" s="8" t="s">
        <v>3961</v>
      </c>
      <c r="D466" s="8" t="s">
        <v>3962</v>
      </c>
      <c r="E466" s="8" t="s">
        <v>3963</v>
      </c>
      <c r="F466" s="82" t="s">
        <v>3964</v>
      </c>
      <c r="G466" s="27">
        <v>43878</v>
      </c>
      <c r="H466" s="8" t="s">
        <v>1431</v>
      </c>
      <c r="I466" s="8">
        <v>931118350361</v>
      </c>
      <c r="J466" s="8" t="s">
        <v>1976</v>
      </c>
      <c r="K466" s="8" t="s">
        <v>1977</v>
      </c>
      <c r="L466" s="8" t="s">
        <v>3965</v>
      </c>
      <c r="M466" s="8" t="s">
        <v>2128</v>
      </c>
      <c r="N466" s="8">
        <v>87478998916</v>
      </c>
      <c r="O466" s="8">
        <v>200000</v>
      </c>
      <c r="P466" s="8">
        <v>380000</v>
      </c>
      <c r="Q466" s="8" t="s">
        <v>623</v>
      </c>
    </row>
    <row r="467" spans="1:17" ht="13.2">
      <c r="A467" s="26">
        <v>45803.698185162037</v>
      </c>
      <c r="B467" s="8" t="s">
        <v>1049</v>
      </c>
      <c r="C467" s="8" t="s">
        <v>3966</v>
      </c>
      <c r="D467" s="8" t="s">
        <v>3967</v>
      </c>
      <c r="E467" s="8"/>
      <c r="F467" s="82" t="s">
        <v>3968</v>
      </c>
      <c r="G467" s="27">
        <v>44844</v>
      </c>
      <c r="H467" s="8" t="s">
        <v>1431</v>
      </c>
      <c r="I467" s="8">
        <v>921216300138</v>
      </c>
      <c r="J467" s="8" t="s">
        <v>2008</v>
      </c>
      <c r="K467" s="8" t="s">
        <v>2218</v>
      </c>
      <c r="L467" s="8" t="s">
        <v>3969</v>
      </c>
      <c r="M467" s="8" t="s">
        <v>3122</v>
      </c>
      <c r="N467" s="8">
        <v>87079900490</v>
      </c>
      <c r="O467" s="8">
        <v>340000</v>
      </c>
      <c r="P467" s="8">
        <v>0</v>
      </c>
      <c r="Q467" s="8" t="s">
        <v>624</v>
      </c>
    </row>
    <row r="468" spans="1:17" ht="13.2">
      <c r="A468" s="26">
        <v>45804.415061782405</v>
      </c>
      <c r="B468" s="8" t="s">
        <v>1141</v>
      </c>
      <c r="C468" s="8" t="s">
        <v>3970</v>
      </c>
      <c r="D468" s="8" t="s">
        <v>3971</v>
      </c>
      <c r="E468" s="8" t="s">
        <v>3972</v>
      </c>
      <c r="F468" s="82" t="s">
        <v>3973</v>
      </c>
      <c r="G468" s="27">
        <v>43825</v>
      </c>
      <c r="H468" s="8" t="s">
        <v>1371</v>
      </c>
      <c r="I468" s="8">
        <v>841116301412</v>
      </c>
      <c r="J468" s="8" t="s">
        <v>1564</v>
      </c>
      <c r="K468" s="8" t="s">
        <v>3974</v>
      </c>
      <c r="L468" s="8" t="s">
        <v>3975</v>
      </c>
      <c r="M468" s="8" t="s">
        <v>3976</v>
      </c>
      <c r="N468" s="8">
        <v>87078845098</v>
      </c>
      <c r="O468" s="8">
        <v>440000</v>
      </c>
      <c r="P468" s="8">
        <v>0</v>
      </c>
      <c r="Q468" s="8" t="s">
        <v>625</v>
      </c>
    </row>
    <row r="469" spans="1:17" ht="13.2">
      <c r="A469" s="26">
        <v>45804.433927604172</v>
      </c>
      <c r="B469" s="8" t="s">
        <v>1049</v>
      </c>
      <c r="C469" s="8" t="s">
        <v>3977</v>
      </c>
      <c r="D469" s="8" t="s">
        <v>1531</v>
      </c>
      <c r="E469" s="8" t="s">
        <v>1511</v>
      </c>
      <c r="F469" s="82" t="s">
        <v>3978</v>
      </c>
      <c r="G469" s="27">
        <v>43985</v>
      </c>
      <c r="H469" s="8" t="s">
        <v>1371</v>
      </c>
      <c r="I469" s="8">
        <v>841111300863</v>
      </c>
      <c r="J469" s="8" t="s">
        <v>2991</v>
      </c>
      <c r="K469" s="8" t="s">
        <v>2218</v>
      </c>
      <c r="L469" s="8" t="s">
        <v>3979</v>
      </c>
      <c r="M469" s="8" t="s">
        <v>3980</v>
      </c>
      <c r="N469" s="8">
        <v>87778036400</v>
      </c>
      <c r="O469" s="8">
        <v>730000</v>
      </c>
      <c r="P469" s="8">
        <v>0</v>
      </c>
      <c r="Q469" s="8" t="s">
        <v>626</v>
      </c>
    </row>
    <row r="470" spans="1:17" ht="13.2">
      <c r="A470" s="26">
        <v>45804.543549583337</v>
      </c>
      <c r="B470" s="8" t="s">
        <v>1049</v>
      </c>
      <c r="C470" s="8" t="s">
        <v>3981</v>
      </c>
      <c r="D470" s="8" t="s">
        <v>2564</v>
      </c>
      <c r="E470" s="8" t="s">
        <v>3982</v>
      </c>
      <c r="F470" s="82" t="s">
        <v>3983</v>
      </c>
      <c r="G470" s="27">
        <v>45159</v>
      </c>
      <c r="H470" s="8" t="s">
        <v>1371</v>
      </c>
      <c r="I470" s="8">
        <v>840609301427</v>
      </c>
      <c r="J470" s="8" t="s">
        <v>3132</v>
      </c>
      <c r="K470" s="8" t="s">
        <v>3984</v>
      </c>
      <c r="L470" s="8" t="s">
        <v>3985</v>
      </c>
      <c r="M470" s="8" t="s">
        <v>3986</v>
      </c>
      <c r="N470" s="8">
        <v>87026473621</v>
      </c>
      <c r="O470" s="8">
        <v>320000</v>
      </c>
      <c r="P470" s="8">
        <v>0</v>
      </c>
      <c r="Q470" s="8" t="s">
        <v>627</v>
      </c>
    </row>
    <row r="471" spans="1:17" ht="13.2">
      <c r="A471" s="26">
        <v>45804.658316701389</v>
      </c>
      <c r="B471" s="8" t="s">
        <v>1049</v>
      </c>
      <c r="C471" s="8" t="s">
        <v>3987</v>
      </c>
      <c r="D471" s="8" t="s">
        <v>3554</v>
      </c>
      <c r="E471" s="8" t="s">
        <v>3988</v>
      </c>
      <c r="F471" s="82" t="s">
        <v>3989</v>
      </c>
      <c r="G471" s="27">
        <v>42487</v>
      </c>
      <c r="H471" s="8" t="s">
        <v>1371</v>
      </c>
      <c r="I471" s="8">
        <v>950630300914</v>
      </c>
      <c r="J471" s="8" t="s">
        <v>2008</v>
      </c>
      <c r="K471" s="8" t="s">
        <v>3990</v>
      </c>
      <c r="L471" s="8" t="s">
        <v>3182</v>
      </c>
      <c r="M471" s="8" t="s">
        <v>2359</v>
      </c>
      <c r="N471" s="8">
        <v>87774384601</v>
      </c>
      <c r="O471" s="8">
        <v>450000</v>
      </c>
      <c r="P471" s="8">
        <v>0</v>
      </c>
      <c r="Q471" s="8" t="s">
        <v>628</v>
      </c>
    </row>
    <row r="472" spans="1:17" ht="13.2">
      <c r="A472" s="26">
        <v>45804.712701018521</v>
      </c>
      <c r="B472" s="8" t="s">
        <v>1049</v>
      </c>
      <c r="C472" s="8" t="s">
        <v>3991</v>
      </c>
      <c r="D472" s="8" t="s">
        <v>1081</v>
      </c>
      <c r="E472" s="8" t="s">
        <v>2847</v>
      </c>
      <c r="F472" s="82" t="s">
        <v>3992</v>
      </c>
      <c r="G472" s="27">
        <v>44351</v>
      </c>
      <c r="H472" s="8" t="s">
        <v>1371</v>
      </c>
      <c r="I472" s="82" t="s">
        <v>3993</v>
      </c>
      <c r="J472" s="8" t="s">
        <v>2008</v>
      </c>
      <c r="K472" s="8" t="s">
        <v>3994</v>
      </c>
      <c r="L472" s="8" t="s">
        <v>3995</v>
      </c>
      <c r="M472" s="8" t="s">
        <v>3996</v>
      </c>
      <c r="N472" s="8">
        <v>87762718319</v>
      </c>
      <c r="O472" s="8">
        <v>360000</v>
      </c>
      <c r="P472" s="8">
        <v>0</v>
      </c>
      <c r="Q472" s="8" t="s">
        <v>629</v>
      </c>
    </row>
    <row r="473" spans="1:17" ht="13.2">
      <c r="A473" s="26">
        <v>45805.450604097219</v>
      </c>
      <c r="B473" s="8" t="s">
        <v>1071</v>
      </c>
      <c r="C473" s="8" t="s">
        <v>3997</v>
      </c>
      <c r="D473" s="8" t="s">
        <v>3998</v>
      </c>
      <c r="E473" s="8"/>
      <c r="F473" s="82" t="s">
        <v>3999</v>
      </c>
      <c r="G473" s="27">
        <v>45155</v>
      </c>
      <c r="H473" s="8" t="s">
        <v>1371</v>
      </c>
      <c r="I473" s="8">
        <v>950427350749</v>
      </c>
      <c r="J473" s="8" t="s">
        <v>1976</v>
      </c>
      <c r="K473" s="8" t="s">
        <v>2985</v>
      </c>
      <c r="L473" s="8" t="s">
        <v>4000</v>
      </c>
      <c r="M473" s="8" t="s">
        <v>2046</v>
      </c>
      <c r="N473" s="8">
        <v>87473805895</v>
      </c>
      <c r="O473" s="8">
        <v>430000</v>
      </c>
      <c r="P473" s="8">
        <v>0</v>
      </c>
      <c r="Q473" s="8" t="s">
        <v>630</v>
      </c>
    </row>
    <row r="474" spans="1:17" ht="13.2">
      <c r="A474" s="26">
        <v>45806.567410254633</v>
      </c>
      <c r="B474" s="8" t="s">
        <v>1071</v>
      </c>
      <c r="C474" s="8" t="s">
        <v>4001</v>
      </c>
      <c r="D474" s="8" t="s">
        <v>1252</v>
      </c>
      <c r="E474" s="8" t="s">
        <v>4002</v>
      </c>
      <c r="F474" s="82" t="s">
        <v>4003</v>
      </c>
      <c r="G474" s="27">
        <v>43627</v>
      </c>
      <c r="H474" s="8" t="s">
        <v>1431</v>
      </c>
      <c r="I474" s="8">
        <v>980713350957</v>
      </c>
      <c r="J474" s="8" t="s">
        <v>1976</v>
      </c>
      <c r="K474" s="8" t="s">
        <v>1977</v>
      </c>
      <c r="L474" s="8" t="s">
        <v>3538</v>
      </c>
      <c r="M474" s="8" t="s">
        <v>4004</v>
      </c>
      <c r="N474" s="8">
        <v>87769983477</v>
      </c>
      <c r="O474" s="8">
        <v>0</v>
      </c>
      <c r="P474" s="8">
        <v>445000</v>
      </c>
      <c r="Q474" s="8" t="s">
        <v>631</v>
      </c>
    </row>
    <row r="475" spans="1:17" ht="13.2">
      <c r="A475" s="26">
        <v>45806.592654837965</v>
      </c>
      <c r="B475" s="8" t="s">
        <v>1141</v>
      </c>
      <c r="C475" s="8" t="s">
        <v>4005</v>
      </c>
      <c r="D475" s="8" t="s">
        <v>1803</v>
      </c>
      <c r="E475" s="8" t="s">
        <v>4006</v>
      </c>
      <c r="F475" s="82" t="s">
        <v>4007</v>
      </c>
      <c r="G475" s="27">
        <v>45261</v>
      </c>
      <c r="H475" s="8" t="s">
        <v>1371</v>
      </c>
      <c r="I475" s="8">
        <v>781128301975</v>
      </c>
      <c r="J475" s="8" t="s">
        <v>1564</v>
      </c>
      <c r="K475" s="8" t="s">
        <v>1548</v>
      </c>
      <c r="L475" s="8" t="s">
        <v>4008</v>
      </c>
      <c r="M475" s="8" t="s">
        <v>4009</v>
      </c>
      <c r="N475" s="8">
        <v>87014554843</v>
      </c>
      <c r="O475" s="8">
        <v>0</v>
      </c>
      <c r="P475" s="8">
        <v>340000</v>
      </c>
      <c r="Q475" s="8" t="s">
        <v>595</v>
      </c>
    </row>
    <row r="476" spans="1:17" ht="13.2">
      <c r="A476" s="26">
        <v>45806.62373280093</v>
      </c>
      <c r="B476" s="8" t="s">
        <v>1141</v>
      </c>
      <c r="C476" s="8" t="s">
        <v>4010</v>
      </c>
      <c r="D476" s="8" t="s">
        <v>4011</v>
      </c>
      <c r="E476" s="8" t="s">
        <v>4012</v>
      </c>
      <c r="F476" s="82" t="s">
        <v>4013</v>
      </c>
      <c r="G476" s="27">
        <v>44699</v>
      </c>
      <c r="H476" s="8" t="s">
        <v>1371</v>
      </c>
      <c r="I476" s="8">
        <v>900912350548</v>
      </c>
      <c r="J476" s="8" t="s">
        <v>1533</v>
      </c>
      <c r="K476" s="8" t="s">
        <v>4014</v>
      </c>
      <c r="L476" s="8" t="s">
        <v>4015</v>
      </c>
      <c r="M476" s="8" t="s">
        <v>4016</v>
      </c>
      <c r="N476" s="8">
        <v>87754578321</v>
      </c>
      <c r="O476" s="8">
        <v>390000</v>
      </c>
      <c r="P476" s="8">
        <v>0</v>
      </c>
      <c r="Q476" s="8" t="s">
        <v>632</v>
      </c>
    </row>
    <row r="477" spans="1:17" ht="13.2">
      <c r="A477" s="26">
        <v>45807.480127071758</v>
      </c>
      <c r="B477" s="8" t="s">
        <v>1071</v>
      </c>
      <c r="C477" s="8" t="s">
        <v>4017</v>
      </c>
      <c r="D477" s="8" t="s">
        <v>1133</v>
      </c>
      <c r="E477" s="8" t="s">
        <v>4018</v>
      </c>
      <c r="F477" s="82" t="s">
        <v>4019</v>
      </c>
      <c r="G477" s="27">
        <v>43805</v>
      </c>
      <c r="H477" s="8" t="s">
        <v>1371</v>
      </c>
      <c r="I477" s="8">
        <v>890920351406</v>
      </c>
      <c r="J477" s="8" t="s">
        <v>1976</v>
      </c>
      <c r="K477" s="8" t="s">
        <v>4020</v>
      </c>
      <c r="L477" s="8" t="s">
        <v>4021</v>
      </c>
      <c r="M477" s="8" t="s">
        <v>1529</v>
      </c>
      <c r="N477" s="8">
        <v>87056337908</v>
      </c>
      <c r="O477" s="8">
        <v>0</v>
      </c>
      <c r="P477" s="8">
        <v>350000</v>
      </c>
      <c r="Q477" s="8" t="s">
        <v>633</v>
      </c>
    </row>
    <row r="478" spans="1:17" ht="13.2">
      <c r="A478" s="26">
        <v>45807.521384432868</v>
      </c>
      <c r="B478" s="8" t="s">
        <v>1141</v>
      </c>
      <c r="C478" s="8" t="s">
        <v>4022</v>
      </c>
      <c r="D478" s="8" t="s">
        <v>1811</v>
      </c>
      <c r="E478" s="8" t="s">
        <v>4023</v>
      </c>
      <c r="F478" s="82" t="s">
        <v>4024</v>
      </c>
      <c r="G478" s="27">
        <v>42999</v>
      </c>
      <c r="H478" s="8" t="s">
        <v>1371</v>
      </c>
      <c r="I478" s="8">
        <v>770529350061</v>
      </c>
      <c r="J478" s="8" t="s">
        <v>1564</v>
      </c>
      <c r="K478" s="8" t="s">
        <v>1548</v>
      </c>
      <c r="L478" s="8" t="s">
        <v>2916</v>
      </c>
      <c r="M478" s="8" t="s">
        <v>4025</v>
      </c>
      <c r="N478" s="8">
        <v>87057492049</v>
      </c>
      <c r="O478" s="8">
        <v>0</v>
      </c>
      <c r="P478" s="8">
        <v>360000</v>
      </c>
      <c r="Q478" s="8" t="s">
        <v>618</v>
      </c>
    </row>
    <row r="479" spans="1:17" ht="13.2">
      <c r="A479" s="26">
        <v>45807.569278877316</v>
      </c>
      <c r="B479" s="8" t="s">
        <v>1141</v>
      </c>
      <c r="C479" s="8" t="s">
        <v>4026</v>
      </c>
      <c r="D479" s="8" t="s">
        <v>4027</v>
      </c>
      <c r="E479" s="8" t="s">
        <v>4028</v>
      </c>
      <c r="F479" s="82" t="s">
        <v>4029</v>
      </c>
      <c r="G479" s="27">
        <v>45072</v>
      </c>
      <c r="H479" s="8" t="s">
        <v>1431</v>
      </c>
      <c r="I479" s="8">
        <v>880228300894</v>
      </c>
      <c r="J479" s="8" t="s">
        <v>1372</v>
      </c>
      <c r="K479" s="8" t="s">
        <v>3034</v>
      </c>
      <c r="L479" s="8" t="s">
        <v>4030</v>
      </c>
      <c r="M479" s="8" t="s">
        <v>4031</v>
      </c>
      <c r="N479" s="8">
        <v>87028984565</v>
      </c>
      <c r="O479" s="8">
        <v>360000</v>
      </c>
      <c r="P479" s="8">
        <v>0</v>
      </c>
      <c r="Q479" s="8" t="s">
        <v>634</v>
      </c>
    </row>
    <row r="480" spans="1:17" ht="13.2">
      <c r="A480" s="26">
        <v>45807.609846527776</v>
      </c>
      <c r="B480" s="8" t="s">
        <v>1049</v>
      </c>
      <c r="C480" s="8" t="s">
        <v>4032</v>
      </c>
      <c r="D480" s="8" t="s">
        <v>4033</v>
      </c>
      <c r="E480" s="8" t="s">
        <v>1055</v>
      </c>
      <c r="F480" s="82" t="s">
        <v>4034</v>
      </c>
      <c r="G480" s="27">
        <v>45139</v>
      </c>
      <c r="H480" s="8" t="s">
        <v>1371</v>
      </c>
      <c r="I480" s="8">
        <v>730708302077</v>
      </c>
      <c r="J480" s="8" t="s">
        <v>2008</v>
      </c>
      <c r="K480" s="8" t="s">
        <v>3666</v>
      </c>
      <c r="L480" s="8" t="s">
        <v>4035</v>
      </c>
      <c r="M480" s="8" t="s">
        <v>4036</v>
      </c>
      <c r="N480" s="8">
        <v>87073000277</v>
      </c>
      <c r="O480" s="8">
        <v>0</v>
      </c>
      <c r="P480" s="8">
        <v>340000</v>
      </c>
      <c r="Q480" s="8" t="s">
        <v>636</v>
      </c>
    </row>
    <row r="481" spans="1:17" ht="13.2">
      <c r="A481" s="26">
        <v>45807.662494189819</v>
      </c>
      <c r="B481" s="8" t="s">
        <v>1071</v>
      </c>
      <c r="C481" s="8" t="s">
        <v>4037</v>
      </c>
      <c r="D481" s="8" t="s">
        <v>1053</v>
      </c>
      <c r="E481" s="8" t="s">
        <v>1055</v>
      </c>
      <c r="F481" s="82" t="s">
        <v>4038</v>
      </c>
      <c r="G481" s="27">
        <v>43160</v>
      </c>
      <c r="H481" s="8" t="s">
        <v>1371</v>
      </c>
      <c r="I481" s="8">
        <v>610919399022</v>
      </c>
      <c r="J481" s="8" t="s">
        <v>4039</v>
      </c>
      <c r="K481" s="8" t="s">
        <v>4040</v>
      </c>
      <c r="L481" s="8" t="s">
        <v>4041</v>
      </c>
      <c r="M481" s="8" t="s">
        <v>4042</v>
      </c>
      <c r="N481" s="8">
        <v>87013757428</v>
      </c>
      <c r="O481" s="8">
        <v>300000</v>
      </c>
      <c r="P481" s="8">
        <v>0</v>
      </c>
      <c r="Q481" s="8" t="s">
        <v>635</v>
      </c>
    </row>
    <row r="482" spans="1:17" ht="13.2">
      <c r="A482" s="26">
        <v>45810.652672766199</v>
      </c>
      <c r="B482" s="8" t="s">
        <v>1071</v>
      </c>
      <c r="C482" s="8" t="s">
        <v>4043</v>
      </c>
      <c r="D482" s="8" t="s">
        <v>1322</v>
      </c>
      <c r="E482" s="8" t="s">
        <v>4044</v>
      </c>
      <c r="F482" s="82" t="s">
        <v>4045</v>
      </c>
      <c r="G482" s="27">
        <v>43297</v>
      </c>
      <c r="H482" s="8" t="s">
        <v>1371</v>
      </c>
      <c r="I482" s="8">
        <v>740210350458</v>
      </c>
      <c r="J482" s="8" t="s">
        <v>1976</v>
      </c>
      <c r="K482" s="8" t="s">
        <v>1977</v>
      </c>
      <c r="L482" s="8" t="s">
        <v>4046</v>
      </c>
      <c r="M482" s="8" t="s">
        <v>4047</v>
      </c>
      <c r="N482" s="8">
        <v>87057669674</v>
      </c>
      <c r="O482" s="8">
        <v>0</v>
      </c>
      <c r="P482" s="8">
        <v>420000</v>
      </c>
      <c r="Q482" s="8" t="s">
        <v>640</v>
      </c>
    </row>
    <row r="483" spans="1:17" ht="13.2">
      <c r="A483" s="26">
        <v>45810.675384166665</v>
      </c>
      <c r="B483" s="8" t="s">
        <v>1049</v>
      </c>
      <c r="C483" s="8" t="s">
        <v>4048</v>
      </c>
      <c r="D483" s="8" t="s">
        <v>4049</v>
      </c>
      <c r="E483" s="8" t="s">
        <v>4050</v>
      </c>
      <c r="F483" s="82" t="s">
        <v>4051</v>
      </c>
      <c r="G483" s="27">
        <v>45251</v>
      </c>
      <c r="H483" s="8" t="s">
        <v>1371</v>
      </c>
      <c r="I483" s="8">
        <v>781123301195</v>
      </c>
      <c r="J483" s="8" t="s">
        <v>2008</v>
      </c>
      <c r="K483" s="8" t="s">
        <v>4052</v>
      </c>
      <c r="L483" s="8" t="s">
        <v>4053</v>
      </c>
      <c r="M483" s="8" t="s">
        <v>4054</v>
      </c>
      <c r="N483" s="8">
        <v>87071130881</v>
      </c>
      <c r="O483" s="8">
        <v>730000</v>
      </c>
      <c r="P483" s="8">
        <v>0</v>
      </c>
      <c r="Q483" s="8" t="s">
        <v>641</v>
      </c>
    </row>
    <row r="484" spans="1:17" ht="13.2">
      <c r="A484" s="26">
        <v>45811.448494490745</v>
      </c>
      <c r="B484" s="8" t="s">
        <v>1141</v>
      </c>
      <c r="C484" s="8" t="s">
        <v>4055</v>
      </c>
      <c r="D484" s="8" t="s">
        <v>4056</v>
      </c>
      <c r="E484" s="8" t="s">
        <v>4057</v>
      </c>
      <c r="F484" s="82" t="s">
        <v>4058</v>
      </c>
      <c r="G484" s="27">
        <v>42242</v>
      </c>
      <c r="H484" s="8" t="s">
        <v>1371</v>
      </c>
      <c r="I484" s="8">
        <v>580101351796</v>
      </c>
      <c r="J484" s="8" t="s">
        <v>1533</v>
      </c>
      <c r="K484" s="8" t="s">
        <v>4059</v>
      </c>
      <c r="L484" s="8" t="s">
        <v>2459</v>
      </c>
      <c r="M484" s="8" t="s">
        <v>2197</v>
      </c>
      <c r="N484" s="8">
        <v>87016619551</v>
      </c>
      <c r="O484" s="8">
        <v>400000</v>
      </c>
      <c r="P484" s="8">
        <v>0</v>
      </c>
      <c r="Q484" s="8" t="s">
        <v>642</v>
      </c>
    </row>
    <row r="485" spans="1:17" ht="13.2">
      <c r="A485" s="26">
        <v>45811.771404513885</v>
      </c>
      <c r="B485" s="8" t="s">
        <v>1071</v>
      </c>
      <c r="C485" s="8" t="s">
        <v>4060</v>
      </c>
      <c r="D485" s="8" t="s">
        <v>1439</v>
      </c>
      <c r="E485" s="8" t="s">
        <v>2956</v>
      </c>
      <c r="F485" s="82" t="s">
        <v>4061</v>
      </c>
      <c r="G485" s="27">
        <v>45621</v>
      </c>
      <c r="H485" s="8" t="s">
        <v>1371</v>
      </c>
      <c r="I485" s="8">
        <v>770318350371</v>
      </c>
      <c r="J485" s="8" t="s">
        <v>1976</v>
      </c>
      <c r="K485" s="8" t="s">
        <v>1977</v>
      </c>
      <c r="L485" s="8" t="s">
        <v>4062</v>
      </c>
      <c r="M485" s="8" t="s">
        <v>4063</v>
      </c>
      <c r="N485" s="8">
        <v>87077227976</v>
      </c>
      <c r="O485" s="8">
        <v>0</v>
      </c>
      <c r="P485" s="8">
        <v>380000</v>
      </c>
      <c r="Q485" s="8" t="s">
        <v>644</v>
      </c>
    </row>
    <row r="486" spans="1:17" ht="13.2">
      <c r="A486" s="26">
        <v>45813.455191574074</v>
      </c>
      <c r="B486" s="8" t="s">
        <v>1071</v>
      </c>
      <c r="C486" s="8" t="s">
        <v>4064</v>
      </c>
      <c r="D486" s="8" t="s">
        <v>1226</v>
      </c>
      <c r="E486" s="8" t="s">
        <v>1201</v>
      </c>
      <c r="F486" s="82" t="s">
        <v>4065</v>
      </c>
      <c r="G486" s="27">
        <v>45308</v>
      </c>
      <c r="H486" s="8" t="s">
        <v>1371</v>
      </c>
      <c r="I486" s="8">
        <v>790521300858</v>
      </c>
      <c r="J486" s="8" t="s">
        <v>1976</v>
      </c>
      <c r="K486" s="8" t="s">
        <v>2616</v>
      </c>
      <c r="L486" s="8" t="s">
        <v>4066</v>
      </c>
      <c r="M486" s="8" t="s">
        <v>4067</v>
      </c>
      <c r="N486" s="8">
        <v>87072694602</v>
      </c>
      <c r="O486" s="8">
        <v>350000</v>
      </c>
      <c r="P486" s="8">
        <v>0</v>
      </c>
      <c r="Q486" s="8" t="s">
        <v>645</v>
      </c>
    </row>
    <row r="487" spans="1:17" ht="13.2">
      <c r="A487" s="26">
        <v>45813.484241770835</v>
      </c>
      <c r="B487" s="8" t="s">
        <v>1049</v>
      </c>
      <c r="C487" s="8" t="s">
        <v>4068</v>
      </c>
      <c r="D487" s="8" t="s">
        <v>1053</v>
      </c>
      <c r="E487" s="8" t="s">
        <v>1697</v>
      </c>
      <c r="F487" s="82" t="s">
        <v>4069</v>
      </c>
      <c r="G487" s="27">
        <v>45484</v>
      </c>
      <c r="H487" s="8" t="s">
        <v>1371</v>
      </c>
      <c r="I487" s="8">
        <v>890926300385</v>
      </c>
      <c r="J487" s="8" t="s">
        <v>1372</v>
      </c>
      <c r="K487" s="8" t="s">
        <v>1527</v>
      </c>
      <c r="L487" s="8" t="s">
        <v>4070</v>
      </c>
      <c r="M487" s="8" t="s">
        <v>4071</v>
      </c>
      <c r="N487" s="8">
        <v>87012720888</v>
      </c>
      <c r="O487" s="8">
        <v>0</v>
      </c>
      <c r="P487" s="8">
        <v>360000</v>
      </c>
      <c r="Q487" s="8" t="s">
        <v>646</v>
      </c>
    </row>
    <row r="488" spans="1:17" ht="13.2">
      <c r="A488" s="26">
        <v>45813.651692604166</v>
      </c>
      <c r="B488" s="8" t="s">
        <v>1071</v>
      </c>
      <c r="C488" s="8" t="s">
        <v>4072</v>
      </c>
      <c r="D488" s="8" t="s">
        <v>4073</v>
      </c>
      <c r="E488" s="8" t="s">
        <v>4074</v>
      </c>
      <c r="F488" s="82" t="s">
        <v>4075</v>
      </c>
      <c r="G488" s="27">
        <v>42850</v>
      </c>
      <c r="H488" s="8" t="s">
        <v>1371</v>
      </c>
      <c r="I488" s="8">
        <v>880205350805</v>
      </c>
      <c r="J488" s="8" t="s">
        <v>1976</v>
      </c>
      <c r="K488" s="8" t="s">
        <v>4076</v>
      </c>
      <c r="L488" s="8" t="s">
        <v>4077</v>
      </c>
      <c r="M488" s="8" t="s">
        <v>4078</v>
      </c>
      <c r="N488" s="8">
        <v>87767345388</v>
      </c>
      <c r="O488" s="8">
        <v>380000</v>
      </c>
      <c r="P488" s="8">
        <v>0</v>
      </c>
      <c r="Q488" s="8" t="s">
        <v>647</v>
      </c>
    </row>
    <row r="489" spans="1:17" ht="13.2">
      <c r="A489" s="26">
        <v>45813.733204212964</v>
      </c>
      <c r="B489" s="8" t="s">
        <v>1141</v>
      </c>
      <c r="C489" s="8" t="s">
        <v>4079</v>
      </c>
      <c r="D489" s="8" t="s">
        <v>1081</v>
      </c>
      <c r="E489" s="8" t="s">
        <v>2267</v>
      </c>
      <c r="F489" s="82" t="s">
        <v>4080</v>
      </c>
      <c r="G489" s="27">
        <v>44992</v>
      </c>
      <c r="H489" s="8" t="s">
        <v>1371</v>
      </c>
      <c r="I489" s="8">
        <v>790319301243</v>
      </c>
      <c r="J489" s="8" t="s">
        <v>1564</v>
      </c>
      <c r="K489" s="8" t="s">
        <v>2435</v>
      </c>
      <c r="L489" s="8" t="s">
        <v>4081</v>
      </c>
      <c r="M489" s="8" t="s">
        <v>4082</v>
      </c>
      <c r="N489" s="8">
        <v>87713771717</v>
      </c>
      <c r="O489" s="8">
        <v>390000</v>
      </c>
      <c r="P489" s="8">
        <v>0</v>
      </c>
      <c r="Q489" s="8" t="s">
        <v>639</v>
      </c>
    </row>
    <row r="490" spans="1:17" ht="13.2">
      <c r="A490" s="26">
        <v>45814.59113108796</v>
      </c>
      <c r="B490" s="8" t="s">
        <v>1049</v>
      </c>
      <c r="C490" s="8" t="s">
        <v>4083</v>
      </c>
      <c r="D490" s="8" t="s">
        <v>3776</v>
      </c>
      <c r="E490" s="8" t="s">
        <v>4084</v>
      </c>
      <c r="F490" s="82" t="s">
        <v>4085</v>
      </c>
      <c r="G490" s="27">
        <v>44880</v>
      </c>
      <c r="H490" s="8" t="s">
        <v>1371</v>
      </c>
      <c r="I490" s="8">
        <v>880802302672</v>
      </c>
      <c r="J490" s="8" t="s">
        <v>1541</v>
      </c>
      <c r="K490" s="8" t="s">
        <v>4086</v>
      </c>
      <c r="L490" s="8" t="s">
        <v>4087</v>
      </c>
      <c r="M490" s="8" t="s">
        <v>4088</v>
      </c>
      <c r="N490" s="8">
        <v>87753888833</v>
      </c>
      <c r="O490" s="8">
        <v>360000</v>
      </c>
      <c r="P490" s="8">
        <v>0</v>
      </c>
      <c r="Q490" s="8" t="s">
        <v>648</v>
      </c>
    </row>
    <row r="491" spans="1:17" ht="13.2">
      <c r="A491" s="26">
        <v>45814.608221354167</v>
      </c>
      <c r="B491" s="8" t="s">
        <v>1049</v>
      </c>
      <c r="C491" s="8" t="s">
        <v>4089</v>
      </c>
      <c r="D491" s="8" t="s">
        <v>4090</v>
      </c>
      <c r="E491" s="8" t="s">
        <v>3087</v>
      </c>
      <c r="F491" s="82" t="s">
        <v>4091</v>
      </c>
      <c r="G491" s="27">
        <v>45471</v>
      </c>
      <c r="H491" s="8" t="s">
        <v>1371</v>
      </c>
      <c r="I491" s="8">
        <v>781014402328</v>
      </c>
      <c r="J491" s="8" t="s">
        <v>1372</v>
      </c>
      <c r="K491" s="8" t="s">
        <v>4092</v>
      </c>
      <c r="L491" s="8" t="s">
        <v>4093</v>
      </c>
      <c r="M491" s="8" t="s">
        <v>4094</v>
      </c>
      <c r="N491" s="8">
        <v>87078401543</v>
      </c>
      <c r="O491" s="8">
        <v>420000</v>
      </c>
      <c r="P491" s="8">
        <v>0</v>
      </c>
      <c r="Q491" s="8" t="s">
        <v>649</v>
      </c>
    </row>
    <row r="492" spans="1:17" ht="13.2">
      <c r="A492" s="26">
        <v>45818.41364525463</v>
      </c>
      <c r="B492" s="8" t="s">
        <v>1049</v>
      </c>
      <c r="C492" s="8" t="s">
        <v>4095</v>
      </c>
      <c r="D492" s="8" t="s">
        <v>4096</v>
      </c>
      <c r="E492" s="8" t="s">
        <v>3625</v>
      </c>
      <c r="F492" s="82" t="s">
        <v>4097</v>
      </c>
      <c r="G492" s="27">
        <v>44561</v>
      </c>
      <c r="H492" s="8" t="s">
        <v>1371</v>
      </c>
      <c r="I492" s="8">
        <v>670106301885</v>
      </c>
      <c r="J492" s="8" t="s">
        <v>2015</v>
      </c>
      <c r="K492" s="8" t="s">
        <v>2200</v>
      </c>
      <c r="L492" s="8" t="s">
        <v>4098</v>
      </c>
      <c r="M492" s="8" t="s">
        <v>4099</v>
      </c>
      <c r="N492" s="8">
        <v>87017579651</v>
      </c>
      <c r="O492" s="8">
        <v>0</v>
      </c>
      <c r="P492" s="8">
        <v>310000</v>
      </c>
      <c r="Q492" s="8" t="s">
        <v>650</v>
      </c>
    </row>
    <row r="493" spans="1:17" ht="13.2">
      <c r="A493" s="26">
        <v>45818.607222569444</v>
      </c>
      <c r="B493" s="8" t="s">
        <v>1049</v>
      </c>
      <c r="C493" s="8" t="s">
        <v>4100</v>
      </c>
      <c r="D493" s="8" t="s">
        <v>4101</v>
      </c>
      <c r="E493" s="8" t="s">
        <v>4102</v>
      </c>
      <c r="F493" s="82" t="s">
        <v>4103</v>
      </c>
      <c r="G493" s="27">
        <v>43186</v>
      </c>
      <c r="H493" s="8" t="s">
        <v>1431</v>
      </c>
      <c r="I493" s="8">
        <v>950423301659</v>
      </c>
      <c r="J493" s="8" t="s">
        <v>2008</v>
      </c>
      <c r="K493" s="8" t="s">
        <v>3241</v>
      </c>
      <c r="L493" s="8" t="s">
        <v>4104</v>
      </c>
      <c r="M493" s="8" t="s">
        <v>4105</v>
      </c>
      <c r="N493" s="8">
        <v>87477179590</v>
      </c>
      <c r="O493" s="8">
        <v>320000</v>
      </c>
      <c r="P493" s="8">
        <v>0</v>
      </c>
      <c r="Q493" s="8" t="s">
        <v>651</v>
      </c>
    </row>
    <row r="494" spans="1:17" ht="13.2">
      <c r="A494" s="26">
        <v>45819.446862048615</v>
      </c>
      <c r="B494" s="8" t="s">
        <v>1071</v>
      </c>
      <c r="C494" s="8" t="s">
        <v>4106</v>
      </c>
      <c r="D494" s="8" t="s">
        <v>4107</v>
      </c>
      <c r="E494" s="8" t="s">
        <v>1386</v>
      </c>
      <c r="F494" s="82" t="s">
        <v>4108</v>
      </c>
      <c r="G494" s="27">
        <v>43822</v>
      </c>
      <c r="H494" s="8" t="s">
        <v>1371</v>
      </c>
      <c r="I494" s="8">
        <v>851024350819</v>
      </c>
      <c r="J494" s="8" t="s">
        <v>1976</v>
      </c>
      <c r="K494" s="8" t="s">
        <v>4109</v>
      </c>
      <c r="L494" s="8" t="s">
        <v>4110</v>
      </c>
      <c r="M494" s="8" t="s">
        <v>4111</v>
      </c>
      <c r="N494" s="8">
        <v>87021331188</v>
      </c>
      <c r="O494" s="8">
        <v>0</v>
      </c>
      <c r="P494" s="8">
        <v>700000</v>
      </c>
      <c r="Q494" s="8" t="s">
        <v>652</v>
      </c>
    </row>
    <row r="495" spans="1:17" ht="13.2">
      <c r="A495" s="26">
        <v>45819.705183182872</v>
      </c>
      <c r="B495" s="8" t="s">
        <v>1141</v>
      </c>
      <c r="C495" s="8" t="s">
        <v>4112</v>
      </c>
      <c r="D495" s="8" t="s">
        <v>1244</v>
      </c>
      <c r="E495" s="8" t="s">
        <v>2956</v>
      </c>
      <c r="F495" s="82" t="s">
        <v>4113</v>
      </c>
      <c r="G495" s="27">
        <v>45519</v>
      </c>
      <c r="H495" s="8" t="s">
        <v>1371</v>
      </c>
      <c r="I495" s="8">
        <v>740227350163</v>
      </c>
      <c r="J495" s="8" t="s">
        <v>1533</v>
      </c>
      <c r="K495" s="8" t="s">
        <v>4114</v>
      </c>
      <c r="L495" s="8" t="s">
        <v>4115</v>
      </c>
      <c r="M495" s="8" t="s">
        <v>4116</v>
      </c>
      <c r="N495" s="8" t="s">
        <v>4117</v>
      </c>
      <c r="O495" s="8">
        <v>390000</v>
      </c>
      <c r="P495" s="8">
        <v>0</v>
      </c>
      <c r="Q495" s="8" t="s">
        <v>653</v>
      </c>
    </row>
    <row r="496" spans="1:17" ht="13.2">
      <c r="A496" s="26">
        <v>45819.736911562504</v>
      </c>
      <c r="B496" s="8" t="s">
        <v>1071</v>
      </c>
      <c r="C496" s="8" t="s">
        <v>4118</v>
      </c>
      <c r="D496" s="8" t="s">
        <v>4119</v>
      </c>
      <c r="E496" s="8" t="s">
        <v>4120</v>
      </c>
      <c r="F496" s="82" t="s">
        <v>4121</v>
      </c>
      <c r="G496" s="27">
        <v>44244</v>
      </c>
      <c r="H496" s="8" t="s">
        <v>1431</v>
      </c>
      <c r="I496" s="8">
        <v>760614300322</v>
      </c>
      <c r="J496" s="8" t="s">
        <v>1976</v>
      </c>
      <c r="K496" s="8" t="s">
        <v>2022</v>
      </c>
      <c r="L496" s="8" t="s">
        <v>4122</v>
      </c>
      <c r="M496" s="8" t="s">
        <v>4123</v>
      </c>
      <c r="N496" s="8">
        <v>87013635395</v>
      </c>
      <c r="O496" s="8">
        <v>0</v>
      </c>
      <c r="P496" s="8">
        <v>450000</v>
      </c>
      <c r="Q496" s="8" t="s">
        <v>654</v>
      </c>
    </row>
    <row r="497" spans="1:17" ht="13.2">
      <c r="A497" s="26">
        <v>45820.781087673611</v>
      </c>
      <c r="B497" s="8" t="s">
        <v>1141</v>
      </c>
      <c r="C497" s="8" t="s">
        <v>4124</v>
      </c>
      <c r="D497" s="8" t="s">
        <v>3267</v>
      </c>
      <c r="E497" s="8" t="s">
        <v>4125</v>
      </c>
      <c r="F497" s="82" t="s">
        <v>4126</v>
      </c>
      <c r="G497" s="27">
        <v>45320</v>
      </c>
      <c r="H497" s="8" t="s">
        <v>1371</v>
      </c>
      <c r="I497" s="8">
        <v>710304350403</v>
      </c>
      <c r="J497" s="8" t="s">
        <v>1976</v>
      </c>
      <c r="K497" s="8" t="s">
        <v>4127</v>
      </c>
      <c r="L497" s="8" t="s">
        <v>4128</v>
      </c>
      <c r="M497" s="8" t="s">
        <v>3122</v>
      </c>
      <c r="N497" s="8">
        <v>87013763626</v>
      </c>
      <c r="O497" s="8">
        <v>490000</v>
      </c>
      <c r="P497" s="8">
        <v>0</v>
      </c>
      <c r="Q497" s="8" t="s">
        <v>612</v>
      </c>
    </row>
    <row r="498" spans="1:17" ht="13.2">
      <c r="A498" s="26">
        <v>45821.657115995375</v>
      </c>
      <c r="B498" s="8" t="s">
        <v>1141</v>
      </c>
      <c r="C498" s="8" t="s">
        <v>4129</v>
      </c>
      <c r="D498" s="8" t="s">
        <v>4130</v>
      </c>
      <c r="E498" s="8" t="s">
        <v>4131</v>
      </c>
      <c r="F498" s="82" t="s">
        <v>4132</v>
      </c>
      <c r="G498" s="27">
        <v>43835</v>
      </c>
      <c r="H498" s="8" t="s">
        <v>1371</v>
      </c>
      <c r="I498" s="8">
        <v>841010301075</v>
      </c>
      <c r="J498" s="8" t="s">
        <v>1976</v>
      </c>
      <c r="K498" s="8" t="s">
        <v>4133</v>
      </c>
      <c r="L498" s="8" t="s">
        <v>4134</v>
      </c>
      <c r="M498" s="8" t="s">
        <v>4135</v>
      </c>
      <c r="N498" s="8">
        <v>87001300806</v>
      </c>
      <c r="O498" s="8">
        <v>0</v>
      </c>
      <c r="P498" s="8">
        <v>360000</v>
      </c>
      <c r="Q498" s="8" t="s">
        <v>655</v>
      </c>
    </row>
    <row r="499" spans="1:17" ht="13.2">
      <c r="A499" s="26">
        <v>45824.423590127313</v>
      </c>
      <c r="B499" s="8" t="s">
        <v>1049</v>
      </c>
      <c r="C499" s="8" t="s">
        <v>4136</v>
      </c>
      <c r="D499" s="8" t="s">
        <v>2342</v>
      </c>
      <c r="E499" s="8" t="s">
        <v>2343</v>
      </c>
      <c r="F499" s="82" t="s">
        <v>2344</v>
      </c>
      <c r="G499" s="27">
        <v>45261</v>
      </c>
      <c r="H499" s="8" t="s">
        <v>1371</v>
      </c>
      <c r="I499" s="8">
        <v>810522303061</v>
      </c>
      <c r="J499" s="8" t="s">
        <v>3132</v>
      </c>
      <c r="K499" s="8" t="s">
        <v>4137</v>
      </c>
      <c r="L499" s="8" t="s">
        <v>4138</v>
      </c>
      <c r="M499" s="8" t="s">
        <v>4139</v>
      </c>
      <c r="N499" s="8">
        <v>87087435052</v>
      </c>
      <c r="O499" s="8">
        <v>0</v>
      </c>
      <c r="P499" s="8">
        <v>325000</v>
      </c>
      <c r="Q499" s="8" t="s">
        <v>659</v>
      </c>
    </row>
    <row r="500" spans="1:17" ht="13.2">
      <c r="A500" s="26">
        <v>45824.448378564819</v>
      </c>
      <c r="B500" s="8" t="s">
        <v>1141</v>
      </c>
      <c r="C500" s="8" t="s">
        <v>4140</v>
      </c>
      <c r="D500" s="8" t="s">
        <v>1262</v>
      </c>
      <c r="E500" s="8" t="s">
        <v>1697</v>
      </c>
      <c r="F500" s="82" t="s">
        <v>4141</v>
      </c>
      <c r="G500" s="27">
        <v>45229</v>
      </c>
      <c r="H500" s="8" t="s">
        <v>1371</v>
      </c>
      <c r="I500" s="8">
        <v>970715350064</v>
      </c>
      <c r="J500" s="8" t="s">
        <v>1564</v>
      </c>
      <c r="K500" s="8" t="s">
        <v>4142</v>
      </c>
      <c r="L500" s="8" t="s">
        <v>4143</v>
      </c>
      <c r="M500" s="8" t="s">
        <v>4144</v>
      </c>
      <c r="N500" s="8">
        <v>87758200306</v>
      </c>
      <c r="O500" s="8">
        <v>450000</v>
      </c>
      <c r="P500" s="8">
        <v>0</v>
      </c>
      <c r="Q500" s="8" t="s">
        <v>637</v>
      </c>
    </row>
    <row r="501" spans="1:17" ht="13.2">
      <c r="A501" s="26">
        <v>45824.747613784726</v>
      </c>
      <c r="B501" s="8" t="s">
        <v>1071</v>
      </c>
      <c r="C501" s="8" t="s">
        <v>4145</v>
      </c>
      <c r="D501" s="8" t="s">
        <v>4146</v>
      </c>
      <c r="E501" s="8" t="s">
        <v>4147</v>
      </c>
      <c r="F501" s="82" t="s">
        <v>4148</v>
      </c>
      <c r="G501" s="27">
        <v>45273</v>
      </c>
      <c r="H501" s="8" t="s">
        <v>1371</v>
      </c>
      <c r="I501" s="8">
        <v>911118351287</v>
      </c>
      <c r="J501" s="8" t="s">
        <v>1976</v>
      </c>
      <c r="K501" s="8" t="s">
        <v>1977</v>
      </c>
      <c r="L501" s="8" t="s">
        <v>4149</v>
      </c>
      <c r="M501" s="8" t="s">
        <v>4150</v>
      </c>
      <c r="N501" s="8">
        <v>87023540600</v>
      </c>
      <c r="O501" s="8">
        <v>350000</v>
      </c>
      <c r="P501" s="8">
        <v>0</v>
      </c>
      <c r="Q501" s="8" t="s">
        <v>660</v>
      </c>
    </row>
    <row r="502" spans="1:17" ht="13.2">
      <c r="A502" s="26">
        <v>45825.71174668982</v>
      </c>
      <c r="B502" s="8" t="s">
        <v>1071</v>
      </c>
      <c r="C502" s="8" t="s">
        <v>4151</v>
      </c>
      <c r="D502" s="8" t="s">
        <v>1124</v>
      </c>
      <c r="E502" s="8" t="s">
        <v>3452</v>
      </c>
      <c r="F502" s="82" t="s">
        <v>3940</v>
      </c>
      <c r="G502" s="27">
        <v>45523</v>
      </c>
      <c r="H502" s="8" t="s">
        <v>1371</v>
      </c>
      <c r="I502" s="8">
        <v>910421450616</v>
      </c>
      <c r="J502" s="8" t="s">
        <v>1976</v>
      </c>
      <c r="K502" s="8" t="s">
        <v>1977</v>
      </c>
      <c r="L502" s="8" t="s">
        <v>3672</v>
      </c>
      <c r="M502" s="8" t="s">
        <v>2734</v>
      </c>
      <c r="N502" s="8">
        <v>87771167016</v>
      </c>
      <c r="O502" s="8">
        <v>460000</v>
      </c>
      <c r="P502" s="8">
        <v>0</v>
      </c>
      <c r="Q502" s="8" t="s">
        <v>661</v>
      </c>
    </row>
    <row r="503" spans="1:17" ht="13.2">
      <c r="A503" s="26">
        <v>45826.475189293982</v>
      </c>
      <c r="B503" s="8" t="s">
        <v>1049</v>
      </c>
      <c r="C503" s="8" t="s">
        <v>4152</v>
      </c>
      <c r="D503" s="8" t="s">
        <v>4153</v>
      </c>
      <c r="E503" s="8" t="s">
        <v>4154</v>
      </c>
      <c r="F503" s="82" t="s">
        <v>4155</v>
      </c>
      <c r="G503" s="27">
        <v>45205</v>
      </c>
      <c r="H503" s="8" t="s">
        <v>1371</v>
      </c>
      <c r="I503" s="8">
        <v>870619300808</v>
      </c>
      <c r="J503" s="8" t="s">
        <v>4156</v>
      </c>
      <c r="K503" s="8" t="s">
        <v>4157</v>
      </c>
      <c r="L503" s="8" t="s">
        <v>4158</v>
      </c>
      <c r="M503" s="8" t="s">
        <v>2548</v>
      </c>
      <c r="N503" s="8">
        <v>87054046187</v>
      </c>
      <c r="O503" s="8">
        <v>0</v>
      </c>
      <c r="P503" s="8">
        <v>360000</v>
      </c>
      <c r="Q503" s="8" t="s">
        <v>662</v>
      </c>
    </row>
    <row r="504" spans="1:17" ht="13.2">
      <c r="A504" s="26">
        <v>45826.715479224542</v>
      </c>
      <c r="B504" s="8" t="s">
        <v>1049</v>
      </c>
      <c r="C504" s="8" t="s">
        <v>4159</v>
      </c>
      <c r="D504" s="8" t="s">
        <v>4160</v>
      </c>
      <c r="E504" s="8" t="s">
        <v>4161</v>
      </c>
      <c r="F504" s="82" t="s">
        <v>4162</v>
      </c>
      <c r="G504" s="27">
        <v>39318</v>
      </c>
      <c r="H504" s="8" t="s">
        <v>1410</v>
      </c>
      <c r="I504" s="8">
        <v>820111302299</v>
      </c>
      <c r="J504" s="8" t="s">
        <v>2008</v>
      </c>
      <c r="K504" s="8" t="s">
        <v>4163</v>
      </c>
      <c r="L504" s="8" t="s">
        <v>4164</v>
      </c>
      <c r="M504" s="8" t="s">
        <v>3195</v>
      </c>
      <c r="N504" s="8">
        <v>87769855582</v>
      </c>
      <c r="O504" s="8">
        <v>300000</v>
      </c>
      <c r="P504" s="8">
        <v>110000</v>
      </c>
      <c r="Q504" s="8" t="s">
        <v>663</v>
      </c>
    </row>
    <row r="505" spans="1:17" ht="13.2">
      <c r="A505" s="26">
        <v>45827.430976759264</v>
      </c>
      <c r="B505" s="8" t="s">
        <v>1071</v>
      </c>
      <c r="C505" s="8" t="s">
        <v>4165</v>
      </c>
      <c r="D505" s="8" t="s">
        <v>3105</v>
      </c>
      <c r="E505" s="8" t="s">
        <v>1386</v>
      </c>
      <c r="F505" s="82" t="s">
        <v>4166</v>
      </c>
      <c r="G505" s="27">
        <v>44321</v>
      </c>
      <c r="H505" s="8" t="s">
        <v>1371</v>
      </c>
      <c r="I505" s="8">
        <v>760729300833</v>
      </c>
      <c r="J505" s="8" t="s">
        <v>1976</v>
      </c>
      <c r="K505" s="8" t="s">
        <v>4167</v>
      </c>
      <c r="L505" s="8" t="s">
        <v>4168</v>
      </c>
      <c r="M505" s="8" t="s">
        <v>4169</v>
      </c>
      <c r="N505" s="8">
        <v>87712474584</v>
      </c>
      <c r="O505" s="8">
        <v>360000</v>
      </c>
      <c r="P505" s="8">
        <v>0</v>
      </c>
      <c r="Q505" s="8" t="s">
        <v>664</v>
      </c>
    </row>
    <row r="506" spans="1:17" ht="13.2">
      <c r="A506" s="26">
        <v>45828.709412696757</v>
      </c>
      <c r="B506" s="8" t="s">
        <v>1071</v>
      </c>
      <c r="C506" s="8" t="s">
        <v>4170</v>
      </c>
      <c r="D506" s="8" t="s">
        <v>4090</v>
      </c>
      <c r="E506" s="8" t="s">
        <v>4171</v>
      </c>
      <c r="F506" s="82" t="s">
        <v>4172</v>
      </c>
      <c r="G506" s="27">
        <v>44293</v>
      </c>
      <c r="H506" s="8" t="s">
        <v>1371</v>
      </c>
      <c r="I506" s="8">
        <v>860208450448</v>
      </c>
      <c r="J506" s="8" t="s">
        <v>1976</v>
      </c>
      <c r="K506" s="8" t="s">
        <v>2022</v>
      </c>
      <c r="L506" s="8" t="s">
        <v>2501</v>
      </c>
      <c r="M506" s="8" t="s">
        <v>4173</v>
      </c>
      <c r="N506" s="8">
        <v>87056333880</v>
      </c>
      <c r="O506" s="8">
        <v>540000</v>
      </c>
      <c r="P506" s="8">
        <v>0</v>
      </c>
      <c r="Q506" s="8" t="s">
        <v>665</v>
      </c>
    </row>
    <row r="507" spans="1:17" ht="13.2">
      <c r="A507" s="26">
        <v>45829.52038696759</v>
      </c>
      <c r="B507" s="8" t="s">
        <v>1049</v>
      </c>
      <c r="C507" s="8" t="s">
        <v>4174</v>
      </c>
      <c r="D507" s="8" t="s">
        <v>4153</v>
      </c>
      <c r="E507" s="8" t="s">
        <v>4175</v>
      </c>
      <c r="F507" s="82" t="s">
        <v>4176</v>
      </c>
      <c r="G507" s="27">
        <v>43783</v>
      </c>
      <c r="H507" s="8" t="s">
        <v>1371</v>
      </c>
      <c r="I507" s="8">
        <v>860716302215</v>
      </c>
      <c r="J507" s="8" t="s">
        <v>4177</v>
      </c>
      <c r="K507" s="8" t="s">
        <v>4178</v>
      </c>
      <c r="L507" s="8" t="s">
        <v>2897</v>
      </c>
      <c r="M507" s="8" t="s">
        <v>1529</v>
      </c>
      <c r="N507" s="8">
        <v>87781589737</v>
      </c>
      <c r="O507" s="8">
        <v>420000</v>
      </c>
      <c r="P507" s="8">
        <v>0</v>
      </c>
      <c r="Q507" s="8" t="s">
        <v>666</v>
      </c>
    </row>
    <row r="508" spans="1:17" ht="13.2">
      <c r="A508" s="26">
        <v>45829.522798124999</v>
      </c>
      <c r="B508" s="8" t="s">
        <v>1141</v>
      </c>
      <c r="C508" s="8" t="s">
        <v>4179</v>
      </c>
      <c r="D508" s="8" t="s">
        <v>4180</v>
      </c>
      <c r="E508" s="8" t="s">
        <v>2544</v>
      </c>
      <c r="F508" s="82" t="s">
        <v>4181</v>
      </c>
      <c r="G508" s="27">
        <v>44921</v>
      </c>
      <c r="H508" s="8" t="s">
        <v>1371</v>
      </c>
      <c r="I508" s="8">
        <v>710211350011</v>
      </c>
      <c r="J508" s="8" t="s">
        <v>1533</v>
      </c>
      <c r="K508" s="8" t="s">
        <v>4182</v>
      </c>
      <c r="L508" s="8" t="s">
        <v>4183</v>
      </c>
      <c r="M508" s="8" t="s">
        <v>4184</v>
      </c>
      <c r="N508" s="8">
        <v>87051517099</v>
      </c>
      <c r="O508" s="8">
        <v>0</v>
      </c>
      <c r="P508" s="8">
        <v>410000</v>
      </c>
      <c r="Q508" s="8" t="s">
        <v>658</v>
      </c>
    </row>
    <row r="509" spans="1:17" ht="13.2">
      <c r="A509" s="26">
        <v>45829.542975173608</v>
      </c>
      <c r="B509" s="8" t="s">
        <v>1141</v>
      </c>
      <c r="C509" s="8" t="s">
        <v>4185</v>
      </c>
      <c r="D509" s="8" t="s">
        <v>2261</v>
      </c>
      <c r="E509" s="8" t="s">
        <v>1783</v>
      </c>
      <c r="F509" s="82" t="s">
        <v>4186</v>
      </c>
      <c r="G509" s="27">
        <v>43866</v>
      </c>
      <c r="H509" s="8" t="s">
        <v>1371</v>
      </c>
      <c r="I509" s="8">
        <v>830314451165</v>
      </c>
      <c r="J509" s="8" t="s">
        <v>1564</v>
      </c>
      <c r="K509" s="8" t="s">
        <v>1565</v>
      </c>
      <c r="L509" s="8" t="s">
        <v>4187</v>
      </c>
      <c r="M509" s="8" t="s">
        <v>4188</v>
      </c>
      <c r="N509" s="8">
        <v>87771189446</v>
      </c>
      <c r="O509" s="8">
        <v>0</v>
      </c>
      <c r="P509" s="8">
        <v>455000</v>
      </c>
      <c r="Q509" s="8" t="s">
        <v>667</v>
      </c>
    </row>
    <row r="510" spans="1:17" ht="13.2">
      <c r="A510" s="26">
        <v>45830.441507407406</v>
      </c>
      <c r="B510" s="8" t="s">
        <v>1141</v>
      </c>
      <c r="C510" s="8" t="s">
        <v>4189</v>
      </c>
      <c r="D510" s="8" t="s">
        <v>3150</v>
      </c>
      <c r="E510" s="8" t="s">
        <v>2014</v>
      </c>
      <c r="F510" s="82" t="s">
        <v>4190</v>
      </c>
      <c r="G510" s="27">
        <v>44823</v>
      </c>
      <c r="H510" s="8" t="s">
        <v>1371</v>
      </c>
      <c r="I510" s="8">
        <v>710304300398</v>
      </c>
      <c r="J510" s="8" t="s">
        <v>124</v>
      </c>
      <c r="K510" s="8" t="s">
        <v>1748</v>
      </c>
      <c r="L510" s="8" t="s">
        <v>4191</v>
      </c>
      <c r="M510" s="8" t="s">
        <v>4192</v>
      </c>
      <c r="N510" s="8">
        <v>87052953145</v>
      </c>
      <c r="O510" s="8">
        <v>0</v>
      </c>
      <c r="P510" s="8">
        <v>360000</v>
      </c>
      <c r="Q510" s="8" t="s">
        <v>668</v>
      </c>
    </row>
    <row r="511" spans="1:17" ht="13.2">
      <c r="A511" s="26">
        <v>45830.465329224535</v>
      </c>
      <c r="B511" s="8" t="s">
        <v>1141</v>
      </c>
      <c r="C511" s="8" t="s">
        <v>4193</v>
      </c>
      <c r="D511" s="8" t="s">
        <v>4194</v>
      </c>
      <c r="E511" s="8" t="s">
        <v>4195</v>
      </c>
      <c r="F511" s="82" t="s">
        <v>4196</v>
      </c>
      <c r="G511" s="27">
        <v>42772</v>
      </c>
      <c r="H511" s="8" t="s">
        <v>1371</v>
      </c>
      <c r="I511" s="8">
        <v>870131351186</v>
      </c>
      <c r="J511" s="8" t="s">
        <v>124</v>
      </c>
      <c r="K511" s="8" t="s">
        <v>2435</v>
      </c>
      <c r="L511" s="8" t="s">
        <v>4197</v>
      </c>
      <c r="M511" s="8" t="s">
        <v>4198</v>
      </c>
      <c r="N511" s="8">
        <v>87083413749</v>
      </c>
      <c r="O511" s="8">
        <v>370000</v>
      </c>
      <c r="P511" s="8">
        <v>0</v>
      </c>
      <c r="Q511" s="8" t="s">
        <v>638</v>
      </c>
    </row>
    <row r="512" spans="1:17" ht="13.2">
      <c r="A512" s="26">
        <v>45831.496360034726</v>
      </c>
      <c r="B512" s="8" t="s">
        <v>1071</v>
      </c>
      <c r="C512" s="8" t="s">
        <v>4199</v>
      </c>
      <c r="D512" s="8" t="s">
        <v>2514</v>
      </c>
      <c r="E512" s="8" t="s">
        <v>1511</v>
      </c>
      <c r="F512" s="82" t="s">
        <v>4200</v>
      </c>
      <c r="G512" s="27">
        <v>43277</v>
      </c>
      <c r="H512" s="8" t="s">
        <v>1371</v>
      </c>
      <c r="I512" s="82" t="s">
        <v>4201</v>
      </c>
      <c r="J512" s="8" t="s">
        <v>1976</v>
      </c>
      <c r="K512" s="8" t="s">
        <v>1977</v>
      </c>
      <c r="L512" s="8" t="s">
        <v>3194</v>
      </c>
      <c r="M512" s="8" t="s">
        <v>4202</v>
      </c>
      <c r="N512" s="8">
        <v>87789069871</v>
      </c>
      <c r="O512" s="8">
        <v>400000</v>
      </c>
      <c r="P512" s="8">
        <v>0</v>
      </c>
      <c r="Q512" s="8" t="s">
        <v>671</v>
      </c>
    </row>
    <row r="513" spans="1:17" ht="13.2">
      <c r="A513" s="26">
        <v>45831.526231134259</v>
      </c>
      <c r="B513" s="8" t="s">
        <v>1141</v>
      </c>
      <c r="C513" s="8" t="s">
        <v>4203</v>
      </c>
      <c r="D513" s="8" t="s">
        <v>4204</v>
      </c>
      <c r="E513" s="8" t="s">
        <v>2588</v>
      </c>
      <c r="F513" s="82" t="s">
        <v>4205</v>
      </c>
      <c r="G513" s="27">
        <v>44221</v>
      </c>
      <c r="H513" s="8" t="s">
        <v>1371</v>
      </c>
      <c r="I513" s="8">
        <v>850925350745</v>
      </c>
      <c r="J513" s="8" t="s">
        <v>4206</v>
      </c>
      <c r="K513" s="8" t="s">
        <v>2435</v>
      </c>
      <c r="L513" s="8" t="s">
        <v>1743</v>
      </c>
      <c r="M513" s="8" t="s">
        <v>2466</v>
      </c>
      <c r="N513" s="8">
        <v>87770400666</v>
      </c>
      <c r="O513" s="8">
        <v>0</v>
      </c>
      <c r="P513" s="8">
        <v>555000</v>
      </c>
      <c r="Q513" s="8" t="s">
        <v>469</v>
      </c>
    </row>
    <row r="514" spans="1:17" ht="13.2">
      <c r="A514" s="26">
        <v>45831.574383449071</v>
      </c>
      <c r="B514" s="8" t="s">
        <v>1049</v>
      </c>
      <c r="C514" s="8" t="s">
        <v>4207</v>
      </c>
      <c r="D514" s="8" t="s">
        <v>1660</v>
      </c>
      <c r="E514" s="8" t="s">
        <v>4208</v>
      </c>
      <c r="F514" s="82" t="s">
        <v>4209</v>
      </c>
      <c r="G514" s="27">
        <v>39266</v>
      </c>
      <c r="H514" s="8" t="s">
        <v>1410</v>
      </c>
      <c r="I514" s="8">
        <v>620612302111</v>
      </c>
      <c r="J514" s="8" t="s">
        <v>2218</v>
      </c>
      <c r="K514" s="8" t="s">
        <v>4210</v>
      </c>
      <c r="L514" s="8" t="s">
        <v>4211</v>
      </c>
      <c r="M514" s="8" t="s">
        <v>4212</v>
      </c>
      <c r="N514" s="8">
        <v>87071212623</v>
      </c>
      <c r="O514" s="8">
        <v>0</v>
      </c>
      <c r="P514" s="8">
        <v>350000</v>
      </c>
      <c r="Q514" s="8" t="s">
        <v>672</v>
      </c>
    </row>
    <row r="515" spans="1:17" ht="13.2">
      <c r="A515" s="26">
        <v>45831.645007824074</v>
      </c>
      <c r="B515" s="8" t="s">
        <v>1071</v>
      </c>
      <c r="C515" s="8" t="s">
        <v>4213</v>
      </c>
      <c r="D515" s="8" t="s">
        <v>4214</v>
      </c>
      <c r="E515" s="8" t="s">
        <v>4215</v>
      </c>
      <c r="F515" s="82" t="s">
        <v>4216</v>
      </c>
      <c r="G515" s="27">
        <v>44134</v>
      </c>
      <c r="H515" s="8" t="s">
        <v>1371</v>
      </c>
      <c r="I515" s="8">
        <v>940819351726</v>
      </c>
      <c r="J515" s="8" t="s">
        <v>1976</v>
      </c>
      <c r="K515" s="8" t="s">
        <v>1977</v>
      </c>
      <c r="L515" s="8" t="s">
        <v>4217</v>
      </c>
      <c r="M515" s="8" t="s">
        <v>4218</v>
      </c>
      <c r="N515" s="8">
        <v>87058204178</v>
      </c>
      <c r="O515" s="8">
        <v>400000</v>
      </c>
      <c r="P515" s="8">
        <v>0</v>
      </c>
      <c r="Q515" s="8" t="s">
        <v>673</v>
      </c>
    </row>
    <row r="516" spans="1:17" ht="13.2">
      <c r="A516" s="26">
        <v>45831.660723900466</v>
      </c>
      <c r="B516" s="8" t="s">
        <v>1141</v>
      </c>
      <c r="C516" s="8" t="s">
        <v>4219</v>
      </c>
      <c r="D516" s="8" t="s">
        <v>1172</v>
      </c>
      <c r="E516" s="8" t="s">
        <v>4220</v>
      </c>
      <c r="F516" s="82" t="s">
        <v>4221</v>
      </c>
      <c r="G516" s="27" t="s">
        <v>4222</v>
      </c>
      <c r="H516" s="8" t="s">
        <v>1371</v>
      </c>
      <c r="I516" s="8">
        <v>800926301664</v>
      </c>
      <c r="J516" s="8" t="s">
        <v>1564</v>
      </c>
      <c r="K516" s="8" t="s">
        <v>3596</v>
      </c>
      <c r="L516" s="8" t="s">
        <v>4223</v>
      </c>
      <c r="M516" s="8" t="s">
        <v>2295</v>
      </c>
      <c r="N516" s="8">
        <v>87780013747</v>
      </c>
      <c r="O516" s="8">
        <v>410000</v>
      </c>
      <c r="P516" s="8">
        <v>0</v>
      </c>
      <c r="Q516" s="8" t="s">
        <v>674</v>
      </c>
    </row>
    <row r="517" spans="1:17" ht="13.2">
      <c r="A517" s="26">
        <v>45831.671174884264</v>
      </c>
      <c r="B517" s="8" t="s">
        <v>1141</v>
      </c>
      <c r="C517" s="8" t="s">
        <v>4224</v>
      </c>
      <c r="D517" s="8" t="s">
        <v>4225</v>
      </c>
      <c r="E517" s="8" t="s">
        <v>4226</v>
      </c>
      <c r="F517" s="82" t="s">
        <v>4227</v>
      </c>
      <c r="G517" s="27">
        <v>45768</v>
      </c>
      <c r="H517" s="8" t="s">
        <v>1431</v>
      </c>
      <c r="I517" s="8">
        <v>700523300694</v>
      </c>
      <c r="J517" s="8" t="s">
        <v>1533</v>
      </c>
      <c r="K517" s="8" t="s">
        <v>1596</v>
      </c>
      <c r="L517" s="8" t="s">
        <v>4228</v>
      </c>
      <c r="M517" s="8" t="s">
        <v>3214</v>
      </c>
      <c r="N517" s="8">
        <v>87021069313</v>
      </c>
      <c r="O517" s="8">
        <v>0</v>
      </c>
      <c r="P517" s="8">
        <v>360000</v>
      </c>
      <c r="Q517" s="8" t="s">
        <v>669</v>
      </c>
    </row>
    <row r="518" spans="1:17" ht="13.2">
      <c r="A518" s="26">
        <v>45831.702500266205</v>
      </c>
      <c r="B518" s="8" t="s">
        <v>1141</v>
      </c>
      <c r="C518" s="8" t="s">
        <v>4229</v>
      </c>
      <c r="D518" s="8" t="s">
        <v>2538</v>
      </c>
      <c r="E518" s="8" t="s">
        <v>4230</v>
      </c>
      <c r="F518" s="82" t="s">
        <v>4231</v>
      </c>
      <c r="G518" s="27">
        <v>43846</v>
      </c>
      <c r="H518" s="8" t="s">
        <v>1371</v>
      </c>
      <c r="I518" s="8">
        <v>861125350780</v>
      </c>
      <c r="J518" s="8" t="s">
        <v>1564</v>
      </c>
      <c r="K518" s="8" t="s">
        <v>1565</v>
      </c>
      <c r="L518" s="8" t="s">
        <v>4232</v>
      </c>
      <c r="M518" s="8" t="s">
        <v>1707</v>
      </c>
      <c r="N518" s="8">
        <v>87013404142</v>
      </c>
      <c r="O518" s="8">
        <v>470000</v>
      </c>
      <c r="P518" s="8">
        <v>0</v>
      </c>
      <c r="Q518" s="8" t="s">
        <v>675</v>
      </c>
    </row>
    <row r="519" spans="1:17" ht="13.2">
      <c r="A519" s="26">
        <v>45832.584911481477</v>
      </c>
      <c r="B519" s="8" t="s">
        <v>1141</v>
      </c>
      <c r="C519" s="8" t="s">
        <v>4233</v>
      </c>
      <c r="D519" s="8" t="s">
        <v>4153</v>
      </c>
      <c r="E519" s="8" t="s">
        <v>4234</v>
      </c>
      <c r="F519" s="82" t="s">
        <v>4235</v>
      </c>
      <c r="G519" s="27">
        <v>44294</v>
      </c>
      <c r="H519" s="8" t="s">
        <v>1371</v>
      </c>
      <c r="I519" s="8">
        <v>790808300808</v>
      </c>
      <c r="J519" s="8" t="s">
        <v>1564</v>
      </c>
      <c r="K519" s="8" t="s">
        <v>1548</v>
      </c>
      <c r="L519" s="8" t="s">
        <v>4236</v>
      </c>
      <c r="M519" s="8" t="s">
        <v>4237</v>
      </c>
      <c r="N519" s="8">
        <v>87019337367</v>
      </c>
      <c r="O519" s="8">
        <v>740000</v>
      </c>
      <c r="P519" s="8">
        <v>20000</v>
      </c>
      <c r="Q519" s="8" t="s">
        <v>676</v>
      </c>
    </row>
    <row r="520" spans="1:17" ht="13.2">
      <c r="A520" s="26">
        <v>45832.629184317135</v>
      </c>
      <c r="B520" s="8" t="s">
        <v>1049</v>
      </c>
      <c r="C520" s="8" t="s">
        <v>4238</v>
      </c>
      <c r="D520" s="8" t="s">
        <v>4239</v>
      </c>
      <c r="E520" s="8" t="s">
        <v>4240</v>
      </c>
      <c r="F520" s="82" t="s">
        <v>4241</v>
      </c>
      <c r="G520" s="27">
        <v>43360</v>
      </c>
      <c r="H520" s="8" t="s">
        <v>1371</v>
      </c>
      <c r="I520" s="8">
        <v>910102301805</v>
      </c>
      <c r="J520" s="8" t="s">
        <v>2008</v>
      </c>
      <c r="K520" s="8" t="s">
        <v>2218</v>
      </c>
      <c r="L520" s="8" t="s">
        <v>4242</v>
      </c>
      <c r="M520" s="8" t="s">
        <v>2128</v>
      </c>
      <c r="N520" s="8">
        <v>87022522512</v>
      </c>
      <c r="O520" s="8">
        <v>0</v>
      </c>
      <c r="P520" s="8">
        <v>580000</v>
      </c>
      <c r="Q520" s="8" t="s">
        <v>677</v>
      </c>
    </row>
    <row r="521" spans="1:17" ht="13.2">
      <c r="A521" s="26">
        <v>45832.638183888892</v>
      </c>
      <c r="B521" s="8" t="s">
        <v>1071</v>
      </c>
      <c r="C521" s="8" t="s">
        <v>4243</v>
      </c>
      <c r="D521" s="8" t="s">
        <v>1255</v>
      </c>
      <c r="E521" s="8" t="s">
        <v>2869</v>
      </c>
      <c r="F521" s="82" t="s">
        <v>4244</v>
      </c>
      <c r="G521" s="27">
        <v>45428</v>
      </c>
      <c r="H521" s="8" t="s">
        <v>1371</v>
      </c>
      <c r="I521" s="8">
        <v>830115351042</v>
      </c>
      <c r="J521" s="8" t="s">
        <v>1976</v>
      </c>
      <c r="K521" s="8" t="s">
        <v>4245</v>
      </c>
      <c r="L521" s="8" t="s">
        <v>3873</v>
      </c>
      <c r="M521" s="8" t="s">
        <v>3520</v>
      </c>
      <c r="N521" s="8">
        <v>87021266809</v>
      </c>
      <c r="O521" s="8">
        <v>380000</v>
      </c>
      <c r="P521" s="8">
        <v>0</v>
      </c>
      <c r="Q521" s="8" t="s">
        <v>678</v>
      </c>
    </row>
    <row r="522" spans="1:17" ht="13.2">
      <c r="A522" s="26">
        <v>45832.74290788194</v>
      </c>
      <c r="B522" s="8" t="s">
        <v>1141</v>
      </c>
      <c r="C522" s="8" t="s">
        <v>4246</v>
      </c>
      <c r="D522" s="8" t="s">
        <v>4247</v>
      </c>
      <c r="E522" s="8" t="s">
        <v>4248</v>
      </c>
      <c r="F522" s="82" t="s">
        <v>4249</v>
      </c>
      <c r="G522" s="27">
        <v>43161</v>
      </c>
      <c r="H522" s="8" t="s">
        <v>1371</v>
      </c>
      <c r="I522" s="8">
        <v>730323300454</v>
      </c>
      <c r="J522" s="8" t="s">
        <v>124</v>
      </c>
      <c r="K522" s="8" t="s">
        <v>3596</v>
      </c>
      <c r="L522" s="8" t="s">
        <v>4250</v>
      </c>
      <c r="M522" s="8" t="s">
        <v>4251</v>
      </c>
      <c r="N522" s="8">
        <v>87012702408</v>
      </c>
      <c r="O522" s="8">
        <v>470000</v>
      </c>
      <c r="P522" s="8">
        <v>0</v>
      </c>
      <c r="Q522" s="8" t="s">
        <v>679</v>
      </c>
    </row>
    <row r="523" spans="1:17" ht="13.2">
      <c r="A523" s="26">
        <v>45833.519232569444</v>
      </c>
      <c r="B523" s="8" t="s">
        <v>1049</v>
      </c>
      <c r="C523" s="8" t="s">
        <v>4252</v>
      </c>
      <c r="D523" s="8" t="s">
        <v>1899</v>
      </c>
      <c r="E523" s="8" t="s">
        <v>4253</v>
      </c>
      <c r="F523" s="82" t="s">
        <v>4254</v>
      </c>
      <c r="G523" s="27">
        <v>44613</v>
      </c>
      <c r="H523" s="8" t="s">
        <v>1371</v>
      </c>
      <c r="I523" s="8">
        <v>831226300391</v>
      </c>
      <c r="J523" s="8" t="s">
        <v>2008</v>
      </c>
      <c r="K523" s="8" t="s">
        <v>4255</v>
      </c>
      <c r="L523" s="8" t="s">
        <v>4256</v>
      </c>
      <c r="M523" s="8" t="s">
        <v>4257</v>
      </c>
      <c r="N523" s="8">
        <v>87073212199</v>
      </c>
      <c r="O523" s="8">
        <v>480000</v>
      </c>
      <c r="P523" s="8">
        <v>0</v>
      </c>
      <c r="Q523" s="8" t="s">
        <v>680</v>
      </c>
    </row>
    <row r="524" spans="1:17" ht="13.2">
      <c r="A524" s="26">
        <v>45833.67896326389</v>
      </c>
      <c r="B524" s="8" t="s">
        <v>1141</v>
      </c>
      <c r="C524" s="8" t="s">
        <v>4258</v>
      </c>
      <c r="D524" s="8" t="s">
        <v>4259</v>
      </c>
      <c r="E524" s="8" t="s">
        <v>4260</v>
      </c>
      <c r="F524" s="82" t="s">
        <v>4261</v>
      </c>
      <c r="G524" s="27">
        <v>45254</v>
      </c>
      <c r="H524" s="8" t="s">
        <v>1371</v>
      </c>
      <c r="I524" s="8">
        <v>920827350565</v>
      </c>
      <c r="J524" s="8" t="s">
        <v>1564</v>
      </c>
      <c r="K524" s="8" t="s">
        <v>1565</v>
      </c>
      <c r="L524" s="8" t="s">
        <v>4262</v>
      </c>
      <c r="M524" s="8" t="s">
        <v>4263</v>
      </c>
      <c r="N524" s="8">
        <v>87770284008</v>
      </c>
      <c r="O524" s="8">
        <v>440000</v>
      </c>
      <c r="P524" s="8">
        <v>0</v>
      </c>
      <c r="Q524" s="8" t="s">
        <v>681</v>
      </c>
    </row>
    <row r="525" spans="1:17" ht="13.2">
      <c r="A525" s="26">
        <v>45835.41792537037</v>
      </c>
      <c r="B525" s="8" t="s">
        <v>1049</v>
      </c>
      <c r="C525" s="8" t="s">
        <v>4264</v>
      </c>
      <c r="D525" s="8" t="s">
        <v>2594</v>
      </c>
      <c r="E525" s="8" t="s">
        <v>2595</v>
      </c>
      <c r="F525" s="82" t="s">
        <v>2596</v>
      </c>
      <c r="G525" s="27">
        <v>44699</v>
      </c>
      <c r="H525" s="8" t="s">
        <v>1371</v>
      </c>
      <c r="I525" s="8">
        <v>901227050062</v>
      </c>
      <c r="J525" s="8" t="s">
        <v>3132</v>
      </c>
      <c r="K525" s="8" t="s">
        <v>4265</v>
      </c>
      <c r="L525" s="8" t="s">
        <v>4266</v>
      </c>
      <c r="M525" s="8" t="s">
        <v>4267</v>
      </c>
      <c r="N525" s="8">
        <v>87006776680</v>
      </c>
      <c r="O525" s="8">
        <v>0</v>
      </c>
      <c r="P525" s="8">
        <v>360000</v>
      </c>
      <c r="Q525" s="8" t="s">
        <v>682</v>
      </c>
    </row>
    <row r="526" spans="1:17" ht="13.2">
      <c r="A526" s="26">
        <v>45839.430070497685</v>
      </c>
      <c r="B526" s="8" t="s">
        <v>1049</v>
      </c>
      <c r="C526" s="8" t="s">
        <v>4268</v>
      </c>
      <c r="D526" s="8" t="s">
        <v>4269</v>
      </c>
      <c r="E526" s="8" t="s">
        <v>4270</v>
      </c>
      <c r="F526" s="82" t="s">
        <v>4271</v>
      </c>
      <c r="G526" s="27">
        <v>42828</v>
      </c>
      <c r="H526" s="8" t="s">
        <v>1371</v>
      </c>
      <c r="I526" s="8">
        <v>811107302664</v>
      </c>
      <c r="J526" s="8" t="s">
        <v>2015</v>
      </c>
      <c r="K526" s="8" t="s">
        <v>4272</v>
      </c>
      <c r="L526" s="8" t="s">
        <v>4273</v>
      </c>
      <c r="M526" s="8" t="s">
        <v>2359</v>
      </c>
      <c r="N526" s="8">
        <v>87751002281</v>
      </c>
      <c r="O526" s="8">
        <v>0</v>
      </c>
      <c r="P526" s="8">
        <v>330000</v>
      </c>
      <c r="Q526" s="8" t="s">
        <v>684</v>
      </c>
    </row>
    <row r="527" spans="1:17" ht="13.2">
      <c r="A527" s="26">
        <v>45839.52885253472</v>
      </c>
      <c r="B527" s="8" t="s">
        <v>1141</v>
      </c>
      <c r="C527" s="8" t="s">
        <v>4274</v>
      </c>
      <c r="D527" s="8" t="s">
        <v>4275</v>
      </c>
      <c r="E527" s="8" t="s">
        <v>4276</v>
      </c>
      <c r="F527" s="82" t="s">
        <v>4277</v>
      </c>
      <c r="G527" s="27">
        <v>42262</v>
      </c>
      <c r="H527" s="8" t="s">
        <v>1371</v>
      </c>
      <c r="I527" s="8">
        <v>710722301001</v>
      </c>
      <c r="J527" s="8" t="s">
        <v>1564</v>
      </c>
      <c r="K527" s="8" t="s">
        <v>3596</v>
      </c>
      <c r="L527" s="8" t="s">
        <v>4278</v>
      </c>
      <c r="M527" s="8" t="s">
        <v>4279</v>
      </c>
      <c r="N527" s="8">
        <v>87015230923</v>
      </c>
      <c r="O527" s="8">
        <v>0</v>
      </c>
      <c r="P527" s="8">
        <v>390000</v>
      </c>
      <c r="Q527" s="8" t="s">
        <v>670</v>
      </c>
    </row>
    <row r="528" spans="1:17" ht="13.2">
      <c r="A528" s="26">
        <v>45839.566049664354</v>
      </c>
      <c r="B528" s="8" t="s">
        <v>1049</v>
      </c>
      <c r="C528" s="8" t="s">
        <v>4280</v>
      </c>
      <c r="D528" s="8" t="s">
        <v>1081</v>
      </c>
      <c r="E528" s="8" t="s">
        <v>1201</v>
      </c>
      <c r="F528" s="82" t="s">
        <v>4281</v>
      </c>
      <c r="G528" s="27">
        <v>43434</v>
      </c>
      <c r="H528" s="8" t="s">
        <v>1371</v>
      </c>
      <c r="I528" s="8">
        <v>780518302330</v>
      </c>
      <c r="J528" s="8" t="s">
        <v>3241</v>
      </c>
      <c r="K528" s="8" t="s">
        <v>4282</v>
      </c>
      <c r="L528" s="8" t="s">
        <v>4283</v>
      </c>
      <c r="M528" s="8" t="s">
        <v>4284</v>
      </c>
      <c r="N528" s="8">
        <v>87077677678</v>
      </c>
      <c r="O528" s="8">
        <v>0</v>
      </c>
      <c r="P528" s="8">
        <v>360000</v>
      </c>
      <c r="Q528" s="8" t="s">
        <v>685</v>
      </c>
    </row>
    <row r="529" spans="1:17" ht="13.2">
      <c r="A529" s="26">
        <v>45839.631566782409</v>
      </c>
      <c r="B529" s="8" t="s">
        <v>1049</v>
      </c>
      <c r="C529" s="8" t="s">
        <v>4285</v>
      </c>
      <c r="D529" s="8" t="s">
        <v>2342</v>
      </c>
      <c r="E529" s="8" t="s">
        <v>2343</v>
      </c>
      <c r="F529" s="82" t="s">
        <v>2344</v>
      </c>
      <c r="G529" s="27">
        <v>45261</v>
      </c>
      <c r="H529" s="8" t="s">
        <v>1371</v>
      </c>
      <c r="I529" s="8">
        <v>810522303061</v>
      </c>
      <c r="J529" s="8" t="s">
        <v>3132</v>
      </c>
      <c r="K529" s="8" t="s">
        <v>4137</v>
      </c>
      <c r="L529" s="8" t="s">
        <v>4138</v>
      </c>
      <c r="M529" s="8" t="s">
        <v>4286</v>
      </c>
      <c r="N529" s="8">
        <v>87087435052</v>
      </c>
      <c r="O529" s="8">
        <v>0</v>
      </c>
      <c r="P529" s="8">
        <v>325000</v>
      </c>
      <c r="Q529" s="8" t="s">
        <v>686</v>
      </c>
    </row>
    <row r="530" spans="1:17" ht="13.2">
      <c r="A530" s="26">
        <v>45840.592416099535</v>
      </c>
      <c r="B530" s="8" t="s">
        <v>1141</v>
      </c>
      <c r="C530" s="8" t="s">
        <v>4287</v>
      </c>
      <c r="D530" s="8" t="s">
        <v>4288</v>
      </c>
      <c r="E530" s="8" t="s">
        <v>4289</v>
      </c>
      <c r="F530" s="82" t="s">
        <v>4290</v>
      </c>
      <c r="G530" s="27">
        <v>45580</v>
      </c>
      <c r="H530" s="8" t="s">
        <v>1371</v>
      </c>
      <c r="I530" s="8">
        <v>910716350792</v>
      </c>
      <c r="J530" s="8" t="s">
        <v>1564</v>
      </c>
      <c r="K530" s="8" t="s">
        <v>1565</v>
      </c>
      <c r="L530" s="8" t="s">
        <v>2432</v>
      </c>
      <c r="M530" s="8" t="s">
        <v>4291</v>
      </c>
      <c r="N530" s="8">
        <v>87759050294</v>
      </c>
      <c r="O530" s="8">
        <v>0</v>
      </c>
      <c r="P530" s="8">
        <v>510000</v>
      </c>
      <c r="Q530" s="8" t="s">
        <v>687</v>
      </c>
    </row>
    <row r="531" spans="1:17" ht="13.2">
      <c r="A531" s="26">
        <v>45840.676436863425</v>
      </c>
      <c r="B531" s="8" t="s">
        <v>1071</v>
      </c>
      <c r="C531" s="8" t="s">
        <v>4292</v>
      </c>
      <c r="D531" s="8" t="s">
        <v>1172</v>
      </c>
      <c r="E531" s="8" t="s">
        <v>4293</v>
      </c>
      <c r="F531" s="82" t="s">
        <v>4294</v>
      </c>
      <c r="G531" s="27">
        <v>44935</v>
      </c>
      <c r="H531" s="8" t="s">
        <v>1371</v>
      </c>
      <c r="I531" s="8">
        <v>671104350082</v>
      </c>
      <c r="J531" s="8" t="s">
        <v>1976</v>
      </c>
      <c r="K531" s="8" t="s">
        <v>2985</v>
      </c>
      <c r="L531" s="8" t="s">
        <v>4295</v>
      </c>
      <c r="M531" s="8" t="s">
        <v>2359</v>
      </c>
      <c r="N531" s="8">
        <v>87057545167</v>
      </c>
      <c r="O531" s="8">
        <v>380000</v>
      </c>
      <c r="P531" s="8">
        <v>0</v>
      </c>
      <c r="Q531" s="8" t="s">
        <v>688</v>
      </c>
    </row>
    <row r="532" spans="1:17" ht="13.2">
      <c r="A532" s="26">
        <v>45841.697740671298</v>
      </c>
      <c r="B532" s="8" t="s">
        <v>1141</v>
      </c>
      <c r="C532" s="8" t="s">
        <v>4296</v>
      </c>
      <c r="D532" s="8" t="s">
        <v>4297</v>
      </c>
      <c r="E532" s="8" t="s">
        <v>1201</v>
      </c>
      <c r="F532" s="82" t="s">
        <v>4298</v>
      </c>
      <c r="G532" s="27">
        <v>45191</v>
      </c>
      <c r="H532" s="8" t="s">
        <v>1371</v>
      </c>
      <c r="I532" s="8">
        <v>741020300421</v>
      </c>
      <c r="J532" s="8" t="s">
        <v>1605</v>
      </c>
      <c r="K532" s="8" t="s">
        <v>4299</v>
      </c>
      <c r="L532" s="8" t="s">
        <v>4300</v>
      </c>
      <c r="M532" s="8" t="s">
        <v>4237</v>
      </c>
      <c r="N532" s="8">
        <v>87770484860</v>
      </c>
      <c r="O532" s="8">
        <v>470000</v>
      </c>
      <c r="P532" s="8">
        <v>0</v>
      </c>
      <c r="Q532" s="8" t="s">
        <v>683</v>
      </c>
    </row>
    <row r="533" spans="1:17" ht="13.2">
      <c r="A533" s="26">
        <v>45842.477379236108</v>
      </c>
      <c r="B533" s="8" t="s">
        <v>1071</v>
      </c>
      <c r="C533" s="8" t="s">
        <v>4301</v>
      </c>
      <c r="D533" s="8" t="s">
        <v>2663</v>
      </c>
      <c r="E533" s="8" t="s">
        <v>4302</v>
      </c>
      <c r="F533" s="82" t="s">
        <v>4303</v>
      </c>
      <c r="G533" s="27">
        <v>45308</v>
      </c>
      <c r="H533" s="8" t="s">
        <v>1371</v>
      </c>
      <c r="I533" s="8">
        <v>691222350206</v>
      </c>
      <c r="J533" s="8" t="s">
        <v>1908</v>
      </c>
      <c r="K533" s="8" t="s">
        <v>4304</v>
      </c>
      <c r="L533" s="8" t="s">
        <v>4305</v>
      </c>
      <c r="M533" s="8" t="s">
        <v>4306</v>
      </c>
      <c r="N533" s="8">
        <v>87056564629</v>
      </c>
      <c r="O533" s="8">
        <v>350000</v>
      </c>
      <c r="P533" s="8">
        <v>0</v>
      </c>
      <c r="Q533" s="8" t="s">
        <v>689</v>
      </c>
    </row>
    <row r="534" spans="1:17" ht="13.2">
      <c r="A534" s="26">
        <v>45842.649682592593</v>
      </c>
      <c r="B534" s="8" t="s">
        <v>1049</v>
      </c>
      <c r="C534" s="8" t="s">
        <v>4307</v>
      </c>
      <c r="D534" s="8" t="s">
        <v>4308</v>
      </c>
      <c r="E534" s="8" t="s">
        <v>4309</v>
      </c>
      <c r="F534" s="82" t="s">
        <v>4310</v>
      </c>
      <c r="G534" s="27">
        <v>43760</v>
      </c>
      <c r="H534" s="8" t="s">
        <v>1371</v>
      </c>
      <c r="I534" s="8">
        <v>831226302506</v>
      </c>
      <c r="J534" s="8" t="s">
        <v>4311</v>
      </c>
      <c r="K534" s="8" t="s">
        <v>4312</v>
      </c>
      <c r="L534" s="8" t="s">
        <v>4313</v>
      </c>
      <c r="M534" s="8" t="s">
        <v>2994</v>
      </c>
      <c r="N534" s="8">
        <v>87776969477</v>
      </c>
      <c r="O534" s="8">
        <v>420000</v>
      </c>
      <c r="P534" s="8">
        <v>0</v>
      </c>
      <c r="Q534" s="8" t="s">
        <v>690</v>
      </c>
    </row>
    <row r="535" spans="1:17" ht="13.2">
      <c r="A535" s="26">
        <v>45843.430342974534</v>
      </c>
      <c r="B535" s="8" t="s">
        <v>1141</v>
      </c>
      <c r="C535" s="8" t="s">
        <v>4314</v>
      </c>
      <c r="D535" s="8" t="s">
        <v>4315</v>
      </c>
      <c r="E535" s="8" t="s">
        <v>4316</v>
      </c>
      <c r="F535" s="82" t="s">
        <v>4317</v>
      </c>
      <c r="G535" s="27">
        <v>45104</v>
      </c>
      <c r="H535" s="8" t="s">
        <v>1371</v>
      </c>
      <c r="I535" s="8">
        <v>580525350278</v>
      </c>
      <c r="J535" s="8" t="s">
        <v>2430</v>
      </c>
      <c r="K535" s="8" t="s">
        <v>2206</v>
      </c>
      <c r="L535" s="8" t="s">
        <v>4300</v>
      </c>
      <c r="M535" s="8" t="s">
        <v>3209</v>
      </c>
      <c r="N535" s="8">
        <v>87783024789</v>
      </c>
      <c r="O535" s="8">
        <v>0</v>
      </c>
      <c r="P535" s="8">
        <v>360000</v>
      </c>
      <c r="Q535" s="8" t="s">
        <v>691</v>
      </c>
    </row>
    <row r="536" spans="1:17" ht="13.2">
      <c r="A536" s="26">
        <v>45846.747984062502</v>
      </c>
      <c r="B536" s="8" t="s">
        <v>1071</v>
      </c>
      <c r="C536" s="8" t="s">
        <v>4318</v>
      </c>
      <c r="D536" s="8" t="s">
        <v>1226</v>
      </c>
      <c r="E536" s="8" t="s">
        <v>2956</v>
      </c>
      <c r="F536" s="82" t="s">
        <v>4319</v>
      </c>
      <c r="G536" s="27">
        <v>44587</v>
      </c>
      <c r="H536" s="8" t="s">
        <v>1371</v>
      </c>
      <c r="I536" s="8">
        <v>880227351107</v>
      </c>
      <c r="J536" s="8" t="s">
        <v>1976</v>
      </c>
      <c r="K536" s="8" t="s">
        <v>2616</v>
      </c>
      <c r="L536" s="8" t="s">
        <v>4320</v>
      </c>
      <c r="M536" s="8" t="s">
        <v>1583</v>
      </c>
      <c r="N536" s="8">
        <v>87779553606</v>
      </c>
      <c r="O536" s="8">
        <v>0</v>
      </c>
      <c r="P536" s="8">
        <v>400000</v>
      </c>
      <c r="Q536" s="8" t="s">
        <v>692</v>
      </c>
    </row>
    <row r="537" spans="1:17" ht="13.2">
      <c r="A537" s="26">
        <v>45848.623455023146</v>
      </c>
      <c r="B537" s="8" t="s">
        <v>1049</v>
      </c>
      <c r="C537" s="8" t="s">
        <v>4321</v>
      </c>
      <c r="D537" s="8" t="s">
        <v>4322</v>
      </c>
      <c r="E537" s="8">
        <v>0</v>
      </c>
      <c r="F537" s="82" t="s">
        <v>4323</v>
      </c>
      <c r="G537" s="27">
        <v>43648</v>
      </c>
      <c r="H537" s="8" t="s">
        <v>1371</v>
      </c>
      <c r="I537" s="8">
        <v>740815302992</v>
      </c>
      <c r="J537" s="8" t="s">
        <v>2008</v>
      </c>
      <c r="K537" s="8" t="s">
        <v>4324</v>
      </c>
      <c r="L537" s="8" t="s">
        <v>4325</v>
      </c>
      <c r="M537" s="8" t="s">
        <v>2139</v>
      </c>
      <c r="N537" s="8">
        <v>87718530316</v>
      </c>
      <c r="O537" s="8">
        <v>360000</v>
      </c>
      <c r="P537" s="8">
        <v>0</v>
      </c>
      <c r="Q537" s="8" t="s">
        <v>693</v>
      </c>
    </row>
    <row r="538" spans="1:17" ht="13.2">
      <c r="A538" s="26">
        <v>45848.713231493057</v>
      </c>
      <c r="B538" s="8" t="s">
        <v>1049</v>
      </c>
      <c r="C538" s="8" t="s">
        <v>4326</v>
      </c>
      <c r="D538" s="8" t="s">
        <v>1993</v>
      </c>
      <c r="E538" s="8" t="s">
        <v>1083</v>
      </c>
      <c r="F538" s="82" t="s">
        <v>4327</v>
      </c>
      <c r="G538" s="27">
        <v>42313</v>
      </c>
      <c r="H538" s="8" t="s">
        <v>1371</v>
      </c>
      <c r="I538" s="8">
        <v>860616301808</v>
      </c>
      <c r="J538" s="8" t="s">
        <v>4328</v>
      </c>
      <c r="K538" s="8" t="s">
        <v>4329</v>
      </c>
      <c r="L538" s="8" t="s">
        <v>3250</v>
      </c>
      <c r="M538" s="8" t="s">
        <v>2466</v>
      </c>
      <c r="N538" s="8">
        <v>87775830999</v>
      </c>
      <c r="O538" s="8">
        <v>360000</v>
      </c>
      <c r="P538" s="8">
        <v>0</v>
      </c>
      <c r="Q538" s="8" t="s">
        <v>694</v>
      </c>
    </row>
    <row r="539" spans="1:17" ht="13.2">
      <c r="A539" s="26">
        <v>45849.428666319443</v>
      </c>
      <c r="B539" s="8" t="s">
        <v>1071</v>
      </c>
      <c r="C539" s="8" t="s">
        <v>4330</v>
      </c>
      <c r="D539" s="8" t="s">
        <v>4331</v>
      </c>
      <c r="E539" s="8" t="s">
        <v>2755</v>
      </c>
      <c r="F539" s="82" t="s">
        <v>4332</v>
      </c>
      <c r="G539" s="27">
        <v>44575</v>
      </c>
      <c r="H539" s="8" t="s">
        <v>1371</v>
      </c>
      <c r="I539" s="8">
        <v>661213350231</v>
      </c>
      <c r="J539" s="8" t="s">
        <v>1976</v>
      </c>
      <c r="K539" s="8" t="s">
        <v>4333</v>
      </c>
      <c r="L539" s="8" t="s">
        <v>4334</v>
      </c>
      <c r="M539" s="8" t="s">
        <v>3623</v>
      </c>
      <c r="N539" s="8">
        <v>87780662784</v>
      </c>
      <c r="O539" s="8">
        <v>0</v>
      </c>
      <c r="P539" s="8">
        <v>320000</v>
      </c>
      <c r="Q539" s="8" t="s">
        <v>695</v>
      </c>
    </row>
    <row r="540" spans="1:17" ht="13.2">
      <c r="A540" s="26">
        <v>45849.470236793983</v>
      </c>
      <c r="B540" s="8" t="s">
        <v>1049</v>
      </c>
      <c r="C540" s="8" t="s">
        <v>4335</v>
      </c>
      <c r="D540" s="8" t="s">
        <v>2084</v>
      </c>
      <c r="E540" s="8" t="s">
        <v>3507</v>
      </c>
      <c r="F540" s="82" t="s">
        <v>4336</v>
      </c>
      <c r="G540" s="27">
        <v>43999</v>
      </c>
      <c r="H540" s="8" t="s">
        <v>1371</v>
      </c>
      <c r="I540" s="8">
        <v>650528300640</v>
      </c>
      <c r="J540" s="8" t="s">
        <v>3436</v>
      </c>
      <c r="K540" s="8" t="s">
        <v>3289</v>
      </c>
      <c r="L540" s="8" t="s">
        <v>4337</v>
      </c>
      <c r="M540" s="8" t="s">
        <v>4338</v>
      </c>
      <c r="N540" s="8">
        <v>87772445111</v>
      </c>
      <c r="O540" s="8">
        <v>0</v>
      </c>
      <c r="P540" s="8">
        <v>350000</v>
      </c>
      <c r="Q540" s="8" t="s">
        <v>696</v>
      </c>
    </row>
    <row r="541" spans="1:17" ht="13.2">
      <c r="A541" s="26">
        <v>45852.624670034726</v>
      </c>
      <c r="B541" s="8" t="s">
        <v>1141</v>
      </c>
      <c r="C541" s="8" t="s">
        <v>4339</v>
      </c>
      <c r="D541" s="8" t="s">
        <v>1244</v>
      </c>
      <c r="E541" s="8" t="s">
        <v>1111</v>
      </c>
      <c r="F541" s="82" t="s">
        <v>4340</v>
      </c>
      <c r="G541" s="27">
        <v>45541</v>
      </c>
      <c r="H541" s="8" t="s">
        <v>1371</v>
      </c>
      <c r="I541" s="8">
        <v>900228350609</v>
      </c>
      <c r="J541" s="8" t="s">
        <v>1564</v>
      </c>
      <c r="K541" s="8" t="s">
        <v>2435</v>
      </c>
      <c r="L541" s="8" t="s">
        <v>4341</v>
      </c>
      <c r="M541" s="8" t="s">
        <v>4342</v>
      </c>
      <c r="N541" s="8">
        <v>87022275177</v>
      </c>
      <c r="O541" s="8">
        <v>0</v>
      </c>
      <c r="P541" s="8">
        <v>410000</v>
      </c>
      <c r="Q541" s="8" t="s">
        <v>699</v>
      </c>
    </row>
    <row r="542" spans="1:17" ht="13.2">
      <c r="A542" s="26">
        <v>45852.640614374999</v>
      </c>
      <c r="B542" s="8" t="s">
        <v>1049</v>
      </c>
      <c r="C542" s="8" t="s">
        <v>4343</v>
      </c>
      <c r="D542" s="8" t="s">
        <v>1385</v>
      </c>
      <c r="E542" s="8" t="s">
        <v>3507</v>
      </c>
      <c r="F542" s="82" t="s">
        <v>4344</v>
      </c>
      <c r="G542" s="27">
        <v>45205</v>
      </c>
      <c r="H542" s="8" t="s">
        <v>1371</v>
      </c>
      <c r="I542" s="8">
        <v>680822300089</v>
      </c>
      <c r="J542" s="8" t="s">
        <v>2008</v>
      </c>
      <c r="K542" s="8" t="s">
        <v>4345</v>
      </c>
      <c r="L542" s="8" t="s">
        <v>3182</v>
      </c>
      <c r="M542" s="8" t="s">
        <v>4346</v>
      </c>
      <c r="N542" s="8">
        <v>87479834703</v>
      </c>
      <c r="O542" s="8">
        <v>420000</v>
      </c>
      <c r="P542" s="8">
        <v>0</v>
      </c>
      <c r="Q542" s="8" t="s">
        <v>701</v>
      </c>
    </row>
    <row r="543" spans="1:17" ht="13.2">
      <c r="A543" s="26">
        <v>45853.549104131947</v>
      </c>
      <c r="B543" s="8" t="s">
        <v>1141</v>
      </c>
      <c r="C543" s="8" t="s">
        <v>4347</v>
      </c>
      <c r="D543" s="8" t="s">
        <v>4348</v>
      </c>
      <c r="E543" s="8" t="s">
        <v>4349</v>
      </c>
      <c r="F543" s="8">
        <v>52436710</v>
      </c>
      <c r="G543" s="27">
        <v>44648</v>
      </c>
      <c r="H543" s="8" t="s">
        <v>1371</v>
      </c>
      <c r="I543" s="8">
        <v>670217450249</v>
      </c>
      <c r="J543" s="8" t="s">
        <v>4350</v>
      </c>
      <c r="K543" s="8" t="s">
        <v>4351</v>
      </c>
      <c r="L543" s="8" t="s">
        <v>2231</v>
      </c>
      <c r="M543" s="8" t="s">
        <v>4352</v>
      </c>
      <c r="N543" s="8">
        <v>87059821160</v>
      </c>
      <c r="O543" s="8">
        <v>440000</v>
      </c>
      <c r="P543" s="8">
        <v>0</v>
      </c>
      <c r="Q543" s="8" t="s">
        <v>703</v>
      </c>
    </row>
    <row r="544" spans="1:17" ht="13.2">
      <c r="A544" s="26">
        <v>45853.589379386569</v>
      </c>
      <c r="B544" s="8" t="s">
        <v>1141</v>
      </c>
      <c r="C544" s="8" t="s">
        <v>4353</v>
      </c>
      <c r="D544" s="8" t="s">
        <v>4354</v>
      </c>
      <c r="E544" s="8" t="s">
        <v>4355</v>
      </c>
      <c r="F544" s="82" t="s">
        <v>4356</v>
      </c>
      <c r="G544" s="27">
        <v>43531</v>
      </c>
      <c r="H544" s="8" t="s">
        <v>1371</v>
      </c>
      <c r="I544" s="8">
        <v>800715301171</v>
      </c>
      <c r="J544" s="8" t="s">
        <v>1564</v>
      </c>
      <c r="K544" s="8" t="s">
        <v>1565</v>
      </c>
      <c r="L544" s="8" t="s">
        <v>4357</v>
      </c>
      <c r="M544" s="8" t="s">
        <v>4358</v>
      </c>
      <c r="N544" s="8">
        <v>87777775006</v>
      </c>
      <c r="O544" s="8">
        <v>410000</v>
      </c>
      <c r="P544" s="8">
        <v>0</v>
      </c>
      <c r="Q544" s="8" t="s">
        <v>698</v>
      </c>
    </row>
    <row r="545" spans="1:17" ht="13.2">
      <c r="A545" s="26">
        <v>45854.642951527778</v>
      </c>
      <c r="B545" s="8" t="s">
        <v>1071</v>
      </c>
      <c r="C545" s="8" t="s">
        <v>4359</v>
      </c>
      <c r="D545" s="8" t="s">
        <v>1435</v>
      </c>
      <c r="E545" s="8" t="s">
        <v>1511</v>
      </c>
      <c r="F545" s="82" t="s">
        <v>4360</v>
      </c>
      <c r="G545" s="27">
        <v>44180</v>
      </c>
      <c r="H545" s="8" t="s">
        <v>1371</v>
      </c>
      <c r="I545" s="8">
        <v>710412300840</v>
      </c>
      <c r="J545" s="8" t="s">
        <v>1976</v>
      </c>
      <c r="K545" s="8" t="s">
        <v>4361</v>
      </c>
      <c r="L545" s="8" t="s">
        <v>4362</v>
      </c>
      <c r="M545" s="8" t="s">
        <v>4363</v>
      </c>
      <c r="N545" s="8">
        <v>8777032912</v>
      </c>
      <c r="O545" s="8">
        <v>470000</v>
      </c>
      <c r="P545" s="8">
        <v>0</v>
      </c>
      <c r="Q545" s="8" t="s">
        <v>704</v>
      </c>
    </row>
    <row r="546" spans="1:17" ht="13.2">
      <c r="A546" s="26">
        <v>45855.41010734954</v>
      </c>
      <c r="B546" s="8" t="s">
        <v>1141</v>
      </c>
      <c r="C546" s="8" t="s">
        <v>4364</v>
      </c>
      <c r="D546" s="8" t="s">
        <v>1244</v>
      </c>
      <c r="E546" s="8" t="s">
        <v>2059</v>
      </c>
      <c r="F546" s="82" t="s">
        <v>4365</v>
      </c>
      <c r="G546" s="27">
        <v>45062</v>
      </c>
      <c r="H546" s="8" t="s">
        <v>1371</v>
      </c>
      <c r="I546" s="8">
        <v>801116302582</v>
      </c>
      <c r="J546" s="8" t="s">
        <v>1564</v>
      </c>
      <c r="K546" s="8" t="s">
        <v>1565</v>
      </c>
      <c r="L546" s="8" t="s">
        <v>2442</v>
      </c>
      <c r="M546" s="8" t="s">
        <v>4366</v>
      </c>
      <c r="N546" s="8">
        <v>87770348056</v>
      </c>
      <c r="O546" s="8">
        <v>410000</v>
      </c>
      <c r="P546" s="8">
        <v>0</v>
      </c>
      <c r="Q546" s="8" t="s">
        <v>719</v>
      </c>
    </row>
    <row r="547" spans="1:17" ht="13.2">
      <c r="A547" s="26">
        <v>45855.465866157407</v>
      </c>
      <c r="B547" s="8" t="s">
        <v>1049</v>
      </c>
      <c r="C547" s="8" t="s">
        <v>4367</v>
      </c>
      <c r="D547" s="8" t="s">
        <v>4368</v>
      </c>
      <c r="E547" s="8" t="s">
        <v>4369</v>
      </c>
      <c r="F547" s="82" t="s">
        <v>4370</v>
      </c>
      <c r="G547" s="27">
        <v>45364</v>
      </c>
      <c r="H547" s="8" t="s">
        <v>1371</v>
      </c>
      <c r="I547" s="8">
        <v>570413301546</v>
      </c>
      <c r="J547" s="8" t="s">
        <v>2218</v>
      </c>
      <c r="K547" s="8" t="s">
        <v>3443</v>
      </c>
      <c r="L547" s="8" t="s">
        <v>4371</v>
      </c>
      <c r="M547" s="8" t="s">
        <v>4063</v>
      </c>
      <c r="N547" s="8">
        <v>87086265553</v>
      </c>
      <c r="O547" s="8">
        <v>420000</v>
      </c>
      <c r="P547" s="8">
        <v>0</v>
      </c>
      <c r="Q547" s="8" t="s">
        <v>729</v>
      </c>
    </row>
    <row r="548" spans="1:17" ht="13.2">
      <c r="A548" s="26">
        <v>45855.505217858794</v>
      </c>
      <c r="B548" s="8" t="s">
        <v>1049</v>
      </c>
      <c r="C548" s="8" t="s">
        <v>4372</v>
      </c>
      <c r="D548" s="8" t="s">
        <v>4373</v>
      </c>
      <c r="E548" s="8" t="s">
        <v>4374</v>
      </c>
      <c r="F548" s="82" t="s">
        <v>4375</v>
      </c>
      <c r="G548" s="27">
        <v>43969</v>
      </c>
      <c r="H548" s="8" t="s">
        <v>1371</v>
      </c>
      <c r="I548" s="8">
        <v>690312301501</v>
      </c>
      <c r="J548" s="8" t="s">
        <v>2008</v>
      </c>
      <c r="K548" s="8" t="s">
        <v>4376</v>
      </c>
      <c r="L548" s="8" t="s">
        <v>4377</v>
      </c>
      <c r="M548" s="8" t="s">
        <v>4378</v>
      </c>
      <c r="N548" s="8">
        <v>87054500707</v>
      </c>
      <c r="O548" s="8">
        <v>0</v>
      </c>
      <c r="P548" s="8">
        <v>450000</v>
      </c>
      <c r="Q548" s="8" t="s">
        <v>708</v>
      </c>
    </row>
    <row r="549" spans="1:17" ht="13.2">
      <c r="A549" s="26">
        <v>45855.629790520834</v>
      </c>
      <c r="B549" s="8" t="s">
        <v>1141</v>
      </c>
      <c r="C549" s="8" t="s">
        <v>4379</v>
      </c>
      <c r="D549" s="8" t="s">
        <v>1053</v>
      </c>
      <c r="E549" s="8" t="s">
        <v>1480</v>
      </c>
      <c r="F549" s="82" t="s">
        <v>4380</v>
      </c>
      <c r="G549" s="27">
        <v>45723</v>
      </c>
      <c r="H549" s="8" t="s">
        <v>1371</v>
      </c>
      <c r="I549" s="8">
        <v>700513350011</v>
      </c>
      <c r="J549" s="8" t="s">
        <v>1564</v>
      </c>
      <c r="K549" s="8" t="s">
        <v>1548</v>
      </c>
      <c r="L549" s="8" t="s">
        <v>4381</v>
      </c>
      <c r="M549" s="8" t="s">
        <v>4382</v>
      </c>
      <c r="N549" s="8">
        <v>87013994685</v>
      </c>
      <c r="O549" s="8">
        <v>360000</v>
      </c>
      <c r="P549" s="8">
        <v>0</v>
      </c>
      <c r="Q549" s="8" t="s">
        <v>697</v>
      </c>
    </row>
    <row r="550" spans="1:17" ht="13.2">
      <c r="A550" s="26">
        <v>45855.641967152776</v>
      </c>
      <c r="B550" s="8" t="s">
        <v>1141</v>
      </c>
      <c r="C550" s="8" t="s">
        <v>4383</v>
      </c>
      <c r="D550" s="8" t="s">
        <v>2587</v>
      </c>
      <c r="E550" s="8" t="s">
        <v>4384</v>
      </c>
      <c r="F550" s="82" t="s">
        <v>4385</v>
      </c>
      <c r="G550" s="27">
        <v>45805</v>
      </c>
      <c r="H550" s="8" t="s">
        <v>1371</v>
      </c>
      <c r="I550" s="8">
        <v>820829300652</v>
      </c>
      <c r="J550" s="8" t="s">
        <v>1564</v>
      </c>
      <c r="K550" s="8" t="s">
        <v>3518</v>
      </c>
      <c r="L550" s="8" t="s">
        <v>4386</v>
      </c>
      <c r="M550" s="8" t="s">
        <v>4387</v>
      </c>
      <c r="N550" s="8">
        <v>87021093575</v>
      </c>
      <c r="O550" s="8">
        <v>0</v>
      </c>
      <c r="P550" s="8">
        <v>450000</v>
      </c>
      <c r="Q550" s="8" t="s">
        <v>656</v>
      </c>
    </row>
    <row r="551" spans="1:17" ht="13.2">
      <c r="A551" s="26">
        <v>45855.702015787036</v>
      </c>
      <c r="B551" s="8" t="s">
        <v>1141</v>
      </c>
      <c r="C551" s="8" t="s">
        <v>4388</v>
      </c>
      <c r="D551" s="8" t="s">
        <v>1855</v>
      </c>
      <c r="E551" s="8" t="s">
        <v>1598</v>
      </c>
      <c r="F551" s="82" t="s">
        <v>4389</v>
      </c>
      <c r="G551" s="27">
        <v>45526</v>
      </c>
      <c r="H551" s="8" t="s">
        <v>1371</v>
      </c>
      <c r="I551" s="8">
        <v>690909300608</v>
      </c>
      <c r="J551" s="8" t="s">
        <v>1564</v>
      </c>
      <c r="K551" s="8" t="s">
        <v>2435</v>
      </c>
      <c r="L551" s="8" t="s">
        <v>4390</v>
      </c>
      <c r="M551" s="8" t="s">
        <v>2051</v>
      </c>
      <c r="N551" s="8">
        <v>87005111520</v>
      </c>
      <c r="O551" s="8">
        <v>0</v>
      </c>
      <c r="P551" s="8">
        <v>470000</v>
      </c>
      <c r="Q551" s="8" t="s">
        <v>710</v>
      </c>
    </row>
    <row r="552" spans="1:17" ht="13.2">
      <c r="A552" s="26">
        <v>45856.567559212963</v>
      </c>
      <c r="B552" s="8" t="s">
        <v>1049</v>
      </c>
      <c r="C552" s="8" t="s">
        <v>4391</v>
      </c>
      <c r="D552" s="8" t="s">
        <v>4392</v>
      </c>
      <c r="E552" s="8" t="s">
        <v>4393</v>
      </c>
      <c r="F552" s="82" t="s">
        <v>4394</v>
      </c>
      <c r="G552" s="27">
        <v>45758</v>
      </c>
      <c r="H552" s="8" t="s">
        <v>1371</v>
      </c>
      <c r="I552" s="8">
        <v>781126303509</v>
      </c>
      <c r="J552" s="8" t="s">
        <v>3132</v>
      </c>
      <c r="K552" s="8" t="s">
        <v>4395</v>
      </c>
      <c r="L552" s="8" t="s">
        <v>4396</v>
      </c>
      <c r="M552" s="8" t="s">
        <v>4397</v>
      </c>
      <c r="N552" s="8">
        <v>87072453304</v>
      </c>
      <c r="O552" s="8">
        <v>360000</v>
      </c>
      <c r="P552" s="8">
        <v>0</v>
      </c>
      <c r="Q552" s="8" t="s">
        <v>711</v>
      </c>
    </row>
    <row r="553" spans="1:17" ht="13.2">
      <c r="A553" s="26">
        <v>45856.640263807873</v>
      </c>
      <c r="B553" s="8" t="s">
        <v>1049</v>
      </c>
      <c r="C553" s="8" t="s">
        <v>4398</v>
      </c>
      <c r="D553" s="8" t="s">
        <v>2342</v>
      </c>
      <c r="E553" s="8" t="s">
        <v>2343</v>
      </c>
      <c r="F553" s="82" t="s">
        <v>2344</v>
      </c>
      <c r="G553" s="27">
        <v>45261</v>
      </c>
      <c r="H553" s="8" t="s">
        <v>1371</v>
      </c>
      <c r="I553" s="8">
        <v>810522303061</v>
      </c>
      <c r="J553" s="8" t="s">
        <v>3132</v>
      </c>
      <c r="K553" s="8" t="s">
        <v>4137</v>
      </c>
      <c r="L553" s="8" t="s">
        <v>4138</v>
      </c>
      <c r="M553" s="8" t="s">
        <v>4286</v>
      </c>
      <c r="N553" s="8">
        <v>87087435052</v>
      </c>
      <c r="O553" s="8">
        <v>325000</v>
      </c>
      <c r="P553" s="8">
        <v>0</v>
      </c>
      <c r="Q553" s="8" t="s">
        <v>712</v>
      </c>
    </row>
    <row r="554" spans="1:17" ht="13.2">
      <c r="A554" s="26">
        <v>45859.454069837964</v>
      </c>
      <c r="B554" s="8" t="s">
        <v>1071</v>
      </c>
      <c r="C554" s="8" t="s">
        <v>4399</v>
      </c>
      <c r="D554" s="8" t="s">
        <v>4400</v>
      </c>
      <c r="E554" s="8" t="s">
        <v>4401</v>
      </c>
      <c r="F554" s="82" t="s">
        <v>4402</v>
      </c>
      <c r="G554" s="27">
        <v>45295</v>
      </c>
      <c r="H554" s="8" t="s">
        <v>1371</v>
      </c>
      <c r="I554" s="8">
        <v>650830350370</v>
      </c>
      <c r="J554" s="8" t="s">
        <v>1976</v>
      </c>
      <c r="K554" s="8" t="s">
        <v>4403</v>
      </c>
      <c r="L554" s="8" t="s">
        <v>4404</v>
      </c>
      <c r="M554" s="8" t="s">
        <v>4405</v>
      </c>
      <c r="N554" s="8">
        <v>87051200218</v>
      </c>
      <c r="O554" s="8">
        <v>730000</v>
      </c>
      <c r="P554" s="8">
        <v>0</v>
      </c>
      <c r="Q554" s="8" t="s">
        <v>713</v>
      </c>
    </row>
    <row r="555" spans="1:17" ht="13.2">
      <c r="A555" s="26">
        <v>45859.599566157412</v>
      </c>
      <c r="B555" s="8" t="s">
        <v>1141</v>
      </c>
      <c r="C555" s="8" t="s">
        <v>4406</v>
      </c>
      <c r="D555" s="8" t="s">
        <v>1172</v>
      </c>
      <c r="E555" s="8" t="s">
        <v>2679</v>
      </c>
      <c r="F555" s="82" t="s">
        <v>4407</v>
      </c>
      <c r="G555" s="27">
        <v>39260</v>
      </c>
      <c r="H555" s="8" t="s">
        <v>1410</v>
      </c>
      <c r="I555" s="8">
        <v>611211350300</v>
      </c>
      <c r="J555" s="8" t="s">
        <v>1533</v>
      </c>
      <c r="K555" s="8" t="s">
        <v>4408</v>
      </c>
      <c r="L555" s="8" t="s">
        <v>4409</v>
      </c>
      <c r="M555" s="8" t="s">
        <v>4184</v>
      </c>
      <c r="N555" s="8">
        <v>87711493013</v>
      </c>
      <c r="O555" s="8">
        <v>360000</v>
      </c>
      <c r="P555" s="8">
        <v>0</v>
      </c>
      <c r="Q555" s="8" t="s">
        <v>401</v>
      </c>
    </row>
    <row r="556" spans="1:17" ht="13.2">
      <c r="A556" s="26">
        <v>45859.654366678238</v>
      </c>
      <c r="B556" s="8" t="s">
        <v>1141</v>
      </c>
      <c r="C556" s="8" t="s">
        <v>4410</v>
      </c>
      <c r="D556" s="8" t="s">
        <v>2117</v>
      </c>
      <c r="E556" s="8" t="s">
        <v>4411</v>
      </c>
      <c r="F556" s="82" t="s">
        <v>4412</v>
      </c>
      <c r="G556" s="27">
        <v>39592</v>
      </c>
      <c r="H556" s="8" t="s">
        <v>1410</v>
      </c>
      <c r="I556" s="8">
        <v>830305351481</v>
      </c>
      <c r="J556" s="8" t="s">
        <v>1533</v>
      </c>
      <c r="K556" s="8" t="s">
        <v>1790</v>
      </c>
      <c r="L556" s="8" t="s">
        <v>4413</v>
      </c>
      <c r="M556" s="8" t="s">
        <v>4414</v>
      </c>
      <c r="N556" s="8">
        <v>87771000883</v>
      </c>
      <c r="O556" s="8">
        <v>0</v>
      </c>
      <c r="P556" s="8">
        <v>390000</v>
      </c>
      <c r="Q556" s="8" t="s">
        <v>706</v>
      </c>
    </row>
    <row r="557" spans="1:17" ht="13.2">
      <c r="A557" s="26">
        <v>45862.569276585651</v>
      </c>
      <c r="B557" s="8" t="s">
        <v>1049</v>
      </c>
      <c r="C557" s="8" t="s">
        <v>4415</v>
      </c>
      <c r="D557" s="8" t="s">
        <v>1064</v>
      </c>
      <c r="E557" s="8" t="s">
        <v>4416</v>
      </c>
      <c r="F557" s="82" t="s">
        <v>4417</v>
      </c>
      <c r="G557" s="27">
        <v>45058</v>
      </c>
      <c r="H557" s="8" t="s">
        <v>1431</v>
      </c>
      <c r="I557" s="8">
        <v>790427303019</v>
      </c>
      <c r="J557" s="8" t="s">
        <v>2008</v>
      </c>
      <c r="K557" s="8" t="s">
        <v>4418</v>
      </c>
      <c r="L557" s="8" t="s">
        <v>4419</v>
      </c>
      <c r="M557" s="8" t="s">
        <v>2295</v>
      </c>
      <c r="N557" s="8">
        <v>87015853525</v>
      </c>
      <c r="O557" s="8">
        <v>340000</v>
      </c>
      <c r="P557" s="8">
        <v>0</v>
      </c>
      <c r="Q557" s="8" t="s">
        <v>714</v>
      </c>
    </row>
    <row r="558" spans="1:17" ht="13.2">
      <c r="A558" s="26">
        <v>45862.688682233798</v>
      </c>
      <c r="B558" s="8" t="s">
        <v>1141</v>
      </c>
      <c r="C558" s="8" t="s">
        <v>4420</v>
      </c>
      <c r="D558" s="8" t="s">
        <v>1531</v>
      </c>
      <c r="E558" s="8" t="s">
        <v>1487</v>
      </c>
      <c r="F558" s="82" t="s">
        <v>4421</v>
      </c>
      <c r="G558" s="27">
        <v>44418</v>
      </c>
      <c r="H558" s="8" t="s">
        <v>1371</v>
      </c>
      <c r="I558" s="8">
        <v>860621350556</v>
      </c>
      <c r="J558" s="8" t="s">
        <v>1564</v>
      </c>
      <c r="K558" s="8" t="s">
        <v>2435</v>
      </c>
      <c r="L558" s="8" t="s">
        <v>4422</v>
      </c>
      <c r="M558" s="8" t="s">
        <v>4423</v>
      </c>
      <c r="N558" s="8">
        <v>87013258589</v>
      </c>
      <c r="O558" s="8">
        <v>470000</v>
      </c>
      <c r="P558" s="8">
        <v>0</v>
      </c>
      <c r="Q558" s="8" t="s">
        <v>715</v>
      </c>
    </row>
    <row r="559" spans="1:17" ht="13.2">
      <c r="A559" s="26">
        <v>45869.393440567132</v>
      </c>
      <c r="B559" s="8" t="s">
        <v>1141</v>
      </c>
      <c r="C559" s="8" t="s">
        <v>4424</v>
      </c>
      <c r="D559" s="8" t="s">
        <v>3086</v>
      </c>
      <c r="E559" s="8" t="s">
        <v>3087</v>
      </c>
      <c r="F559" s="82" t="s">
        <v>3088</v>
      </c>
      <c r="G559" s="27">
        <v>44799</v>
      </c>
      <c r="H559" s="8" t="s">
        <v>1371</v>
      </c>
      <c r="I559" s="8">
        <v>881209401253</v>
      </c>
      <c r="J559" s="8" t="s">
        <v>121</v>
      </c>
      <c r="K559" s="8" t="s">
        <v>4425</v>
      </c>
      <c r="L559" s="8" t="s">
        <v>4426</v>
      </c>
      <c r="M559" s="8" t="s">
        <v>4427</v>
      </c>
      <c r="N559" s="8">
        <v>87012245224</v>
      </c>
      <c r="O559" s="8">
        <v>0</v>
      </c>
      <c r="P559" s="8">
        <v>360000</v>
      </c>
      <c r="Q559" s="8" t="s">
        <v>728</v>
      </c>
    </row>
    <row r="560" spans="1:17" ht="13.2">
      <c r="A560" s="26">
        <v>45871.45056430556</v>
      </c>
      <c r="B560" s="8" t="s">
        <v>1141</v>
      </c>
      <c r="C560" s="8" t="s">
        <v>4428</v>
      </c>
      <c r="D560" s="8" t="s">
        <v>4429</v>
      </c>
      <c r="F560" s="82" t="s">
        <v>4430</v>
      </c>
      <c r="G560" s="27">
        <v>45464</v>
      </c>
      <c r="H560" s="8" t="s">
        <v>1371</v>
      </c>
      <c r="I560" s="8">
        <v>740726350601</v>
      </c>
      <c r="J560" s="8" t="s">
        <v>1533</v>
      </c>
      <c r="K560" s="8" t="s">
        <v>4431</v>
      </c>
      <c r="L560" s="8" t="s">
        <v>1405</v>
      </c>
      <c r="M560" s="8" t="s">
        <v>1744</v>
      </c>
      <c r="N560" s="8">
        <v>87781584988</v>
      </c>
      <c r="O560" s="8">
        <v>195000</v>
      </c>
      <c r="P560" s="8">
        <v>195000</v>
      </c>
      <c r="Q560" s="8" t="s">
        <v>718</v>
      </c>
    </row>
    <row r="561" spans="1:17" ht="13.2">
      <c r="A561" s="26">
        <v>45874.442038611116</v>
      </c>
      <c r="B561" s="8" t="s">
        <v>1141</v>
      </c>
      <c r="C561" s="8" t="s">
        <v>4432</v>
      </c>
      <c r="D561" s="8" t="s">
        <v>4433</v>
      </c>
      <c r="E561" s="8" t="s">
        <v>4434</v>
      </c>
      <c r="F561" s="82" t="s">
        <v>4435</v>
      </c>
      <c r="G561" s="27">
        <v>44541</v>
      </c>
      <c r="H561" s="8" t="s">
        <v>1371</v>
      </c>
      <c r="I561" s="8">
        <v>830619350699</v>
      </c>
      <c r="J561" s="8" t="s">
        <v>1564</v>
      </c>
      <c r="K561" s="8" t="s">
        <v>1565</v>
      </c>
      <c r="L561" s="8" t="s">
        <v>4436</v>
      </c>
      <c r="M561" s="8" t="s">
        <v>4437</v>
      </c>
      <c r="N561" s="8">
        <v>87784349031</v>
      </c>
      <c r="O561" s="8">
        <v>450000</v>
      </c>
      <c r="P561" s="8">
        <v>0</v>
      </c>
      <c r="Q561" s="8" t="s">
        <v>723</v>
      </c>
    </row>
    <row r="562" spans="1:17" ht="13.2">
      <c r="A562" s="26">
        <v>45874.467846284722</v>
      </c>
      <c r="B562" s="8" t="s">
        <v>1049</v>
      </c>
      <c r="C562" s="8" t="s">
        <v>4438</v>
      </c>
      <c r="D562" s="8" t="s">
        <v>1262</v>
      </c>
      <c r="E562" s="8" t="s">
        <v>2135</v>
      </c>
      <c r="F562" s="82" t="s">
        <v>4439</v>
      </c>
      <c r="G562" s="27">
        <v>44175</v>
      </c>
      <c r="H562" s="8" t="s">
        <v>1371</v>
      </c>
      <c r="I562" s="8">
        <v>851207301200</v>
      </c>
      <c r="J562" s="8" t="s">
        <v>1372</v>
      </c>
      <c r="K562" s="8" t="s">
        <v>4440</v>
      </c>
      <c r="L562" s="8" t="s">
        <v>4441</v>
      </c>
      <c r="M562" s="8" t="s">
        <v>1892</v>
      </c>
      <c r="N562" s="8">
        <v>87472803332</v>
      </c>
      <c r="O562" s="8">
        <v>0</v>
      </c>
      <c r="P562" s="8">
        <v>420000</v>
      </c>
      <c r="Q562" s="8" t="s">
        <v>731</v>
      </c>
    </row>
    <row r="563" spans="1:17" ht="13.2">
      <c r="A563" s="26">
        <v>45874.529499050928</v>
      </c>
      <c r="B563" s="8" t="s">
        <v>1071</v>
      </c>
      <c r="C563" s="8" t="s">
        <v>4442</v>
      </c>
      <c r="D563" s="8" t="s">
        <v>1374</v>
      </c>
      <c r="E563" s="8" t="s">
        <v>4443</v>
      </c>
      <c r="F563" s="82" t="s">
        <v>4444</v>
      </c>
      <c r="G563" s="27">
        <v>44540</v>
      </c>
      <c r="H563" s="8" t="s">
        <v>1371</v>
      </c>
      <c r="I563" s="8">
        <v>660831350556</v>
      </c>
      <c r="J563" s="8" t="s">
        <v>2205</v>
      </c>
      <c r="K563" s="8" t="s">
        <v>2184</v>
      </c>
      <c r="L563" s="8" t="s">
        <v>4445</v>
      </c>
      <c r="M563" s="8" t="s">
        <v>4446</v>
      </c>
      <c r="N563" s="8">
        <v>87052954910</v>
      </c>
      <c r="O563" s="8">
        <v>400000</v>
      </c>
      <c r="P563" s="8">
        <v>65000</v>
      </c>
      <c r="Q563" s="8" t="s">
        <v>736</v>
      </c>
    </row>
    <row r="564" spans="1:17" ht="13.2">
      <c r="A564" s="26">
        <v>45874.577216215279</v>
      </c>
      <c r="B564" s="8" t="s">
        <v>1141</v>
      </c>
      <c r="C564" s="8" t="s">
        <v>4447</v>
      </c>
      <c r="D564" s="8" t="s">
        <v>1385</v>
      </c>
      <c r="E564" s="8" t="s">
        <v>1511</v>
      </c>
      <c r="F564" s="82" t="s">
        <v>4448</v>
      </c>
      <c r="G564" s="27">
        <v>45439</v>
      </c>
      <c r="H564" s="8" t="s">
        <v>1371</v>
      </c>
      <c r="I564" s="8">
        <v>981230301034</v>
      </c>
      <c r="J564" s="8" t="s">
        <v>4449</v>
      </c>
      <c r="K564" s="8" t="s">
        <v>4450</v>
      </c>
      <c r="L564" s="8" t="s">
        <v>4451</v>
      </c>
      <c r="M564" s="8" t="s">
        <v>4031</v>
      </c>
      <c r="N564" s="8">
        <v>87076667957</v>
      </c>
      <c r="O564" s="8">
        <v>360000</v>
      </c>
      <c r="P564" s="8">
        <v>0</v>
      </c>
      <c r="Q564" s="8" t="s">
        <v>717</v>
      </c>
    </row>
    <row r="565" spans="1:17" ht="13.2">
      <c r="A565" s="26">
        <v>45874.611075439811</v>
      </c>
      <c r="B565" s="8" t="s">
        <v>1049</v>
      </c>
      <c r="C565" s="8" t="s">
        <v>4452</v>
      </c>
      <c r="D565" s="8" t="s">
        <v>1053</v>
      </c>
      <c r="E565" s="8" t="s">
        <v>1480</v>
      </c>
      <c r="F565" s="82" t="s">
        <v>4453</v>
      </c>
      <c r="G565" s="27">
        <v>44831</v>
      </c>
      <c r="H565" s="8" t="s">
        <v>1371</v>
      </c>
      <c r="I565" s="8">
        <v>880410300040</v>
      </c>
      <c r="J565" s="8" t="s">
        <v>1541</v>
      </c>
      <c r="K565" s="8" t="s">
        <v>4454</v>
      </c>
      <c r="L565" s="8" t="s">
        <v>4455</v>
      </c>
      <c r="M565" s="8" t="s">
        <v>4456</v>
      </c>
      <c r="N565" s="8">
        <v>87077677678</v>
      </c>
      <c r="O565" s="8">
        <v>0</v>
      </c>
      <c r="P565" s="8">
        <v>450000</v>
      </c>
      <c r="Q565" s="8" t="s">
        <v>734</v>
      </c>
    </row>
    <row r="566" spans="1:17" ht="13.2">
      <c r="A566" s="26">
        <v>45874.661117326388</v>
      </c>
      <c r="B566" s="8" t="s">
        <v>1071</v>
      </c>
      <c r="C566" s="8" t="s">
        <v>4457</v>
      </c>
      <c r="D566" s="8" t="s">
        <v>4458</v>
      </c>
      <c r="E566" s="8" t="s">
        <v>4459</v>
      </c>
      <c r="F566" s="82" t="s">
        <v>4460</v>
      </c>
      <c r="G566" s="27">
        <v>45625</v>
      </c>
      <c r="H566" s="8" t="s">
        <v>1371</v>
      </c>
      <c r="I566" s="8">
        <v>581207301095</v>
      </c>
      <c r="J566" s="8" t="s">
        <v>4461</v>
      </c>
      <c r="K566" s="8" t="s">
        <v>4462</v>
      </c>
      <c r="L566" s="8" t="s">
        <v>4463</v>
      </c>
      <c r="M566" s="8" t="s">
        <v>4464</v>
      </c>
      <c r="N566" s="8">
        <v>87773959420</v>
      </c>
      <c r="O566" s="8">
        <v>360000</v>
      </c>
      <c r="P566" s="8">
        <v>0</v>
      </c>
      <c r="Q566" s="8" t="s">
        <v>737</v>
      </c>
    </row>
    <row r="567" spans="1:17" ht="13.2">
      <c r="A567" s="26">
        <v>45874.67831260417</v>
      </c>
      <c r="B567" s="8" t="s">
        <v>1049</v>
      </c>
      <c r="C567" s="8" t="s">
        <v>4465</v>
      </c>
      <c r="D567" s="8" t="s">
        <v>4466</v>
      </c>
      <c r="E567" s="8" t="s">
        <v>4467</v>
      </c>
      <c r="F567" s="82" t="s">
        <v>4468</v>
      </c>
      <c r="G567" s="27">
        <v>45860</v>
      </c>
      <c r="H567" s="8" t="s">
        <v>1371</v>
      </c>
      <c r="I567" s="8">
        <v>920628351000</v>
      </c>
      <c r="J567" s="8" t="s">
        <v>3928</v>
      </c>
      <c r="K567" s="8" t="s">
        <v>4469</v>
      </c>
      <c r="L567" s="8" t="s">
        <v>4470</v>
      </c>
      <c r="M567" s="8" t="s">
        <v>3623</v>
      </c>
      <c r="N567" s="8">
        <v>87756290977</v>
      </c>
      <c r="O567" s="8">
        <v>360000</v>
      </c>
      <c r="P567" s="8">
        <v>0</v>
      </c>
      <c r="Q567" s="8" t="s">
        <v>727</v>
      </c>
    </row>
    <row r="568" spans="1:17" ht="13.2">
      <c r="A568" s="26">
        <v>45875.634510011572</v>
      </c>
      <c r="B568" s="8" t="s">
        <v>1049</v>
      </c>
      <c r="C568" s="8" t="s">
        <v>4471</v>
      </c>
      <c r="D568" s="8" t="s">
        <v>1836</v>
      </c>
      <c r="E568" s="8" t="s">
        <v>2097</v>
      </c>
      <c r="F568" s="82" t="s">
        <v>4472</v>
      </c>
      <c r="G568" s="27">
        <v>44161</v>
      </c>
      <c r="H568" s="8" t="s">
        <v>1431</v>
      </c>
      <c r="I568" s="8">
        <v>940604302095</v>
      </c>
      <c r="J568" s="8" t="s">
        <v>1372</v>
      </c>
      <c r="K568" s="8" t="s">
        <v>3034</v>
      </c>
      <c r="L568" s="8" t="s">
        <v>4473</v>
      </c>
      <c r="M568" s="8" t="s">
        <v>4474</v>
      </c>
      <c r="N568" s="8" t="s">
        <v>4475</v>
      </c>
      <c r="O568" s="8">
        <v>360000</v>
      </c>
      <c r="P568" s="8">
        <v>0</v>
      </c>
      <c r="Q568" s="8" t="s">
        <v>738</v>
      </c>
    </row>
    <row r="569" spans="1:17" ht="13.2">
      <c r="A569" s="26">
        <v>45877.756501041666</v>
      </c>
      <c r="B569" s="8" t="s">
        <v>1141</v>
      </c>
      <c r="C569" s="8" t="s">
        <v>4476</v>
      </c>
      <c r="D569" s="8" t="s">
        <v>4049</v>
      </c>
      <c r="E569" s="8" t="s">
        <v>4477</v>
      </c>
      <c r="F569" s="82" t="s">
        <v>4478</v>
      </c>
      <c r="G569" s="27">
        <v>42496</v>
      </c>
      <c r="H569" s="8" t="s">
        <v>1371</v>
      </c>
      <c r="I569" s="8">
        <v>821214350453</v>
      </c>
      <c r="J569" s="8" t="s">
        <v>4479</v>
      </c>
      <c r="K569" s="8" t="s">
        <v>4480</v>
      </c>
      <c r="L569" s="8" t="s">
        <v>4481</v>
      </c>
      <c r="M569" s="8" t="s">
        <v>4482</v>
      </c>
      <c r="N569" s="8">
        <v>87017178214</v>
      </c>
      <c r="O569" s="8">
        <v>390000</v>
      </c>
      <c r="P569" s="8">
        <v>0</v>
      </c>
      <c r="Q569" s="8" t="s">
        <v>739</v>
      </c>
    </row>
    <row r="570" spans="1:17" ht="16.5" customHeight="1">
      <c r="A570" s="26">
        <v>45880.494158819449</v>
      </c>
      <c r="B570" s="8" t="s">
        <v>1071</v>
      </c>
      <c r="C570" s="8" t="s">
        <v>4483</v>
      </c>
      <c r="D570" s="8" t="s">
        <v>1234</v>
      </c>
      <c r="E570" s="8" t="s">
        <v>1480</v>
      </c>
      <c r="F570" s="82" t="s">
        <v>4484</v>
      </c>
      <c r="G570" s="27">
        <v>45813</v>
      </c>
      <c r="H570" s="8" t="s">
        <v>1371</v>
      </c>
      <c r="I570" s="8">
        <v>980331350712</v>
      </c>
      <c r="J570" s="8" t="s">
        <v>1976</v>
      </c>
      <c r="K570" s="8" t="s">
        <v>2022</v>
      </c>
      <c r="L570" s="8" t="s">
        <v>4485</v>
      </c>
      <c r="M570" s="8" t="s">
        <v>3529</v>
      </c>
      <c r="N570" s="8">
        <v>87052085399</v>
      </c>
      <c r="O570" s="8">
        <v>400000</v>
      </c>
      <c r="P570" s="8">
        <v>0</v>
      </c>
      <c r="Q570" s="8" t="s">
        <v>740</v>
      </c>
    </row>
    <row r="571" spans="1:17" ht="13.2">
      <c r="A571" s="88">
        <v>45902</v>
      </c>
      <c r="B571" s="8" t="s">
        <v>1141</v>
      </c>
      <c r="C571" s="8" t="s">
        <v>4486</v>
      </c>
      <c r="D571" s="8" t="s">
        <v>2291</v>
      </c>
      <c r="E571" s="8" t="s">
        <v>4487</v>
      </c>
      <c r="F571" s="82" t="s">
        <v>4488</v>
      </c>
      <c r="G571" s="27">
        <v>42444</v>
      </c>
      <c r="H571" s="8" t="s">
        <v>1431</v>
      </c>
      <c r="I571" s="8">
        <v>930323350254</v>
      </c>
      <c r="J571" s="8" t="s">
        <v>4109</v>
      </c>
      <c r="K571" s="8" t="s">
        <v>4489</v>
      </c>
      <c r="L571" s="8" t="s">
        <v>4490</v>
      </c>
      <c r="M571" s="8" t="s">
        <v>1762</v>
      </c>
      <c r="N571" s="8">
        <v>87024359193</v>
      </c>
      <c r="O571" s="8">
        <v>630000</v>
      </c>
      <c r="P571" s="8">
        <v>0</v>
      </c>
      <c r="Q571" s="8" t="s">
        <v>391</v>
      </c>
    </row>
    <row r="572" spans="1:17" ht="13.2">
      <c r="A572" s="26">
        <v>45880.61765748843</v>
      </c>
      <c r="B572" s="8" t="s">
        <v>1071</v>
      </c>
      <c r="C572" s="8" t="s">
        <v>4491</v>
      </c>
      <c r="D572" s="8" t="s">
        <v>1081</v>
      </c>
      <c r="E572" s="8" t="s">
        <v>2135</v>
      </c>
      <c r="F572" s="82" t="s">
        <v>4492</v>
      </c>
      <c r="G572" s="27">
        <v>42635</v>
      </c>
      <c r="H572" s="8" t="s">
        <v>1371</v>
      </c>
      <c r="I572" s="8">
        <v>821121300755</v>
      </c>
      <c r="J572" s="8" t="s">
        <v>2008</v>
      </c>
      <c r="K572" s="8" t="s">
        <v>3241</v>
      </c>
      <c r="L572" s="8" t="s">
        <v>4493</v>
      </c>
      <c r="M572" s="8" t="s">
        <v>4494</v>
      </c>
      <c r="N572" s="8">
        <v>87078265004</v>
      </c>
      <c r="O572" s="8">
        <v>0</v>
      </c>
      <c r="P572" s="8">
        <v>360000</v>
      </c>
      <c r="Q572" s="8" t="s">
        <v>724</v>
      </c>
    </row>
    <row r="573" spans="1:17" ht="13.2">
      <c r="A573" s="26">
        <v>45883.472137326389</v>
      </c>
      <c r="B573" s="8" t="s">
        <v>1049</v>
      </c>
      <c r="C573" s="8" t="s">
        <v>4495</v>
      </c>
      <c r="D573" s="8" t="s">
        <v>1133</v>
      </c>
      <c r="E573" s="8" t="s">
        <v>4496</v>
      </c>
      <c r="F573" s="82" t="s">
        <v>4497</v>
      </c>
      <c r="G573" s="27">
        <v>43822</v>
      </c>
      <c r="H573" s="8" t="s">
        <v>1371</v>
      </c>
      <c r="I573" s="8">
        <v>860719300909</v>
      </c>
      <c r="J573" s="8" t="s">
        <v>2008</v>
      </c>
      <c r="K573" s="8" t="s">
        <v>3241</v>
      </c>
      <c r="L573" s="8" t="s">
        <v>4498</v>
      </c>
      <c r="M573" s="8" t="s">
        <v>4499</v>
      </c>
      <c r="N573" s="8">
        <v>87770909071</v>
      </c>
      <c r="O573" s="8">
        <v>420000</v>
      </c>
      <c r="P573" s="8">
        <v>0</v>
      </c>
      <c r="Q573" s="8" t="s">
        <v>741</v>
      </c>
    </row>
    <row r="574" spans="1:17" ht="13.2">
      <c r="A574" s="26">
        <v>45883.553352499999</v>
      </c>
      <c r="B574" s="8" t="s">
        <v>1141</v>
      </c>
      <c r="C574" s="8" t="s">
        <v>4500</v>
      </c>
      <c r="D574" s="8" t="s">
        <v>4501</v>
      </c>
      <c r="E574" s="8" t="s">
        <v>4502</v>
      </c>
      <c r="F574" s="82" t="s">
        <v>4503</v>
      </c>
      <c r="G574" s="27">
        <v>43784</v>
      </c>
      <c r="H574" s="8" t="s">
        <v>1371</v>
      </c>
      <c r="I574" s="8">
        <v>670516450036</v>
      </c>
      <c r="J574" s="8" t="s">
        <v>4109</v>
      </c>
      <c r="K574" s="8" t="s">
        <v>4489</v>
      </c>
      <c r="L574" s="8" t="s">
        <v>4504</v>
      </c>
      <c r="M574" s="8" t="s">
        <v>4505</v>
      </c>
      <c r="N574" s="8">
        <v>87013527526</v>
      </c>
      <c r="O574" s="8">
        <v>0</v>
      </c>
      <c r="P574" s="8">
        <v>560000</v>
      </c>
      <c r="Q574" s="8" t="s">
        <v>742</v>
      </c>
    </row>
    <row r="575" spans="1:17" ht="13.2">
      <c r="A575" s="26">
        <v>45883.590042222218</v>
      </c>
      <c r="B575" s="8" t="s">
        <v>1071</v>
      </c>
      <c r="C575" s="8" t="s">
        <v>4506</v>
      </c>
      <c r="D575" s="8" t="s">
        <v>1081</v>
      </c>
      <c r="E575" s="8" t="s">
        <v>2978</v>
      </c>
      <c r="F575" s="82" t="s">
        <v>4507</v>
      </c>
      <c r="G575" s="27">
        <v>45713</v>
      </c>
      <c r="H575" s="8" t="s">
        <v>1371</v>
      </c>
      <c r="I575" s="8">
        <v>830305351431</v>
      </c>
      <c r="J575" s="8" t="s">
        <v>1976</v>
      </c>
      <c r="K575" s="8" t="s">
        <v>1977</v>
      </c>
      <c r="L575" s="8" t="s">
        <v>4508</v>
      </c>
      <c r="M575" s="8" t="s">
        <v>4509</v>
      </c>
      <c r="N575" s="8">
        <v>87076317038</v>
      </c>
      <c r="O575" s="8">
        <v>380000</v>
      </c>
      <c r="P575" s="8">
        <v>30000</v>
      </c>
      <c r="Q575" s="8" t="s">
        <v>743</v>
      </c>
    </row>
    <row r="576" spans="1:17" ht="13.2">
      <c r="A576" s="26">
        <v>45884.611647986108</v>
      </c>
      <c r="B576" s="8" t="s">
        <v>1141</v>
      </c>
      <c r="C576" s="8" t="s">
        <v>4510</v>
      </c>
      <c r="D576" s="8" t="s">
        <v>3286</v>
      </c>
      <c r="E576" s="8" t="s">
        <v>2909</v>
      </c>
      <c r="F576" s="82" t="s">
        <v>4511</v>
      </c>
      <c r="G576" s="27">
        <v>43060</v>
      </c>
      <c r="H576" s="8" t="s">
        <v>1371</v>
      </c>
      <c r="I576" s="8">
        <v>960904351345</v>
      </c>
      <c r="J576" s="8" t="s">
        <v>4512</v>
      </c>
      <c r="K576" s="8" t="s">
        <v>4513</v>
      </c>
      <c r="L576" s="8" t="s">
        <v>3250</v>
      </c>
      <c r="M576" s="8" t="s">
        <v>3426</v>
      </c>
      <c r="N576" s="8">
        <v>87477631974</v>
      </c>
      <c r="O576" s="8">
        <v>0</v>
      </c>
      <c r="P576" s="8">
        <v>480000</v>
      </c>
      <c r="Q576" s="8" t="s">
        <v>744</v>
      </c>
    </row>
    <row r="577" spans="1:17" ht="13.2">
      <c r="A577" s="26">
        <v>45885.548721585648</v>
      </c>
      <c r="B577" s="8" t="s">
        <v>1141</v>
      </c>
      <c r="C577" s="8" t="s">
        <v>4514</v>
      </c>
      <c r="D577" s="8" t="s">
        <v>4515</v>
      </c>
      <c r="E577" s="8" t="s">
        <v>4516</v>
      </c>
      <c r="F577" s="82" t="s">
        <v>4517</v>
      </c>
      <c r="G577" s="27">
        <v>44046</v>
      </c>
      <c r="H577" s="8" t="s">
        <v>1371</v>
      </c>
      <c r="I577" s="8">
        <v>961209450457</v>
      </c>
      <c r="J577" s="8" t="s">
        <v>1976</v>
      </c>
      <c r="K577" s="8" t="s">
        <v>4518</v>
      </c>
      <c r="L577" s="8" t="s">
        <v>4519</v>
      </c>
      <c r="M577" s="8" t="s">
        <v>1892</v>
      </c>
      <c r="N577" s="8">
        <v>87015458100</v>
      </c>
      <c r="O577" s="8">
        <v>0</v>
      </c>
      <c r="P577" s="8">
        <v>350000</v>
      </c>
      <c r="Q577" s="8" t="s">
        <v>745</v>
      </c>
    </row>
    <row r="578" spans="1:17" ht="13.2">
      <c r="A578" s="26">
        <v>45887.600093715278</v>
      </c>
      <c r="B578" s="8" t="s">
        <v>1141</v>
      </c>
      <c r="C578" s="8" t="s">
        <v>4520</v>
      </c>
      <c r="D578" s="8" t="s">
        <v>2914</v>
      </c>
      <c r="E578" s="8" t="s">
        <v>4521</v>
      </c>
      <c r="F578" s="82" t="s">
        <v>4522</v>
      </c>
      <c r="G578" s="27">
        <v>45624</v>
      </c>
      <c r="H578" s="8" t="s">
        <v>1371</v>
      </c>
      <c r="I578" s="8">
        <v>870413350646</v>
      </c>
      <c r="J578" s="8" t="s">
        <v>2430</v>
      </c>
      <c r="K578" s="8" t="s">
        <v>4523</v>
      </c>
      <c r="L578" s="8" t="s">
        <v>2688</v>
      </c>
      <c r="M578" s="8" t="s">
        <v>4524</v>
      </c>
      <c r="N578" s="8">
        <v>87026458765</v>
      </c>
      <c r="O578" s="8">
        <v>0</v>
      </c>
      <c r="P578" s="8">
        <v>360000</v>
      </c>
      <c r="Q578" s="8" t="s">
        <v>720</v>
      </c>
    </row>
    <row r="579" spans="1:17" ht="13.2">
      <c r="A579" s="26">
        <v>45887.601149675931</v>
      </c>
      <c r="B579" s="8" t="s">
        <v>1141</v>
      </c>
      <c r="C579" s="8" t="s">
        <v>4525</v>
      </c>
      <c r="D579" s="8" t="s">
        <v>1385</v>
      </c>
      <c r="F579" s="82" t="s">
        <v>4526</v>
      </c>
      <c r="G579" s="27">
        <v>45803</v>
      </c>
      <c r="H579" s="8" t="s">
        <v>1371</v>
      </c>
      <c r="I579" s="82" t="s">
        <v>4527</v>
      </c>
      <c r="J579" s="8" t="s">
        <v>2430</v>
      </c>
      <c r="K579" s="8" t="s">
        <v>4523</v>
      </c>
      <c r="L579" s="8" t="s">
        <v>2688</v>
      </c>
      <c r="M579" s="8" t="s">
        <v>4524</v>
      </c>
      <c r="N579" s="8">
        <v>87782478835</v>
      </c>
      <c r="O579" s="8">
        <v>0</v>
      </c>
      <c r="P579" s="8">
        <v>360000</v>
      </c>
      <c r="Q579" s="8" t="s">
        <v>746</v>
      </c>
    </row>
    <row r="580" spans="1:17" ht="13.2">
      <c r="A580" s="26">
        <v>45887.612610277778</v>
      </c>
      <c r="B580" s="8" t="s">
        <v>1049</v>
      </c>
      <c r="C580" s="8" t="s">
        <v>4528</v>
      </c>
      <c r="D580" s="8" t="s">
        <v>1262</v>
      </c>
      <c r="E580" s="8" t="s">
        <v>1083</v>
      </c>
      <c r="F580" s="82" t="s">
        <v>4529</v>
      </c>
      <c r="G580" s="27">
        <v>39535</v>
      </c>
      <c r="H580" s="8" t="s">
        <v>1410</v>
      </c>
      <c r="I580" s="8">
        <v>620120301218</v>
      </c>
      <c r="J580" s="8" t="s">
        <v>1372</v>
      </c>
      <c r="K580" s="8" t="s">
        <v>2234</v>
      </c>
      <c r="L580" s="8" t="s">
        <v>4530</v>
      </c>
      <c r="M580" s="8" t="s">
        <v>4531</v>
      </c>
      <c r="N580" s="8">
        <v>87771390329</v>
      </c>
      <c r="O580" s="8">
        <v>420000</v>
      </c>
      <c r="P580" s="8">
        <v>0</v>
      </c>
      <c r="Q580" s="8" t="s">
        <v>725</v>
      </c>
    </row>
    <row r="581" spans="1:17" ht="13.2">
      <c r="A581" s="26">
        <v>45887.6249537037</v>
      </c>
      <c r="B581" s="8" t="s">
        <v>1141</v>
      </c>
      <c r="C581" s="8" t="s">
        <v>4532</v>
      </c>
      <c r="D581" s="8" t="s">
        <v>3833</v>
      </c>
      <c r="F581" s="82" t="s">
        <v>3834</v>
      </c>
      <c r="G581" s="27">
        <v>44636</v>
      </c>
      <c r="H581" s="8" t="s">
        <v>1431</v>
      </c>
      <c r="I581" s="8">
        <v>880123399033</v>
      </c>
      <c r="J581" s="8" t="s">
        <v>1564</v>
      </c>
      <c r="K581" s="8" t="s">
        <v>1565</v>
      </c>
      <c r="L581" s="8" t="s">
        <v>3006</v>
      </c>
      <c r="M581" s="8" t="s">
        <v>3835</v>
      </c>
      <c r="N581" s="8">
        <v>87054635565</v>
      </c>
      <c r="O581" s="8">
        <v>0</v>
      </c>
      <c r="P581" s="8">
        <v>360000</v>
      </c>
      <c r="Q581" s="8" t="s">
        <v>716</v>
      </c>
    </row>
    <row r="582" spans="1:17" ht="13.2">
      <c r="A582" s="26">
        <v>45887.650254351851</v>
      </c>
      <c r="B582" s="8" t="s">
        <v>1049</v>
      </c>
      <c r="C582" s="8" t="s">
        <v>4533</v>
      </c>
      <c r="D582" s="8" t="s">
        <v>1262</v>
      </c>
      <c r="E582" s="8" t="s">
        <v>1055</v>
      </c>
      <c r="F582" s="82" t="s">
        <v>4534</v>
      </c>
      <c r="G582" s="27">
        <v>45063</v>
      </c>
      <c r="H582" s="8" t="s">
        <v>1371</v>
      </c>
      <c r="I582" s="8">
        <v>681222301503</v>
      </c>
      <c r="J582" s="8" t="s">
        <v>2008</v>
      </c>
      <c r="K582" s="8" t="s">
        <v>4535</v>
      </c>
      <c r="L582" s="8" t="s">
        <v>4536</v>
      </c>
      <c r="M582" s="8" t="s">
        <v>2466</v>
      </c>
      <c r="N582" s="8">
        <v>87051472456</v>
      </c>
      <c r="O582" s="8">
        <v>0</v>
      </c>
      <c r="P582" s="8">
        <v>680000</v>
      </c>
      <c r="Q582" s="8" t="s">
        <v>747</v>
      </c>
    </row>
    <row r="583" spans="1:17" ht="13.2">
      <c r="A583" s="26">
        <v>45887.76206212963</v>
      </c>
      <c r="B583" s="8" t="s">
        <v>1141</v>
      </c>
      <c r="C583" s="8" t="s">
        <v>4537</v>
      </c>
      <c r="D583" s="8" t="s">
        <v>4180</v>
      </c>
      <c r="E583" s="8" t="s">
        <v>4538</v>
      </c>
      <c r="F583" s="82" t="s">
        <v>4539</v>
      </c>
      <c r="G583" s="27">
        <v>44893</v>
      </c>
      <c r="H583" s="8" t="s">
        <v>1371</v>
      </c>
      <c r="I583" s="8">
        <v>770604350376</v>
      </c>
      <c r="J583" s="8" t="s">
        <v>1564</v>
      </c>
      <c r="K583" s="8" t="s">
        <v>1548</v>
      </c>
      <c r="L583" s="8" t="s">
        <v>4540</v>
      </c>
      <c r="M583" s="8" t="s">
        <v>4541</v>
      </c>
      <c r="N583" s="8">
        <v>87789664441</v>
      </c>
      <c r="O583" s="8">
        <v>410000</v>
      </c>
      <c r="P583" s="8">
        <v>0</v>
      </c>
      <c r="Q583" s="8" t="s">
        <v>748</v>
      </c>
    </row>
    <row r="584" spans="1:17" ht="13.2">
      <c r="A584" s="26">
        <v>45888.561803680554</v>
      </c>
      <c r="B584" s="8" t="s">
        <v>1141</v>
      </c>
      <c r="C584" s="8" t="s">
        <v>4542</v>
      </c>
      <c r="D584" s="8" t="s">
        <v>1053</v>
      </c>
      <c r="E584" s="8" t="s">
        <v>1451</v>
      </c>
      <c r="F584" s="82" t="s">
        <v>4543</v>
      </c>
      <c r="G584" s="27">
        <v>42306</v>
      </c>
      <c r="H584" s="8" t="s">
        <v>1371</v>
      </c>
      <c r="I584" s="8">
        <v>831125350953</v>
      </c>
      <c r="J584" s="8" t="s">
        <v>1533</v>
      </c>
      <c r="K584" s="8" t="s">
        <v>4544</v>
      </c>
      <c r="L584" s="8" t="s">
        <v>2442</v>
      </c>
      <c r="M584" s="8" t="s">
        <v>4545</v>
      </c>
      <c r="N584" s="8">
        <v>87012047404</v>
      </c>
      <c r="O584" s="8">
        <v>340000</v>
      </c>
      <c r="P584" s="8">
        <v>0</v>
      </c>
      <c r="Q584" s="8" t="s">
        <v>722</v>
      </c>
    </row>
    <row r="585" spans="1:17" ht="13.2">
      <c r="A585" s="26">
        <v>45888.729839386579</v>
      </c>
      <c r="B585" s="8" t="s">
        <v>1049</v>
      </c>
      <c r="C585" s="8" t="s">
        <v>4546</v>
      </c>
      <c r="D585" s="8" t="s">
        <v>4547</v>
      </c>
      <c r="E585" s="8" t="s">
        <v>4548</v>
      </c>
      <c r="F585" s="82" t="s">
        <v>4549</v>
      </c>
      <c r="G585" s="27">
        <v>45665</v>
      </c>
      <c r="H585" s="8" t="s">
        <v>1371</v>
      </c>
      <c r="I585" s="8">
        <v>761224300523</v>
      </c>
      <c r="J585" s="8" t="s">
        <v>2008</v>
      </c>
      <c r="K585" s="8" t="s">
        <v>4550</v>
      </c>
      <c r="L585" s="8" t="s">
        <v>4551</v>
      </c>
      <c r="M585" s="8" t="s">
        <v>4552</v>
      </c>
      <c r="N585" s="8">
        <v>87771621888</v>
      </c>
      <c r="O585" s="8">
        <v>420000</v>
      </c>
      <c r="P585" s="8">
        <v>0</v>
      </c>
      <c r="Q585" s="8" t="s">
        <v>726</v>
      </c>
    </row>
    <row r="586" spans="1:17" ht="13.2">
      <c r="A586" s="26">
        <v>45889.434890439814</v>
      </c>
      <c r="B586" s="8" t="s">
        <v>1049</v>
      </c>
      <c r="C586" s="8" t="s">
        <v>4553</v>
      </c>
      <c r="D586" s="8" t="s">
        <v>4554</v>
      </c>
      <c r="E586" s="8" t="s">
        <v>4555</v>
      </c>
      <c r="F586" s="82" t="s">
        <v>4556</v>
      </c>
      <c r="G586" s="27">
        <v>38726</v>
      </c>
      <c r="H586" s="8" t="s">
        <v>1410</v>
      </c>
      <c r="I586" s="8">
        <v>600129401537</v>
      </c>
      <c r="J586" s="8" t="s">
        <v>2008</v>
      </c>
      <c r="K586" s="8" t="s">
        <v>4557</v>
      </c>
      <c r="L586" s="8" t="s">
        <v>4558</v>
      </c>
      <c r="M586" s="8" t="s">
        <v>4559</v>
      </c>
      <c r="N586" s="8">
        <v>87073241245</v>
      </c>
      <c r="O586" s="8">
        <v>73000</v>
      </c>
      <c r="P586" s="8">
        <v>277000</v>
      </c>
      <c r="Q586" s="8" t="s">
        <v>752</v>
      </c>
    </row>
    <row r="587" spans="1:17" ht="13.2">
      <c r="A587" s="26">
        <v>45889.572219780093</v>
      </c>
      <c r="B587" s="8" t="s">
        <v>1049</v>
      </c>
      <c r="C587" s="8" t="s">
        <v>4560</v>
      </c>
      <c r="D587" s="8" t="s">
        <v>1967</v>
      </c>
      <c r="E587" s="8" t="s">
        <v>2978</v>
      </c>
      <c r="F587" s="82" t="s">
        <v>4561</v>
      </c>
      <c r="G587" s="27">
        <v>42706</v>
      </c>
      <c r="H587" s="8" t="s">
        <v>1371</v>
      </c>
      <c r="I587" s="8">
        <v>911120301073</v>
      </c>
      <c r="J587" s="8" t="s">
        <v>2008</v>
      </c>
      <c r="K587" s="8" t="s">
        <v>4562</v>
      </c>
      <c r="L587" s="8" t="s">
        <v>4563</v>
      </c>
      <c r="M587" s="8" t="s">
        <v>4564</v>
      </c>
      <c r="N587" s="8">
        <v>87075097945</v>
      </c>
      <c r="O587" s="8">
        <v>0</v>
      </c>
      <c r="P587" s="8">
        <v>400000</v>
      </c>
      <c r="Q587" s="8" t="s">
        <v>733</v>
      </c>
    </row>
    <row r="588" spans="1:17" ht="13.2">
      <c r="A588" s="26">
        <v>45890.537239409721</v>
      </c>
      <c r="B588" s="8" t="s">
        <v>1049</v>
      </c>
      <c r="C588" s="8" t="s">
        <v>4565</v>
      </c>
      <c r="D588" s="8" t="s">
        <v>1252</v>
      </c>
      <c r="E588" s="8" t="s">
        <v>1968</v>
      </c>
      <c r="F588" s="82" t="s">
        <v>4566</v>
      </c>
      <c r="G588" s="27">
        <v>45875</v>
      </c>
      <c r="H588" s="8" t="s">
        <v>1371</v>
      </c>
      <c r="I588" s="8">
        <v>900607300028</v>
      </c>
      <c r="J588" s="8" t="s">
        <v>3241</v>
      </c>
      <c r="K588" s="8" t="s">
        <v>4567</v>
      </c>
      <c r="L588" s="8" t="s">
        <v>4568</v>
      </c>
      <c r="M588" s="8" t="s">
        <v>4569</v>
      </c>
      <c r="N588" s="8">
        <v>87777777328</v>
      </c>
      <c r="O588" s="8">
        <v>400000</v>
      </c>
      <c r="P588" s="8">
        <v>0</v>
      </c>
      <c r="Q588" s="8" t="s">
        <v>732</v>
      </c>
    </row>
    <row r="589" spans="1:17" ht="13.2">
      <c r="A589" s="26">
        <v>45890.553079386576</v>
      </c>
      <c r="B589" s="8" t="s">
        <v>1049</v>
      </c>
      <c r="C589" s="8" t="s">
        <v>4570</v>
      </c>
      <c r="D589" s="8" t="s">
        <v>4571</v>
      </c>
      <c r="E589" s="8" t="s">
        <v>4572</v>
      </c>
      <c r="F589" s="82" t="s">
        <v>4573</v>
      </c>
      <c r="G589" s="27">
        <v>42758</v>
      </c>
      <c r="H589" s="8" t="s">
        <v>1371</v>
      </c>
      <c r="I589" s="8">
        <v>920118300668</v>
      </c>
      <c r="J589" s="8" t="s">
        <v>4574</v>
      </c>
      <c r="K589" s="8" t="s">
        <v>4575</v>
      </c>
      <c r="L589" s="8" t="s">
        <v>4576</v>
      </c>
      <c r="M589" s="8" t="s">
        <v>2139</v>
      </c>
      <c r="N589" s="8">
        <v>87000951505</v>
      </c>
      <c r="O589" s="8">
        <v>0</v>
      </c>
      <c r="P589" s="8">
        <v>370000</v>
      </c>
      <c r="Q589" s="8" t="s">
        <v>758</v>
      </c>
    </row>
    <row r="590" spans="1:17" ht="13.2">
      <c r="A590" s="26">
        <v>45890.655178136571</v>
      </c>
      <c r="B590" s="8" t="s">
        <v>1141</v>
      </c>
      <c r="C590" s="8" t="s">
        <v>4577</v>
      </c>
      <c r="D590" s="8" t="s">
        <v>4578</v>
      </c>
      <c r="E590" s="8" t="s">
        <v>4579</v>
      </c>
      <c r="F590" s="82" t="s">
        <v>4580</v>
      </c>
      <c r="G590" s="27">
        <v>44791</v>
      </c>
      <c r="H590" s="8" t="s">
        <v>1371</v>
      </c>
      <c r="I590" s="8">
        <v>811014350410</v>
      </c>
      <c r="J590" s="8" t="s">
        <v>2430</v>
      </c>
      <c r="K590" s="8" t="s">
        <v>2431</v>
      </c>
      <c r="L590" s="8" t="s">
        <v>4581</v>
      </c>
      <c r="M590" s="8" t="s">
        <v>3623</v>
      </c>
      <c r="N590" s="8">
        <v>87712066799</v>
      </c>
      <c r="O590" s="8">
        <v>410000</v>
      </c>
      <c r="P590" s="8">
        <v>0</v>
      </c>
      <c r="Q590" s="8" t="s">
        <v>755</v>
      </c>
    </row>
    <row r="591" spans="1:17" ht="13.2">
      <c r="A591" s="26">
        <v>45891.469153229162</v>
      </c>
      <c r="B591" s="8" t="s">
        <v>1049</v>
      </c>
      <c r="C591" s="8" t="s">
        <v>4582</v>
      </c>
      <c r="D591" s="8" t="s">
        <v>2717</v>
      </c>
      <c r="E591" s="8" t="s">
        <v>2788</v>
      </c>
      <c r="F591" s="82" t="s">
        <v>4583</v>
      </c>
      <c r="G591" s="27">
        <v>43530</v>
      </c>
      <c r="H591" s="8" t="s">
        <v>1371</v>
      </c>
      <c r="I591" s="8">
        <v>890808301916</v>
      </c>
      <c r="J591" s="8" t="s">
        <v>2015</v>
      </c>
      <c r="K591" s="8" t="s">
        <v>4584</v>
      </c>
      <c r="L591" s="8" t="s">
        <v>2253</v>
      </c>
      <c r="M591" s="8" t="s">
        <v>4585</v>
      </c>
      <c r="N591" s="8">
        <v>87714003442</v>
      </c>
      <c r="O591" s="8">
        <v>0</v>
      </c>
      <c r="P591" s="8">
        <v>330000</v>
      </c>
      <c r="Q591" s="8" t="s">
        <v>759</v>
      </c>
    </row>
    <row r="592" spans="1:17" ht="13.2">
      <c r="A592" s="26">
        <v>45891.571652523147</v>
      </c>
      <c r="B592" s="8" t="s">
        <v>1049</v>
      </c>
      <c r="C592" s="8" t="s">
        <v>4586</v>
      </c>
      <c r="D592" s="8" t="s">
        <v>1081</v>
      </c>
      <c r="E592" s="8" t="s">
        <v>1968</v>
      </c>
      <c r="F592" s="82" t="s">
        <v>4587</v>
      </c>
      <c r="G592" s="27">
        <v>45705</v>
      </c>
      <c r="H592" s="8" t="s">
        <v>1371</v>
      </c>
      <c r="I592" s="8">
        <v>990129301597</v>
      </c>
      <c r="J592" s="8" t="s">
        <v>3241</v>
      </c>
      <c r="K592" s="8" t="s">
        <v>4588</v>
      </c>
      <c r="L592" s="8" t="s">
        <v>3444</v>
      </c>
      <c r="M592" s="8" t="s">
        <v>4589</v>
      </c>
      <c r="N592" s="8">
        <v>87078755227</v>
      </c>
      <c r="O592" s="8">
        <v>460000</v>
      </c>
      <c r="P592" s="8">
        <v>0</v>
      </c>
      <c r="Q592" s="8" t="s">
        <v>730</v>
      </c>
    </row>
    <row r="593" spans="1:17" ht="13.2">
      <c r="A593" s="26">
        <v>45894.476020671296</v>
      </c>
      <c r="B593" s="8" t="s">
        <v>1071</v>
      </c>
      <c r="C593" s="8" t="s">
        <v>4590</v>
      </c>
      <c r="D593" s="8" t="s">
        <v>4591</v>
      </c>
      <c r="E593" s="8" t="s">
        <v>4592</v>
      </c>
      <c r="F593" s="82" t="s">
        <v>4593</v>
      </c>
      <c r="G593" s="27">
        <v>44761</v>
      </c>
      <c r="H593" s="8" t="s">
        <v>1371</v>
      </c>
      <c r="I593" s="8">
        <v>620503300787</v>
      </c>
      <c r="J593" s="8" t="s">
        <v>1976</v>
      </c>
      <c r="K593" s="8" t="s">
        <v>2022</v>
      </c>
      <c r="L593" s="8" t="s">
        <v>4594</v>
      </c>
      <c r="M593" s="8" t="s">
        <v>2961</v>
      </c>
      <c r="N593" s="8">
        <v>87029163373</v>
      </c>
      <c r="O593" s="8">
        <v>380000</v>
      </c>
      <c r="P593" s="8">
        <v>0</v>
      </c>
      <c r="Q593" s="8" t="s">
        <v>760</v>
      </c>
    </row>
    <row r="594" spans="1:17" ht="13.2">
      <c r="A594" s="26">
        <v>45894.568677164352</v>
      </c>
      <c r="B594" s="8" t="s">
        <v>1141</v>
      </c>
      <c r="C594" s="8" t="s">
        <v>4595</v>
      </c>
      <c r="D594" s="8" t="s">
        <v>4596</v>
      </c>
      <c r="F594" s="8" t="s">
        <v>4597</v>
      </c>
      <c r="G594" s="27">
        <v>45685</v>
      </c>
      <c r="H594" s="8" t="s">
        <v>4598</v>
      </c>
      <c r="I594" s="8" t="s">
        <v>4599</v>
      </c>
      <c r="J594" s="8" t="s">
        <v>4600</v>
      </c>
      <c r="K594" s="8" t="s">
        <v>4601</v>
      </c>
      <c r="L594" s="8" t="s">
        <v>4602</v>
      </c>
      <c r="M594" s="8" t="s">
        <v>4603</v>
      </c>
      <c r="N594" s="8">
        <v>87782382356</v>
      </c>
      <c r="O594" s="8">
        <v>390000</v>
      </c>
      <c r="P594" s="8">
        <v>0</v>
      </c>
      <c r="Q594" s="8" t="s">
        <v>721</v>
      </c>
    </row>
    <row r="595" spans="1:17" ht="13.2">
      <c r="A595" s="26">
        <v>45894.619868657406</v>
      </c>
      <c r="B595" s="8" t="s">
        <v>1049</v>
      </c>
      <c r="C595" s="8" t="s">
        <v>4604</v>
      </c>
      <c r="D595" s="8" t="s">
        <v>4605</v>
      </c>
      <c r="E595" s="8" t="s">
        <v>4606</v>
      </c>
      <c r="F595" s="82" t="s">
        <v>4607</v>
      </c>
      <c r="G595" s="27">
        <v>43851</v>
      </c>
      <c r="H595" s="8" t="s">
        <v>1371</v>
      </c>
      <c r="I595" s="8">
        <v>840730300509</v>
      </c>
      <c r="J595" s="8" t="s">
        <v>3241</v>
      </c>
      <c r="K595" s="8" t="s">
        <v>4608</v>
      </c>
      <c r="L595" s="8" t="s">
        <v>4609</v>
      </c>
      <c r="M595" s="8" t="s">
        <v>1892</v>
      </c>
      <c r="N595" s="8">
        <v>87479004767</v>
      </c>
      <c r="O595" s="8">
        <v>480000</v>
      </c>
      <c r="P595" s="8">
        <v>0</v>
      </c>
      <c r="Q595" s="8" t="s">
        <v>761</v>
      </c>
    </row>
    <row r="596" spans="1:17" ht="13.2">
      <c r="A596" s="26">
        <v>45895.626979479166</v>
      </c>
      <c r="B596" s="8" t="s">
        <v>1141</v>
      </c>
      <c r="C596" s="8" t="s">
        <v>4610</v>
      </c>
      <c r="D596" s="8" t="s">
        <v>4611</v>
      </c>
      <c r="E596" s="8" t="s">
        <v>4612</v>
      </c>
      <c r="F596" s="82" t="s">
        <v>4613</v>
      </c>
      <c r="G596" s="27">
        <v>45041</v>
      </c>
      <c r="H596" s="8" t="s">
        <v>1371</v>
      </c>
      <c r="I596" s="8">
        <v>820425301208</v>
      </c>
      <c r="J596" s="8" t="s">
        <v>124</v>
      </c>
      <c r="K596" s="8" t="s">
        <v>2120</v>
      </c>
      <c r="L596" s="8" t="s">
        <v>4614</v>
      </c>
      <c r="M596" s="8" t="s">
        <v>4615</v>
      </c>
      <c r="N596" s="8">
        <v>87028473123</v>
      </c>
      <c r="O596" s="8">
        <v>410000</v>
      </c>
      <c r="P596" s="8">
        <v>0</v>
      </c>
      <c r="Q596" s="8" t="s">
        <v>757</v>
      </c>
    </row>
    <row r="597" spans="1:17" ht="13.2">
      <c r="A597" s="26">
        <v>45896.567286736114</v>
      </c>
      <c r="B597" s="8" t="s">
        <v>1141</v>
      </c>
      <c r="C597" s="8" t="s">
        <v>4616</v>
      </c>
      <c r="D597" s="8" t="s">
        <v>4617</v>
      </c>
      <c r="E597" s="8" t="s">
        <v>4618</v>
      </c>
      <c r="F597" s="82" t="s">
        <v>4619</v>
      </c>
      <c r="G597" s="27">
        <v>45435</v>
      </c>
      <c r="H597" s="8" t="s">
        <v>1431</v>
      </c>
      <c r="I597" s="8">
        <v>931202401544</v>
      </c>
      <c r="J597" s="8" t="s">
        <v>1564</v>
      </c>
      <c r="K597" s="8" t="s">
        <v>1748</v>
      </c>
      <c r="L597" s="8" t="s">
        <v>4620</v>
      </c>
      <c r="M597" s="8" t="s">
        <v>4621</v>
      </c>
      <c r="N597" s="8">
        <v>87055333812</v>
      </c>
      <c r="O597" s="8">
        <v>470000</v>
      </c>
      <c r="P597" s="8">
        <v>0</v>
      </c>
      <c r="Q597" s="8" t="s">
        <v>751</v>
      </c>
    </row>
    <row r="598" spans="1:17" ht="13.2">
      <c r="A598" s="26">
        <v>45897.445998773153</v>
      </c>
      <c r="B598" s="8" t="s">
        <v>1049</v>
      </c>
      <c r="C598" s="8" t="s">
        <v>4622</v>
      </c>
      <c r="D598" s="8" t="s">
        <v>4623</v>
      </c>
      <c r="E598" s="8" t="s">
        <v>4624</v>
      </c>
      <c r="F598" s="82" t="s">
        <v>4625</v>
      </c>
      <c r="G598" s="27">
        <v>45548</v>
      </c>
      <c r="H598" s="8" t="s">
        <v>1371</v>
      </c>
      <c r="I598" s="8">
        <v>801116300219</v>
      </c>
      <c r="J598" s="8" t="s">
        <v>2218</v>
      </c>
      <c r="K598" s="8" t="s">
        <v>4626</v>
      </c>
      <c r="L598" s="8" t="s">
        <v>4627</v>
      </c>
      <c r="M598" s="8" t="s">
        <v>3931</v>
      </c>
      <c r="N598" s="8">
        <v>87053258489</v>
      </c>
      <c r="O598" s="8">
        <v>360000</v>
      </c>
      <c r="P598" s="8">
        <v>0</v>
      </c>
      <c r="Q598" s="8" t="s">
        <v>762</v>
      </c>
    </row>
    <row r="599" spans="1:17" ht="13.2">
      <c r="A599" s="26">
        <v>45897.502166782404</v>
      </c>
      <c r="B599" s="8" t="s">
        <v>1049</v>
      </c>
      <c r="C599" s="8" t="s">
        <v>4628</v>
      </c>
      <c r="D599" s="8" t="s">
        <v>4629</v>
      </c>
      <c r="E599" s="8" t="s">
        <v>4630</v>
      </c>
      <c r="F599" s="82" t="s">
        <v>4631</v>
      </c>
      <c r="G599" s="27">
        <v>43531</v>
      </c>
      <c r="H599" s="8" t="s">
        <v>1371</v>
      </c>
      <c r="I599" s="82" t="s">
        <v>4632</v>
      </c>
      <c r="J599" s="8" t="s">
        <v>2008</v>
      </c>
      <c r="K599" s="8" t="s">
        <v>4633</v>
      </c>
      <c r="L599" s="8" t="s">
        <v>4634</v>
      </c>
      <c r="M599" s="8" t="s">
        <v>4635</v>
      </c>
      <c r="N599" s="8">
        <v>87772216768</v>
      </c>
      <c r="O599" s="8">
        <v>420000</v>
      </c>
      <c r="P599" s="8">
        <v>0</v>
      </c>
      <c r="Q599" s="8" t="s">
        <v>763</v>
      </c>
    </row>
    <row r="600" spans="1:17" ht="13.2">
      <c r="A600" s="26">
        <v>45897.51296521991</v>
      </c>
      <c r="B600" s="8" t="s">
        <v>1071</v>
      </c>
      <c r="C600" s="8" t="s">
        <v>4636</v>
      </c>
      <c r="D600" s="8" t="s">
        <v>1435</v>
      </c>
      <c r="E600" s="8" t="s">
        <v>1511</v>
      </c>
      <c r="F600" s="82" t="s">
        <v>4360</v>
      </c>
      <c r="G600" s="27">
        <v>44180</v>
      </c>
      <c r="H600" s="8" t="s">
        <v>1371</v>
      </c>
      <c r="I600" s="8">
        <v>710412300840</v>
      </c>
      <c r="J600" s="8" t="s">
        <v>1976</v>
      </c>
      <c r="K600" s="8" t="s">
        <v>4637</v>
      </c>
      <c r="L600" s="8" t="s">
        <v>4362</v>
      </c>
      <c r="M600" s="8" t="s">
        <v>4638</v>
      </c>
      <c r="N600" s="8">
        <v>87770352912</v>
      </c>
      <c r="O600" s="8">
        <v>0</v>
      </c>
      <c r="P600" s="8">
        <v>390000</v>
      </c>
      <c r="Q600" s="8" t="s">
        <v>764</v>
      </c>
    </row>
    <row r="601" spans="1:17" ht="13.2">
      <c r="A601" s="26">
        <v>45897.798540127318</v>
      </c>
      <c r="B601" s="8" t="s">
        <v>1141</v>
      </c>
      <c r="C601" s="8" t="s">
        <v>4639</v>
      </c>
      <c r="D601" s="8" t="s">
        <v>4640</v>
      </c>
      <c r="E601" s="8" t="s">
        <v>4641</v>
      </c>
      <c r="F601" s="82" t="s">
        <v>4642</v>
      </c>
      <c r="G601" s="27">
        <v>42472</v>
      </c>
      <c r="H601" s="8" t="s">
        <v>1371</v>
      </c>
      <c r="I601" s="82" t="s">
        <v>4643</v>
      </c>
      <c r="J601" s="8" t="s">
        <v>1533</v>
      </c>
      <c r="K601" s="8" t="s">
        <v>4644</v>
      </c>
      <c r="L601" s="8" t="s">
        <v>4470</v>
      </c>
      <c r="M601" s="8" t="s">
        <v>1905</v>
      </c>
      <c r="N601" s="8">
        <v>87079349059</v>
      </c>
      <c r="O601" s="8">
        <v>0</v>
      </c>
      <c r="P601" s="8">
        <v>345000</v>
      </c>
      <c r="Q601" s="8" t="s">
        <v>765</v>
      </c>
    </row>
    <row r="602" spans="1:17" ht="13.2">
      <c r="A602" s="26">
        <v>45898.672433564818</v>
      </c>
      <c r="B602" s="8" t="s">
        <v>1049</v>
      </c>
      <c r="C602" s="8" t="s">
        <v>4645</v>
      </c>
      <c r="D602" s="8" t="s">
        <v>2514</v>
      </c>
      <c r="E602" s="8" t="s">
        <v>1111</v>
      </c>
      <c r="F602" s="82" t="s">
        <v>4646</v>
      </c>
      <c r="G602" s="27">
        <v>44088</v>
      </c>
      <c r="H602" s="8" t="s">
        <v>1371</v>
      </c>
      <c r="I602" s="8">
        <v>850517300989</v>
      </c>
      <c r="J602" s="8" t="s">
        <v>4647</v>
      </c>
      <c r="K602" s="8" t="s">
        <v>4489</v>
      </c>
      <c r="L602" s="8" t="s">
        <v>4648</v>
      </c>
      <c r="M602" s="8" t="s">
        <v>1905</v>
      </c>
      <c r="N602" s="8">
        <v>87052083440</v>
      </c>
      <c r="O602" s="8">
        <v>0</v>
      </c>
      <c r="P602" s="8">
        <v>330000</v>
      </c>
      <c r="Q602" s="8" t="s">
        <v>766</v>
      </c>
    </row>
    <row r="603" spans="1:17" ht="13.2">
      <c r="A603" s="26">
        <v>45899.56829664352</v>
      </c>
      <c r="B603" s="8" t="s">
        <v>1141</v>
      </c>
      <c r="C603" s="8" t="s">
        <v>4649</v>
      </c>
      <c r="D603" s="8" t="s">
        <v>1374</v>
      </c>
      <c r="E603" s="8" t="s">
        <v>4650</v>
      </c>
      <c r="F603" s="82" t="s">
        <v>4651</v>
      </c>
      <c r="G603" s="27">
        <v>44089</v>
      </c>
      <c r="H603" s="8" t="s">
        <v>1371</v>
      </c>
      <c r="I603" s="8">
        <v>660919300558</v>
      </c>
      <c r="J603" s="8" t="s">
        <v>2028</v>
      </c>
      <c r="K603" s="8" t="s">
        <v>4652</v>
      </c>
      <c r="L603" s="8" t="s">
        <v>4653</v>
      </c>
      <c r="M603" s="8" t="s">
        <v>3195</v>
      </c>
      <c r="N603" s="8">
        <v>87779549090</v>
      </c>
      <c r="O603" s="8">
        <v>0</v>
      </c>
      <c r="P603" s="8">
        <v>390000</v>
      </c>
      <c r="Q603" s="8" t="s">
        <v>753</v>
      </c>
    </row>
    <row r="604" spans="1:17" ht="13.2">
      <c r="A604" s="26">
        <v>45902.500819803245</v>
      </c>
      <c r="B604" s="8" t="s">
        <v>1071</v>
      </c>
      <c r="C604" s="8" t="s">
        <v>4654</v>
      </c>
      <c r="D604" s="8" t="s">
        <v>1244</v>
      </c>
      <c r="E604" s="8" t="s">
        <v>2909</v>
      </c>
      <c r="F604" s="82" t="s">
        <v>4655</v>
      </c>
      <c r="G604" s="27">
        <v>42335</v>
      </c>
      <c r="H604" s="8" t="s">
        <v>1371</v>
      </c>
      <c r="I604" s="8">
        <v>901125350502</v>
      </c>
      <c r="J604" s="8" t="s">
        <v>1976</v>
      </c>
      <c r="K604" s="8" t="s">
        <v>2022</v>
      </c>
      <c r="L604" s="8" t="s">
        <v>4656</v>
      </c>
      <c r="M604" s="8" t="s">
        <v>4657</v>
      </c>
      <c r="N604" s="8">
        <v>87475609409</v>
      </c>
      <c r="O604" s="8">
        <v>460000</v>
      </c>
      <c r="P604" s="8">
        <v>0</v>
      </c>
      <c r="Q604" s="8" t="s">
        <v>767</v>
      </c>
    </row>
    <row r="605" spans="1:17" ht="13.2">
      <c r="A605" s="26">
        <v>45902.677398356478</v>
      </c>
      <c r="B605" s="8" t="s">
        <v>1049</v>
      </c>
      <c r="C605" s="8" t="s">
        <v>2291</v>
      </c>
      <c r="D605" s="8" t="s">
        <v>4658</v>
      </c>
      <c r="E605" s="8" t="s">
        <v>4659</v>
      </c>
      <c r="F605" s="82" t="s">
        <v>4660</v>
      </c>
      <c r="G605" s="27">
        <v>44788</v>
      </c>
      <c r="H605" s="8" t="s">
        <v>1431</v>
      </c>
      <c r="I605" s="8">
        <v>960727401135</v>
      </c>
      <c r="J605" s="8" t="s">
        <v>3241</v>
      </c>
      <c r="K605" s="8" t="s">
        <v>4661</v>
      </c>
      <c r="L605" s="8" t="s">
        <v>3359</v>
      </c>
      <c r="M605" s="8" t="s">
        <v>4662</v>
      </c>
      <c r="N605" s="8">
        <v>87078860494</v>
      </c>
      <c r="O605" s="8">
        <v>0</v>
      </c>
      <c r="P605" s="8">
        <v>420000</v>
      </c>
      <c r="Q605" s="8" t="s">
        <v>768</v>
      </c>
    </row>
    <row r="606" spans="1:17" ht="13.2">
      <c r="A606" s="26">
        <v>45903.612480277778</v>
      </c>
      <c r="B606" s="8" t="s">
        <v>1141</v>
      </c>
      <c r="C606" s="8" t="s">
        <v>4663</v>
      </c>
      <c r="D606" s="8" t="s">
        <v>1081</v>
      </c>
      <c r="E606" s="8" t="s">
        <v>1480</v>
      </c>
      <c r="F606" s="82" t="s">
        <v>4664</v>
      </c>
      <c r="G606" s="27">
        <v>39038</v>
      </c>
      <c r="H606" s="8" t="s">
        <v>1410</v>
      </c>
      <c r="I606" s="8">
        <v>810530350872</v>
      </c>
      <c r="J606" s="8" t="s">
        <v>2430</v>
      </c>
      <c r="K606" s="8" t="s">
        <v>2206</v>
      </c>
      <c r="L606" s="8" t="s">
        <v>4665</v>
      </c>
      <c r="M606" s="8" t="s">
        <v>1583</v>
      </c>
      <c r="N606" s="8">
        <v>87711628806</v>
      </c>
      <c r="O606" s="8">
        <v>0</v>
      </c>
      <c r="P606" s="8">
        <v>410000</v>
      </c>
      <c r="Q606" s="8" t="s">
        <v>754</v>
      </c>
    </row>
    <row r="607" spans="1:17" ht="13.2">
      <c r="A607" s="26">
        <v>45904.451502233795</v>
      </c>
      <c r="B607" s="8" t="s">
        <v>1071</v>
      </c>
      <c r="C607" s="8" t="s">
        <v>4666</v>
      </c>
      <c r="D607" s="8" t="s">
        <v>2073</v>
      </c>
      <c r="E607" s="8" t="s">
        <v>4667</v>
      </c>
      <c r="F607" s="82" t="s">
        <v>4668</v>
      </c>
      <c r="G607" s="27">
        <v>43973</v>
      </c>
      <c r="H607" s="8" t="s">
        <v>1371</v>
      </c>
      <c r="I607" s="8">
        <v>930101351969</v>
      </c>
      <c r="J607" s="8" t="s">
        <v>1976</v>
      </c>
      <c r="K607" s="8" t="s">
        <v>1977</v>
      </c>
      <c r="L607" s="8" t="s">
        <v>3820</v>
      </c>
      <c r="M607" s="8" t="s">
        <v>4669</v>
      </c>
      <c r="N607" s="8">
        <v>87022326552</v>
      </c>
      <c r="O607" s="8">
        <v>0</v>
      </c>
      <c r="P607" s="8">
        <v>380000</v>
      </c>
      <c r="Q607" s="8" t="s">
        <v>769</v>
      </c>
    </row>
    <row r="608" spans="1:17" ht="13.2">
      <c r="A608" s="26">
        <v>45909.545748356482</v>
      </c>
      <c r="B608" s="8" t="s">
        <v>1071</v>
      </c>
      <c r="C608" s="8" t="s">
        <v>4670</v>
      </c>
      <c r="D608" s="8" t="s">
        <v>1133</v>
      </c>
      <c r="E608" s="8" t="s">
        <v>4671</v>
      </c>
      <c r="F608" s="82" t="s">
        <v>4672</v>
      </c>
      <c r="G608" s="27">
        <v>45457</v>
      </c>
      <c r="H608" s="8" t="s">
        <v>1371</v>
      </c>
      <c r="I608" s="8">
        <v>890530351129</v>
      </c>
      <c r="J608" s="8" t="s">
        <v>1976</v>
      </c>
      <c r="K608" s="8" t="s">
        <v>4673</v>
      </c>
      <c r="L608" s="8" t="s">
        <v>4674</v>
      </c>
      <c r="M608" s="8" t="s">
        <v>4675</v>
      </c>
      <c r="N608" s="8">
        <v>87051676276</v>
      </c>
      <c r="O608" s="8">
        <v>400000</v>
      </c>
      <c r="P608" s="8">
        <v>0</v>
      </c>
      <c r="Q608" s="8" t="s">
        <v>775</v>
      </c>
    </row>
    <row r="609" spans="1:17" ht="13.2">
      <c r="A609" s="26">
        <v>45909.620482465281</v>
      </c>
      <c r="B609" s="8" t="s">
        <v>1071</v>
      </c>
      <c r="C609" s="8" t="s">
        <v>4676</v>
      </c>
      <c r="D609" s="8" t="s">
        <v>3150</v>
      </c>
      <c r="E609" s="8" t="s">
        <v>4677</v>
      </c>
      <c r="F609" s="82" t="s">
        <v>4678</v>
      </c>
      <c r="G609" s="27">
        <v>43796</v>
      </c>
      <c r="H609" s="8" t="s">
        <v>1371</v>
      </c>
      <c r="I609" s="8">
        <v>700416350490</v>
      </c>
      <c r="J609" s="8" t="s">
        <v>1976</v>
      </c>
      <c r="K609" s="8" t="s">
        <v>1977</v>
      </c>
      <c r="L609" s="8" t="s">
        <v>3538</v>
      </c>
      <c r="M609" s="8" t="s">
        <v>4679</v>
      </c>
      <c r="N609" s="8">
        <v>87771003110</v>
      </c>
      <c r="O609" s="8">
        <v>770000</v>
      </c>
      <c r="P609" s="8">
        <v>0</v>
      </c>
      <c r="Q609" s="8" t="s">
        <v>776</v>
      </c>
    </row>
    <row r="610" spans="1:17" ht="13.2">
      <c r="A610" s="26">
        <v>45909.627064490742</v>
      </c>
      <c r="B610" s="8" t="s">
        <v>1049</v>
      </c>
      <c r="C610" s="8" t="s">
        <v>4680</v>
      </c>
      <c r="D610" s="8" t="s">
        <v>1255</v>
      </c>
      <c r="E610" s="8" t="s">
        <v>4681</v>
      </c>
      <c r="F610" s="82" t="s">
        <v>4682</v>
      </c>
      <c r="G610" s="27">
        <v>44286</v>
      </c>
      <c r="H610" s="8" t="s">
        <v>1431</v>
      </c>
      <c r="I610" s="8">
        <v>920325300217</v>
      </c>
      <c r="J610" s="8" t="s">
        <v>3241</v>
      </c>
      <c r="K610" s="8" t="s">
        <v>4683</v>
      </c>
      <c r="L610" s="8" t="s">
        <v>4684</v>
      </c>
      <c r="M610" s="8" t="s">
        <v>4685</v>
      </c>
      <c r="N610" s="8">
        <v>87088080991</v>
      </c>
      <c r="O610" s="8">
        <v>0</v>
      </c>
      <c r="P610" s="8">
        <v>360000</v>
      </c>
      <c r="Q610" s="8" t="s">
        <v>497</v>
      </c>
    </row>
    <row r="611" spans="1:17" ht="13.2">
      <c r="A611" s="26">
        <v>45910.422356203708</v>
      </c>
      <c r="B611" s="8" t="s">
        <v>1049</v>
      </c>
      <c r="C611" s="8" t="s">
        <v>4686</v>
      </c>
      <c r="D611" s="8" t="s">
        <v>1109</v>
      </c>
      <c r="E611" s="8" t="s">
        <v>1201</v>
      </c>
      <c r="F611" s="82" t="s">
        <v>4687</v>
      </c>
      <c r="G611" s="27">
        <v>45415</v>
      </c>
      <c r="H611" s="8" t="s">
        <v>1371</v>
      </c>
      <c r="I611" s="8">
        <v>890602300046</v>
      </c>
      <c r="J611" s="8" t="s">
        <v>3241</v>
      </c>
      <c r="K611" s="8" t="s">
        <v>4688</v>
      </c>
      <c r="L611" s="8" t="s">
        <v>4689</v>
      </c>
      <c r="M611" s="8" t="s">
        <v>4690</v>
      </c>
      <c r="N611" s="8">
        <v>87075424604</v>
      </c>
      <c r="O611" s="8">
        <v>550000</v>
      </c>
      <c r="P611" s="8">
        <v>0</v>
      </c>
      <c r="Q611" s="8" t="s">
        <v>777</v>
      </c>
    </row>
    <row r="612" spans="1:17" ht="13.2">
      <c r="A612" s="26">
        <v>45910.430979675926</v>
      </c>
      <c r="B612" s="8" t="s">
        <v>1071</v>
      </c>
      <c r="C612" s="8" t="s">
        <v>4691</v>
      </c>
      <c r="D612" s="8" t="s">
        <v>1407</v>
      </c>
      <c r="E612" s="8" t="s">
        <v>4692</v>
      </c>
      <c r="F612" s="82" t="s">
        <v>4693</v>
      </c>
      <c r="G612" s="27">
        <v>45754</v>
      </c>
      <c r="H612" s="8" t="s">
        <v>1371</v>
      </c>
      <c r="I612" s="8">
        <v>700514350453</v>
      </c>
      <c r="J612" s="8" t="s">
        <v>1977</v>
      </c>
      <c r="K612" s="8" t="s">
        <v>2897</v>
      </c>
      <c r="L612" s="8" t="s">
        <v>4694</v>
      </c>
      <c r="M612" s="8" t="s">
        <v>4695</v>
      </c>
      <c r="N612" s="8">
        <v>87770359769</v>
      </c>
      <c r="O612" s="8">
        <v>0</v>
      </c>
      <c r="P612" s="8">
        <v>380000</v>
      </c>
      <c r="Q612" s="8" t="s">
        <v>778</v>
      </c>
    </row>
    <row r="613" spans="1:17" ht="13.2">
      <c r="A613" s="26">
        <v>45910.527124259257</v>
      </c>
      <c r="B613" s="8" t="s">
        <v>1049</v>
      </c>
      <c r="C613" s="8" t="s">
        <v>4696</v>
      </c>
      <c r="D613" s="8" t="s">
        <v>2538</v>
      </c>
      <c r="E613" s="8" t="s">
        <v>4697</v>
      </c>
      <c r="F613" s="82" t="s">
        <v>4698</v>
      </c>
      <c r="G613" s="27">
        <v>44380</v>
      </c>
      <c r="H613" s="8" t="s">
        <v>1371</v>
      </c>
      <c r="I613" s="8">
        <v>750522303048</v>
      </c>
      <c r="J613" s="8" t="s">
        <v>3241</v>
      </c>
      <c r="K613" s="8" t="s">
        <v>4699</v>
      </c>
      <c r="L613" s="8" t="s">
        <v>4700</v>
      </c>
      <c r="M613" s="8" t="s">
        <v>4031</v>
      </c>
      <c r="N613" s="8">
        <v>87773517788</v>
      </c>
      <c r="O613" s="8">
        <v>0</v>
      </c>
      <c r="P613" s="8">
        <v>360000</v>
      </c>
      <c r="Q613" s="8" t="s">
        <v>779</v>
      </c>
    </row>
    <row r="614" spans="1:17" ht="13.2">
      <c r="A614" s="26">
        <v>45910.711885543977</v>
      </c>
      <c r="B614" s="8" t="s">
        <v>1049</v>
      </c>
      <c r="C614" s="8" t="s">
        <v>2840</v>
      </c>
      <c r="D614" s="8" t="s">
        <v>4701</v>
      </c>
      <c r="E614" s="8" t="s">
        <v>4702</v>
      </c>
      <c r="F614" s="82" t="s">
        <v>4703</v>
      </c>
      <c r="G614" s="27">
        <v>44900</v>
      </c>
      <c r="H614" s="8" t="s">
        <v>1431</v>
      </c>
      <c r="I614" s="82" t="s">
        <v>4704</v>
      </c>
      <c r="J614" s="8" t="s">
        <v>2008</v>
      </c>
      <c r="K614" s="8" t="s">
        <v>4705</v>
      </c>
      <c r="L614" s="8" t="s">
        <v>4706</v>
      </c>
      <c r="M614" s="8">
        <v>59</v>
      </c>
      <c r="N614" s="8" t="s">
        <v>4707</v>
      </c>
      <c r="O614" s="8">
        <v>360000</v>
      </c>
      <c r="P614" s="8">
        <v>0</v>
      </c>
      <c r="Q614" s="8" t="s">
        <v>780</v>
      </c>
    </row>
    <row r="615" spans="1:17" ht="13.2">
      <c r="A615" s="26">
        <v>45912.437760891204</v>
      </c>
      <c r="B615" s="8" t="s">
        <v>1141</v>
      </c>
      <c r="C615" s="8" t="s">
        <v>4708</v>
      </c>
      <c r="D615" s="8" t="s">
        <v>4709</v>
      </c>
      <c r="E615" s="8" t="s">
        <v>4710</v>
      </c>
      <c r="F615" s="82" t="s">
        <v>4711</v>
      </c>
      <c r="G615" s="27">
        <v>44007</v>
      </c>
      <c r="H615" s="8" t="s">
        <v>1431</v>
      </c>
      <c r="I615" s="8">
        <v>940426350276</v>
      </c>
      <c r="J615" s="8" t="s">
        <v>1564</v>
      </c>
      <c r="K615" s="8" t="s">
        <v>4712</v>
      </c>
      <c r="L615" s="8" t="s">
        <v>4713</v>
      </c>
      <c r="M615" s="8" t="s">
        <v>1897</v>
      </c>
      <c r="N615" s="8">
        <v>87787397436</v>
      </c>
      <c r="O615" s="8">
        <v>225000</v>
      </c>
      <c r="P615" s="8">
        <v>550000</v>
      </c>
      <c r="Q615" s="8" t="s">
        <v>756</v>
      </c>
    </row>
    <row r="616" spans="1:17" ht="13.2">
      <c r="A616" s="26">
        <v>45912.465124363429</v>
      </c>
      <c r="B616" s="8" t="s">
        <v>1049</v>
      </c>
      <c r="C616" s="8" t="s">
        <v>4714</v>
      </c>
      <c r="D616" s="8" t="s">
        <v>1053</v>
      </c>
      <c r="E616" s="8" t="s">
        <v>1201</v>
      </c>
      <c r="F616" s="82" t="s">
        <v>4715</v>
      </c>
      <c r="G616" s="27">
        <v>42712</v>
      </c>
      <c r="H616" s="8" t="s">
        <v>1371</v>
      </c>
      <c r="I616" s="8">
        <v>820111300163</v>
      </c>
      <c r="J616" s="8" t="s">
        <v>3241</v>
      </c>
      <c r="K616" s="8" t="s">
        <v>4489</v>
      </c>
      <c r="L616" s="8" t="s">
        <v>4716</v>
      </c>
      <c r="M616" s="8" t="s">
        <v>4717</v>
      </c>
      <c r="N616" s="8">
        <v>87016666788</v>
      </c>
      <c r="O616" s="8">
        <v>350000</v>
      </c>
      <c r="P616" s="8">
        <v>0</v>
      </c>
      <c r="Q616" s="8" t="s">
        <v>781</v>
      </c>
    </row>
    <row r="617" spans="1:17" ht="13.2">
      <c r="A617" s="26">
        <v>45912.495319097223</v>
      </c>
      <c r="B617" s="8" t="s">
        <v>1071</v>
      </c>
      <c r="C617" s="8" t="s">
        <v>4718</v>
      </c>
      <c r="D617" s="8" t="s">
        <v>1151</v>
      </c>
      <c r="E617" s="8" t="s">
        <v>1111</v>
      </c>
      <c r="F617" s="82" t="s">
        <v>4719</v>
      </c>
      <c r="G617" s="27">
        <v>45392</v>
      </c>
      <c r="H617" s="8" t="s">
        <v>1371</v>
      </c>
      <c r="I617" s="8">
        <v>831214350729</v>
      </c>
      <c r="J617" s="8" t="s">
        <v>1976</v>
      </c>
      <c r="K617" s="8" t="s">
        <v>2022</v>
      </c>
      <c r="L617" s="8" t="s">
        <v>4720</v>
      </c>
      <c r="M617" s="8" t="s">
        <v>4721</v>
      </c>
      <c r="N617" s="8">
        <v>87015016038</v>
      </c>
      <c r="O617" s="8">
        <v>360000</v>
      </c>
      <c r="P617" s="8">
        <v>0</v>
      </c>
      <c r="Q617" s="8" t="s">
        <v>782</v>
      </c>
    </row>
    <row r="618" spans="1:17" ht="13.2">
      <c r="A618" s="26">
        <v>45915.439081006945</v>
      </c>
      <c r="B618" s="8" t="s">
        <v>1049</v>
      </c>
      <c r="C618" s="8" t="s">
        <v>4722</v>
      </c>
      <c r="D618" s="8" t="s">
        <v>4392</v>
      </c>
      <c r="E618" s="8" t="s">
        <v>4393</v>
      </c>
      <c r="F618" s="82" t="s">
        <v>4394</v>
      </c>
      <c r="G618" s="27">
        <v>45758</v>
      </c>
      <c r="H618" s="8" t="s">
        <v>1371</v>
      </c>
      <c r="I618" s="8">
        <v>781126303509</v>
      </c>
      <c r="J618" s="8" t="s">
        <v>4723</v>
      </c>
      <c r="K618" s="8" t="s">
        <v>4724</v>
      </c>
      <c r="L618" s="8" t="s">
        <v>4396</v>
      </c>
      <c r="M618" s="8" t="s">
        <v>2161</v>
      </c>
      <c r="N618" s="8">
        <v>87072453304</v>
      </c>
      <c r="O618" s="8">
        <v>358000</v>
      </c>
      <c r="P618" s="8">
        <v>0</v>
      </c>
      <c r="Q618" s="8" t="s">
        <v>783</v>
      </c>
    </row>
    <row r="619" spans="1:17" ht="13.2">
      <c r="A619" s="26">
        <v>45915.466737430557</v>
      </c>
      <c r="B619" s="8" t="s">
        <v>1049</v>
      </c>
      <c r="C619" s="8" t="s">
        <v>4725</v>
      </c>
      <c r="D619" s="8" t="s">
        <v>1385</v>
      </c>
      <c r="E619" s="8" t="s">
        <v>1511</v>
      </c>
      <c r="F619" s="82" t="s">
        <v>4726</v>
      </c>
      <c r="G619" s="27">
        <v>44700</v>
      </c>
      <c r="H619" s="8" t="s">
        <v>1371</v>
      </c>
      <c r="I619" s="8">
        <v>770422300816</v>
      </c>
      <c r="J619" s="8" t="s">
        <v>2008</v>
      </c>
      <c r="K619" s="8" t="s">
        <v>4727</v>
      </c>
      <c r="L619" s="8" t="s">
        <v>4728</v>
      </c>
      <c r="M619" s="8" t="s">
        <v>2466</v>
      </c>
      <c r="N619" s="8">
        <v>87019331218</v>
      </c>
      <c r="O619" s="8">
        <v>355000</v>
      </c>
      <c r="P619" s="8">
        <v>0</v>
      </c>
      <c r="Q619" s="8" t="s">
        <v>784</v>
      </c>
    </row>
    <row r="620" spans="1:17" ht="13.2">
      <c r="A620" s="26">
        <v>45916.611259386569</v>
      </c>
      <c r="B620" s="8" t="s">
        <v>1049</v>
      </c>
      <c r="C620" s="8" t="s">
        <v>4729</v>
      </c>
      <c r="D620" s="8" t="s">
        <v>1244</v>
      </c>
      <c r="E620" s="8" t="s">
        <v>4730</v>
      </c>
      <c r="F620" s="82" t="s">
        <v>4731</v>
      </c>
      <c r="G620" s="27">
        <v>44350</v>
      </c>
      <c r="H620" s="8" t="s">
        <v>1371</v>
      </c>
      <c r="I620" s="8">
        <v>820722301381</v>
      </c>
      <c r="J620" s="8" t="s">
        <v>4647</v>
      </c>
      <c r="K620" s="8" t="s">
        <v>4732</v>
      </c>
      <c r="L620" s="8" t="s">
        <v>4733</v>
      </c>
      <c r="M620" s="8" t="s">
        <v>4734</v>
      </c>
      <c r="N620" s="8">
        <v>87762455513</v>
      </c>
      <c r="O620" s="8">
        <v>0</v>
      </c>
      <c r="P620" s="8">
        <v>350000</v>
      </c>
      <c r="Q620" s="8" t="s">
        <v>786</v>
      </c>
    </row>
    <row r="621" spans="1:17" ht="13.2">
      <c r="A621" s="26">
        <v>45918.568344293977</v>
      </c>
      <c r="B621" s="8" t="s">
        <v>1071</v>
      </c>
      <c r="C621" s="8" t="s">
        <v>4735</v>
      </c>
      <c r="D621" s="8" t="s">
        <v>4736</v>
      </c>
      <c r="E621" s="8" t="s">
        <v>1987</v>
      </c>
      <c r="F621" s="82" t="s">
        <v>4737</v>
      </c>
      <c r="G621" s="27">
        <v>42843</v>
      </c>
      <c r="H621" s="8" t="s">
        <v>1371</v>
      </c>
      <c r="I621" s="8">
        <v>891122350928</v>
      </c>
      <c r="J621" s="8" t="s">
        <v>1976</v>
      </c>
      <c r="K621" s="8" t="s">
        <v>4738</v>
      </c>
      <c r="L621" s="8" t="s">
        <v>4739</v>
      </c>
      <c r="M621" s="8" t="s">
        <v>2202</v>
      </c>
      <c r="N621" s="8">
        <v>87054275209</v>
      </c>
      <c r="O621" s="8">
        <v>460000</v>
      </c>
      <c r="P621" s="8">
        <v>0</v>
      </c>
      <c r="Q621" s="8" t="s">
        <v>787</v>
      </c>
    </row>
    <row r="622" spans="1:17" ht="13.2">
      <c r="A622" s="26">
        <v>45918.646751180553</v>
      </c>
      <c r="B622" s="8" t="s">
        <v>1049</v>
      </c>
      <c r="C622" s="8" t="s">
        <v>4740</v>
      </c>
      <c r="D622" s="8" t="s">
        <v>4741</v>
      </c>
      <c r="E622" s="8" t="s">
        <v>4742</v>
      </c>
      <c r="F622" s="82" t="s">
        <v>4743</v>
      </c>
      <c r="G622" s="27">
        <v>42524</v>
      </c>
      <c r="H622" s="8" t="s">
        <v>1371</v>
      </c>
      <c r="I622" s="82" t="s">
        <v>4744</v>
      </c>
      <c r="J622" s="8" t="s">
        <v>2008</v>
      </c>
      <c r="K622" s="8" t="s">
        <v>4745</v>
      </c>
      <c r="L622" s="8" t="s">
        <v>4746</v>
      </c>
      <c r="M622" s="8" t="s">
        <v>4747</v>
      </c>
      <c r="N622" s="8">
        <v>87083928196</v>
      </c>
      <c r="O622" s="8">
        <v>350000</v>
      </c>
      <c r="P622" s="8">
        <v>0</v>
      </c>
      <c r="Q622" s="8" t="s">
        <v>788</v>
      </c>
    </row>
    <row r="623" spans="1:17" ht="13.2">
      <c r="A623" s="26">
        <v>45918.668409965278</v>
      </c>
      <c r="B623" s="8" t="s">
        <v>1049</v>
      </c>
      <c r="C623" s="8" t="s">
        <v>4748</v>
      </c>
      <c r="D623" s="8" t="s">
        <v>1244</v>
      </c>
      <c r="E623" s="8" t="s">
        <v>1111</v>
      </c>
      <c r="F623" s="82" t="s">
        <v>4749</v>
      </c>
      <c r="G623" s="27">
        <v>44757</v>
      </c>
      <c r="H623" s="8" t="s">
        <v>1371</v>
      </c>
      <c r="I623" s="8">
        <v>870611301525</v>
      </c>
      <c r="J623" s="8" t="s">
        <v>3241</v>
      </c>
      <c r="K623" s="8" t="s">
        <v>4489</v>
      </c>
      <c r="L623" s="8" t="s">
        <v>4750</v>
      </c>
      <c r="M623" s="8" t="s">
        <v>4751</v>
      </c>
      <c r="N623" s="8">
        <v>87076030561</v>
      </c>
      <c r="O623" s="8">
        <v>420000</v>
      </c>
      <c r="P623" s="8">
        <v>0</v>
      </c>
      <c r="Q623" s="8" t="s">
        <v>789</v>
      </c>
    </row>
    <row r="624" spans="1:17" ht="13.2">
      <c r="A624" s="26">
        <v>45918.727785856478</v>
      </c>
      <c r="B624" s="8" t="s">
        <v>1071</v>
      </c>
      <c r="C624" s="8" t="s">
        <v>4752</v>
      </c>
      <c r="D624" s="8" t="s">
        <v>1053</v>
      </c>
      <c r="E624" s="8" t="s">
        <v>1111</v>
      </c>
      <c r="F624" s="82" t="s">
        <v>4753</v>
      </c>
      <c r="G624" s="27">
        <v>43882</v>
      </c>
      <c r="H624" s="8" t="s">
        <v>1371</v>
      </c>
      <c r="I624" s="8">
        <v>890304350191</v>
      </c>
      <c r="J624" s="8" t="s">
        <v>1908</v>
      </c>
      <c r="K624" s="8" t="s">
        <v>4754</v>
      </c>
      <c r="L624" s="8" t="s">
        <v>4755</v>
      </c>
      <c r="M624" s="8" t="s">
        <v>4756</v>
      </c>
      <c r="N624" s="8">
        <v>87058668881</v>
      </c>
      <c r="O624" s="8">
        <v>400000</v>
      </c>
      <c r="P624" s="8">
        <v>0</v>
      </c>
      <c r="Q624" s="8" t="s">
        <v>790</v>
      </c>
    </row>
    <row r="625" spans="1:17" ht="13.2">
      <c r="A625" s="26">
        <v>45919.635261296295</v>
      </c>
      <c r="B625" s="8" t="s">
        <v>1071</v>
      </c>
      <c r="C625" s="8" t="s">
        <v>4757</v>
      </c>
      <c r="D625" s="8" t="s">
        <v>4758</v>
      </c>
      <c r="E625" s="8" t="s">
        <v>4759</v>
      </c>
      <c r="F625" s="82" t="s">
        <v>4760</v>
      </c>
      <c r="G625" s="27">
        <v>42843</v>
      </c>
      <c r="H625" s="8" t="s">
        <v>1371</v>
      </c>
      <c r="I625" s="8">
        <v>600411350224</v>
      </c>
      <c r="J625" s="8" t="s">
        <v>1908</v>
      </c>
      <c r="K625" s="8" t="s">
        <v>3097</v>
      </c>
      <c r="L625" s="8" t="s">
        <v>3167</v>
      </c>
      <c r="M625" s="8" t="s">
        <v>4761</v>
      </c>
      <c r="N625" s="8">
        <v>87051032393</v>
      </c>
      <c r="O625" s="8">
        <v>380000</v>
      </c>
      <c r="P625" s="8">
        <v>0</v>
      </c>
      <c r="Q625" s="8" t="s">
        <v>791</v>
      </c>
    </row>
    <row r="626" spans="1:17" ht="13.2">
      <c r="A626" s="26">
        <v>45919.732726412039</v>
      </c>
      <c r="B626" s="8" t="s">
        <v>1071</v>
      </c>
      <c r="C626" s="8" t="s">
        <v>4762</v>
      </c>
      <c r="D626" s="8" t="s">
        <v>4763</v>
      </c>
      <c r="E626" s="8" t="s">
        <v>4764</v>
      </c>
      <c r="F626" s="82" t="s">
        <v>4765</v>
      </c>
      <c r="G626" s="27">
        <v>45841</v>
      </c>
      <c r="H626" s="8" t="s">
        <v>1371</v>
      </c>
      <c r="I626" s="8">
        <v>900812451053</v>
      </c>
      <c r="J626" s="8" t="s">
        <v>1976</v>
      </c>
      <c r="K626" s="8" t="s">
        <v>1977</v>
      </c>
      <c r="L626" s="8" t="s">
        <v>4766</v>
      </c>
      <c r="M626" s="8" t="s">
        <v>4767</v>
      </c>
      <c r="N626" s="8">
        <v>87789395445</v>
      </c>
      <c r="O626" s="8">
        <v>0</v>
      </c>
      <c r="P626" s="8">
        <v>350000</v>
      </c>
      <c r="Q626" s="8" t="s">
        <v>792</v>
      </c>
    </row>
    <row r="627" spans="1:17" ht="13.2">
      <c r="A627" s="26">
        <v>45921.459673969905</v>
      </c>
      <c r="B627" s="8" t="s">
        <v>1049</v>
      </c>
      <c r="C627" s="8" t="s">
        <v>4768</v>
      </c>
      <c r="D627" s="8" t="s">
        <v>1967</v>
      </c>
      <c r="E627" s="8" t="s">
        <v>4769</v>
      </c>
      <c r="F627" s="82" t="s">
        <v>4770</v>
      </c>
      <c r="G627" s="27">
        <v>43607</v>
      </c>
      <c r="H627" s="8" t="s">
        <v>1371</v>
      </c>
      <c r="I627" s="8">
        <v>770626302574</v>
      </c>
      <c r="J627" s="8" t="s">
        <v>4771</v>
      </c>
      <c r="K627" s="8" t="s">
        <v>4772</v>
      </c>
      <c r="L627" s="8" t="s">
        <v>3802</v>
      </c>
      <c r="M627" s="8" t="s">
        <v>1905</v>
      </c>
      <c r="N627" s="8">
        <v>87076260677</v>
      </c>
      <c r="O627" s="8">
        <v>750000</v>
      </c>
      <c r="P627" s="8">
        <v>0</v>
      </c>
      <c r="Q627" s="8" t="s">
        <v>793</v>
      </c>
    </row>
    <row r="628" spans="1:17" ht="13.2">
      <c r="A628" s="26">
        <v>45922.463338946764</v>
      </c>
      <c r="B628" s="8" t="s">
        <v>1071</v>
      </c>
      <c r="C628" s="8" t="s">
        <v>4773</v>
      </c>
      <c r="D628" s="8" t="s">
        <v>2319</v>
      </c>
      <c r="E628" s="8" t="s">
        <v>4774</v>
      </c>
      <c r="F628" s="82" t="s">
        <v>4775</v>
      </c>
      <c r="G628" s="27">
        <v>45085</v>
      </c>
      <c r="H628" s="8" t="s">
        <v>1371</v>
      </c>
      <c r="I628" s="8">
        <v>860919350536</v>
      </c>
      <c r="J628" s="8" t="s">
        <v>1976</v>
      </c>
      <c r="K628" s="8" t="s">
        <v>4776</v>
      </c>
      <c r="L628" s="8" t="s">
        <v>4777</v>
      </c>
      <c r="M628" s="8" t="s">
        <v>4778</v>
      </c>
      <c r="N628" s="8">
        <v>87055181911</v>
      </c>
      <c r="O628" s="8">
        <v>460000</v>
      </c>
      <c r="P628" s="8">
        <v>60000</v>
      </c>
      <c r="Q628" s="8" t="s">
        <v>794</v>
      </c>
    </row>
    <row r="629" spans="1:17" ht="13.2">
      <c r="A629" s="26">
        <v>45922.512348229167</v>
      </c>
      <c r="B629" s="8" t="s">
        <v>1071</v>
      </c>
      <c r="C629" s="8" t="s">
        <v>4779</v>
      </c>
      <c r="D629" s="8" t="s">
        <v>4780</v>
      </c>
      <c r="E629" s="8" t="s">
        <v>4548</v>
      </c>
      <c r="F629" s="82" t="s">
        <v>4781</v>
      </c>
      <c r="G629" s="27">
        <v>43671</v>
      </c>
      <c r="H629" s="8" t="s">
        <v>1431</v>
      </c>
      <c r="I629" s="82" t="s">
        <v>4782</v>
      </c>
      <c r="J629" s="8" t="s">
        <v>1976</v>
      </c>
      <c r="K629" s="8" t="s">
        <v>2022</v>
      </c>
      <c r="L629" s="8" t="s">
        <v>4783</v>
      </c>
      <c r="M629" s="8" t="s">
        <v>4784</v>
      </c>
      <c r="N629" s="8">
        <v>87761302562</v>
      </c>
      <c r="O629" s="8">
        <v>400000</v>
      </c>
      <c r="P629" s="8">
        <v>0</v>
      </c>
      <c r="Q629" s="8" t="s">
        <v>795</v>
      </c>
    </row>
    <row r="630" spans="1:17" ht="13.2">
      <c r="A630" s="26">
        <v>45922.521374085649</v>
      </c>
      <c r="B630" s="8" t="s">
        <v>1071</v>
      </c>
      <c r="C630" s="8" t="s">
        <v>4785</v>
      </c>
      <c r="D630" s="8" t="s">
        <v>2514</v>
      </c>
      <c r="E630" s="8" t="s">
        <v>2978</v>
      </c>
      <c r="F630" s="82" t="s">
        <v>4786</v>
      </c>
      <c r="G630" s="27">
        <v>44447</v>
      </c>
      <c r="H630" s="8" t="s">
        <v>1371</v>
      </c>
      <c r="I630" s="8">
        <v>860224350716</v>
      </c>
      <c r="J630" s="8" t="s">
        <v>1976</v>
      </c>
      <c r="K630" s="8" t="s">
        <v>3092</v>
      </c>
      <c r="L630" s="8" t="s">
        <v>4787</v>
      </c>
      <c r="M630" s="8" t="s">
        <v>1775</v>
      </c>
      <c r="N630" s="8">
        <v>87779578054</v>
      </c>
      <c r="O630" s="8">
        <v>400000</v>
      </c>
      <c r="P630" s="8">
        <v>0</v>
      </c>
      <c r="Q630" s="8" t="s">
        <v>796</v>
      </c>
    </row>
    <row r="631" spans="1:17" ht="13.2">
      <c r="A631" s="26">
        <v>45922.660578622686</v>
      </c>
      <c r="B631" s="8" t="s">
        <v>1071</v>
      </c>
      <c r="C631" s="8" t="s">
        <v>4788</v>
      </c>
      <c r="D631" s="8" t="s">
        <v>1239</v>
      </c>
      <c r="E631" s="8" t="s">
        <v>4789</v>
      </c>
      <c r="F631" s="82" t="s">
        <v>4790</v>
      </c>
      <c r="G631" s="27">
        <v>44414</v>
      </c>
      <c r="H631" s="8" t="s">
        <v>1371</v>
      </c>
      <c r="I631" s="8">
        <v>660408300708</v>
      </c>
      <c r="J631" s="8" t="s">
        <v>1976</v>
      </c>
      <c r="K631" s="8" t="s">
        <v>4791</v>
      </c>
      <c r="L631" s="8" t="s">
        <v>4792</v>
      </c>
      <c r="M631" s="8" t="s">
        <v>4793</v>
      </c>
      <c r="N631" s="8">
        <v>87052931944</v>
      </c>
      <c r="O631" s="8">
        <v>350000</v>
      </c>
      <c r="P631" s="8">
        <v>0</v>
      </c>
      <c r="Q631" s="8" t="s">
        <v>797</v>
      </c>
    </row>
    <row r="632" spans="1:17" ht="13.2">
      <c r="A632" s="26">
        <v>45922.708401597221</v>
      </c>
      <c r="B632" s="8" t="s">
        <v>1141</v>
      </c>
      <c r="C632" s="8" t="s">
        <v>4794</v>
      </c>
      <c r="D632" s="8" t="s">
        <v>1269</v>
      </c>
      <c r="E632" s="8" t="s">
        <v>4795</v>
      </c>
      <c r="F632" s="82" t="s">
        <v>4796</v>
      </c>
      <c r="G632" s="27">
        <v>44974</v>
      </c>
      <c r="H632" s="8" t="s">
        <v>1371</v>
      </c>
      <c r="I632" s="8">
        <v>880206350721</v>
      </c>
      <c r="J632" s="8" t="s">
        <v>124</v>
      </c>
      <c r="K632" s="8" t="s">
        <v>2120</v>
      </c>
      <c r="L632" s="8" t="s">
        <v>4797</v>
      </c>
      <c r="M632" s="8" t="s">
        <v>4798</v>
      </c>
      <c r="N632" s="8">
        <v>87787824676</v>
      </c>
      <c r="O632" s="8">
        <v>0</v>
      </c>
      <c r="P632" s="8">
        <v>470000</v>
      </c>
      <c r="Q632" s="8" t="s">
        <v>772</v>
      </c>
    </row>
    <row r="633" spans="1:17" ht="13.2">
      <c r="A633" s="26">
        <v>45922.72300993056</v>
      </c>
      <c r="B633" s="8" t="s">
        <v>1071</v>
      </c>
      <c r="C633" s="8" t="s">
        <v>4799</v>
      </c>
      <c r="D633" s="8" t="s">
        <v>4800</v>
      </c>
      <c r="E633" s="8" t="s">
        <v>4801</v>
      </c>
      <c r="F633" s="82" t="s">
        <v>4802</v>
      </c>
      <c r="G633" s="27">
        <v>42479</v>
      </c>
      <c r="H633" s="8" t="s">
        <v>1371</v>
      </c>
      <c r="I633" s="8">
        <v>720428350509</v>
      </c>
      <c r="J633" s="8" t="s">
        <v>1976</v>
      </c>
      <c r="K633" s="8" t="s">
        <v>4803</v>
      </c>
      <c r="L633" s="8" t="s">
        <v>4804</v>
      </c>
      <c r="M633" s="8" t="s">
        <v>1628</v>
      </c>
      <c r="N633" s="8">
        <v>87077727796</v>
      </c>
      <c r="O633" s="8">
        <v>880000</v>
      </c>
      <c r="P633" s="8">
        <v>110000</v>
      </c>
      <c r="Q633" s="8" t="s">
        <v>798</v>
      </c>
    </row>
    <row r="634" spans="1:17" ht="13.2">
      <c r="A634" s="26">
        <v>45923.557185231482</v>
      </c>
      <c r="B634" s="8" t="s">
        <v>1071</v>
      </c>
      <c r="C634" s="8" t="s">
        <v>4805</v>
      </c>
      <c r="D634" s="8" t="s">
        <v>4806</v>
      </c>
      <c r="E634" s="8" t="s">
        <v>4807</v>
      </c>
      <c r="F634" s="82" t="s">
        <v>4808</v>
      </c>
      <c r="G634" s="27">
        <v>43817</v>
      </c>
      <c r="H634" s="8" t="s">
        <v>1371</v>
      </c>
      <c r="I634" s="8">
        <v>761202301714</v>
      </c>
      <c r="J634" s="8" t="s">
        <v>1976</v>
      </c>
      <c r="K634" s="8" t="s">
        <v>2616</v>
      </c>
      <c r="L634" s="8" t="s">
        <v>4809</v>
      </c>
      <c r="M634" s="8" t="s">
        <v>4810</v>
      </c>
      <c r="N634" s="8">
        <v>87016046778</v>
      </c>
      <c r="O634" s="8">
        <v>460000</v>
      </c>
      <c r="P634" s="8">
        <v>0</v>
      </c>
      <c r="Q634" s="8" t="s">
        <v>799</v>
      </c>
    </row>
    <row r="635" spans="1:17" ht="13.2">
      <c r="A635" s="26">
        <v>45923.566114398149</v>
      </c>
      <c r="B635" s="8" t="s">
        <v>1049</v>
      </c>
      <c r="C635" s="8" t="s">
        <v>4811</v>
      </c>
      <c r="D635" s="8" t="s">
        <v>4153</v>
      </c>
      <c r="E635" s="8" t="s">
        <v>4812</v>
      </c>
      <c r="F635" s="82" t="s">
        <v>4813</v>
      </c>
      <c r="G635" s="27">
        <v>43495</v>
      </c>
      <c r="H635" s="8" t="s">
        <v>1371</v>
      </c>
      <c r="I635" s="8">
        <v>820719301068</v>
      </c>
      <c r="J635" s="8" t="s">
        <v>2008</v>
      </c>
      <c r="K635" s="8" t="s">
        <v>4814</v>
      </c>
      <c r="L635" s="8" t="s">
        <v>4815</v>
      </c>
      <c r="M635" s="8" t="s">
        <v>4816</v>
      </c>
      <c r="N635" s="8">
        <v>87776666713</v>
      </c>
      <c r="O635" s="8">
        <v>400000</v>
      </c>
      <c r="P635" s="8">
        <v>0</v>
      </c>
      <c r="Q635" s="8" t="s">
        <v>800</v>
      </c>
    </row>
    <row r="636" spans="1:17" ht="13.2">
      <c r="A636" s="26">
        <v>45923.634974768516</v>
      </c>
      <c r="B636" s="8" t="s">
        <v>1049</v>
      </c>
      <c r="C636" s="8" t="s">
        <v>4817</v>
      </c>
      <c r="D636" s="8" t="s">
        <v>2084</v>
      </c>
      <c r="E636" s="8" t="s">
        <v>2059</v>
      </c>
      <c r="F636" s="82" t="s">
        <v>4818</v>
      </c>
      <c r="G636" s="27">
        <v>43195</v>
      </c>
      <c r="H636" s="8" t="s">
        <v>1371</v>
      </c>
      <c r="I636" s="8">
        <v>840422303201</v>
      </c>
      <c r="J636" s="8" t="s">
        <v>2015</v>
      </c>
      <c r="K636" s="8" t="s">
        <v>4819</v>
      </c>
      <c r="L636" s="8" t="s">
        <v>4820</v>
      </c>
      <c r="M636" s="8" t="s">
        <v>4821</v>
      </c>
      <c r="N636" s="8">
        <v>87086978722</v>
      </c>
      <c r="O636" s="8">
        <v>0</v>
      </c>
      <c r="P636" s="8">
        <v>350000</v>
      </c>
      <c r="Q636" s="8" t="s">
        <v>801</v>
      </c>
    </row>
    <row r="637" spans="1:17" ht="13.2">
      <c r="A637" s="26">
        <v>45924.566340405094</v>
      </c>
      <c r="B637" s="8" t="s">
        <v>1049</v>
      </c>
      <c r="C637" s="8" t="s">
        <v>4822</v>
      </c>
      <c r="D637" s="8" t="s">
        <v>4823</v>
      </c>
      <c r="E637" s="8" t="s">
        <v>1939</v>
      </c>
      <c r="F637" s="82" t="s">
        <v>4824</v>
      </c>
      <c r="G637" s="27">
        <v>43819</v>
      </c>
      <c r="H637" s="8" t="s">
        <v>1371</v>
      </c>
      <c r="I637" s="8">
        <v>890625300160</v>
      </c>
      <c r="J637" s="8" t="s">
        <v>2218</v>
      </c>
      <c r="K637" s="8" t="s">
        <v>4825</v>
      </c>
      <c r="L637" s="8" t="s">
        <v>4826</v>
      </c>
      <c r="M637" s="8" t="s">
        <v>4695</v>
      </c>
      <c r="N637" s="8">
        <v>87474933269</v>
      </c>
      <c r="O637" s="8">
        <v>720000</v>
      </c>
      <c r="P637" s="8">
        <v>0</v>
      </c>
      <c r="Q637" s="8" t="s">
        <v>802</v>
      </c>
    </row>
    <row r="638" spans="1:17" ht="13.2">
      <c r="A638" s="26">
        <v>45924.60789939815</v>
      </c>
      <c r="B638" s="8" t="s">
        <v>1141</v>
      </c>
      <c r="C638" s="8" t="s">
        <v>4827</v>
      </c>
      <c r="D638" s="8" t="s">
        <v>4828</v>
      </c>
      <c r="E638" s="8" t="s">
        <v>4829</v>
      </c>
      <c r="F638" s="82" t="s">
        <v>4830</v>
      </c>
      <c r="G638" s="27">
        <v>42823</v>
      </c>
      <c r="H638" s="8" t="s">
        <v>1431</v>
      </c>
      <c r="I638" s="8">
        <v>920318351500</v>
      </c>
      <c r="J638" s="8" t="s">
        <v>2430</v>
      </c>
      <c r="K638" s="8" t="s">
        <v>4831</v>
      </c>
      <c r="L638" s="8" t="s">
        <v>4832</v>
      </c>
      <c r="M638" s="8" t="s">
        <v>4833</v>
      </c>
      <c r="N638" s="8">
        <v>87787398171</v>
      </c>
      <c r="O638" s="8">
        <v>410000</v>
      </c>
      <c r="P638" s="8">
        <v>0</v>
      </c>
      <c r="Q638" s="8" t="s">
        <v>705</v>
      </c>
    </row>
    <row r="639" spans="1:17" ht="13.2">
      <c r="A639" s="26">
        <v>45925.465484189815</v>
      </c>
      <c r="B639" s="8" t="s">
        <v>1049</v>
      </c>
      <c r="C639" s="8" t="s">
        <v>4834</v>
      </c>
      <c r="D639" s="8" t="s">
        <v>4835</v>
      </c>
      <c r="E639" s="8" t="s">
        <v>4836</v>
      </c>
      <c r="F639" s="82" t="s">
        <v>4837</v>
      </c>
      <c r="G639" s="27">
        <v>44040</v>
      </c>
      <c r="H639" s="8" t="s">
        <v>1371</v>
      </c>
      <c r="I639" s="8">
        <v>710425301423</v>
      </c>
      <c r="J639" s="8" t="s">
        <v>2008</v>
      </c>
      <c r="K639" s="8" t="s">
        <v>4838</v>
      </c>
      <c r="L639" s="8" t="s">
        <v>4839</v>
      </c>
      <c r="M639" s="8" t="s">
        <v>4840</v>
      </c>
      <c r="N639" s="8" t="s">
        <v>4841</v>
      </c>
      <c r="O639" s="8">
        <v>0</v>
      </c>
      <c r="P639" s="8">
        <v>420000</v>
      </c>
      <c r="Q639" s="8" t="s">
        <v>803</v>
      </c>
    </row>
    <row r="640" spans="1:17" ht="13.2">
      <c r="A640" s="26">
        <v>45926.425610497681</v>
      </c>
      <c r="B640" s="8" t="s">
        <v>1071</v>
      </c>
      <c r="C640" s="8" t="s">
        <v>4842</v>
      </c>
      <c r="D640" s="8" t="s">
        <v>1109</v>
      </c>
      <c r="E640" s="8" t="s">
        <v>1511</v>
      </c>
      <c r="F640" s="82" t="s">
        <v>4843</v>
      </c>
      <c r="G640" s="27">
        <v>45384</v>
      </c>
      <c r="H640" s="8" t="s">
        <v>1371</v>
      </c>
      <c r="I640" s="8">
        <v>770701301038</v>
      </c>
      <c r="J640" s="8" t="s">
        <v>1976</v>
      </c>
      <c r="K640" s="8" t="s">
        <v>4673</v>
      </c>
      <c r="L640" s="8" t="s">
        <v>4844</v>
      </c>
      <c r="M640" s="8" t="s">
        <v>4405</v>
      </c>
      <c r="N640" s="8">
        <v>87009840271</v>
      </c>
      <c r="O640" s="8">
        <v>395000</v>
      </c>
      <c r="P640" s="8">
        <v>0</v>
      </c>
      <c r="Q640" s="8" t="s">
        <v>804</v>
      </c>
    </row>
    <row r="641" spans="1:17" ht="13.2">
      <c r="A641" s="26">
        <v>45926.473411990737</v>
      </c>
      <c r="B641" s="8" t="s">
        <v>1071</v>
      </c>
      <c r="C641" s="8" t="s">
        <v>4845</v>
      </c>
      <c r="D641" s="8" t="s">
        <v>4846</v>
      </c>
      <c r="E641" s="8" t="s">
        <v>4847</v>
      </c>
      <c r="F641" s="82" t="s">
        <v>4848</v>
      </c>
      <c r="G641" s="27">
        <v>42886</v>
      </c>
      <c r="H641" s="8" t="s">
        <v>1371</v>
      </c>
      <c r="I641" s="82" t="s">
        <v>4849</v>
      </c>
      <c r="J641" s="8" t="s">
        <v>1976</v>
      </c>
      <c r="K641" s="8" t="s">
        <v>4850</v>
      </c>
      <c r="L641" s="8" t="s">
        <v>4851</v>
      </c>
      <c r="M641" s="8" t="s">
        <v>2051</v>
      </c>
      <c r="N641" s="8">
        <v>87715921295</v>
      </c>
      <c r="O641" s="8">
        <v>360000</v>
      </c>
      <c r="P641" s="8">
        <v>0</v>
      </c>
      <c r="Q641" s="8" t="s">
        <v>805</v>
      </c>
    </row>
    <row r="642" spans="1:17" ht="13.2">
      <c r="A642" s="26">
        <v>45929.497378125001</v>
      </c>
      <c r="B642" s="8" t="s">
        <v>1049</v>
      </c>
      <c r="C642" s="8" t="s">
        <v>4852</v>
      </c>
      <c r="D642" s="8" t="s">
        <v>4853</v>
      </c>
      <c r="E642" s="8" t="s">
        <v>4854</v>
      </c>
      <c r="F642" s="82" t="s">
        <v>4855</v>
      </c>
      <c r="G642" s="27">
        <v>43354</v>
      </c>
      <c r="H642" s="8" t="s">
        <v>1371</v>
      </c>
      <c r="I642" s="8">
        <v>600824302399</v>
      </c>
      <c r="J642" s="8" t="s">
        <v>3132</v>
      </c>
      <c r="K642" s="8" t="s">
        <v>4856</v>
      </c>
      <c r="L642" s="8" t="s">
        <v>4857</v>
      </c>
      <c r="M642" s="8" t="s">
        <v>3426</v>
      </c>
      <c r="N642" s="8">
        <v>87754365473</v>
      </c>
      <c r="O642" s="8">
        <v>0</v>
      </c>
      <c r="P642" s="8">
        <v>410000</v>
      </c>
      <c r="Q642" s="8" t="s">
        <v>806</v>
      </c>
    </row>
    <row r="643" spans="1:17" ht="13.2">
      <c r="A643" s="26">
        <v>45929.525508449078</v>
      </c>
      <c r="B643" s="8" t="s">
        <v>1049</v>
      </c>
      <c r="C643" s="8" t="s">
        <v>4858</v>
      </c>
      <c r="D643" s="8" t="s">
        <v>2663</v>
      </c>
      <c r="E643" s="8" t="s">
        <v>4859</v>
      </c>
      <c r="F643" s="82" t="s">
        <v>4860</v>
      </c>
      <c r="G643" s="27">
        <v>43732</v>
      </c>
      <c r="H643" s="8" t="s">
        <v>1431</v>
      </c>
      <c r="I643" s="8">
        <v>940610350513</v>
      </c>
      <c r="J643" s="8" t="s">
        <v>4861</v>
      </c>
      <c r="K643" s="8" t="s">
        <v>4862</v>
      </c>
      <c r="L643" s="8" t="s">
        <v>4863</v>
      </c>
      <c r="M643" s="8" t="s">
        <v>4864</v>
      </c>
      <c r="N643" s="8">
        <v>87761100094</v>
      </c>
      <c r="O643" s="8">
        <v>670000</v>
      </c>
      <c r="P643" s="8">
        <v>0</v>
      </c>
      <c r="Q643" s="8" t="s">
        <v>807</v>
      </c>
    </row>
    <row r="644" spans="1:17" ht="13.2">
      <c r="A644" s="26">
        <v>45929.720758379626</v>
      </c>
      <c r="B644" s="8" t="s">
        <v>1071</v>
      </c>
      <c r="C644" s="8" t="s">
        <v>4865</v>
      </c>
      <c r="D644" s="8" t="s">
        <v>4571</v>
      </c>
      <c r="E644" s="8" t="s">
        <v>4866</v>
      </c>
      <c r="F644" s="82" t="s">
        <v>4867</v>
      </c>
      <c r="G644" s="27">
        <v>44848</v>
      </c>
      <c r="H644" s="8" t="s">
        <v>1371</v>
      </c>
      <c r="I644" s="8">
        <v>910730351484</v>
      </c>
      <c r="J644" s="8" t="s">
        <v>1976</v>
      </c>
      <c r="K644" s="8" t="s">
        <v>1977</v>
      </c>
      <c r="L644" s="8" t="s">
        <v>4508</v>
      </c>
      <c r="M644" s="8" t="s">
        <v>4868</v>
      </c>
      <c r="N644" s="8">
        <v>87774210744</v>
      </c>
      <c r="O644" s="8">
        <v>470000</v>
      </c>
      <c r="P644" s="8">
        <v>0</v>
      </c>
      <c r="Q644" s="8" t="s">
        <v>808</v>
      </c>
    </row>
    <row r="645" spans="1:17" ht="13.2">
      <c r="A645" s="26">
        <v>45930.658823124999</v>
      </c>
      <c r="B645" s="8" t="s">
        <v>1049</v>
      </c>
      <c r="C645" s="8" t="s">
        <v>4869</v>
      </c>
      <c r="D645" s="8" t="s">
        <v>4870</v>
      </c>
      <c r="E645" s="8" t="s">
        <v>4871</v>
      </c>
      <c r="F645" s="82" t="s">
        <v>4872</v>
      </c>
      <c r="G645" s="27">
        <v>44349</v>
      </c>
      <c r="H645" s="8" t="s">
        <v>1371</v>
      </c>
      <c r="I645" s="8">
        <v>840910301044</v>
      </c>
      <c r="J645" s="8" t="s">
        <v>3646</v>
      </c>
      <c r="K645" s="8" t="s">
        <v>4873</v>
      </c>
      <c r="L645" s="8" t="s">
        <v>2628</v>
      </c>
      <c r="M645" s="8" t="s">
        <v>3291</v>
      </c>
      <c r="N645" s="8">
        <v>87772216768</v>
      </c>
      <c r="O645" s="8">
        <v>360000</v>
      </c>
      <c r="P645" s="8">
        <v>0</v>
      </c>
      <c r="Q645" s="8" t="s">
        <v>809</v>
      </c>
    </row>
    <row r="646" spans="1:17" ht="13.2">
      <c r="A646" s="26">
        <v>45930.659867442126</v>
      </c>
      <c r="B646" s="8" t="s">
        <v>1141</v>
      </c>
      <c r="C646" s="8" t="s">
        <v>4874</v>
      </c>
      <c r="D646" s="8" t="s">
        <v>4875</v>
      </c>
      <c r="E646" s="8" t="s">
        <v>4876</v>
      </c>
      <c r="F646" s="82" t="s">
        <v>4877</v>
      </c>
      <c r="G646" s="27">
        <v>44965</v>
      </c>
      <c r="H646" s="8" t="s">
        <v>1431</v>
      </c>
      <c r="I646" s="8">
        <v>720223301229</v>
      </c>
      <c r="J646" s="8" t="s">
        <v>1533</v>
      </c>
      <c r="K646" s="8" t="s">
        <v>4878</v>
      </c>
      <c r="L646" s="8" t="s">
        <v>1722</v>
      </c>
      <c r="M646" s="8" t="s">
        <v>1628</v>
      </c>
      <c r="N646" s="8">
        <v>87776565111</v>
      </c>
      <c r="O646" s="8">
        <v>360000</v>
      </c>
      <c r="P646" s="8">
        <v>0</v>
      </c>
      <c r="Q646" s="8" t="s">
        <v>810</v>
      </c>
    </row>
    <row r="647" spans="1:17" ht="13.2">
      <c r="A647" s="26">
        <v>45932.499026967591</v>
      </c>
      <c r="B647" s="8" t="s">
        <v>1071</v>
      </c>
      <c r="C647" s="8" t="s">
        <v>4879</v>
      </c>
      <c r="D647" s="8" t="s">
        <v>4880</v>
      </c>
      <c r="E647" s="8" t="s">
        <v>4881</v>
      </c>
      <c r="F647" s="82" t="s">
        <v>4882</v>
      </c>
      <c r="G647" s="27">
        <v>45899</v>
      </c>
      <c r="H647" s="8" t="s">
        <v>1371</v>
      </c>
      <c r="I647" s="8">
        <v>620925350568</v>
      </c>
      <c r="J647" s="8" t="s">
        <v>1976</v>
      </c>
      <c r="K647" s="8" t="s">
        <v>4883</v>
      </c>
      <c r="L647" s="8" t="s">
        <v>4884</v>
      </c>
      <c r="M647" s="8" t="s">
        <v>2994</v>
      </c>
      <c r="N647" s="8">
        <v>87029082095</v>
      </c>
      <c r="O647" s="8">
        <v>0</v>
      </c>
      <c r="P647" s="8">
        <v>415000</v>
      </c>
      <c r="Q647" s="8" t="s">
        <v>811</v>
      </c>
    </row>
    <row r="648" spans="1:17" ht="13.2">
      <c r="A648" s="26">
        <v>45933.50579653935</v>
      </c>
      <c r="B648" s="8" t="s">
        <v>1141</v>
      </c>
      <c r="C648" s="8" t="s">
        <v>4885</v>
      </c>
      <c r="D648" s="8" t="s">
        <v>1252</v>
      </c>
      <c r="E648" s="8" t="s">
        <v>4886</v>
      </c>
      <c r="F648" s="82" t="s">
        <v>4887</v>
      </c>
      <c r="G648" s="27">
        <v>45601</v>
      </c>
      <c r="H648" s="8" t="s">
        <v>1371</v>
      </c>
      <c r="I648" s="8">
        <v>891030350125</v>
      </c>
      <c r="J648" s="8" t="s">
        <v>1605</v>
      </c>
      <c r="K648" s="8" t="s">
        <v>4888</v>
      </c>
      <c r="L648" s="8" t="s">
        <v>4889</v>
      </c>
      <c r="M648" s="8" t="s">
        <v>2826</v>
      </c>
      <c r="N648" s="8">
        <v>87022152927</v>
      </c>
      <c r="O648" s="8">
        <v>0</v>
      </c>
      <c r="P648" s="8">
        <v>820000</v>
      </c>
      <c r="Q648" s="8" t="s">
        <v>812</v>
      </c>
    </row>
    <row r="649" spans="1:17" ht="13.2">
      <c r="A649" s="26">
        <v>45933.573301516204</v>
      </c>
      <c r="B649" s="8" t="s">
        <v>1049</v>
      </c>
      <c r="C649" s="8" t="s">
        <v>4890</v>
      </c>
      <c r="D649" s="8" t="s">
        <v>4891</v>
      </c>
      <c r="E649" s="8" t="s">
        <v>4892</v>
      </c>
      <c r="F649" s="82" t="s">
        <v>4893</v>
      </c>
      <c r="G649" s="27">
        <v>44733</v>
      </c>
      <c r="H649" s="8" t="s">
        <v>1371</v>
      </c>
      <c r="I649" s="8">
        <v>860922400146</v>
      </c>
      <c r="J649" s="8" t="s">
        <v>2008</v>
      </c>
      <c r="K649" s="8" t="s">
        <v>4699</v>
      </c>
      <c r="L649" s="8" t="s">
        <v>4894</v>
      </c>
      <c r="M649" s="8" t="s">
        <v>1529</v>
      </c>
      <c r="N649" s="8">
        <v>87053303830</v>
      </c>
      <c r="O649" s="8">
        <v>0</v>
      </c>
      <c r="P649" s="8">
        <v>400000</v>
      </c>
      <c r="Q649" s="8" t="s">
        <v>813</v>
      </c>
    </row>
    <row r="650" spans="1:17" ht="13.2">
      <c r="A650" s="26">
        <v>45933.638299849539</v>
      </c>
      <c r="B650" s="8" t="s">
        <v>1049</v>
      </c>
      <c r="C650" s="8" t="s">
        <v>4895</v>
      </c>
      <c r="D650" s="8" t="s">
        <v>4896</v>
      </c>
      <c r="E650" s="8" t="s">
        <v>1939</v>
      </c>
      <c r="F650" s="82" t="s">
        <v>4897</v>
      </c>
      <c r="G650" s="27">
        <v>43153</v>
      </c>
      <c r="H650" s="8" t="s">
        <v>1371</v>
      </c>
      <c r="I650" s="8">
        <v>950409300497</v>
      </c>
      <c r="J650" s="8" t="s">
        <v>2015</v>
      </c>
      <c r="K650" s="8" t="s">
        <v>4898</v>
      </c>
      <c r="L650" s="8" t="s">
        <v>4899</v>
      </c>
      <c r="M650" s="8" t="s">
        <v>4900</v>
      </c>
      <c r="N650" s="8">
        <v>87771110547</v>
      </c>
      <c r="O650" s="8">
        <v>360000</v>
      </c>
      <c r="P650" s="8">
        <v>0</v>
      </c>
      <c r="Q650" s="8" t="s">
        <v>490</v>
      </c>
    </row>
    <row r="651" spans="1:17" ht="13.2">
      <c r="A651" s="26">
        <v>45936.56959024306</v>
      </c>
      <c r="B651" s="8" t="s">
        <v>1071</v>
      </c>
      <c r="C651" s="8" t="s">
        <v>4901</v>
      </c>
      <c r="D651" s="8" t="s">
        <v>4902</v>
      </c>
      <c r="E651" s="8" t="s">
        <v>4903</v>
      </c>
      <c r="F651" s="82" t="s">
        <v>4904</v>
      </c>
      <c r="G651" s="27">
        <v>45693</v>
      </c>
      <c r="H651" s="8" t="s">
        <v>1371</v>
      </c>
      <c r="I651" s="8">
        <v>930223350151</v>
      </c>
      <c r="J651" s="8" t="s">
        <v>1976</v>
      </c>
      <c r="K651" s="8" t="s">
        <v>2022</v>
      </c>
      <c r="L651" s="8" t="s">
        <v>3543</v>
      </c>
      <c r="M651" s="8" t="s">
        <v>4905</v>
      </c>
      <c r="N651" s="8">
        <v>87719712242</v>
      </c>
      <c r="O651" s="8">
        <v>0</v>
      </c>
      <c r="P651" s="8">
        <v>460000</v>
      </c>
      <c r="Q651" s="8" t="s">
        <v>814</v>
      </c>
    </row>
    <row r="652" spans="1:17" ht="13.2">
      <c r="A652" s="26">
        <v>45936.626668020835</v>
      </c>
      <c r="B652" s="8" t="s">
        <v>1049</v>
      </c>
      <c r="C652" s="8" t="s">
        <v>4906</v>
      </c>
      <c r="D652" s="8" t="s">
        <v>4011</v>
      </c>
      <c r="E652" s="8" t="s">
        <v>2788</v>
      </c>
      <c r="F652" s="82" t="s">
        <v>4907</v>
      </c>
      <c r="G652" s="27">
        <v>45180</v>
      </c>
      <c r="H652" s="8" t="s">
        <v>1371</v>
      </c>
      <c r="I652" s="8">
        <v>880810301965</v>
      </c>
      <c r="J652" s="8" t="s">
        <v>2015</v>
      </c>
      <c r="K652" s="8" t="s">
        <v>4908</v>
      </c>
      <c r="L652" s="8" t="s">
        <v>4909</v>
      </c>
      <c r="M652" s="8" t="s">
        <v>2139</v>
      </c>
      <c r="N652" s="8">
        <v>87714395172</v>
      </c>
      <c r="O652" s="8">
        <v>0</v>
      </c>
      <c r="P652" s="8">
        <v>360000</v>
      </c>
      <c r="Q652" s="8" t="s">
        <v>815</v>
      </c>
    </row>
    <row r="653" spans="1:17" ht="13.2">
      <c r="A653" s="26">
        <v>45937.51002011574</v>
      </c>
      <c r="B653" s="8" t="s">
        <v>1049</v>
      </c>
      <c r="C653" s="8" t="s">
        <v>4910</v>
      </c>
      <c r="D653" s="8" t="s">
        <v>4911</v>
      </c>
      <c r="E653" s="8" t="s">
        <v>1201</v>
      </c>
      <c r="F653" s="82" t="s">
        <v>4912</v>
      </c>
      <c r="G653" s="27">
        <v>42473</v>
      </c>
      <c r="H653" s="8" t="s">
        <v>1371</v>
      </c>
      <c r="I653" s="8">
        <v>550914301163</v>
      </c>
      <c r="J653" s="8" t="s">
        <v>2015</v>
      </c>
      <c r="K653" s="8" t="s">
        <v>4913</v>
      </c>
      <c r="L653" s="8" t="s">
        <v>4914</v>
      </c>
      <c r="M653" s="8" t="s">
        <v>4915</v>
      </c>
      <c r="N653" s="8">
        <v>87773979606</v>
      </c>
      <c r="O653" s="8">
        <v>0</v>
      </c>
      <c r="P653" s="8">
        <v>350000</v>
      </c>
      <c r="Q653" s="8" t="s">
        <v>816</v>
      </c>
    </row>
    <row r="654" spans="1:17" ht="13.2">
      <c r="A654" s="26">
        <v>45937.678996736111</v>
      </c>
      <c r="B654" s="8" t="s">
        <v>1071</v>
      </c>
      <c r="C654" s="8" t="s">
        <v>4916</v>
      </c>
      <c r="D654" s="8" t="s">
        <v>1845</v>
      </c>
      <c r="E654" s="8" t="s">
        <v>2788</v>
      </c>
      <c r="F654" s="82" t="s">
        <v>4917</v>
      </c>
      <c r="G654" s="27">
        <v>44446</v>
      </c>
      <c r="H654" s="8" t="s">
        <v>1371</v>
      </c>
      <c r="I654" s="8">
        <v>790518350293</v>
      </c>
      <c r="J654" s="8" t="s">
        <v>1976</v>
      </c>
      <c r="K654" s="8" t="s">
        <v>1977</v>
      </c>
      <c r="L654" s="8" t="s">
        <v>4918</v>
      </c>
      <c r="M654" s="8" t="s">
        <v>4919</v>
      </c>
      <c r="N654" s="8">
        <v>87072393544</v>
      </c>
      <c r="O654" s="8">
        <v>0</v>
      </c>
      <c r="P654" s="8">
        <v>480000</v>
      </c>
      <c r="Q654" s="8" t="s">
        <v>817</v>
      </c>
    </row>
    <row r="655" spans="1:17" ht="13.2">
      <c r="A655" s="26">
        <v>45939.434489780091</v>
      </c>
      <c r="B655" s="8" t="s">
        <v>1071</v>
      </c>
      <c r="C655" s="8" t="s">
        <v>4920</v>
      </c>
      <c r="D655" s="8" t="s">
        <v>4921</v>
      </c>
      <c r="E655" s="8" t="s">
        <v>1968</v>
      </c>
      <c r="F655" s="82" t="s">
        <v>4922</v>
      </c>
      <c r="G655" s="27">
        <v>42459</v>
      </c>
      <c r="H655" s="8" t="s">
        <v>1371</v>
      </c>
      <c r="I655" s="82" t="s">
        <v>4923</v>
      </c>
      <c r="J655" s="8" t="s">
        <v>1908</v>
      </c>
      <c r="K655" s="8" t="s">
        <v>3120</v>
      </c>
      <c r="L655" s="8" t="s">
        <v>4924</v>
      </c>
      <c r="M655" s="8" t="s">
        <v>4031</v>
      </c>
      <c r="N655" s="8">
        <v>87025076734</v>
      </c>
      <c r="O655" s="8">
        <v>330000</v>
      </c>
      <c r="P655" s="8">
        <v>0</v>
      </c>
      <c r="Q655" s="8" t="s">
        <v>818</v>
      </c>
    </row>
    <row r="656" spans="1:17" ht="13.2">
      <c r="A656" s="26">
        <v>45939.460119837968</v>
      </c>
      <c r="B656" s="8" t="s">
        <v>1141</v>
      </c>
      <c r="C656" s="8" t="s">
        <v>4925</v>
      </c>
      <c r="D656" s="8" t="s">
        <v>3286</v>
      </c>
      <c r="E656" s="8" t="s">
        <v>1480</v>
      </c>
      <c r="F656" s="82" t="s">
        <v>4926</v>
      </c>
      <c r="G656" s="27">
        <v>45692</v>
      </c>
      <c r="H656" s="8" t="s">
        <v>1371</v>
      </c>
      <c r="I656" s="8">
        <v>800205350236</v>
      </c>
      <c r="J656" s="8" t="s">
        <v>1564</v>
      </c>
      <c r="K656" s="8" t="s">
        <v>4927</v>
      </c>
      <c r="L656" s="8" t="s">
        <v>4928</v>
      </c>
      <c r="M656" s="8" t="s">
        <v>3346</v>
      </c>
      <c r="N656" s="8">
        <v>87013861858</v>
      </c>
      <c r="O656" s="8">
        <v>390000</v>
      </c>
      <c r="P656" s="8">
        <v>0</v>
      </c>
      <c r="Q656" s="8" t="s">
        <v>770</v>
      </c>
    </row>
    <row r="657" spans="1:17" ht="13.2">
      <c r="A657" s="26">
        <v>45939.642611898147</v>
      </c>
      <c r="B657" s="8" t="s">
        <v>1071</v>
      </c>
      <c r="C657" s="8" t="s">
        <v>4929</v>
      </c>
      <c r="D657" s="8" t="s">
        <v>4930</v>
      </c>
      <c r="E657" s="8" t="s">
        <v>4931</v>
      </c>
      <c r="F657" s="82" t="s">
        <v>4932</v>
      </c>
      <c r="G657" s="27">
        <v>44334</v>
      </c>
      <c r="H657" s="8" t="s">
        <v>1371</v>
      </c>
      <c r="I657" s="8">
        <v>590415300562</v>
      </c>
      <c r="J657" s="8" t="s">
        <v>1976</v>
      </c>
      <c r="K657" s="8" t="s">
        <v>4933</v>
      </c>
      <c r="L657" s="8" t="s">
        <v>4934</v>
      </c>
      <c r="M657" s="8" t="s">
        <v>4184</v>
      </c>
      <c r="N657" s="8">
        <v>87014504026</v>
      </c>
      <c r="O657" s="8">
        <v>402000</v>
      </c>
      <c r="P657" s="8">
        <v>0</v>
      </c>
      <c r="Q657" s="8" t="s">
        <v>819</v>
      </c>
    </row>
    <row r="658" spans="1:17" ht="13.2">
      <c r="A658" s="26">
        <v>45939.657425520832</v>
      </c>
      <c r="B658" s="8" t="s">
        <v>1049</v>
      </c>
      <c r="C658" s="8" t="s">
        <v>4935</v>
      </c>
      <c r="D658" s="8" t="s">
        <v>4936</v>
      </c>
      <c r="E658" s="8" t="s">
        <v>4937</v>
      </c>
      <c r="F658" s="82" t="s">
        <v>4938</v>
      </c>
      <c r="G658" s="27">
        <v>43013</v>
      </c>
      <c r="H658" s="8" t="s">
        <v>1371</v>
      </c>
      <c r="I658" s="8">
        <v>10928500525</v>
      </c>
      <c r="J658" s="8" t="s">
        <v>2200</v>
      </c>
      <c r="K658" s="8" t="s">
        <v>4939</v>
      </c>
      <c r="L658" s="8" t="s">
        <v>3754</v>
      </c>
      <c r="M658" s="8" t="s">
        <v>4940</v>
      </c>
      <c r="N658" s="8">
        <v>87761479737</v>
      </c>
      <c r="O658" s="8">
        <v>0</v>
      </c>
      <c r="P658" s="8">
        <v>340000</v>
      </c>
      <c r="Q658" s="8" t="s">
        <v>820</v>
      </c>
    </row>
    <row r="659" spans="1:17" ht="13.2">
      <c r="A659" s="26">
        <v>45940.322264872681</v>
      </c>
      <c r="B659" s="8" t="s">
        <v>1141</v>
      </c>
      <c r="C659" s="8" t="s">
        <v>4941</v>
      </c>
      <c r="D659" s="8" t="s">
        <v>2651</v>
      </c>
      <c r="E659" s="8" t="s">
        <v>4942</v>
      </c>
      <c r="F659" s="82" t="s">
        <v>4943</v>
      </c>
      <c r="G659" s="27">
        <v>45446</v>
      </c>
      <c r="H659" s="8" t="s">
        <v>1371</v>
      </c>
      <c r="I659" s="8">
        <v>891026351479</v>
      </c>
      <c r="J659" s="8" t="s">
        <v>1564</v>
      </c>
      <c r="K659" s="8" t="s">
        <v>4944</v>
      </c>
      <c r="L659" s="8" t="s">
        <v>4945</v>
      </c>
      <c r="M659" s="8" t="s">
        <v>4946</v>
      </c>
      <c r="N659" s="8">
        <v>87766687567</v>
      </c>
      <c r="O659" s="8">
        <v>470000</v>
      </c>
      <c r="P659" s="8">
        <v>0</v>
      </c>
      <c r="Q659" s="8" t="s">
        <v>771</v>
      </c>
    </row>
    <row r="660" spans="1:17" ht="13.2">
      <c r="A660" s="26">
        <v>45940.641989687501</v>
      </c>
      <c r="B660" s="8" t="s">
        <v>1071</v>
      </c>
      <c r="C660" s="8" t="s">
        <v>4947</v>
      </c>
      <c r="D660" s="8" t="s">
        <v>2493</v>
      </c>
      <c r="E660" s="8" t="s">
        <v>4948</v>
      </c>
      <c r="F660" s="82" t="s">
        <v>4949</v>
      </c>
      <c r="G660" s="27">
        <v>45338</v>
      </c>
      <c r="H660" s="8" t="s">
        <v>1371</v>
      </c>
      <c r="I660" s="8">
        <v>900502350102</v>
      </c>
      <c r="J660" s="8" t="s">
        <v>1976</v>
      </c>
      <c r="K660" s="8" t="s">
        <v>4950</v>
      </c>
      <c r="L660" s="8" t="s">
        <v>4951</v>
      </c>
      <c r="M660" s="8" t="s">
        <v>3656</v>
      </c>
      <c r="N660" s="8">
        <v>87086901139</v>
      </c>
      <c r="O660" s="8">
        <v>0</v>
      </c>
      <c r="P660" s="8">
        <v>340000</v>
      </c>
      <c r="Q660" s="8" t="s">
        <v>821</v>
      </c>
    </row>
    <row r="661" spans="1:17" ht="13.2">
      <c r="A661" s="26">
        <v>45941.503362731484</v>
      </c>
      <c r="B661" s="8" t="s">
        <v>1141</v>
      </c>
      <c r="C661" s="8" t="s">
        <v>4952</v>
      </c>
      <c r="D661" s="8" t="s">
        <v>2658</v>
      </c>
      <c r="F661" s="82" t="s">
        <v>2659</v>
      </c>
      <c r="G661" s="27">
        <v>44763</v>
      </c>
      <c r="H661" s="8" t="s">
        <v>1371</v>
      </c>
      <c r="I661" s="8">
        <v>810720350081</v>
      </c>
      <c r="J661" s="8" t="s">
        <v>1564</v>
      </c>
      <c r="K661" s="8" t="s">
        <v>4953</v>
      </c>
      <c r="L661" s="8" t="s">
        <v>4954</v>
      </c>
      <c r="M661" s="8" t="s">
        <v>2661</v>
      </c>
      <c r="N661" s="8">
        <v>87017743649</v>
      </c>
      <c r="O661" s="8">
        <v>850000</v>
      </c>
      <c r="P661" s="8">
        <v>0</v>
      </c>
      <c r="Q661" s="8" t="s">
        <v>822</v>
      </c>
    </row>
    <row r="662" spans="1:17" ht="13.2">
      <c r="A662" s="26">
        <v>45943.52183168981</v>
      </c>
      <c r="B662" s="8" t="s">
        <v>1141</v>
      </c>
      <c r="C662" s="8" t="s">
        <v>4955</v>
      </c>
      <c r="D662" s="8" t="s">
        <v>1993</v>
      </c>
      <c r="E662" s="8" t="s">
        <v>2909</v>
      </c>
      <c r="F662" s="82" t="s">
        <v>4956</v>
      </c>
      <c r="G662" s="27">
        <v>45877</v>
      </c>
      <c r="H662" s="8" t="s">
        <v>1371</v>
      </c>
      <c r="I662" s="8">
        <v>910516350309</v>
      </c>
      <c r="J662" s="8" t="s">
        <v>2028</v>
      </c>
      <c r="K662" s="8" t="s">
        <v>2029</v>
      </c>
      <c r="L662" s="8" t="s">
        <v>4957</v>
      </c>
      <c r="M662" s="8" t="s">
        <v>1905</v>
      </c>
      <c r="N662" s="8">
        <v>87789356691</v>
      </c>
      <c r="O662" s="8">
        <v>410000</v>
      </c>
      <c r="P662" s="8">
        <v>0</v>
      </c>
      <c r="Q662" s="8" t="s">
        <v>825</v>
      </c>
    </row>
    <row r="663" spans="1:17" ht="13.2">
      <c r="A663" s="26">
        <v>45943.63798615741</v>
      </c>
      <c r="B663" s="8" t="s">
        <v>1049</v>
      </c>
      <c r="C663" s="8" t="s">
        <v>4958</v>
      </c>
      <c r="D663" s="8" t="s">
        <v>4959</v>
      </c>
      <c r="E663" s="8" t="s">
        <v>4960</v>
      </c>
      <c r="F663" s="82" t="s">
        <v>4961</v>
      </c>
      <c r="G663" s="27">
        <v>44704</v>
      </c>
      <c r="H663" s="8" t="s">
        <v>1371</v>
      </c>
      <c r="I663" s="8">
        <v>770527400090</v>
      </c>
      <c r="J663" s="8" t="s">
        <v>4962</v>
      </c>
      <c r="K663" s="8" t="s">
        <v>4963</v>
      </c>
      <c r="L663" s="8" t="s">
        <v>4149</v>
      </c>
      <c r="M663" s="8" t="s">
        <v>4964</v>
      </c>
      <c r="N663" s="8">
        <v>87074559820</v>
      </c>
      <c r="O663" s="8">
        <v>480000</v>
      </c>
      <c r="P663" s="8">
        <v>0</v>
      </c>
      <c r="Q663" s="8" t="s">
        <v>826</v>
      </c>
    </row>
    <row r="664" spans="1:17" ht="13.2">
      <c r="A664" s="26">
        <v>45944.569357523149</v>
      </c>
      <c r="B664" s="8" t="s">
        <v>1049</v>
      </c>
      <c r="C664" s="8" t="s">
        <v>4965</v>
      </c>
      <c r="D664" s="8" t="s">
        <v>1407</v>
      </c>
      <c r="E664" s="8" t="s">
        <v>4966</v>
      </c>
      <c r="F664" s="82" t="s">
        <v>4967</v>
      </c>
      <c r="G664" s="27">
        <v>45015</v>
      </c>
      <c r="H664" s="8" t="s">
        <v>1371</v>
      </c>
      <c r="I664" s="8">
        <v>780413300125</v>
      </c>
      <c r="J664" s="8" t="s">
        <v>3241</v>
      </c>
      <c r="K664" s="8" t="s">
        <v>3894</v>
      </c>
      <c r="L664" s="8" t="s">
        <v>4968</v>
      </c>
      <c r="M664" s="8" t="s">
        <v>4969</v>
      </c>
      <c r="N664" s="8">
        <v>87078129026</v>
      </c>
      <c r="O664" s="8">
        <v>720000</v>
      </c>
      <c r="P664" s="8">
        <v>0</v>
      </c>
      <c r="Q664" s="8" t="s">
        <v>827</v>
      </c>
    </row>
    <row r="665" spans="1:17" ht="13.2">
      <c r="A665" s="26">
        <v>45944.585845636575</v>
      </c>
      <c r="B665" s="8" t="s">
        <v>1049</v>
      </c>
      <c r="C665" s="8" t="s">
        <v>4970</v>
      </c>
      <c r="D665" s="8" t="s">
        <v>4971</v>
      </c>
      <c r="E665" s="8" t="s">
        <v>4972</v>
      </c>
      <c r="F665" s="82" t="s">
        <v>4973</v>
      </c>
      <c r="G665" s="27">
        <v>45820</v>
      </c>
      <c r="H665" s="8" t="s">
        <v>1371</v>
      </c>
      <c r="I665" s="8">
        <v>910117301084</v>
      </c>
      <c r="J665" s="8" t="s">
        <v>2008</v>
      </c>
      <c r="K665" s="8" t="s">
        <v>3646</v>
      </c>
      <c r="L665" s="8" t="s">
        <v>4974</v>
      </c>
      <c r="M665" s="8" t="s">
        <v>4975</v>
      </c>
      <c r="N665" s="8">
        <v>87471657075</v>
      </c>
      <c r="O665" s="8">
        <v>770000</v>
      </c>
      <c r="P665" s="8">
        <v>0</v>
      </c>
      <c r="Q665" s="8" t="s">
        <v>828</v>
      </c>
    </row>
    <row r="666" spans="1:17" ht="13.2">
      <c r="A666" s="26">
        <v>45944.673022372684</v>
      </c>
      <c r="B666" s="8" t="s">
        <v>1049</v>
      </c>
      <c r="C666" s="8" t="s">
        <v>4976</v>
      </c>
      <c r="D666" s="8" t="s">
        <v>4977</v>
      </c>
      <c r="E666" s="8" t="s">
        <v>4548</v>
      </c>
      <c r="F666" s="82" t="s">
        <v>4978</v>
      </c>
      <c r="G666" s="27">
        <v>44939</v>
      </c>
      <c r="H666" s="8" t="s">
        <v>1431</v>
      </c>
      <c r="I666" s="8">
        <v>841023301388</v>
      </c>
      <c r="J666" s="8" t="s">
        <v>4979</v>
      </c>
      <c r="K666" s="8" t="s">
        <v>4980</v>
      </c>
      <c r="L666" s="8" t="s">
        <v>4981</v>
      </c>
      <c r="M666" s="8" t="s">
        <v>4982</v>
      </c>
      <c r="N666" s="8">
        <v>87470647095</v>
      </c>
      <c r="O666" s="8">
        <v>60000</v>
      </c>
      <c r="P666" s="8">
        <v>340000</v>
      </c>
      <c r="Q666" s="8" t="s">
        <v>830</v>
      </c>
    </row>
    <row r="667" spans="1:17" ht="13.2">
      <c r="A667" s="26">
        <v>45945.527349571756</v>
      </c>
      <c r="B667" s="8" t="s">
        <v>1049</v>
      </c>
      <c r="C667" s="8" t="s">
        <v>4983</v>
      </c>
      <c r="D667" s="8" t="s">
        <v>4984</v>
      </c>
      <c r="E667" s="8" t="s">
        <v>4985</v>
      </c>
      <c r="F667" s="82" t="s">
        <v>4986</v>
      </c>
      <c r="G667" s="27">
        <v>43578</v>
      </c>
      <c r="H667" s="8" t="s">
        <v>1371</v>
      </c>
      <c r="I667" s="8">
        <v>740131401526</v>
      </c>
      <c r="J667" s="8" t="s">
        <v>2008</v>
      </c>
      <c r="K667" s="8" t="s">
        <v>4987</v>
      </c>
      <c r="L667" s="8" t="s">
        <v>4988</v>
      </c>
      <c r="M667" s="8" t="s">
        <v>4810</v>
      </c>
      <c r="N667" s="8">
        <v>87476892266</v>
      </c>
      <c r="O667" s="8">
        <v>420000</v>
      </c>
      <c r="P667" s="8">
        <v>0</v>
      </c>
      <c r="Q667" s="8" t="s">
        <v>831</v>
      </c>
    </row>
    <row r="668" spans="1:17" ht="13.2">
      <c r="A668" s="26">
        <v>45946.456380300922</v>
      </c>
      <c r="B668" s="8" t="s">
        <v>1049</v>
      </c>
      <c r="C668" s="8" t="s">
        <v>4989</v>
      </c>
      <c r="D668" s="8" t="s">
        <v>4990</v>
      </c>
      <c r="E668" s="8" t="s">
        <v>4671</v>
      </c>
      <c r="F668" s="82" t="s">
        <v>4991</v>
      </c>
      <c r="G668" s="27">
        <v>45499</v>
      </c>
      <c r="H668" s="8" t="s">
        <v>1371</v>
      </c>
      <c r="I668" s="8">
        <v>880511350412</v>
      </c>
      <c r="J668" s="8" t="s">
        <v>2015</v>
      </c>
      <c r="K668" s="8" t="s">
        <v>3193</v>
      </c>
      <c r="L668" s="8" t="s">
        <v>4992</v>
      </c>
      <c r="M668" s="8" t="s">
        <v>4657</v>
      </c>
      <c r="N668" s="8">
        <v>87476371065</v>
      </c>
      <c r="O668" s="8">
        <v>0</v>
      </c>
      <c r="P668" s="8">
        <v>350000</v>
      </c>
      <c r="Q668" s="8" t="s">
        <v>832</v>
      </c>
    </row>
    <row r="669" spans="1:17" ht="13.2">
      <c r="A669" s="26">
        <v>45947.623261666668</v>
      </c>
      <c r="B669" s="8" t="s">
        <v>1141</v>
      </c>
      <c r="C669" s="8" t="s">
        <v>4993</v>
      </c>
      <c r="D669" s="8" t="s">
        <v>1053</v>
      </c>
      <c r="E669" s="8" t="s">
        <v>1201</v>
      </c>
      <c r="F669" s="82" t="s">
        <v>4994</v>
      </c>
      <c r="G669" s="27">
        <v>44349</v>
      </c>
      <c r="H669" s="8" t="s">
        <v>1371</v>
      </c>
      <c r="I669" s="8">
        <v>860518350144</v>
      </c>
      <c r="J669" s="8" t="s">
        <v>1533</v>
      </c>
      <c r="K669" s="8" t="s">
        <v>4995</v>
      </c>
      <c r="L669" s="8" t="s">
        <v>2189</v>
      </c>
      <c r="M669" s="8" t="s">
        <v>4996</v>
      </c>
      <c r="N669" s="8">
        <v>87019706641</v>
      </c>
      <c r="O669" s="8">
        <v>410000</v>
      </c>
      <c r="P669" s="8">
        <v>0</v>
      </c>
      <c r="Q669" s="8" t="s">
        <v>833</v>
      </c>
    </row>
    <row r="670" spans="1:17" ht="13.2">
      <c r="A670" s="26">
        <v>45947.73559462963</v>
      </c>
      <c r="B670" s="8" t="s">
        <v>1049</v>
      </c>
      <c r="C670" s="8" t="s">
        <v>4997</v>
      </c>
      <c r="D670" s="8" t="s">
        <v>4998</v>
      </c>
      <c r="E670" s="8" t="s">
        <v>4999</v>
      </c>
      <c r="F670" s="82" t="s">
        <v>5000</v>
      </c>
      <c r="G670" s="27">
        <v>43978</v>
      </c>
      <c r="H670" s="8" t="s">
        <v>1371</v>
      </c>
      <c r="I670" s="8">
        <v>70522301648</v>
      </c>
      <c r="J670" s="8" t="s">
        <v>5001</v>
      </c>
      <c r="K670" s="8" t="s">
        <v>5002</v>
      </c>
      <c r="L670" s="8" t="s">
        <v>5003</v>
      </c>
      <c r="M670" s="8" t="s">
        <v>5004</v>
      </c>
      <c r="N670" s="8">
        <v>87779605140</v>
      </c>
      <c r="O670" s="8">
        <v>0</v>
      </c>
      <c r="P670" s="8">
        <v>330000</v>
      </c>
      <c r="Q670" s="8" t="s">
        <v>834</v>
      </c>
    </row>
    <row r="671" spans="1:17" ht="13.2">
      <c r="A671" s="26">
        <v>45950.550035057866</v>
      </c>
      <c r="B671" s="8" t="s">
        <v>1141</v>
      </c>
      <c r="C671" s="8" t="s">
        <v>5005</v>
      </c>
      <c r="D671" s="8" t="s">
        <v>1921</v>
      </c>
      <c r="E671" s="8" t="s">
        <v>5006</v>
      </c>
      <c r="F671" s="82" t="s">
        <v>5007</v>
      </c>
      <c r="G671" s="27">
        <v>44517</v>
      </c>
      <c r="H671" s="8" t="s">
        <v>1371</v>
      </c>
      <c r="I671" s="8">
        <v>861118350178</v>
      </c>
      <c r="J671" s="8" t="s">
        <v>1564</v>
      </c>
      <c r="K671" s="8" t="s">
        <v>1565</v>
      </c>
      <c r="L671" s="8" t="s">
        <v>5008</v>
      </c>
      <c r="M671" s="8" t="s">
        <v>2095</v>
      </c>
      <c r="N671" s="8">
        <v>87751178707</v>
      </c>
      <c r="O671" s="8">
        <v>0</v>
      </c>
      <c r="P671" s="8">
        <v>3600000</v>
      </c>
      <c r="Q671" s="8" t="s">
        <v>835</v>
      </c>
    </row>
    <row r="672" spans="1:17" ht="13.2">
      <c r="A672" s="26">
        <v>45950.565333171297</v>
      </c>
      <c r="B672" s="8" t="s">
        <v>1071</v>
      </c>
      <c r="C672" s="8" t="s">
        <v>5009</v>
      </c>
      <c r="D672" s="8" t="s">
        <v>1256</v>
      </c>
      <c r="E672" s="8" t="s">
        <v>1480</v>
      </c>
      <c r="F672" s="82" t="s">
        <v>5010</v>
      </c>
      <c r="G672" s="27">
        <v>44014</v>
      </c>
      <c r="H672" s="8" t="s">
        <v>1371</v>
      </c>
      <c r="I672" s="8">
        <v>830828350526</v>
      </c>
      <c r="J672" s="8" t="s">
        <v>1908</v>
      </c>
      <c r="K672" s="8" t="s">
        <v>3097</v>
      </c>
      <c r="L672" s="8" t="s">
        <v>5011</v>
      </c>
      <c r="M672" s="8" t="s">
        <v>3243</v>
      </c>
      <c r="N672" s="8">
        <v>87052666097</v>
      </c>
      <c r="O672" s="8">
        <v>0</v>
      </c>
      <c r="P672" s="8">
        <v>380000</v>
      </c>
      <c r="Q672" s="8" t="s">
        <v>836</v>
      </c>
    </row>
    <row r="673" spans="1:17" ht="13.2">
      <c r="A673" s="26">
        <v>45950.648727291671</v>
      </c>
      <c r="B673" s="8" t="s">
        <v>1049</v>
      </c>
      <c r="C673" s="8" t="s">
        <v>5012</v>
      </c>
      <c r="D673" s="8" t="s">
        <v>5013</v>
      </c>
      <c r="E673" s="8" t="s">
        <v>5014</v>
      </c>
      <c r="F673" s="82" t="s">
        <v>5015</v>
      </c>
      <c r="G673" s="27">
        <v>44757</v>
      </c>
      <c r="H673" s="8" t="s">
        <v>1371</v>
      </c>
      <c r="I673" s="8">
        <v>870619300759</v>
      </c>
      <c r="J673" s="8" t="s">
        <v>1730</v>
      </c>
      <c r="K673" s="8" t="s">
        <v>5016</v>
      </c>
      <c r="L673" s="8" t="s">
        <v>5017</v>
      </c>
      <c r="M673" s="8" t="s">
        <v>5018</v>
      </c>
      <c r="N673" s="8" t="s">
        <v>5019</v>
      </c>
      <c r="O673" s="8">
        <v>300000</v>
      </c>
      <c r="P673" s="8">
        <v>50000</v>
      </c>
      <c r="Q673" s="8" t="s">
        <v>837</v>
      </c>
    </row>
    <row r="674" spans="1:17" ht="13.2">
      <c r="A674" s="26">
        <v>45950.79763079861</v>
      </c>
      <c r="B674" s="8" t="s">
        <v>1049</v>
      </c>
      <c r="C674" s="8" t="s">
        <v>5020</v>
      </c>
      <c r="D674" s="8" t="s">
        <v>2658</v>
      </c>
      <c r="E674" s="8" t="s">
        <v>5021</v>
      </c>
      <c r="F674" s="82" t="s">
        <v>5022</v>
      </c>
      <c r="G674" s="27">
        <v>44670</v>
      </c>
      <c r="H674" s="8" t="s">
        <v>1431</v>
      </c>
      <c r="I674" s="8">
        <v>841014301785</v>
      </c>
      <c r="J674" s="8" t="s">
        <v>2008</v>
      </c>
      <c r="K674" s="8" t="s">
        <v>5023</v>
      </c>
      <c r="L674" s="8" t="s">
        <v>5024</v>
      </c>
      <c r="M674" s="8" t="s">
        <v>5025</v>
      </c>
      <c r="N674" s="8">
        <v>87076368008</v>
      </c>
      <c r="O674" s="8">
        <v>360000</v>
      </c>
      <c r="P674" s="8">
        <v>0</v>
      </c>
      <c r="Q674" s="8" t="s">
        <v>838</v>
      </c>
    </row>
    <row r="675" spans="1:17" ht="13.2">
      <c r="A675" s="26">
        <v>45951.468527951394</v>
      </c>
      <c r="B675" s="8" t="s">
        <v>1141</v>
      </c>
      <c r="C675" s="8" t="s">
        <v>5026</v>
      </c>
      <c r="D675" s="8" t="s">
        <v>1993</v>
      </c>
      <c r="E675" s="8" t="s">
        <v>1480</v>
      </c>
      <c r="F675" s="82" t="s">
        <v>5027</v>
      </c>
      <c r="G675" s="27">
        <v>44693</v>
      </c>
      <c r="H675" s="8" t="s">
        <v>1371</v>
      </c>
      <c r="I675" s="8">
        <v>880804350792</v>
      </c>
      <c r="J675" s="8" t="s">
        <v>1564</v>
      </c>
      <c r="K675" s="8" t="s">
        <v>1565</v>
      </c>
      <c r="L675" s="8" t="s">
        <v>5028</v>
      </c>
      <c r="M675" s="8" t="s">
        <v>1529</v>
      </c>
      <c r="N675" s="8">
        <v>87014898106</v>
      </c>
      <c r="O675" s="8">
        <v>0</v>
      </c>
      <c r="P675" s="8">
        <v>390000</v>
      </c>
      <c r="Q675" s="8" t="s">
        <v>824</v>
      </c>
    </row>
    <row r="676" spans="1:17" ht="13.2">
      <c r="A676" s="26">
        <v>45952.650958425926</v>
      </c>
      <c r="B676" s="8" t="s">
        <v>1071</v>
      </c>
      <c r="C676" s="8" t="s">
        <v>5029</v>
      </c>
      <c r="D676" s="8" t="s">
        <v>2587</v>
      </c>
      <c r="E676" s="8" t="s">
        <v>5030</v>
      </c>
      <c r="F676" s="82" t="s">
        <v>5031</v>
      </c>
      <c r="G676" s="27">
        <v>44733</v>
      </c>
      <c r="H676" s="8" t="s">
        <v>1371</v>
      </c>
      <c r="I676" s="8">
        <v>691201300710</v>
      </c>
      <c r="J676" s="8" t="s">
        <v>1976</v>
      </c>
      <c r="K676" s="8" t="s">
        <v>2093</v>
      </c>
      <c r="L676" s="8" t="s">
        <v>5032</v>
      </c>
      <c r="M676" s="8" t="s">
        <v>5033</v>
      </c>
      <c r="N676" s="8">
        <v>87771806465</v>
      </c>
      <c r="O676" s="8">
        <v>0</v>
      </c>
      <c r="P676" s="8">
        <v>380000</v>
      </c>
      <c r="Q676" s="8" t="s">
        <v>839</v>
      </c>
    </row>
    <row r="677" spans="1:17" ht="13.2">
      <c r="A677" s="26">
        <v>45954.685060289354</v>
      </c>
      <c r="B677" s="8" t="s">
        <v>1141</v>
      </c>
      <c r="C677" s="8" t="s">
        <v>5034</v>
      </c>
      <c r="D677" s="8" t="s">
        <v>3150</v>
      </c>
      <c r="E677" s="8" t="s">
        <v>5035</v>
      </c>
      <c r="F677" s="82" t="s">
        <v>5036</v>
      </c>
      <c r="G677" s="27">
        <v>42772</v>
      </c>
      <c r="H677" s="8" t="s">
        <v>1371</v>
      </c>
      <c r="I677" s="8">
        <v>660126301486</v>
      </c>
      <c r="J677" s="8" t="s">
        <v>1564</v>
      </c>
      <c r="K677" s="8" t="s">
        <v>1548</v>
      </c>
      <c r="L677" s="8" t="s">
        <v>3952</v>
      </c>
      <c r="M677" s="8" t="s">
        <v>5037</v>
      </c>
      <c r="N677" s="8">
        <v>87073255020</v>
      </c>
      <c r="O677" s="8">
        <v>0</v>
      </c>
      <c r="P677" s="8">
        <v>360000</v>
      </c>
      <c r="Q677" s="8" t="s">
        <v>840</v>
      </c>
    </row>
    <row r="678" spans="1:17" ht="13.2">
      <c r="A678" s="26">
        <v>45958.473869282403</v>
      </c>
      <c r="B678" s="8" t="s">
        <v>1071</v>
      </c>
      <c r="C678" s="8" t="s">
        <v>5038</v>
      </c>
      <c r="D678" s="8" t="s">
        <v>1407</v>
      </c>
      <c r="E678" s="8" t="s">
        <v>5039</v>
      </c>
      <c r="F678" s="82" t="s">
        <v>5040</v>
      </c>
      <c r="G678" s="27">
        <v>43976</v>
      </c>
      <c r="H678" s="8" t="s">
        <v>1371</v>
      </c>
      <c r="I678" s="8">
        <v>890210351486</v>
      </c>
      <c r="J678" s="8" t="s">
        <v>4109</v>
      </c>
      <c r="K678" s="8" t="s">
        <v>4489</v>
      </c>
      <c r="L678" s="8" t="s">
        <v>5041</v>
      </c>
      <c r="M678" s="8" t="s">
        <v>1583</v>
      </c>
      <c r="N678" s="8">
        <v>87006006028</v>
      </c>
      <c r="O678" s="8">
        <v>350000</v>
      </c>
      <c r="P678" s="8">
        <v>0</v>
      </c>
      <c r="Q678" s="8" t="s">
        <v>841</v>
      </c>
    </row>
    <row r="679" spans="1:17" ht="13.2">
      <c r="A679" s="26">
        <v>45958.619173078703</v>
      </c>
      <c r="B679" s="8" t="s">
        <v>1071</v>
      </c>
      <c r="C679" s="8" t="s">
        <v>5042</v>
      </c>
      <c r="D679" s="8" t="s">
        <v>5043</v>
      </c>
      <c r="E679" s="8" t="s">
        <v>5044</v>
      </c>
      <c r="F679" s="82" t="s">
        <v>5045</v>
      </c>
      <c r="G679" s="27">
        <v>45635</v>
      </c>
      <c r="H679" s="8" t="s">
        <v>1371</v>
      </c>
      <c r="I679" s="8">
        <v>830716451353</v>
      </c>
      <c r="J679" s="8" t="s">
        <v>1976</v>
      </c>
      <c r="K679" s="8" t="s">
        <v>2022</v>
      </c>
      <c r="L679" s="8" t="s">
        <v>5046</v>
      </c>
      <c r="M679" s="8" t="s">
        <v>3623</v>
      </c>
      <c r="N679" s="8">
        <v>87059604125</v>
      </c>
      <c r="O679" s="8">
        <v>400000</v>
      </c>
      <c r="P679" s="8">
        <v>0</v>
      </c>
      <c r="Q679" s="8" t="s">
        <v>842</v>
      </c>
    </row>
    <row r="680" spans="1:17" ht="13.2">
      <c r="A680" s="26">
        <v>45959.520909131941</v>
      </c>
      <c r="B680" s="8" t="s">
        <v>1141</v>
      </c>
      <c r="C680" s="8" t="s">
        <v>5047</v>
      </c>
      <c r="D680" s="8" t="s">
        <v>5048</v>
      </c>
      <c r="E680" s="8" t="s">
        <v>5049</v>
      </c>
      <c r="F680" s="82" t="s">
        <v>5050</v>
      </c>
      <c r="G680" s="27">
        <v>42488</v>
      </c>
      <c r="H680" s="8" t="s">
        <v>1371</v>
      </c>
      <c r="I680" s="8">
        <v>910424401832</v>
      </c>
      <c r="J680" s="8" t="s">
        <v>5051</v>
      </c>
      <c r="K680" s="8" t="s">
        <v>3518</v>
      </c>
      <c r="L680" s="8" t="s">
        <v>2556</v>
      </c>
      <c r="M680" s="8" t="s">
        <v>5052</v>
      </c>
      <c r="N680" s="8">
        <v>87476661472</v>
      </c>
      <c r="O680" s="8">
        <v>0</v>
      </c>
      <c r="P680" s="8">
        <v>340000</v>
      </c>
      <c r="Q680" s="8" t="s">
        <v>843</v>
      </c>
    </row>
    <row r="681" spans="1:17" ht="13.2">
      <c r="A681" s="26">
        <v>45959.544315787032</v>
      </c>
      <c r="B681" s="8" t="s">
        <v>1141</v>
      </c>
      <c r="C681" s="8" t="s">
        <v>5053</v>
      </c>
      <c r="D681" s="8" t="s">
        <v>5054</v>
      </c>
      <c r="E681" s="8" t="s">
        <v>5055</v>
      </c>
      <c r="F681" s="82" t="s">
        <v>5056</v>
      </c>
      <c r="G681" s="27">
        <v>45279</v>
      </c>
      <c r="H681" s="8" t="s">
        <v>1371</v>
      </c>
      <c r="I681" s="8">
        <v>750411302551</v>
      </c>
      <c r="J681" s="8" t="s">
        <v>1533</v>
      </c>
      <c r="K681" s="8" t="s">
        <v>5057</v>
      </c>
      <c r="L681" s="8" t="s">
        <v>4300</v>
      </c>
      <c r="M681" s="8" t="s">
        <v>3346</v>
      </c>
      <c r="N681" s="8">
        <v>87051523565</v>
      </c>
      <c r="O681" s="8">
        <v>360000</v>
      </c>
      <c r="P681" s="8">
        <v>0</v>
      </c>
      <c r="Q681" s="8" t="s">
        <v>844</v>
      </c>
    </row>
    <row r="682" spans="1:17" ht="13.2">
      <c r="A682" s="26">
        <v>45959.762477118056</v>
      </c>
      <c r="B682" s="8" t="s">
        <v>1141</v>
      </c>
      <c r="C682" s="8" t="s">
        <v>5058</v>
      </c>
      <c r="D682" s="8" t="s">
        <v>2613</v>
      </c>
      <c r="E682" s="8" t="s">
        <v>5059</v>
      </c>
      <c r="F682" s="82" t="s">
        <v>5060</v>
      </c>
      <c r="G682" s="27">
        <v>45860</v>
      </c>
      <c r="H682" s="8" t="s">
        <v>1371</v>
      </c>
      <c r="I682" s="8">
        <v>930310451317</v>
      </c>
      <c r="J682" s="8" t="s">
        <v>124</v>
      </c>
      <c r="K682" s="8" t="s">
        <v>3596</v>
      </c>
      <c r="L682" s="8" t="s">
        <v>5061</v>
      </c>
      <c r="M682" s="8" t="s">
        <v>5062</v>
      </c>
      <c r="N682" s="8">
        <v>87056163983</v>
      </c>
      <c r="O682" s="8">
        <v>0</v>
      </c>
      <c r="P682" s="8">
        <v>400000</v>
      </c>
      <c r="Q682" s="8" t="s">
        <v>845</v>
      </c>
    </row>
    <row r="683" spans="1:17" ht="13.2">
      <c r="A683" s="26">
        <v>45960.522355486115</v>
      </c>
      <c r="B683" s="8" t="s">
        <v>1049</v>
      </c>
      <c r="C683" s="8" t="s">
        <v>5063</v>
      </c>
      <c r="D683" s="8" t="s">
        <v>5064</v>
      </c>
      <c r="E683" s="8" t="s">
        <v>5065</v>
      </c>
      <c r="F683" s="82" t="s">
        <v>5066</v>
      </c>
      <c r="G683" s="27">
        <v>44559</v>
      </c>
      <c r="H683" s="8" t="s">
        <v>1371</v>
      </c>
      <c r="I683" s="8">
        <v>760927300949</v>
      </c>
      <c r="J683" s="8" t="s">
        <v>2008</v>
      </c>
      <c r="K683" s="8" t="s">
        <v>5067</v>
      </c>
      <c r="L683" s="8" t="s">
        <v>5068</v>
      </c>
      <c r="M683" s="8" t="s">
        <v>3122</v>
      </c>
      <c r="N683" s="8">
        <v>87778156355</v>
      </c>
      <c r="O683" s="8">
        <v>460000</v>
      </c>
      <c r="P683" s="8">
        <v>0</v>
      </c>
      <c r="Q683" s="8" t="s">
        <v>846</v>
      </c>
    </row>
    <row r="684" spans="1:17" ht="13.2">
      <c r="A684" s="26">
        <v>45960.660023506949</v>
      </c>
      <c r="B684" s="8" t="s">
        <v>1141</v>
      </c>
      <c r="C684" s="8" t="s">
        <v>5069</v>
      </c>
      <c r="D684" s="8" t="s">
        <v>2663</v>
      </c>
      <c r="E684" s="8" t="s">
        <v>5070</v>
      </c>
      <c r="F684" s="82" t="s">
        <v>5071</v>
      </c>
      <c r="G684" s="27">
        <v>42325</v>
      </c>
      <c r="H684" s="8" t="s">
        <v>1371</v>
      </c>
      <c r="I684" s="8">
        <v>830410301387</v>
      </c>
      <c r="J684" s="8" t="s">
        <v>1541</v>
      </c>
      <c r="K684" s="8" t="s">
        <v>5072</v>
      </c>
      <c r="L684" s="8" t="s">
        <v>5073</v>
      </c>
      <c r="M684" s="8" t="s">
        <v>2466</v>
      </c>
      <c r="N684" s="8">
        <v>87085871035</v>
      </c>
      <c r="O684" s="8">
        <v>0</v>
      </c>
      <c r="P684" s="8">
        <v>330000</v>
      </c>
      <c r="Q684" s="8" t="s">
        <v>847</v>
      </c>
    </row>
    <row r="685" spans="1:17" ht="13.2">
      <c r="A685" s="26">
        <v>45961.523028136573</v>
      </c>
      <c r="B685" s="8" t="s">
        <v>1049</v>
      </c>
      <c r="C685" s="8" t="s">
        <v>5074</v>
      </c>
      <c r="D685" s="8" t="s">
        <v>1237</v>
      </c>
      <c r="E685" s="8" t="s">
        <v>1201</v>
      </c>
      <c r="F685" s="82" t="s">
        <v>5075</v>
      </c>
      <c r="G685" s="27">
        <v>44942</v>
      </c>
      <c r="H685" s="8" t="s">
        <v>1371</v>
      </c>
      <c r="I685" s="8">
        <v>890605300885</v>
      </c>
      <c r="J685" s="8" t="s">
        <v>5076</v>
      </c>
      <c r="K685" s="8" t="s">
        <v>4962</v>
      </c>
      <c r="L685" s="8" t="s">
        <v>4035</v>
      </c>
      <c r="M685" s="8" t="s">
        <v>5077</v>
      </c>
      <c r="N685" s="8">
        <v>87479558823</v>
      </c>
      <c r="O685" s="8">
        <v>350000</v>
      </c>
      <c r="P685" s="8">
        <v>0</v>
      </c>
      <c r="Q685" s="8" t="s">
        <v>848</v>
      </c>
    </row>
    <row r="686" spans="1:17" ht="13.2">
      <c r="A686" s="26">
        <v>45964.425570694446</v>
      </c>
      <c r="B686" s="8" t="s">
        <v>1049</v>
      </c>
      <c r="C686" s="8" t="s">
        <v>5078</v>
      </c>
      <c r="D686" s="8" t="s">
        <v>4204</v>
      </c>
      <c r="E686" s="8" t="s">
        <v>4548</v>
      </c>
      <c r="F686" s="82" t="s">
        <v>5079</v>
      </c>
      <c r="G686" s="27">
        <v>43173</v>
      </c>
      <c r="H686" s="8" t="s">
        <v>1431</v>
      </c>
      <c r="I686" s="8">
        <v>921030301768</v>
      </c>
      <c r="J686" s="8" t="s">
        <v>2008</v>
      </c>
      <c r="K686" s="8" t="s">
        <v>5080</v>
      </c>
      <c r="L686" s="8" t="s">
        <v>5081</v>
      </c>
      <c r="M686" s="8" t="s">
        <v>5082</v>
      </c>
      <c r="N686" s="8">
        <v>87773810606</v>
      </c>
      <c r="O686" s="8">
        <v>395000</v>
      </c>
      <c r="P686" s="8">
        <v>0</v>
      </c>
      <c r="Q686" s="8" t="s">
        <v>849</v>
      </c>
    </row>
    <row r="687" spans="1:17" ht="13.2">
      <c r="A687" s="26">
        <v>45965.670300219906</v>
      </c>
      <c r="B687" s="8" t="s">
        <v>1049</v>
      </c>
      <c r="C687" s="8" t="s">
        <v>5083</v>
      </c>
      <c r="D687" s="8" t="s">
        <v>4902</v>
      </c>
      <c r="E687" s="8" t="s">
        <v>5084</v>
      </c>
      <c r="F687" s="82" t="s">
        <v>5085</v>
      </c>
      <c r="G687" s="27">
        <v>43486</v>
      </c>
      <c r="H687" s="8" t="s">
        <v>1371</v>
      </c>
      <c r="I687" s="8">
        <v>790220302838</v>
      </c>
      <c r="J687" s="8" t="s">
        <v>3288</v>
      </c>
      <c r="K687" s="8" t="s">
        <v>2387</v>
      </c>
      <c r="L687" s="8" t="s">
        <v>5086</v>
      </c>
      <c r="M687" s="8" t="s">
        <v>1529</v>
      </c>
      <c r="N687" s="8">
        <v>87774007700</v>
      </c>
      <c r="O687" s="8">
        <v>0</v>
      </c>
      <c r="P687" s="8">
        <v>330000</v>
      </c>
      <c r="Q687" s="8" t="s">
        <v>851</v>
      </c>
    </row>
    <row r="688" spans="1:17" ht="13.2">
      <c r="A688" s="26">
        <v>45966.537581458339</v>
      </c>
      <c r="B688" s="8" t="s">
        <v>1071</v>
      </c>
      <c r="C688" s="8" t="s">
        <v>5087</v>
      </c>
      <c r="D688" s="8" t="s">
        <v>5088</v>
      </c>
      <c r="E688" s="8" t="s">
        <v>4548</v>
      </c>
      <c r="F688" s="82" t="s">
        <v>5089</v>
      </c>
      <c r="G688" s="27">
        <v>44217</v>
      </c>
      <c r="H688" s="8" t="s">
        <v>1371</v>
      </c>
      <c r="I688" s="8">
        <v>770411302753</v>
      </c>
      <c r="J688" s="8" t="s">
        <v>1976</v>
      </c>
      <c r="K688" s="8" t="s">
        <v>2985</v>
      </c>
      <c r="L688" s="8" t="s">
        <v>5090</v>
      </c>
      <c r="M688" s="8" t="s">
        <v>1744</v>
      </c>
      <c r="N688" s="8">
        <v>87024141049</v>
      </c>
      <c r="O688" s="8">
        <v>400000</v>
      </c>
      <c r="P688" s="8">
        <v>50000</v>
      </c>
      <c r="Q688" s="8" t="s">
        <v>850</v>
      </c>
    </row>
    <row r="689" spans="1:17" ht="13.2">
      <c r="A689" s="26">
        <v>45966.660573530091</v>
      </c>
      <c r="B689" s="8" t="s">
        <v>1049</v>
      </c>
      <c r="C689" s="8" t="s">
        <v>5091</v>
      </c>
      <c r="D689" s="8" t="s">
        <v>2481</v>
      </c>
      <c r="E689" s="8" t="s">
        <v>5092</v>
      </c>
      <c r="F689" s="82" t="s">
        <v>5093</v>
      </c>
      <c r="G689" s="27">
        <v>43643</v>
      </c>
      <c r="H689" s="8" t="s">
        <v>1371</v>
      </c>
      <c r="I689" s="8">
        <v>740623302176</v>
      </c>
      <c r="J689" s="8" t="s">
        <v>3241</v>
      </c>
      <c r="K689" s="8" t="s">
        <v>4699</v>
      </c>
      <c r="L689" s="8" t="s">
        <v>5094</v>
      </c>
      <c r="M689" s="8" t="s">
        <v>5095</v>
      </c>
      <c r="N689" s="8">
        <v>87014097598</v>
      </c>
      <c r="O689" s="8">
        <v>410000</v>
      </c>
      <c r="P689" s="8">
        <v>0</v>
      </c>
      <c r="Q689" s="8" t="s">
        <v>852</v>
      </c>
    </row>
    <row r="690" spans="1:17" ht="13.2">
      <c r="A690" s="26">
        <v>45967.57224465278</v>
      </c>
      <c r="B690" s="8" t="s">
        <v>1071</v>
      </c>
      <c r="C690" s="8" t="s">
        <v>5096</v>
      </c>
      <c r="D690" s="8" t="s">
        <v>5097</v>
      </c>
      <c r="E690" s="8" t="s">
        <v>5098</v>
      </c>
      <c r="F690" s="82" t="s">
        <v>5099</v>
      </c>
      <c r="G690" s="27">
        <v>43648</v>
      </c>
      <c r="H690" s="8" t="s">
        <v>1371</v>
      </c>
      <c r="I690" s="8">
        <v>820410351391</v>
      </c>
      <c r="J690" s="8" t="s">
        <v>1976</v>
      </c>
      <c r="K690" s="8" t="s">
        <v>5100</v>
      </c>
      <c r="L690" s="8" t="s">
        <v>5101</v>
      </c>
      <c r="M690" s="8" t="s">
        <v>5102</v>
      </c>
      <c r="N690" s="8">
        <v>87079052546</v>
      </c>
      <c r="O690" s="8">
        <v>400000</v>
      </c>
      <c r="P690" s="8">
        <v>0</v>
      </c>
      <c r="Q690" s="8" t="s">
        <v>853</v>
      </c>
    </row>
    <row r="691" spans="1:17" ht="13.2">
      <c r="A691" s="26">
        <v>45967.673665532406</v>
      </c>
      <c r="B691" s="8" t="s">
        <v>1141</v>
      </c>
      <c r="C691" s="8" t="s">
        <v>5103</v>
      </c>
      <c r="D691" s="8" t="s">
        <v>1256</v>
      </c>
      <c r="E691" s="8" t="s">
        <v>1598</v>
      </c>
      <c r="F691" s="82" t="s">
        <v>5104</v>
      </c>
      <c r="G691" s="27">
        <v>45330</v>
      </c>
      <c r="H691" s="8" t="s">
        <v>1371</v>
      </c>
      <c r="I691" s="8">
        <v>890130350057</v>
      </c>
      <c r="J691" s="8" t="s">
        <v>4109</v>
      </c>
      <c r="K691" s="8" t="s">
        <v>4489</v>
      </c>
      <c r="L691" s="8" t="s">
        <v>5105</v>
      </c>
      <c r="M691" s="8" t="s">
        <v>5106</v>
      </c>
      <c r="N691" s="8">
        <v>87770020173</v>
      </c>
      <c r="O691" s="8">
        <v>730000</v>
      </c>
      <c r="P691" s="8">
        <v>0</v>
      </c>
      <c r="Q691" s="8" t="s">
        <v>415</v>
      </c>
    </row>
    <row r="692" spans="1:17" ht="13.2">
      <c r="A692" s="26">
        <v>45967.701222638891</v>
      </c>
      <c r="B692" s="8" t="s">
        <v>1141</v>
      </c>
      <c r="C692" s="8" t="s">
        <v>5107</v>
      </c>
      <c r="D692" s="8" t="s">
        <v>5108</v>
      </c>
      <c r="E692" s="8" t="s">
        <v>5109</v>
      </c>
      <c r="F692" s="82" t="s">
        <v>5110</v>
      </c>
      <c r="G692" s="27">
        <v>45468</v>
      </c>
      <c r="H692" s="8" t="s">
        <v>1371</v>
      </c>
      <c r="I692" s="8">
        <v>790622300847</v>
      </c>
      <c r="J692" s="8" t="s">
        <v>124</v>
      </c>
      <c r="K692" s="8" t="s">
        <v>2120</v>
      </c>
      <c r="L692" s="8" t="s">
        <v>2329</v>
      </c>
      <c r="M692" s="8" t="s">
        <v>5111</v>
      </c>
      <c r="N692" s="8">
        <v>87718888947</v>
      </c>
      <c r="O692" s="8">
        <v>0</v>
      </c>
      <c r="P692" s="8">
        <v>340000</v>
      </c>
      <c r="Q692" s="8" t="s">
        <v>702</v>
      </c>
    </row>
    <row r="693" spans="1:17" ht="13.2">
      <c r="A693" s="26">
        <v>45971.577592650458</v>
      </c>
      <c r="B693" s="8" t="s">
        <v>1071</v>
      </c>
      <c r="C693" s="8" t="s">
        <v>5112</v>
      </c>
      <c r="D693" s="8" t="s">
        <v>1407</v>
      </c>
      <c r="E693" s="8" t="s">
        <v>5113</v>
      </c>
      <c r="F693" s="82" t="s">
        <v>5114</v>
      </c>
      <c r="G693" s="27">
        <v>44470</v>
      </c>
      <c r="H693" s="8" t="s">
        <v>1371</v>
      </c>
      <c r="I693" s="8">
        <v>760601350417</v>
      </c>
      <c r="J693" s="8" t="s">
        <v>1976</v>
      </c>
      <c r="K693" s="8" t="s">
        <v>5100</v>
      </c>
      <c r="L693" s="8" t="s">
        <v>4149</v>
      </c>
      <c r="M693" s="8" t="s">
        <v>2548</v>
      </c>
      <c r="N693" s="8">
        <v>87776586876</v>
      </c>
      <c r="O693" s="8">
        <v>400000</v>
      </c>
      <c r="P693" s="8">
        <v>0</v>
      </c>
      <c r="Q693" s="8" t="s">
        <v>854</v>
      </c>
    </row>
    <row r="694" spans="1:17" ht="13.2">
      <c r="A694" s="26">
        <v>45972.441413298613</v>
      </c>
      <c r="B694" s="8" t="s">
        <v>1049</v>
      </c>
      <c r="C694" s="8" t="s">
        <v>5115</v>
      </c>
      <c r="D694" s="8" t="s">
        <v>1580</v>
      </c>
      <c r="E694" s="8" t="s">
        <v>1480</v>
      </c>
      <c r="F694" s="82" t="s">
        <v>5116</v>
      </c>
      <c r="G694" s="27">
        <v>44159</v>
      </c>
      <c r="H694" s="8" t="s">
        <v>1371</v>
      </c>
      <c r="I694" s="8">
        <v>940226301032</v>
      </c>
      <c r="J694" s="8" t="s">
        <v>3241</v>
      </c>
      <c r="K694" s="8" t="s">
        <v>5117</v>
      </c>
      <c r="L694" s="8" t="s">
        <v>5118</v>
      </c>
      <c r="M694" s="8" t="s">
        <v>2942</v>
      </c>
      <c r="N694" s="8">
        <v>87079933550</v>
      </c>
      <c r="O694" s="8">
        <v>460000</v>
      </c>
      <c r="P694" s="8">
        <v>0</v>
      </c>
      <c r="Q694" s="8" t="s">
        <v>855</v>
      </c>
    </row>
    <row r="695" spans="1:17" ht="13.2">
      <c r="A695" s="26">
        <v>45972.564625150466</v>
      </c>
      <c r="B695" s="8" t="s">
        <v>1049</v>
      </c>
      <c r="C695" s="8" t="s">
        <v>5119</v>
      </c>
      <c r="D695" s="8" t="s">
        <v>2403</v>
      </c>
      <c r="E695" s="8" t="s">
        <v>5120</v>
      </c>
      <c r="F695" s="82" t="s">
        <v>5121</v>
      </c>
      <c r="G695" s="27">
        <v>44270</v>
      </c>
      <c r="H695" s="8" t="s">
        <v>1371</v>
      </c>
      <c r="I695" s="8">
        <v>640904301611</v>
      </c>
      <c r="J695" s="8" t="s">
        <v>5122</v>
      </c>
      <c r="K695" s="8" t="s">
        <v>5123</v>
      </c>
      <c r="L695" s="8" t="s">
        <v>5124</v>
      </c>
      <c r="M695" s="8" t="s">
        <v>5125</v>
      </c>
      <c r="N695" s="8">
        <v>87015851111</v>
      </c>
      <c r="O695" s="8">
        <v>420000</v>
      </c>
      <c r="P695" s="8">
        <v>0</v>
      </c>
      <c r="Q695" s="8" t="s">
        <v>859</v>
      </c>
    </row>
    <row r="696" spans="1:17" ht="13.2">
      <c r="A696" s="26">
        <v>45972.636827592592</v>
      </c>
      <c r="B696" s="8" t="s">
        <v>1141</v>
      </c>
      <c r="C696" s="8" t="s">
        <v>5126</v>
      </c>
      <c r="D696" s="8" t="s">
        <v>5127</v>
      </c>
      <c r="E696" s="8" t="s">
        <v>5128</v>
      </c>
      <c r="F696" s="82" t="s">
        <v>5129</v>
      </c>
      <c r="G696" s="27">
        <v>43892</v>
      </c>
      <c r="H696" s="8" t="s">
        <v>1371</v>
      </c>
      <c r="I696" s="8">
        <v>610608300687</v>
      </c>
      <c r="J696" s="8" t="s">
        <v>124</v>
      </c>
      <c r="K696" s="8" t="s">
        <v>4944</v>
      </c>
      <c r="L696" s="8" t="s">
        <v>5130</v>
      </c>
      <c r="M696" s="8" t="s">
        <v>5131</v>
      </c>
      <c r="N696" s="8">
        <v>87058303332</v>
      </c>
      <c r="O696" s="8">
        <v>410000</v>
      </c>
      <c r="P696" s="8">
        <v>0</v>
      </c>
      <c r="Q696" s="8" t="s">
        <v>858</v>
      </c>
    </row>
    <row r="697" spans="1:17" ht="13.2">
      <c r="A697" s="26">
        <v>45973.461354398147</v>
      </c>
      <c r="B697" s="8" t="s">
        <v>1071</v>
      </c>
      <c r="C697" s="8" t="s">
        <v>5132</v>
      </c>
      <c r="D697" s="8" t="s">
        <v>2103</v>
      </c>
      <c r="E697" s="8" t="s">
        <v>1740</v>
      </c>
      <c r="F697" s="82" t="s">
        <v>5133</v>
      </c>
      <c r="G697" s="27">
        <v>42747</v>
      </c>
      <c r="H697" s="8" t="s">
        <v>1371</v>
      </c>
      <c r="I697" s="8">
        <v>720127350176</v>
      </c>
      <c r="J697" s="8" t="s">
        <v>1976</v>
      </c>
      <c r="K697" s="8" t="s">
        <v>5134</v>
      </c>
      <c r="L697" s="8" t="s">
        <v>5135</v>
      </c>
      <c r="M697" s="8" t="s">
        <v>5136</v>
      </c>
      <c r="N697" s="8">
        <v>87771821824</v>
      </c>
      <c r="O697" s="8">
        <v>400000</v>
      </c>
      <c r="P697" s="8">
        <v>0</v>
      </c>
      <c r="Q697" s="8" t="s">
        <v>860</v>
      </c>
    </row>
    <row r="698" spans="1:17" ht="13.2">
      <c r="A698" s="26">
        <v>45973.640437222217</v>
      </c>
      <c r="B698" s="8" t="s">
        <v>1071</v>
      </c>
      <c r="C698" s="8" t="s">
        <v>5137</v>
      </c>
      <c r="D698" s="8" t="s">
        <v>1256</v>
      </c>
      <c r="E698" s="8" t="s">
        <v>1201</v>
      </c>
      <c r="F698" s="82" t="s">
        <v>5138</v>
      </c>
      <c r="G698" s="27">
        <v>44483</v>
      </c>
      <c r="H698" s="8" t="s">
        <v>1371</v>
      </c>
      <c r="I698" s="8">
        <v>781014300763</v>
      </c>
      <c r="J698" s="8" t="s">
        <v>1976</v>
      </c>
      <c r="K698" s="8" t="s">
        <v>2022</v>
      </c>
      <c r="L698" s="8" t="s">
        <v>5139</v>
      </c>
      <c r="M698" s="8" t="s">
        <v>5140</v>
      </c>
      <c r="N698" s="8">
        <v>87075453386</v>
      </c>
      <c r="O698" s="8">
        <v>0</v>
      </c>
      <c r="P698" s="8">
        <v>380000</v>
      </c>
      <c r="Q698" s="8" t="s">
        <v>861</v>
      </c>
    </row>
    <row r="699" spans="1:17" ht="13.2">
      <c r="A699" s="26">
        <v>45974.705432604169</v>
      </c>
      <c r="B699" s="8" t="s">
        <v>1141</v>
      </c>
      <c r="C699" s="8" t="s">
        <v>5141</v>
      </c>
      <c r="D699" s="8" t="s">
        <v>1258</v>
      </c>
      <c r="E699" s="8" t="s">
        <v>5142</v>
      </c>
      <c r="F699" s="82" t="s">
        <v>5143</v>
      </c>
      <c r="G699" s="27">
        <v>45974</v>
      </c>
      <c r="H699" s="8" t="s">
        <v>1371</v>
      </c>
      <c r="I699" s="8">
        <v>800416402785</v>
      </c>
      <c r="J699" s="8" t="s">
        <v>1564</v>
      </c>
      <c r="K699" s="8" t="s">
        <v>1565</v>
      </c>
      <c r="L699" s="8" t="s">
        <v>5144</v>
      </c>
      <c r="M699" s="8" t="s">
        <v>5145</v>
      </c>
      <c r="N699" s="8">
        <v>87783728842</v>
      </c>
      <c r="O699" s="8">
        <v>520000</v>
      </c>
      <c r="P699" s="8">
        <v>0</v>
      </c>
      <c r="Q699" s="8" t="s">
        <v>865</v>
      </c>
    </row>
    <row r="700" spans="1:17" ht="13.2">
      <c r="A700" s="26">
        <v>45975.461965648152</v>
      </c>
      <c r="B700" s="8" t="s">
        <v>1049</v>
      </c>
      <c r="C700" s="8" t="s">
        <v>5146</v>
      </c>
      <c r="D700" s="8" t="s">
        <v>5147</v>
      </c>
      <c r="E700" s="8" t="s">
        <v>5148</v>
      </c>
      <c r="F700" s="82" t="s">
        <v>5149</v>
      </c>
      <c r="G700" s="27">
        <v>44231</v>
      </c>
      <c r="H700" s="8" t="s">
        <v>1371</v>
      </c>
      <c r="I700" s="8">
        <v>611201403281</v>
      </c>
      <c r="J700" s="8" t="s">
        <v>3288</v>
      </c>
      <c r="K700" s="8" t="s">
        <v>5150</v>
      </c>
      <c r="L700" s="8" t="s">
        <v>5151</v>
      </c>
      <c r="M700" s="8" t="s">
        <v>5152</v>
      </c>
      <c r="N700" s="8">
        <v>87079208661</v>
      </c>
      <c r="O700" s="8">
        <v>330000</v>
      </c>
      <c r="P700" s="8">
        <v>0</v>
      </c>
      <c r="Q700" s="8" t="s">
        <v>866</v>
      </c>
    </row>
    <row r="701" spans="1:17" ht="13.2">
      <c r="A701" s="26">
        <v>45975.628537916666</v>
      </c>
      <c r="B701" s="8" t="s">
        <v>1049</v>
      </c>
      <c r="C701" s="8" t="s">
        <v>5153</v>
      </c>
      <c r="D701" s="8" t="s">
        <v>2033</v>
      </c>
      <c r="E701" s="8" t="s">
        <v>5154</v>
      </c>
      <c r="F701" s="82" t="s">
        <v>5155</v>
      </c>
      <c r="G701" s="27">
        <v>45397</v>
      </c>
      <c r="H701" s="8" t="s">
        <v>1371</v>
      </c>
      <c r="I701" s="8">
        <v>750525301147</v>
      </c>
      <c r="J701" s="8" t="s">
        <v>2991</v>
      </c>
      <c r="K701" s="8" t="s">
        <v>5156</v>
      </c>
      <c r="L701" s="8" t="s">
        <v>5157</v>
      </c>
      <c r="M701" s="8" t="s">
        <v>3195</v>
      </c>
      <c r="N701" s="8">
        <v>87021674252</v>
      </c>
      <c r="O701" s="8">
        <v>550000</v>
      </c>
      <c r="P701" s="8">
        <v>0</v>
      </c>
      <c r="Q701" s="8" t="s">
        <v>867</v>
      </c>
    </row>
    <row r="702" spans="1:17" ht="13.2">
      <c r="A702" s="26">
        <v>45978.466915914352</v>
      </c>
      <c r="B702" s="8" t="s">
        <v>1141</v>
      </c>
      <c r="C702" s="8" t="s">
        <v>5158</v>
      </c>
      <c r="D702" s="8" t="s">
        <v>5159</v>
      </c>
      <c r="E702" s="8" t="s">
        <v>4548</v>
      </c>
      <c r="F702" s="82" t="s">
        <v>5160</v>
      </c>
      <c r="G702" s="27">
        <v>45195</v>
      </c>
      <c r="H702" s="8" t="s">
        <v>1371</v>
      </c>
      <c r="I702" s="8">
        <v>991201000388</v>
      </c>
      <c r="J702" s="8" t="s">
        <v>1564</v>
      </c>
      <c r="K702" s="8" t="s">
        <v>2120</v>
      </c>
      <c r="L702" s="8" t="s">
        <v>2329</v>
      </c>
      <c r="M702" s="8">
        <v>18</v>
      </c>
      <c r="N702" s="8">
        <v>87071900247</v>
      </c>
      <c r="O702" s="8">
        <v>440000</v>
      </c>
      <c r="P702" s="8"/>
      <c r="Q702" s="8" t="s">
        <v>863</v>
      </c>
    </row>
    <row r="703" spans="1:17" ht="13.2">
      <c r="A703" s="26">
        <v>45979.480274467591</v>
      </c>
      <c r="B703" s="8" t="s">
        <v>1141</v>
      </c>
      <c r="C703" s="8" t="s">
        <v>5161</v>
      </c>
      <c r="D703" s="8" t="s">
        <v>5162</v>
      </c>
      <c r="E703" s="8" t="s">
        <v>4681</v>
      </c>
      <c r="F703" s="82" t="s">
        <v>5163</v>
      </c>
      <c r="G703" s="27">
        <v>44680</v>
      </c>
      <c r="H703" s="8" t="s">
        <v>1431</v>
      </c>
      <c r="I703" s="8">
        <v>981104351015</v>
      </c>
      <c r="J703" s="8" t="s">
        <v>4109</v>
      </c>
      <c r="K703" s="8" t="s">
        <v>5164</v>
      </c>
      <c r="L703" s="8" t="s">
        <v>5165</v>
      </c>
      <c r="M703" s="8">
        <v>1</v>
      </c>
      <c r="N703" s="8">
        <v>87759928997</v>
      </c>
      <c r="O703" s="8">
        <v>930000</v>
      </c>
      <c r="P703" s="8">
        <v>0</v>
      </c>
      <c r="Q703" s="8" t="s">
        <v>856</v>
      </c>
    </row>
    <row r="704" spans="1:17" ht="13.2">
      <c r="A704" s="26">
        <v>45979.539812361108</v>
      </c>
      <c r="B704" s="8" t="s">
        <v>1049</v>
      </c>
      <c r="C704" s="8" t="s">
        <v>5166</v>
      </c>
      <c r="D704" s="8" t="s">
        <v>1439</v>
      </c>
      <c r="E704" s="8" t="s">
        <v>1201</v>
      </c>
      <c r="F704" s="82" t="s">
        <v>2386</v>
      </c>
      <c r="G704" s="27">
        <v>43475</v>
      </c>
      <c r="H704" s="8" t="s">
        <v>1371</v>
      </c>
      <c r="I704" s="8">
        <v>890121300399</v>
      </c>
      <c r="J704" s="8" t="s">
        <v>2015</v>
      </c>
      <c r="K704" s="8" t="s">
        <v>5167</v>
      </c>
      <c r="L704" s="8" t="s">
        <v>2388</v>
      </c>
      <c r="M704" s="8" t="s">
        <v>1843</v>
      </c>
      <c r="N704" s="8">
        <v>87059907871</v>
      </c>
      <c r="O704" s="8">
        <v>0</v>
      </c>
      <c r="P704" s="8">
        <v>400000</v>
      </c>
      <c r="Q704" s="8" t="s">
        <v>868</v>
      </c>
    </row>
    <row r="705" spans="1:17" ht="13.2">
      <c r="A705" s="26">
        <v>45980.651497789353</v>
      </c>
      <c r="B705" s="8" t="s">
        <v>1071</v>
      </c>
      <c r="C705" s="8" t="s">
        <v>5168</v>
      </c>
      <c r="D705" s="8" t="s">
        <v>1764</v>
      </c>
      <c r="E705" s="8" t="s">
        <v>1191</v>
      </c>
      <c r="F705" s="82" t="s">
        <v>5169</v>
      </c>
      <c r="G705" s="27">
        <v>44921</v>
      </c>
      <c r="H705" s="8" t="s">
        <v>1371</v>
      </c>
      <c r="I705" s="8">
        <v>960406351487</v>
      </c>
      <c r="J705" s="8" t="s">
        <v>1976</v>
      </c>
      <c r="K705" s="8" t="s">
        <v>5170</v>
      </c>
      <c r="L705" s="8" t="s">
        <v>5171</v>
      </c>
      <c r="M705" s="8" t="s">
        <v>5172</v>
      </c>
      <c r="N705" s="8">
        <v>87761138349</v>
      </c>
      <c r="O705" s="8">
        <v>0</v>
      </c>
      <c r="P705" s="8" t="s">
        <v>5173</v>
      </c>
      <c r="Q705" s="8" t="s">
        <v>869</v>
      </c>
    </row>
    <row r="706" spans="1:17" ht="13.2">
      <c r="A706" s="26">
        <v>45981.431510937502</v>
      </c>
      <c r="B706" s="8" t="s">
        <v>1049</v>
      </c>
      <c r="C706" s="8" t="s">
        <v>5174</v>
      </c>
      <c r="D706" s="8" t="s">
        <v>1938</v>
      </c>
      <c r="E706" s="8" t="s">
        <v>1451</v>
      </c>
      <c r="F706" s="82" t="s">
        <v>5175</v>
      </c>
      <c r="G706" s="27">
        <v>44300</v>
      </c>
      <c r="H706" s="8" t="s">
        <v>1371</v>
      </c>
      <c r="I706" s="8">
        <v>860123301104</v>
      </c>
      <c r="J706" s="8" t="s">
        <v>5176</v>
      </c>
      <c r="K706" s="8" t="s">
        <v>4647</v>
      </c>
      <c r="L706" s="8" t="s">
        <v>5177</v>
      </c>
      <c r="M706" s="8" t="s">
        <v>5178</v>
      </c>
      <c r="N706" s="8">
        <v>87074407843</v>
      </c>
      <c r="O706" s="8">
        <v>360000</v>
      </c>
      <c r="P706" s="8">
        <v>0</v>
      </c>
      <c r="Q706" s="8" t="s">
        <v>870</v>
      </c>
    </row>
    <row r="707" spans="1:17" ht="13.2">
      <c r="A707" s="26">
        <v>45982.514189953705</v>
      </c>
      <c r="B707" s="8" t="s">
        <v>1141</v>
      </c>
      <c r="C707" s="8" t="s">
        <v>5179</v>
      </c>
      <c r="D707" s="8" t="s">
        <v>5180</v>
      </c>
      <c r="E707" s="8" t="s">
        <v>2909</v>
      </c>
      <c r="F707" s="82" t="s">
        <v>5181</v>
      </c>
      <c r="G707" s="27">
        <v>45394</v>
      </c>
      <c r="H707" s="8" t="s">
        <v>1371</v>
      </c>
      <c r="I707" s="8">
        <v>890917351360</v>
      </c>
      <c r="J707" s="8" t="s">
        <v>1564</v>
      </c>
      <c r="K707" s="8" t="s">
        <v>1565</v>
      </c>
      <c r="L707" s="8" t="s">
        <v>5182</v>
      </c>
      <c r="M707" s="8" t="s">
        <v>3426</v>
      </c>
      <c r="N707" s="8">
        <v>87751342787</v>
      </c>
      <c r="O707" s="8">
        <v>470000</v>
      </c>
      <c r="P707" s="8">
        <v>0</v>
      </c>
      <c r="Q707" s="8" t="s">
        <v>871</v>
      </c>
    </row>
    <row r="708" spans="1:17" ht="13.2">
      <c r="A708" s="26">
        <v>45982.763658391203</v>
      </c>
      <c r="B708" s="8" t="s">
        <v>1141</v>
      </c>
      <c r="C708" s="8" t="s">
        <v>5183</v>
      </c>
      <c r="D708" s="8" t="s">
        <v>2103</v>
      </c>
      <c r="E708" s="8" t="s">
        <v>5184</v>
      </c>
      <c r="F708" s="82" t="s">
        <v>5185</v>
      </c>
      <c r="G708" s="27">
        <v>44180</v>
      </c>
      <c r="H708" s="8" t="s">
        <v>1431</v>
      </c>
      <c r="I708" s="8">
        <v>851022300653</v>
      </c>
      <c r="J708" s="8" t="s">
        <v>1730</v>
      </c>
      <c r="K708" s="8" t="s">
        <v>5186</v>
      </c>
      <c r="L708" s="8" t="s">
        <v>5187</v>
      </c>
      <c r="M708" s="8" t="s">
        <v>2128</v>
      </c>
      <c r="N708" s="8">
        <v>87086987411</v>
      </c>
      <c r="O708" s="8">
        <v>0</v>
      </c>
      <c r="P708" s="8">
        <v>350000</v>
      </c>
      <c r="Q708" s="8" t="s">
        <v>872</v>
      </c>
    </row>
    <row r="709" spans="1:17" ht="13.2">
      <c r="A709" s="26">
        <v>45983.531584386576</v>
      </c>
      <c r="B709" s="8" t="s">
        <v>1141</v>
      </c>
      <c r="C709" s="8" t="s">
        <v>5188</v>
      </c>
      <c r="D709" s="8" t="s">
        <v>5189</v>
      </c>
      <c r="E709" s="8" t="s">
        <v>5190</v>
      </c>
      <c r="F709" s="82" t="s">
        <v>5191</v>
      </c>
      <c r="G709" s="27">
        <v>45554</v>
      </c>
      <c r="H709" s="8" t="s">
        <v>1431</v>
      </c>
      <c r="I709" s="8">
        <v>860501302107</v>
      </c>
      <c r="J709" s="8" t="s">
        <v>124</v>
      </c>
      <c r="K709" s="8" t="s">
        <v>1548</v>
      </c>
      <c r="L709" s="8" t="s">
        <v>5192</v>
      </c>
      <c r="M709" s="8" t="s">
        <v>5193</v>
      </c>
      <c r="N709" s="8">
        <v>87471777524</v>
      </c>
      <c r="O709" s="8">
        <v>890000</v>
      </c>
      <c r="P709" s="8">
        <v>0</v>
      </c>
      <c r="Q709" s="8" t="s">
        <v>774</v>
      </c>
    </row>
    <row r="710" spans="1:17" ht="13.2">
      <c r="A710" s="26">
        <v>45984.72145081019</v>
      </c>
      <c r="B710" s="8" t="s">
        <v>1141</v>
      </c>
      <c r="C710" s="8" t="s">
        <v>5194</v>
      </c>
      <c r="D710" s="8" t="s">
        <v>3692</v>
      </c>
      <c r="E710" s="8" t="s">
        <v>1465</v>
      </c>
      <c r="F710" s="82" t="s">
        <v>5195</v>
      </c>
      <c r="G710" s="27">
        <v>45532</v>
      </c>
      <c r="H710" s="8" t="s">
        <v>1371</v>
      </c>
      <c r="I710" s="8">
        <v>891022350786</v>
      </c>
      <c r="J710" s="8" t="s">
        <v>2357</v>
      </c>
      <c r="K710" s="8" t="s">
        <v>5196</v>
      </c>
      <c r="L710" s="8" t="s">
        <v>5197</v>
      </c>
      <c r="M710" s="8" t="s">
        <v>1744</v>
      </c>
      <c r="N710" s="8">
        <v>87774841313</v>
      </c>
      <c r="O710" s="8">
        <v>0</v>
      </c>
      <c r="P710" s="8">
        <v>410000</v>
      </c>
      <c r="Q710" s="8" t="s">
        <v>873</v>
      </c>
    </row>
    <row r="711" spans="1:17" ht="13.2">
      <c r="A711" s="26">
        <v>45985.662911377316</v>
      </c>
      <c r="B711" s="8" t="s">
        <v>1049</v>
      </c>
      <c r="C711" s="8" t="s">
        <v>5198</v>
      </c>
      <c r="D711" s="8" t="s">
        <v>2514</v>
      </c>
      <c r="E711" s="8" t="s">
        <v>2267</v>
      </c>
      <c r="F711" s="82" t="s">
        <v>5199</v>
      </c>
      <c r="G711" s="27">
        <v>44075</v>
      </c>
      <c r="H711" s="8" t="s">
        <v>1371</v>
      </c>
      <c r="I711" s="8">
        <v>791207300437</v>
      </c>
      <c r="J711" s="8" t="s">
        <v>5200</v>
      </c>
      <c r="K711" s="8" t="s">
        <v>5201</v>
      </c>
      <c r="L711" s="8" t="s">
        <v>5202</v>
      </c>
      <c r="M711" s="8" t="s">
        <v>5203</v>
      </c>
      <c r="N711" s="8">
        <v>87052906750</v>
      </c>
      <c r="O711" s="8">
        <v>0</v>
      </c>
      <c r="P711" s="8">
        <v>350000</v>
      </c>
      <c r="Q711" s="8" t="s">
        <v>875</v>
      </c>
    </row>
    <row r="712" spans="1:17" ht="13.2">
      <c r="A712" s="26">
        <v>45986.581365324077</v>
      </c>
      <c r="B712" s="8" t="s">
        <v>1141</v>
      </c>
      <c r="C712" s="8" t="s">
        <v>5204</v>
      </c>
      <c r="D712" s="8" t="s">
        <v>3587</v>
      </c>
      <c r="E712" s="8" t="s">
        <v>5205</v>
      </c>
      <c r="F712" s="82" t="s">
        <v>5206</v>
      </c>
      <c r="G712" s="27">
        <v>44449</v>
      </c>
      <c r="H712" s="8" t="s">
        <v>1371</v>
      </c>
      <c r="I712" s="8">
        <v>950823350622</v>
      </c>
      <c r="J712" s="8" t="s">
        <v>1533</v>
      </c>
      <c r="K712" s="8" t="s">
        <v>5207</v>
      </c>
      <c r="L712" s="8" t="s">
        <v>5208</v>
      </c>
      <c r="M712" s="8" t="s">
        <v>4810</v>
      </c>
      <c r="N712" s="8">
        <v>87761316489</v>
      </c>
      <c r="O712" s="8">
        <v>390000</v>
      </c>
      <c r="P712" s="8">
        <v>0</v>
      </c>
      <c r="Q712" s="8" t="s">
        <v>876</v>
      </c>
    </row>
    <row r="713" spans="1:17" ht="13.2">
      <c r="A713" s="26">
        <v>45986.643593946763</v>
      </c>
      <c r="B713" s="8" t="s">
        <v>1071</v>
      </c>
      <c r="C713" s="8" t="s">
        <v>5209</v>
      </c>
      <c r="D713" s="8" t="s">
        <v>5043</v>
      </c>
      <c r="E713" s="8" t="s">
        <v>1783</v>
      </c>
      <c r="F713" s="82" t="s">
        <v>5210</v>
      </c>
      <c r="G713" s="27">
        <v>43973</v>
      </c>
      <c r="H713" s="8" t="s">
        <v>1371</v>
      </c>
      <c r="I713" s="8">
        <v>931115450817</v>
      </c>
      <c r="J713" s="8" t="s">
        <v>1976</v>
      </c>
      <c r="K713" s="8" t="s">
        <v>1977</v>
      </c>
      <c r="L713" s="8" t="s">
        <v>2501</v>
      </c>
      <c r="M713" s="8" t="s">
        <v>5211</v>
      </c>
      <c r="N713" s="8">
        <v>87751371630</v>
      </c>
      <c r="O713" s="8">
        <v>460000</v>
      </c>
      <c r="P713" s="8">
        <v>0</v>
      </c>
      <c r="Q713" s="8" t="s">
        <v>878</v>
      </c>
    </row>
    <row r="714" spans="1:17" ht="13.2">
      <c r="A714" s="26">
        <v>45987.529937592597</v>
      </c>
      <c r="B714" s="8" t="s">
        <v>1049</v>
      </c>
      <c r="C714" s="8" t="s">
        <v>5212</v>
      </c>
      <c r="D714" s="8" t="s">
        <v>5213</v>
      </c>
      <c r="E714" s="8" t="s">
        <v>5214</v>
      </c>
      <c r="F714" s="82" t="s">
        <v>5215</v>
      </c>
      <c r="G714" s="27">
        <v>45301</v>
      </c>
      <c r="H714" s="8" t="s">
        <v>1371</v>
      </c>
      <c r="I714" s="8">
        <v>890113301333</v>
      </c>
      <c r="J714" s="8" t="s">
        <v>3288</v>
      </c>
      <c r="K714" s="8" t="s">
        <v>5216</v>
      </c>
      <c r="L714" s="8" t="s">
        <v>5217</v>
      </c>
      <c r="M714" s="8" t="s">
        <v>1957</v>
      </c>
      <c r="N714" s="8">
        <v>87777348244</v>
      </c>
      <c r="O714" s="8">
        <v>360000</v>
      </c>
      <c r="P714" s="8">
        <v>0</v>
      </c>
      <c r="Q714" s="8" t="s">
        <v>879</v>
      </c>
    </row>
    <row r="715" spans="1:17" ht="13.2">
      <c r="A715" s="26">
        <v>45987.600516574079</v>
      </c>
      <c r="B715" s="8" t="s">
        <v>1141</v>
      </c>
      <c r="C715" s="8" t="s">
        <v>5218</v>
      </c>
      <c r="D715" s="8" t="s">
        <v>5219</v>
      </c>
      <c r="E715" s="8" t="s">
        <v>5220</v>
      </c>
      <c r="F715" s="82" t="s">
        <v>5221</v>
      </c>
      <c r="G715" s="27">
        <v>45247</v>
      </c>
      <c r="H715" s="8" t="s">
        <v>1431</v>
      </c>
      <c r="I715" s="8">
        <v>600211302009</v>
      </c>
      <c r="J715" s="8" t="s">
        <v>124</v>
      </c>
      <c r="K715" s="8" t="s">
        <v>1748</v>
      </c>
      <c r="L715" s="8" t="s">
        <v>5222</v>
      </c>
      <c r="M715" s="8" t="s">
        <v>4031</v>
      </c>
      <c r="N715" s="8">
        <v>87056134048</v>
      </c>
      <c r="O715" s="8">
        <v>410000</v>
      </c>
      <c r="P715" s="8">
        <v>0</v>
      </c>
      <c r="Q715" s="8" t="s">
        <v>877</v>
      </c>
    </row>
    <row r="716" spans="1:17" ht="13.2">
      <c r="A716" s="26">
        <v>45987.643749872688</v>
      </c>
      <c r="B716" s="8" t="s">
        <v>1141</v>
      </c>
      <c r="C716" s="8" t="s">
        <v>5223</v>
      </c>
      <c r="D716" s="8" t="s">
        <v>4107</v>
      </c>
      <c r="E716" s="8" t="s">
        <v>1939</v>
      </c>
      <c r="F716" s="82" t="s">
        <v>5224</v>
      </c>
      <c r="G716" s="27">
        <v>43705</v>
      </c>
      <c r="H716" s="8" t="s">
        <v>1371</v>
      </c>
      <c r="I716" s="82" t="s">
        <v>5225</v>
      </c>
      <c r="J716" s="8" t="s">
        <v>5226</v>
      </c>
      <c r="K716" s="8" t="s">
        <v>5227</v>
      </c>
      <c r="L716" s="8" t="s">
        <v>5228</v>
      </c>
      <c r="M716" s="8" t="s">
        <v>3195</v>
      </c>
      <c r="N716" s="8">
        <v>87478339897</v>
      </c>
      <c r="O716" s="8">
        <v>910000</v>
      </c>
      <c r="P716" s="8">
        <v>0</v>
      </c>
      <c r="Q716" s="8" t="s">
        <v>874</v>
      </c>
    </row>
    <row r="717" spans="1:17" ht="13.2">
      <c r="A717" s="26">
        <v>45987.684737719908</v>
      </c>
      <c r="B717" s="8" t="s">
        <v>1049</v>
      </c>
      <c r="C717" s="8" t="s">
        <v>5229</v>
      </c>
      <c r="D717" s="8" t="s">
        <v>1262</v>
      </c>
      <c r="E717" s="8" t="s">
        <v>1697</v>
      </c>
      <c r="F717" s="82" t="s">
        <v>5230</v>
      </c>
      <c r="G717" s="27">
        <v>44883</v>
      </c>
      <c r="H717" s="8" t="s">
        <v>1371</v>
      </c>
      <c r="I717" s="8">
        <v>771122300570</v>
      </c>
      <c r="J717" s="8" t="s">
        <v>3241</v>
      </c>
      <c r="K717" s="8" t="s">
        <v>5231</v>
      </c>
      <c r="L717" s="8" t="s">
        <v>5165</v>
      </c>
      <c r="M717" s="8" t="s">
        <v>5232</v>
      </c>
      <c r="N717" s="8">
        <v>87051916523</v>
      </c>
      <c r="O717" s="8">
        <v>0</v>
      </c>
      <c r="P717" s="8">
        <v>360000</v>
      </c>
      <c r="Q717" s="8" t="s">
        <v>884</v>
      </c>
    </row>
    <row r="718" spans="1:17" ht="13.2">
      <c r="A718" s="26">
        <v>45988.446835937502</v>
      </c>
      <c r="B718" s="8" t="s">
        <v>1141</v>
      </c>
      <c r="C718" s="8" t="s">
        <v>5233</v>
      </c>
      <c r="D718" s="8" t="s">
        <v>1099</v>
      </c>
      <c r="E718" s="8" t="s">
        <v>5234</v>
      </c>
      <c r="F718" s="82" t="s">
        <v>5235</v>
      </c>
      <c r="G718" s="27">
        <v>42535</v>
      </c>
      <c r="H718" s="8" t="s">
        <v>1371</v>
      </c>
      <c r="I718" s="8">
        <v>820925350998</v>
      </c>
      <c r="J718" s="8" t="s">
        <v>4109</v>
      </c>
      <c r="K718" s="8" t="s">
        <v>5236</v>
      </c>
      <c r="L718" s="8" t="s">
        <v>5237</v>
      </c>
      <c r="M718" s="8" t="s">
        <v>5238</v>
      </c>
      <c r="N718" s="8">
        <v>0</v>
      </c>
      <c r="O718" s="8">
        <v>0</v>
      </c>
      <c r="P718" s="8">
        <v>690000</v>
      </c>
      <c r="Q718" s="8" t="s">
        <v>883</v>
      </c>
    </row>
    <row r="719" spans="1:17" ht="13.2">
      <c r="A719" s="26">
        <v>45989.509219976855</v>
      </c>
      <c r="B719" s="8" t="s">
        <v>1049</v>
      </c>
      <c r="C719" s="8" t="s">
        <v>5239</v>
      </c>
      <c r="D719" s="8" t="s">
        <v>5240</v>
      </c>
      <c r="E719" s="8" t="s">
        <v>5241</v>
      </c>
      <c r="F719" s="82" t="s">
        <v>5242</v>
      </c>
      <c r="G719" s="27">
        <v>43836</v>
      </c>
      <c r="H719" s="8" t="s">
        <v>1431</v>
      </c>
      <c r="I719" s="8">
        <v>931109300762</v>
      </c>
      <c r="J719" s="8" t="s">
        <v>2008</v>
      </c>
      <c r="K719" s="8" t="s">
        <v>5243</v>
      </c>
      <c r="L719" s="8" t="s">
        <v>5244</v>
      </c>
      <c r="M719" s="8" t="s">
        <v>2101</v>
      </c>
      <c r="N719" s="8">
        <v>87788789007</v>
      </c>
      <c r="O719" s="8">
        <v>360000</v>
      </c>
      <c r="P719" s="8">
        <v>0</v>
      </c>
      <c r="Q719" s="8" t="s">
        <v>885</v>
      </c>
    </row>
    <row r="720" spans="1:17" ht="13.2">
      <c r="A720" s="26">
        <v>45989.595197002316</v>
      </c>
      <c r="B720" s="8" t="s">
        <v>1071</v>
      </c>
      <c r="C720" s="8" t="s">
        <v>5245</v>
      </c>
      <c r="D720" s="8" t="s">
        <v>1226</v>
      </c>
      <c r="E720" s="8" t="s">
        <v>1111</v>
      </c>
      <c r="F720" s="82" t="s">
        <v>5246</v>
      </c>
      <c r="G720" s="27">
        <v>44064</v>
      </c>
      <c r="H720" s="8" t="s">
        <v>1371</v>
      </c>
      <c r="I720" s="8">
        <v>850124350403</v>
      </c>
      <c r="J720" s="8" t="s">
        <v>1908</v>
      </c>
      <c r="K720" s="8" t="s">
        <v>5247</v>
      </c>
      <c r="L720" s="8" t="s">
        <v>5248</v>
      </c>
      <c r="M720" s="8" t="s">
        <v>2858</v>
      </c>
      <c r="N720" s="8">
        <v>87027270797</v>
      </c>
      <c r="O720" s="8">
        <v>0</v>
      </c>
      <c r="P720" s="8">
        <v>350000</v>
      </c>
      <c r="Q720" s="8" t="s">
        <v>886</v>
      </c>
    </row>
    <row r="721" spans="1:17" ht="13.2">
      <c r="A721" s="26">
        <v>45992.487857824075</v>
      </c>
      <c r="B721" s="8" t="s">
        <v>1071</v>
      </c>
      <c r="C721" s="8" t="s">
        <v>5249</v>
      </c>
      <c r="D721" s="8" t="s">
        <v>1172</v>
      </c>
      <c r="E721" s="8" t="s">
        <v>2679</v>
      </c>
      <c r="F721" s="82" t="s">
        <v>5250</v>
      </c>
      <c r="G721" s="27">
        <v>45104</v>
      </c>
      <c r="H721" s="8" t="s">
        <v>1371</v>
      </c>
      <c r="I721" s="8">
        <v>900217350371</v>
      </c>
      <c r="J721" s="8" t="s">
        <v>1976</v>
      </c>
      <c r="K721" s="8" t="s">
        <v>2022</v>
      </c>
      <c r="L721" s="8" t="s">
        <v>5251</v>
      </c>
      <c r="M721" s="8" t="s">
        <v>5252</v>
      </c>
      <c r="N721" s="8">
        <v>87078504270</v>
      </c>
      <c r="O721" s="8">
        <v>20000</v>
      </c>
      <c r="P721" s="8">
        <v>330000</v>
      </c>
      <c r="Q721" s="8" t="s">
        <v>887</v>
      </c>
    </row>
    <row r="722" spans="1:17" ht="13.2">
      <c r="A722" s="26">
        <v>45992.55839445602</v>
      </c>
      <c r="B722" s="8" t="s">
        <v>1071</v>
      </c>
      <c r="C722" s="8" t="s">
        <v>5253</v>
      </c>
      <c r="D722" s="8" t="s">
        <v>1109</v>
      </c>
      <c r="E722" s="8" t="s">
        <v>2909</v>
      </c>
      <c r="F722" s="82" t="s">
        <v>5254</v>
      </c>
      <c r="G722" s="27">
        <v>45426</v>
      </c>
      <c r="H722" s="8" t="s">
        <v>1371</v>
      </c>
      <c r="I722" s="8">
        <v>830629350297</v>
      </c>
      <c r="J722" s="8" t="s">
        <v>1908</v>
      </c>
      <c r="K722" s="8" t="s">
        <v>5255</v>
      </c>
      <c r="L722" s="8" t="s">
        <v>5256</v>
      </c>
      <c r="M722" s="8" t="s">
        <v>5257</v>
      </c>
      <c r="N722" s="8">
        <v>87021591152</v>
      </c>
      <c r="O722" s="8">
        <v>400000</v>
      </c>
      <c r="P722" s="8">
        <v>0</v>
      </c>
      <c r="Q722" s="8" t="s">
        <v>888</v>
      </c>
    </row>
    <row r="723" spans="1:17" ht="13.2">
      <c r="A723" s="26">
        <v>45992.621923125</v>
      </c>
      <c r="B723" s="8" t="s">
        <v>1049</v>
      </c>
      <c r="C723" s="8" t="s">
        <v>5258</v>
      </c>
      <c r="D723" s="8" t="s">
        <v>1938</v>
      </c>
      <c r="E723" s="8" t="s">
        <v>1451</v>
      </c>
      <c r="F723" s="82" t="s">
        <v>5175</v>
      </c>
      <c r="G723" s="27">
        <v>44300</v>
      </c>
      <c r="H723" s="8" t="s">
        <v>1371</v>
      </c>
      <c r="I723" s="8">
        <v>860123301104</v>
      </c>
      <c r="J723" s="8" t="s">
        <v>3288</v>
      </c>
      <c r="K723" s="8" t="s">
        <v>2200</v>
      </c>
      <c r="L723" s="8" t="s">
        <v>5259</v>
      </c>
      <c r="M723" s="8" t="s">
        <v>1583</v>
      </c>
      <c r="N723" s="8">
        <v>87074407883</v>
      </c>
      <c r="O723" s="8">
        <v>360000</v>
      </c>
      <c r="P723" s="8">
        <v>0</v>
      </c>
      <c r="Q723" s="8" t="s">
        <v>889</v>
      </c>
    </row>
    <row r="724" spans="1:17" ht="13.2">
      <c r="A724" s="26">
        <v>45993.66972041667</v>
      </c>
      <c r="B724" s="8" t="s">
        <v>1049</v>
      </c>
      <c r="C724" s="8" t="s">
        <v>5260</v>
      </c>
      <c r="D724" s="8" t="s">
        <v>2084</v>
      </c>
      <c r="E724" s="8" t="s">
        <v>1968</v>
      </c>
      <c r="F724" s="82" t="s">
        <v>5261</v>
      </c>
      <c r="G724" s="27">
        <v>45371</v>
      </c>
      <c r="H724" s="8" t="s">
        <v>1371</v>
      </c>
      <c r="I724" s="8">
        <v>890325302265</v>
      </c>
      <c r="J724" s="8" t="s">
        <v>3241</v>
      </c>
      <c r="K724" s="8" t="s">
        <v>4963</v>
      </c>
      <c r="L724" s="8" t="s">
        <v>5262</v>
      </c>
      <c r="M724" s="8" t="s">
        <v>2150</v>
      </c>
      <c r="N724" s="8">
        <v>87075333718</v>
      </c>
      <c r="O724" s="8">
        <v>640000</v>
      </c>
      <c r="P724" s="8">
        <v>0</v>
      </c>
      <c r="Q724" s="8" t="s">
        <v>890</v>
      </c>
    </row>
    <row r="725" spans="1:17" ht="13.2">
      <c r="A725" s="26">
        <v>45994.523458506941</v>
      </c>
      <c r="B725" s="8" t="s">
        <v>1049</v>
      </c>
      <c r="C725" s="8" t="s">
        <v>5263</v>
      </c>
      <c r="D725" s="8" t="s">
        <v>1836</v>
      </c>
      <c r="E725" s="8" t="s">
        <v>1075</v>
      </c>
      <c r="F725" s="82" t="s">
        <v>5264</v>
      </c>
      <c r="G725" s="27">
        <v>45876</v>
      </c>
      <c r="H725" s="8" t="s">
        <v>1371</v>
      </c>
      <c r="I725" s="8">
        <v>811223301736</v>
      </c>
      <c r="J725" s="8" t="s">
        <v>2008</v>
      </c>
      <c r="K725" s="8" t="s">
        <v>5265</v>
      </c>
      <c r="L725" s="8" t="s">
        <v>5266</v>
      </c>
      <c r="M725" s="8" t="s">
        <v>5267</v>
      </c>
      <c r="N725" s="8">
        <v>87772550106</v>
      </c>
      <c r="O725" s="8">
        <v>420000</v>
      </c>
      <c r="P725" s="8">
        <v>0</v>
      </c>
      <c r="Q725" s="8" t="s">
        <v>891</v>
      </c>
    </row>
    <row r="726" spans="1:17" ht="13.2">
      <c r="A726" s="26">
        <v>45994.703123784726</v>
      </c>
      <c r="B726" s="8" t="s">
        <v>1049</v>
      </c>
      <c r="C726" s="8" t="s">
        <v>5268</v>
      </c>
      <c r="D726" s="8" t="s">
        <v>5269</v>
      </c>
      <c r="E726" s="8" t="s">
        <v>5270</v>
      </c>
      <c r="F726" s="82" t="s">
        <v>5271</v>
      </c>
      <c r="G726" s="27">
        <v>45183</v>
      </c>
      <c r="H726" s="8" t="s">
        <v>1371</v>
      </c>
      <c r="I726" s="8">
        <v>970909351611</v>
      </c>
      <c r="J726" s="8" t="s">
        <v>2218</v>
      </c>
      <c r="K726" s="8" t="s">
        <v>4688</v>
      </c>
      <c r="L726" s="8" t="s">
        <v>5272</v>
      </c>
      <c r="M726" s="8" t="s">
        <v>5273</v>
      </c>
      <c r="N726" s="8">
        <v>87473787445</v>
      </c>
      <c r="O726" s="8">
        <v>820000</v>
      </c>
      <c r="P726" s="8">
        <v>0</v>
      </c>
      <c r="Q726" s="8" t="s">
        <v>892</v>
      </c>
    </row>
    <row r="727" spans="1:17" ht="13.2">
      <c r="A727" s="26">
        <v>45996.542289641206</v>
      </c>
      <c r="B727" s="8" t="s">
        <v>1049</v>
      </c>
      <c r="C727" s="8" t="s">
        <v>5274</v>
      </c>
      <c r="D727" s="8" t="s">
        <v>5275</v>
      </c>
      <c r="E727" s="8" t="s">
        <v>5276</v>
      </c>
      <c r="F727" s="82" t="s">
        <v>5277</v>
      </c>
      <c r="G727" s="27">
        <v>45615</v>
      </c>
      <c r="H727" s="8" t="s">
        <v>1371</v>
      </c>
      <c r="I727" s="8">
        <v>791111300504</v>
      </c>
      <c r="J727" s="8" t="s">
        <v>2008</v>
      </c>
      <c r="K727" s="8" t="s">
        <v>4727</v>
      </c>
      <c r="L727" s="8" t="s">
        <v>5278</v>
      </c>
      <c r="M727" s="8" t="s">
        <v>4810</v>
      </c>
      <c r="N727" s="8">
        <v>87017527017</v>
      </c>
      <c r="O727" s="8">
        <v>400000</v>
      </c>
      <c r="P727" s="8">
        <v>0</v>
      </c>
      <c r="Q727" s="8" t="s">
        <v>893</v>
      </c>
    </row>
    <row r="728" spans="1:17" ht="13.2">
      <c r="A728" s="26">
        <v>45996.670504837966</v>
      </c>
      <c r="B728" s="8" t="s">
        <v>1049</v>
      </c>
      <c r="C728" s="8" t="s">
        <v>5279</v>
      </c>
      <c r="D728" s="8" t="s">
        <v>1228</v>
      </c>
      <c r="E728" s="8" t="s">
        <v>2390</v>
      </c>
      <c r="F728" s="82" t="s">
        <v>5280</v>
      </c>
      <c r="G728" s="27">
        <v>44602</v>
      </c>
      <c r="H728" s="8" t="s">
        <v>1371</v>
      </c>
      <c r="I728" s="8">
        <v>820415302083</v>
      </c>
      <c r="J728" s="8" t="s">
        <v>1520</v>
      </c>
      <c r="K728" s="8" t="s">
        <v>5281</v>
      </c>
      <c r="L728" s="8" t="s">
        <v>5282</v>
      </c>
      <c r="M728" s="8" t="s">
        <v>5283</v>
      </c>
      <c r="N728" s="8">
        <v>87776923757</v>
      </c>
      <c r="O728" s="8">
        <v>0</v>
      </c>
      <c r="P728" s="8">
        <v>350000</v>
      </c>
      <c r="Q728" s="8" t="s">
        <v>894</v>
      </c>
    </row>
    <row r="729" spans="1:17" ht="13.2">
      <c r="A729" s="26">
        <v>45998.594890416665</v>
      </c>
      <c r="B729" s="8" t="s">
        <v>1049</v>
      </c>
      <c r="C729" s="8" t="s">
        <v>5284</v>
      </c>
      <c r="D729" s="8" t="s">
        <v>5285</v>
      </c>
      <c r="E729" s="8" t="s">
        <v>5286</v>
      </c>
      <c r="F729" s="82" t="s">
        <v>5287</v>
      </c>
      <c r="G729" s="27">
        <v>45945</v>
      </c>
      <c r="H729" s="8" t="s">
        <v>1371</v>
      </c>
      <c r="I729" s="8">
        <v>570813300671</v>
      </c>
      <c r="J729" s="8" t="s">
        <v>2015</v>
      </c>
      <c r="K729" s="8" t="s">
        <v>5288</v>
      </c>
      <c r="L729" s="8" t="s">
        <v>5289</v>
      </c>
      <c r="M729" s="8" t="s">
        <v>2095</v>
      </c>
      <c r="N729" s="8">
        <v>87774253524</v>
      </c>
      <c r="O729" s="8">
        <v>0</v>
      </c>
      <c r="P729" s="8">
        <v>350000</v>
      </c>
      <c r="Q729" s="8" t="s">
        <v>895</v>
      </c>
    </row>
    <row r="730" spans="1:17" ht="13.2">
      <c r="A730" s="26">
        <v>45999.42277365741</v>
      </c>
      <c r="B730" s="8" t="s">
        <v>1049</v>
      </c>
      <c r="C730" s="8" t="s">
        <v>5290</v>
      </c>
      <c r="D730" s="8" t="s">
        <v>2840</v>
      </c>
      <c r="E730" s="8" t="s">
        <v>5291</v>
      </c>
      <c r="F730" s="82" t="s">
        <v>5292</v>
      </c>
      <c r="G730" s="27">
        <v>44447</v>
      </c>
      <c r="H730" s="8" t="s">
        <v>1371</v>
      </c>
      <c r="I730" s="8">
        <v>700612301864</v>
      </c>
      <c r="J730" s="8" t="s">
        <v>5293</v>
      </c>
      <c r="K730" s="8" t="s">
        <v>5294</v>
      </c>
      <c r="L730" s="8" t="s">
        <v>2253</v>
      </c>
      <c r="M730" s="8" t="s">
        <v>4144</v>
      </c>
      <c r="N730" s="8">
        <v>87077151587</v>
      </c>
      <c r="O730" s="8">
        <v>0</v>
      </c>
      <c r="P730" s="8">
        <v>360000</v>
      </c>
      <c r="Q730" s="8" t="s">
        <v>896</v>
      </c>
    </row>
    <row r="731" spans="1:17" ht="13.2">
      <c r="A731" s="26">
        <v>45915.640266203707</v>
      </c>
      <c r="B731" s="8" t="s">
        <v>1049</v>
      </c>
      <c r="C731" s="8" t="s">
        <v>5295</v>
      </c>
      <c r="D731" s="8" t="s">
        <v>2342</v>
      </c>
      <c r="E731" s="8" t="s">
        <v>2343</v>
      </c>
      <c r="F731" s="82" t="s">
        <v>2344</v>
      </c>
      <c r="G731" s="27">
        <v>45261</v>
      </c>
      <c r="H731" s="8" t="s">
        <v>1371</v>
      </c>
      <c r="I731" s="8">
        <v>810522303061</v>
      </c>
      <c r="J731" s="8" t="s">
        <v>3132</v>
      </c>
      <c r="K731" s="8" t="s">
        <v>4137</v>
      </c>
      <c r="L731" s="8" t="s">
        <v>4138</v>
      </c>
      <c r="M731" s="8" t="s">
        <v>4286</v>
      </c>
      <c r="N731" s="8">
        <v>87087435052</v>
      </c>
      <c r="O731" s="8">
        <v>325000</v>
      </c>
      <c r="P731" s="8">
        <v>0</v>
      </c>
      <c r="Q731" s="8" t="s">
        <v>864</v>
      </c>
    </row>
    <row r="732" spans="1:17" ht="13.2">
      <c r="A732" s="99">
        <v>45796.654652777775</v>
      </c>
      <c r="B732" s="100" t="s">
        <v>1049</v>
      </c>
      <c r="C732" s="101" t="s">
        <v>5296</v>
      </c>
      <c r="D732" s="100" t="s">
        <v>2342</v>
      </c>
      <c r="E732" s="100" t="s">
        <v>2343</v>
      </c>
      <c r="F732" s="102" t="s">
        <v>2344</v>
      </c>
      <c r="G732" s="92">
        <v>45261</v>
      </c>
      <c r="H732" s="100" t="s">
        <v>1371</v>
      </c>
      <c r="I732" s="103">
        <v>810522303061</v>
      </c>
      <c r="J732" s="100" t="s">
        <v>1489</v>
      </c>
      <c r="K732" s="100" t="s">
        <v>3258</v>
      </c>
      <c r="L732" s="100" t="s">
        <v>3259</v>
      </c>
      <c r="M732" s="100" t="s">
        <v>3260</v>
      </c>
      <c r="N732" s="103">
        <v>87087435052</v>
      </c>
      <c r="O732" s="103">
        <v>0</v>
      </c>
      <c r="P732" s="103">
        <v>310000</v>
      </c>
      <c r="Q732" s="101" t="s">
        <v>603</v>
      </c>
    </row>
    <row r="733" spans="1:17" ht="13.2">
      <c r="A733" s="99">
        <v>45796.654652777775</v>
      </c>
      <c r="B733" s="100" t="s">
        <v>1049</v>
      </c>
      <c r="C733" s="101" t="s">
        <v>5297</v>
      </c>
      <c r="D733" s="100" t="s">
        <v>2342</v>
      </c>
      <c r="E733" s="100" t="s">
        <v>2343</v>
      </c>
      <c r="F733" s="102" t="s">
        <v>2344</v>
      </c>
      <c r="G733" s="92">
        <v>45261</v>
      </c>
      <c r="H733" s="100" t="s">
        <v>1371</v>
      </c>
      <c r="I733" s="103">
        <v>810522303061</v>
      </c>
      <c r="J733" s="100" t="s">
        <v>1489</v>
      </c>
      <c r="K733" s="100" t="s">
        <v>3258</v>
      </c>
      <c r="L733" s="100" t="s">
        <v>3259</v>
      </c>
      <c r="M733" s="100" t="s">
        <v>3260</v>
      </c>
      <c r="N733" s="103">
        <v>87087435052</v>
      </c>
      <c r="O733" s="103">
        <v>0</v>
      </c>
      <c r="P733" s="103">
        <v>310000</v>
      </c>
      <c r="Q733" s="101" t="s">
        <v>643</v>
      </c>
    </row>
    <row r="734" spans="1:17" ht="13.2">
      <c r="A734" s="26">
        <v>45915.640266203707</v>
      </c>
      <c r="B734" s="8" t="s">
        <v>1049</v>
      </c>
      <c r="C734" s="8" t="s">
        <v>4136</v>
      </c>
      <c r="D734" s="8" t="s">
        <v>2342</v>
      </c>
      <c r="E734" s="8" t="s">
        <v>2343</v>
      </c>
      <c r="F734" s="82" t="s">
        <v>2344</v>
      </c>
      <c r="G734" s="27">
        <v>45261</v>
      </c>
      <c r="H734" s="8" t="s">
        <v>1371</v>
      </c>
      <c r="I734" s="8">
        <v>810522303061</v>
      </c>
      <c r="J734" s="8" t="s">
        <v>3132</v>
      </c>
      <c r="K734" s="8" t="s">
        <v>4137</v>
      </c>
      <c r="L734" s="8" t="s">
        <v>4138</v>
      </c>
      <c r="M734" s="8" t="s">
        <v>4286</v>
      </c>
      <c r="N734" s="8">
        <v>87087435052</v>
      </c>
      <c r="O734" s="8">
        <v>325000</v>
      </c>
      <c r="P734" s="8">
        <v>0</v>
      </c>
      <c r="Q734" s="8" t="s">
        <v>785</v>
      </c>
    </row>
    <row r="735" spans="1:17" ht="13.2">
      <c r="A735" s="88">
        <v>45761</v>
      </c>
      <c r="B735" s="8" t="s">
        <v>1071</v>
      </c>
      <c r="C735" s="8" t="s">
        <v>5298</v>
      </c>
      <c r="D735" s="8" t="s">
        <v>1262</v>
      </c>
      <c r="E735" s="8" t="s">
        <v>1480</v>
      </c>
      <c r="F735" s="8">
        <v>52183304</v>
      </c>
      <c r="G735" s="27">
        <v>44608</v>
      </c>
      <c r="H735" s="8" t="s">
        <v>1371</v>
      </c>
      <c r="I735" s="8">
        <v>940823350076</v>
      </c>
      <c r="J735" s="8" t="s">
        <v>1976</v>
      </c>
      <c r="K735" s="8" t="s">
        <v>3504</v>
      </c>
      <c r="L735" s="8" t="s">
        <v>3505</v>
      </c>
      <c r="M735" s="8" t="s">
        <v>3501</v>
      </c>
      <c r="N735" s="8">
        <v>87072479999</v>
      </c>
      <c r="O735" s="8">
        <v>0</v>
      </c>
      <c r="P735" s="8">
        <v>360000</v>
      </c>
      <c r="Q735" s="8" t="s">
        <v>535</v>
      </c>
    </row>
    <row r="736" spans="1:17" ht="13.2">
      <c r="A736" s="26">
        <v>45540.745370370372</v>
      </c>
      <c r="B736" s="8" t="s">
        <v>1049</v>
      </c>
      <c r="C736" s="8" t="s">
        <v>5299</v>
      </c>
      <c r="D736" s="8" t="s">
        <v>5300</v>
      </c>
      <c r="E736" s="8" t="s">
        <v>5300</v>
      </c>
      <c r="F736" s="8" t="s">
        <v>5300</v>
      </c>
      <c r="G736" s="8" t="s">
        <v>5300</v>
      </c>
      <c r="H736" s="8" t="s">
        <v>5300</v>
      </c>
      <c r="I736" s="8" t="s">
        <v>5300</v>
      </c>
      <c r="J736" s="8" t="s">
        <v>5300</v>
      </c>
      <c r="K736" s="8" t="s">
        <v>5300</v>
      </c>
      <c r="L736" s="8" t="s">
        <v>5300</v>
      </c>
      <c r="M736" s="8" t="s">
        <v>5300</v>
      </c>
      <c r="N736" s="8" t="s">
        <v>5300</v>
      </c>
      <c r="O736" s="8">
        <v>0</v>
      </c>
      <c r="P736" s="8">
        <v>320000</v>
      </c>
      <c r="Q736" s="8" t="s">
        <v>244</v>
      </c>
    </row>
    <row r="737" spans="1:17" ht="13.2">
      <c r="A737" s="26">
        <v>45544.738703703704</v>
      </c>
      <c r="B737" s="8" t="s">
        <v>1049</v>
      </c>
      <c r="C737" s="8" t="s">
        <v>5301</v>
      </c>
      <c r="D737" s="8" t="s">
        <v>1899</v>
      </c>
      <c r="E737" s="8" t="s">
        <v>1900</v>
      </c>
      <c r="F737" s="82" t="s">
        <v>1901</v>
      </c>
      <c r="G737" s="27">
        <v>43903</v>
      </c>
      <c r="H737" s="8" t="s">
        <v>1371</v>
      </c>
      <c r="I737" s="8">
        <v>700408301786</v>
      </c>
      <c r="J737" s="8" t="s">
        <v>1902</v>
      </c>
      <c r="K737" s="8" t="s">
        <v>1903</v>
      </c>
      <c r="L737" s="8" t="s">
        <v>1904</v>
      </c>
      <c r="M737" s="8" t="s">
        <v>1905</v>
      </c>
      <c r="N737" s="8">
        <v>87773342870</v>
      </c>
      <c r="O737" s="8">
        <v>370000</v>
      </c>
      <c r="P737" s="8">
        <v>0</v>
      </c>
      <c r="Q737" s="8" t="s">
        <v>193</v>
      </c>
    </row>
    <row r="738" spans="1:17" ht="13.2">
      <c r="A738" s="26">
        <v>45544.738703703704</v>
      </c>
      <c r="B738" s="8" t="s">
        <v>1049</v>
      </c>
      <c r="C738" s="8" t="s">
        <v>5302</v>
      </c>
      <c r="D738" s="8" t="s">
        <v>1899</v>
      </c>
      <c r="E738" s="8" t="s">
        <v>1900</v>
      </c>
      <c r="F738" s="82" t="s">
        <v>1901</v>
      </c>
      <c r="G738" s="27">
        <v>43903</v>
      </c>
      <c r="H738" s="8" t="s">
        <v>1371</v>
      </c>
      <c r="I738" s="8">
        <v>700408301786</v>
      </c>
      <c r="J738" s="8" t="s">
        <v>1902</v>
      </c>
      <c r="K738" s="8" t="s">
        <v>1903</v>
      </c>
      <c r="L738" s="8" t="s">
        <v>1904</v>
      </c>
      <c r="M738" s="8" t="s">
        <v>1905</v>
      </c>
      <c r="N738" s="8">
        <v>87773342870</v>
      </c>
      <c r="O738" s="8">
        <v>370000</v>
      </c>
      <c r="P738" s="8">
        <v>0</v>
      </c>
      <c r="Q738" s="8" t="s">
        <v>189</v>
      </c>
    </row>
  </sheetData>
  <conditionalFormatting sqref="Q581">
    <cfRule type="expression" dxfId="3" priority="1">
      <formula>AND(NOT(ISBLANK(Q581)), COUNTIF($B$1:$B835, "=" &amp; Q581) &gt; 1)</formula>
    </cfRule>
  </conditionalFormatting>
  <conditionalFormatting sqref="Q581">
    <cfRule type="expression" dxfId="2" priority="2">
      <formula>COUNTIF(Q:Q, Q581) &gt; 1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3"/>
  <sheetViews>
    <sheetView workbookViewId="0"/>
  </sheetViews>
  <sheetFormatPr defaultColWidth="12.6640625" defaultRowHeight="15.75" customHeight="1"/>
  <cols>
    <col min="1" max="1" width="26.21875" customWidth="1"/>
  </cols>
  <sheetData>
    <row r="1" spans="1:26" ht="13.2">
      <c r="A1" s="225" t="s">
        <v>112</v>
      </c>
      <c r="B1" s="227" t="s">
        <v>6312</v>
      </c>
    </row>
    <row r="2" spans="1:26" ht="18.75" customHeight="1"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3.2">
      <c r="A3" s="218" t="s">
        <v>6309</v>
      </c>
      <c r="B3" s="219"/>
      <c r="C3" s="219"/>
      <c r="D3" s="218" t="s">
        <v>109</v>
      </c>
      <c r="E3" s="219"/>
      <c r="F3" s="228"/>
    </row>
    <row r="4" spans="1:26" ht="13.2">
      <c r="A4" s="218" t="s">
        <v>102</v>
      </c>
      <c r="B4" s="218" t="s">
        <v>103</v>
      </c>
      <c r="C4" s="218" t="s">
        <v>106</v>
      </c>
      <c r="D4" s="229" t="s">
        <v>121</v>
      </c>
      <c r="E4" s="230" t="s">
        <v>124</v>
      </c>
      <c r="F4" s="221" t="s">
        <v>6310</v>
      </c>
    </row>
    <row r="5" spans="1:26" ht="13.2">
      <c r="A5" s="229" t="s">
        <v>114</v>
      </c>
      <c r="B5" s="229">
        <v>30</v>
      </c>
      <c r="C5" s="229" t="s">
        <v>115</v>
      </c>
      <c r="D5" s="231">
        <v>1</v>
      </c>
      <c r="E5" s="232"/>
      <c r="F5" s="233">
        <v>1</v>
      </c>
    </row>
    <row r="6" spans="1:26" ht="13.2">
      <c r="A6" s="234"/>
      <c r="B6" s="229">
        <v>50</v>
      </c>
      <c r="C6" s="229">
        <v>30</v>
      </c>
      <c r="D6" s="231"/>
      <c r="E6" s="232">
        <v>1</v>
      </c>
      <c r="F6" s="233">
        <v>1</v>
      </c>
    </row>
    <row r="7" spans="1:26" ht="13.2">
      <c r="A7" s="234"/>
      <c r="B7" s="234"/>
      <c r="C7" s="235" t="s">
        <v>115</v>
      </c>
      <c r="D7" s="236"/>
      <c r="E7" s="237">
        <v>2</v>
      </c>
      <c r="F7" s="238">
        <v>2</v>
      </c>
    </row>
    <row r="8" spans="1:26" ht="13.2">
      <c r="A8" s="229" t="s">
        <v>287</v>
      </c>
      <c r="B8" s="229">
        <v>30</v>
      </c>
      <c r="C8" s="229" t="s">
        <v>115</v>
      </c>
      <c r="D8" s="231">
        <v>1</v>
      </c>
      <c r="E8" s="232"/>
      <c r="F8" s="233">
        <v>1</v>
      </c>
    </row>
    <row r="9" spans="1:26" ht="13.2">
      <c r="A9" s="229" t="s">
        <v>366</v>
      </c>
      <c r="B9" s="229">
        <v>30</v>
      </c>
      <c r="C9" s="229" t="s">
        <v>115</v>
      </c>
      <c r="D9" s="231"/>
      <c r="E9" s="232">
        <v>1</v>
      </c>
      <c r="F9" s="233">
        <v>1</v>
      </c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3.2">
      <c r="A10" s="222" t="s">
        <v>6310</v>
      </c>
      <c r="B10" s="223"/>
      <c r="C10" s="223"/>
      <c r="D10" s="239">
        <v>2</v>
      </c>
      <c r="E10" s="240">
        <v>4</v>
      </c>
      <c r="F10" s="224">
        <v>6</v>
      </c>
    </row>
    <row r="11" spans="1:26" ht="13.2">
      <c r="A11" s="36"/>
      <c r="B11" s="36"/>
      <c r="C11" s="36"/>
      <c r="D11" s="36"/>
      <c r="E11" s="36"/>
      <c r="F11" s="36"/>
    </row>
    <row r="12" spans="1:26" ht="13.2">
      <c r="A12" s="36"/>
      <c r="B12" s="36"/>
      <c r="C12" s="36"/>
      <c r="D12" s="36"/>
      <c r="E12" s="36"/>
      <c r="F12" s="36"/>
    </row>
    <row r="13" spans="1:26" ht="13.2">
      <c r="A13" s="36"/>
      <c r="B13" s="36"/>
      <c r="C13" s="36"/>
      <c r="D13" s="36"/>
      <c r="E13" s="36"/>
      <c r="F13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6"/>
  <sheetViews>
    <sheetView workbookViewId="0"/>
  </sheetViews>
  <sheetFormatPr defaultColWidth="12.6640625" defaultRowHeight="15.75" customHeight="1"/>
  <cols>
    <col min="1" max="1" width="27" customWidth="1"/>
  </cols>
  <sheetData>
    <row r="1" spans="1:4">
      <c r="A1" s="225" t="s">
        <v>99</v>
      </c>
      <c r="B1" s="226" t="s">
        <v>6311</v>
      </c>
    </row>
    <row r="2" spans="1:4">
      <c r="A2" s="225" t="s">
        <v>112</v>
      </c>
      <c r="B2" s="227" t="s">
        <v>1323</v>
      </c>
    </row>
    <row r="4" spans="1:4">
      <c r="A4" s="218" t="s">
        <v>6309</v>
      </c>
      <c r="B4" s="219"/>
      <c r="C4" s="219"/>
      <c r="D4" s="220" t="s">
        <v>109</v>
      </c>
    </row>
    <row r="5" spans="1:4">
      <c r="A5" s="218" t="s">
        <v>102</v>
      </c>
      <c r="B5" s="218" t="s">
        <v>103</v>
      </c>
      <c r="C5" s="218" t="s">
        <v>106</v>
      </c>
      <c r="D5" s="221" t="s">
        <v>6310</v>
      </c>
    </row>
    <row r="6" spans="1:4">
      <c r="A6" s="222" t="s">
        <v>6310</v>
      </c>
      <c r="B6" s="223"/>
      <c r="C6" s="223"/>
      <c r="D6" s="2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AB6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14.6640625" customWidth="1"/>
    <col min="3" max="3" width="18.33203125" customWidth="1"/>
    <col min="4" max="4" width="14.6640625" customWidth="1"/>
    <col min="12" max="12" width="18.109375" customWidth="1"/>
    <col min="13" max="13" width="14.44140625" customWidth="1"/>
    <col min="14" max="14" width="7" customWidth="1"/>
    <col min="15" max="15" width="15.88671875" customWidth="1"/>
    <col min="16" max="16" width="16.21875" customWidth="1"/>
    <col min="19" max="19" width="25.6640625" customWidth="1"/>
    <col min="20" max="20" width="18.33203125" customWidth="1"/>
    <col min="21" max="21" width="25.6640625" customWidth="1"/>
    <col min="22" max="22" width="22.21875" customWidth="1"/>
    <col min="23" max="23" width="9" customWidth="1"/>
    <col min="25" max="25" width="15.21875" customWidth="1"/>
    <col min="27" max="27" width="29.88671875" customWidth="1"/>
  </cols>
  <sheetData>
    <row r="1" spans="1:28" ht="15.75" customHeight="1">
      <c r="A1" s="33" t="s">
        <v>5303</v>
      </c>
      <c r="B1" s="33" t="s">
        <v>0</v>
      </c>
      <c r="C1" s="81" t="s">
        <v>1010</v>
      </c>
      <c r="D1" s="80" t="s">
        <v>1035</v>
      </c>
      <c r="E1" s="80" t="s">
        <v>1036</v>
      </c>
      <c r="F1" s="80" t="s">
        <v>897</v>
      </c>
      <c r="G1" s="80" t="s">
        <v>1037</v>
      </c>
      <c r="H1" s="80" t="s">
        <v>898</v>
      </c>
      <c r="I1" s="80" t="s">
        <v>1038</v>
      </c>
      <c r="J1" s="80" t="s">
        <v>1039</v>
      </c>
      <c r="K1" s="80" t="s">
        <v>1040</v>
      </c>
      <c r="L1" s="80" t="s">
        <v>1041</v>
      </c>
      <c r="M1" s="80" t="s">
        <v>1042</v>
      </c>
      <c r="N1" s="80" t="s">
        <v>1043</v>
      </c>
      <c r="O1" s="80" t="s">
        <v>1044</v>
      </c>
      <c r="P1" s="80" t="s">
        <v>904</v>
      </c>
      <c r="Q1" s="80" t="s">
        <v>1045</v>
      </c>
      <c r="R1" s="80" t="s">
        <v>1046</v>
      </c>
      <c r="S1" s="80" t="s">
        <v>1047</v>
      </c>
      <c r="T1" s="80" t="s">
        <v>1048</v>
      </c>
      <c r="U1" s="33" t="s">
        <v>111</v>
      </c>
      <c r="V1" s="33" t="s">
        <v>905</v>
      </c>
      <c r="W1" s="33" t="s">
        <v>110</v>
      </c>
      <c r="X1" s="33" t="s">
        <v>906</v>
      </c>
      <c r="Y1" s="33" t="s">
        <v>907</v>
      </c>
      <c r="Z1" s="33" t="s">
        <v>908</v>
      </c>
      <c r="AA1" s="33" t="s">
        <v>909</v>
      </c>
      <c r="AB1" s="33" t="s">
        <v>911</v>
      </c>
    </row>
    <row r="2" spans="1:28" ht="13.2">
      <c r="A2" s="34">
        <v>1222</v>
      </c>
      <c r="B2" s="35">
        <f>'Реестр договоров'!B63</f>
        <v>45478</v>
      </c>
      <c r="C2" s="36" t="str">
        <f t="shared" ref="C2:C7" si="0">VLOOKUP(A2,Реестр_Договоров,3,0)</f>
        <v>"ПК Эффект"</v>
      </c>
      <c r="D2" s="36" t="str">
        <f>VLOOKUP(C2,'юр лица'!$C$2:$T$24,2,0)</f>
        <v>Товарищество с ограниченной ответственностью</v>
      </c>
      <c r="E2" s="36" t="str">
        <f t="shared" ref="E2:E7" si="1">VLOOKUP(C2,Юр_лица,3,0)</f>
        <v>Директор</v>
      </c>
      <c r="F2" s="36" t="str">
        <f t="shared" ref="F2:F7" si="2">VLOOKUP(C2,Юр_лица,4,0)</f>
        <v>Александр</v>
      </c>
      <c r="G2" s="36" t="str">
        <f t="shared" ref="G2:G7" si="3">VLOOKUP(C2,Юр_лица,5,0)</f>
        <v>Асташов</v>
      </c>
      <c r="H2" s="36" t="str">
        <f t="shared" ref="H2:H7" si="4">VLOOKUP(C2,Юр_лица,6,0)</f>
        <v>Михайлович</v>
      </c>
      <c r="I2" s="36" t="str">
        <f t="shared" ref="I2:I7" si="5">VLOOKUP(C2,Юр_лица,7,0)</f>
        <v>Устава</v>
      </c>
      <c r="J2" s="36" t="str">
        <f t="shared" ref="J2:J7" si="6">VLOOKUP(C2,Юр_лица,8,0)</f>
        <v>090240013926</v>
      </c>
      <c r="K2" s="36" t="str">
        <f t="shared" ref="K2:K7" si="7">VLOOKUP(C2,Юр_лица,9,0)</f>
        <v>KZ07988BTB0000010921</v>
      </c>
      <c r="L2" s="36" t="str">
        <f t="shared" ref="L2:L7" si="8">VLOOKUP(C2,Юр_лица,10,0)</f>
        <v xml:space="preserve"> АО First Heartland Jysan bank</v>
      </c>
      <c r="M2" s="36" t="str">
        <f t="shared" ref="M2:M7" si="9">VLOOKUP(C2,Юр_лица,11,0)</f>
        <v>TSESKZKA</v>
      </c>
      <c r="N2" s="36">
        <f t="shared" ref="N2:N7" si="10">VLOOKUP(C2,Юр_лица,12,0)</f>
        <v>17</v>
      </c>
      <c r="O2" s="36" t="str">
        <f t="shared" ref="O2:O7" si="11">VLOOKUP(C2,Юр_лица,13,0)</f>
        <v>г.Астана, ул. Ташенова 8, НП 11</v>
      </c>
      <c r="P2" s="36">
        <f t="shared" ref="P2:P7" si="12">VLOOKUP(C2,Юр_лица,14,0)</f>
        <v>87172435516</v>
      </c>
      <c r="Q2" s="36">
        <f t="shared" ref="Q2:Q7" si="13">VLOOKUP(C2,Юр_лица,15,0)</f>
        <v>0</v>
      </c>
      <c r="R2" s="36">
        <f t="shared" ref="R2:R7" si="14">VLOOKUP(C2,Юр_лица,16,0)</f>
        <v>320000</v>
      </c>
      <c r="S2" s="36" t="str">
        <f t="shared" ref="S2:S7" si="15">VLOOKUP(C2,Юр_лица,17,0)</f>
        <v>Безналичным способом на счето организации</v>
      </c>
      <c r="T2" s="36" t="str">
        <f>VLOOKUP(A2,'Реестр договоров'!A2:D86,4,0)</f>
        <v>MX4000002R0001487</v>
      </c>
      <c r="U2" s="36" t="str">
        <f t="shared" ref="U2:U7" ca="1" si="16">VLOOKUP(T2,ПРИЦЕПЫ,11,0)</f>
        <v>002-2013E30Q13-OK</v>
      </c>
      <c r="V2" s="104" t="str">
        <f t="shared" ref="V2:V7" si="17">VLOOKUP(T2,ПРИЦЕПЫ,2,0)</f>
        <v>Прицеп 2,0*1,25 м  (до 750 кг.)</v>
      </c>
      <c r="W2" s="36" t="str">
        <f t="shared" ref="W2:W7" si="18">VLOOKUP(T2,ПРИЦЕПЫ,10,0)</f>
        <v>1 ось</v>
      </c>
      <c r="X2" s="104">
        <f t="shared" ref="X2:X7" si="19">YEAR(VLOOKUP(T2,ПРИЦЕПЫ,7,0))</f>
        <v>2024</v>
      </c>
      <c r="Y2" s="36" t="str">
        <f t="shared" ref="Y2:Y7" ca="1" si="20">VLOOKUP(U2,матрица,16,0)</f>
        <v>3150*1700*900</v>
      </c>
      <c r="Z2" s="105" t="str">
        <f ca="1">VLOOKUP(U2,матрица,17,0)</f>
        <v>2000*1250*300</v>
      </c>
      <c r="AA2" s="36" t="str">
        <f>VLOOKUP(W2,ОТТС!$A$2:$B$3,2,0)</f>
        <v>ТС KZ Е-KZ.0317.00251 от 28.02.2023</v>
      </c>
      <c r="AB2" s="36" t="str">
        <f t="shared" ref="AB2:AB7" si="21">VLOOKUP(T2,ПРИЦЕПЫ,9,0)</f>
        <v>Алматы</v>
      </c>
    </row>
    <row r="3" spans="1:28" ht="13.2">
      <c r="A3" s="34">
        <v>1232</v>
      </c>
      <c r="B3" s="35">
        <f>'Реестр договоров'!B64</f>
        <v>45481</v>
      </c>
      <c r="C3" s="36" t="str">
        <f t="shared" si="0"/>
        <v>"BASTAU QAZ"</v>
      </c>
      <c r="D3" s="36" t="str">
        <f>VLOOKUP(C3,'юр лица'!$C$2:$T$24,2,0)</f>
        <v>Товарищество с ограниченной ответственностью</v>
      </c>
      <c r="E3" s="36" t="str">
        <f t="shared" si="1"/>
        <v>Директор</v>
      </c>
      <c r="F3" s="36" t="str">
        <f t="shared" si="2"/>
        <v>Айдос</v>
      </c>
      <c r="G3" s="36" t="str">
        <f t="shared" si="3"/>
        <v>Болсынбеков</v>
      </c>
      <c r="H3" s="36" t="str">
        <f t="shared" si="4"/>
        <v>Сапаргазиевич</v>
      </c>
      <c r="I3" s="36" t="str">
        <f t="shared" si="5"/>
        <v>Устава</v>
      </c>
      <c r="J3" s="36">
        <f t="shared" si="6"/>
        <v>161240015376</v>
      </c>
      <c r="K3" s="36" t="str">
        <f t="shared" si="7"/>
        <v>KZ798562203105337546</v>
      </c>
      <c r="L3" s="36" t="str">
        <f t="shared" si="8"/>
        <v>АГФ АО "Банк Центр Кредит"</v>
      </c>
      <c r="M3" s="36" t="str">
        <f t="shared" si="9"/>
        <v>KCJBKZKX</v>
      </c>
      <c r="N3" s="36">
        <f t="shared" si="10"/>
        <v>17</v>
      </c>
      <c r="O3" s="36" t="str">
        <f t="shared" si="11"/>
        <v>040800, Казахстан, Алматинская обл., г.Капшагай, ул.Микрорайон Ивушка, ул. Б.Хмельницкого, д. 28А</v>
      </c>
      <c r="P3" s="36">
        <f t="shared" si="12"/>
        <v>87762017247</v>
      </c>
      <c r="Q3" s="36">
        <f t="shared" si="13"/>
        <v>0</v>
      </c>
      <c r="R3" s="36">
        <f t="shared" si="14"/>
        <v>460000</v>
      </c>
      <c r="S3" s="36" t="str">
        <f t="shared" si="15"/>
        <v>Безналичным способом на счето организации</v>
      </c>
      <c r="T3" s="36" t="str">
        <f>VLOOKUP(A3,'Реестр договоров'!A3:D87,4,0)</f>
        <v>MX4000002R0001635</v>
      </c>
      <c r="U3" s="36" t="str">
        <f t="shared" ca="1" si="16"/>
        <v>002-2513E50Q13-OK</v>
      </c>
      <c r="V3" s="104" t="str">
        <f t="shared" si="17"/>
        <v>Прицеп 2,5*1,25 м  (до 750 кг.)</v>
      </c>
      <c r="W3" s="36" t="str">
        <f t="shared" si="18"/>
        <v>1 ось</v>
      </c>
      <c r="X3" s="104">
        <f t="shared" si="19"/>
        <v>2024</v>
      </c>
      <c r="Y3" s="36" t="str">
        <f t="shared" ca="1" si="20"/>
        <v>3650*1700*1070</v>
      </c>
      <c r="Z3" s="105" t="str">
        <f ca="1">VLOOKUP(U3,матрица,17,0)</f>
        <v>2500*1250*500</v>
      </c>
      <c r="AA3" s="36" t="str">
        <f>VLOOKUP(W3,ОТТС!$A$2:$B$3,2,0)</f>
        <v>ТС KZ Е-KZ.0317.00251 от 28.02.2023</v>
      </c>
      <c r="AB3" s="36" t="str">
        <f t="shared" si="21"/>
        <v>Алматы</v>
      </c>
    </row>
    <row r="4" spans="1:28" ht="13.2">
      <c r="A4" s="34">
        <v>1247</v>
      </c>
      <c r="B4" s="35">
        <f>'Реестр договоров'!B65</f>
        <v>45481</v>
      </c>
      <c r="C4" s="36" t="str">
        <f t="shared" si="0"/>
        <v>"Akzhar mining"</v>
      </c>
      <c r="D4" s="36" t="str">
        <f>VLOOKUP(C4,'юр лица'!$C$2:$T$24,2,0)</f>
        <v>Товарищество с ограниченной ответственностью</v>
      </c>
      <c r="E4" s="36" t="str">
        <f t="shared" si="1"/>
        <v>Директор</v>
      </c>
      <c r="F4" s="36" t="str">
        <f t="shared" si="2"/>
        <v>Рамиль</v>
      </c>
      <c r="G4" s="36" t="str">
        <f t="shared" si="3"/>
        <v>Самеков</v>
      </c>
      <c r="H4" s="36" t="str">
        <f t="shared" si="4"/>
        <v>Сансызбаевич</v>
      </c>
      <c r="I4" s="36" t="str">
        <f t="shared" si="5"/>
        <v>Устава</v>
      </c>
      <c r="J4" s="36">
        <f t="shared" si="6"/>
        <v>191040013893</v>
      </c>
      <c r="K4" s="36" t="str">
        <f t="shared" si="7"/>
        <v>KZ43998JTB0000510466</v>
      </c>
      <c r="L4" s="36" t="str">
        <f t="shared" si="8"/>
        <v>АО "First Heartland Jysan Bank"</v>
      </c>
      <c r="M4" s="36" t="str">
        <f t="shared" si="9"/>
        <v>TSESKZKA</v>
      </c>
      <c r="N4" s="36">
        <f t="shared" si="10"/>
        <v>17</v>
      </c>
      <c r="O4" s="36" t="str">
        <f t="shared" si="11"/>
        <v>150214, Казахстан, Северо-Казазстанская область, Акжарский район, Ленинградский с.о., с.Ленинградское, ул.Тәуелсіздік, д.51, кв.2, г.Кокшетау, ул.Шалкар 18-15</v>
      </c>
      <c r="P4" s="36" t="str">
        <f t="shared" si="12"/>
        <v>87162294586, 87162500612, 8 7015344369</v>
      </c>
      <c r="Q4" s="36">
        <f t="shared" si="13"/>
        <v>0</v>
      </c>
      <c r="R4" s="36">
        <f t="shared" si="14"/>
        <v>350000</v>
      </c>
      <c r="S4" s="36" t="str">
        <f t="shared" si="15"/>
        <v>Безналичным способом на счето организации</v>
      </c>
      <c r="T4" s="36" t="str">
        <f>VLOOKUP(A4,'Реестр договоров'!A4:D88,4,0)</f>
        <v>MX4000002R0001725</v>
      </c>
      <c r="U4" s="36" t="str">
        <f t="shared" ca="1" si="16"/>
        <v>002-2013E30Q15-OK</v>
      </c>
      <c r="V4" s="104" t="str">
        <f t="shared" si="17"/>
        <v>Прицеп 2,0*1,25 м  (до 750 кг.)</v>
      </c>
      <c r="W4" s="36" t="str">
        <f t="shared" si="18"/>
        <v>1 ось</v>
      </c>
      <c r="X4" s="104">
        <f t="shared" si="19"/>
        <v>2024</v>
      </c>
      <c r="Y4" s="36" t="str">
        <f t="shared" ca="1" si="20"/>
        <v>3150*1700*900</v>
      </c>
      <c r="Z4" s="105" t="str">
        <f ca="1">VLOOKUP(U4,матрица,17,0)</f>
        <v>2000*1250*300</v>
      </c>
      <c r="AA4" s="36" t="str">
        <f>VLOOKUP(W4,ОТТС!$A$2:$B$3,2,0)</f>
        <v>ТС KZ Е-KZ.0317.00251 от 28.02.2023</v>
      </c>
      <c r="AB4" s="36" t="str">
        <f t="shared" si="21"/>
        <v>Кокшетау</v>
      </c>
    </row>
    <row r="5" spans="1:28" ht="13.2">
      <c r="A5" s="34">
        <v>1285</v>
      </c>
      <c r="B5" s="35">
        <f>'Реестр договоров'!B66</f>
        <v>45482</v>
      </c>
      <c r="C5" s="36" t="str">
        <f t="shared" si="0"/>
        <v>"Sky Industrial Group"</v>
      </c>
      <c r="D5" s="36" t="str">
        <f>VLOOKUP(C5,'юр лица'!$C$2:$T$24,2,0)</f>
        <v>Товарищество с ограниченной ответственностью</v>
      </c>
      <c r="E5" s="36" t="str">
        <f t="shared" si="1"/>
        <v>Генеральный директор</v>
      </c>
      <c r="F5" s="36" t="str">
        <f t="shared" si="2"/>
        <v>Алексей</v>
      </c>
      <c r="G5" s="36" t="str">
        <f t="shared" si="3"/>
        <v>Красненков</v>
      </c>
      <c r="H5" s="36" t="str">
        <f t="shared" si="4"/>
        <v>Геннадьевич</v>
      </c>
      <c r="I5" s="36" t="str">
        <f t="shared" si="5"/>
        <v>Устава</v>
      </c>
      <c r="J5" s="36">
        <f t="shared" si="6"/>
        <v>110640021610</v>
      </c>
      <c r="K5" s="36" t="str">
        <f t="shared" si="7"/>
        <v>KZ678562203115127293</v>
      </c>
      <c r="L5" s="36" t="str">
        <f t="shared" si="8"/>
        <v>АО «Банк Центр Кредит»</v>
      </c>
      <c r="M5" s="36" t="str">
        <f t="shared" si="9"/>
        <v>KCJBKZKX</v>
      </c>
      <c r="N5" s="36">
        <f t="shared" si="10"/>
        <v>17</v>
      </c>
      <c r="O5" s="36" t="str">
        <f t="shared" si="11"/>
        <v>040707, РК, Алматинская обл., Илийский р-н, Байсеркенский с.о., с.Байсерке, территория Промзона, здание 1221</v>
      </c>
      <c r="P5" s="36">
        <f t="shared" si="12"/>
        <v>87273272768</v>
      </c>
      <c r="Q5" s="36" t="str">
        <f t="shared" si="13"/>
        <v>info@sky-group.kz</v>
      </c>
      <c r="R5" s="36">
        <f t="shared" si="14"/>
        <v>440000</v>
      </c>
      <c r="S5" s="36" t="str">
        <f t="shared" si="15"/>
        <v>Безналичным способом на счето организации</v>
      </c>
      <c r="T5" s="36" t="str">
        <f>VLOOKUP(A5,'Реестр договоров'!A5:D149,4,0)</f>
        <v>MX4000002R0001621</v>
      </c>
      <c r="U5" s="36" t="str">
        <f t="shared" ca="1" si="16"/>
        <v>002-2513E30Q13-OK60</v>
      </c>
      <c r="V5" s="104" t="str">
        <f t="shared" si="17"/>
        <v>Прицеп 2,5*1,25 м  (до 750 кг.)</v>
      </c>
      <c r="W5" s="36" t="str">
        <f t="shared" si="18"/>
        <v>1 ось</v>
      </c>
      <c r="X5" s="104">
        <f t="shared" si="19"/>
        <v>2024</v>
      </c>
      <c r="Y5" s="36" t="str">
        <f t="shared" ca="1" si="20"/>
        <v>3650*1700*900</v>
      </c>
      <c r="Z5" s="105" t="str">
        <f ca="1">VLOOKUP(U5,матрица,17,0)</f>
        <v>2500*1250*300</v>
      </c>
      <c r="AA5" s="36" t="str">
        <f>VLOOKUP(W5,ОТТС!$A$2:$B$3,2,0)</f>
        <v>ТС KZ Е-KZ.0317.00251 от 28.02.2023</v>
      </c>
      <c r="AB5" s="36" t="str">
        <f t="shared" si="21"/>
        <v>Алматы</v>
      </c>
    </row>
    <row r="6" spans="1:28" ht="13.2">
      <c r="A6" s="34">
        <v>1314</v>
      </c>
      <c r="B6" s="35">
        <f>'Реестр договоров'!B67</f>
        <v>45482</v>
      </c>
      <c r="C6" s="36" t="str">
        <f t="shared" si="0"/>
        <v>Агро-фирма Желкуар 2003</v>
      </c>
      <c r="D6" s="36" t="str">
        <f>VLOOKUP(C6,'юр лица'!$C$2:$T$24,2,0)</f>
        <v>Товарищество с ограниченной ответственностью</v>
      </c>
      <c r="E6" s="36" t="str">
        <f t="shared" si="1"/>
        <v>Директор</v>
      </c>
      <c r="F6" s="36" t="str">
        <f t="shared" si="2"/>
        <v>Канат</v>
      </c>
      <c r="G6" s="36" t="str">
        <f t="shared" si="3"/>
        <v>Альмухамедов</v>
      </c>
      <c r="H6" s="36" t="str">
        <f t="shared" si="4"/>
        <v>Наурызбаевич</v>
      </c>
      <c r="I6" s="36" t="str">
        <f t="shared" si="5"/>
        <v>Устава</v>
      </c>
      <c r="J6" s="36" t="str">
        <f t="shared" si="6"/>
        <v>030340007220</v>
      </c>
      <c r="K6" s="36" t="str">
        <f t="shared" si="7"/>
        <v>KZ7482117PMW10000001</v>
      </c>
      <c r="L6" s="36" t="str">
        <f t="shared" si="8"/>
        <v>филиал АО "Bank RBK" в г.Астана</v>
      </c>
      <c r="M6" s="36" t="str">
        <f t="shared" si="9"/>
        <v>KINCKZKA</v>
      </c>
      <c r="N6" s="36">
        <f t="shared" si="10"/>
        <v>17</v>
      </c>
      <c r="O6" s="36" t="str">
        <f t="shared" si="11"/>
        <v>110718,РК, Костанайская  обл., Житикаринский р-н, с.Ырсай, ул. Степная 2, д.6, кв.1</v>
      </c>
      <c r="P6" s="36">
        <f t="shared" si="12"/>
        <v>87767773188</v>
      </c>
      <c r="Q6" s="36" t="str">
        <f t="shared" si="13"/>
        <v>info_farming@kustoagro.kz</v>
      </c>
      <c r="R6" s="36">
        <f t="shared" si="14"/>
        <v>790000</v>
      </c>
      <c r="S6" s="36" t="str">
        <f t="shared" si="15"/>
        <v>Безналичным способом на счето организации</v>
      </c>
      <c r="T6" s="36" t="str">
        <f>VLOOKUP(A6,'Реестр договоров'!A6:D169,4,0)</f>
        <v>MX4000004R0001771</v>
      </c>
      <c r="U6" s="36" t="str">
        <f t="shared" si="16"/>
        <v>004-3015E30Q13-OK150</v>
      </c>
      <c r="V6" s="104" t="str">
        <f t="shared" si="17"/>
        <v>Прицеп 3,0*1,5 м  (до 750 кг.)</v>
      </c>
      <c r="W6" s="36" t="str">
        <f t="shared" si="18"/>
        <v>2 оси</v>
      </c>
      <c r="X6" s="104">
        <f t="shared" si="19"/>
        <v>2024</v>
      </c>
      <c r="Y6" s="36" t="e">
        <f t="shared" si="20"/>
        <v>#N/A</v>
      </c>
      <c r="Z6" s="106" t="s">
        <v>945</v>
      </c>
      <c r="AA6" s="36" t="str">
        <f>VLOOKUP(W6,ОТТС!$A$2:$B$3,2,0)</f>
        <v>ТС KZ Е-KZ.0317.00219.П1 от 17.07.2025</v>
      </c>
      <c r="AB6" s="36" t="str">
        <f t="shared" si="21"/>
        <v>Кокшетау</v>
      </c>
    </row>
    <row r="7" spans="1:28" ht="13.2">
      <c r="A7" s="34">
        <v>1332</v>
      </c>
      <c r="B7" s="35">
        <f>'Реестр договоров'!B68</f>
        <v>45484</v>
      </c>
      <c r="C7" s="36" t="str">
        <f t="shared" si="0"/>
        <v>"COND"</v>
      </c>
      <c r="D7" s="36" t="str">
        <f>VLOOKUP(C7,'юр лица'!$C$2:$T$24,2,0)</f>
        <v>Товарищество с ограниченной ответственностью</v>
      </c>
      <c r="E7" s="36" t="str">
        <f t="shared" si="1"/>
        <v>Директор</v>
      </c>
      <c r="F7" s="36" t="str">
        <f t="shared" si="2"/>
        <v>Дмитрий</v>
      </c>
      <c r="G7" s="36" t="str">
        <f t="shared" si="3"/>
        <v>Максимов</v>
      </c>
      <c r="H7" s="36" t="str">
        <f t="shared" si="4"/>
        <v>Николаевич</v>
      </c>
      <c r="I7" s="36" t="str">
        <f t="shared" si="5"/>
        <v>Устава</v>
      </c>
      <c r="J7" s="36" t="str">
        <f t="shared" si="6"/>
        <v>010240004596</v>
      </c>
      <c r="K7" s="36">
        <f t="shared" si="7"/>
        <v>0</v>
      </c>
      <c r="L7" s="36">
        <f t="shared" si="8"/>
        <v>0</v>
      </c>
      <c r="M7" s="36">
        <f t="shared" si="9"/>
        <v>0</v>
      </c>
      <c r="N7" s="36">
        <f t="shared" si="10"/>
        <v>17</v>
      </c>
      <c r="O7" s="36" t="str">
        <f t="shared" si="11"/>
        <v>010240004596</v>
      </c>
      <c r="P7" s="36">
        <f t="shared" si="12"/>
        <v>0</v>
      </c>
      <c r="Q7" s="36">
        <f t="shared" si="13"/>
        <v>0</v>
      </c>
      <c r="R7" s="36">
        <f t="shared" si="14"/>
        <v>800000</v>
      </c>
      <c r="S7" s="36" t="str">
        <f t="shared" si="15"/>
        <v>Безналичным способом на счето организации</v>
      </c>
      <c r="T7" s="36" t="e">
        <f>VLOOKUP(A7,'Реестр договоров'!A7:D170,4,0)</f>
        <v>#N/A</v>
      </c>
      <c r="U7" s="36" t="e">
        <f t="shared" si="16"/>
        <v>#N/A</v>
      </c>
      <c r="V7" s="104" t="e">
        <f t="shared" si="17"/>
        <v>#N/A</v>
      </c>
      <c r="W7" s="36" t="e">
        <f t="shared" si="18"/>
        <v>#N/A</v>
      </c>
      <c r="X7" s="104" t="e">
        <f t="shared" si="19"/>
        <v>#N/A</v>
      </c>
      <c r="Y7" s="36" t="e">
        <f t="shared" si="20"/>
        <v>#N/A</v>
      </c>
      <c r="Z7" s="106" t="s">
        <v>5304</v>
      </c>
      <c r="AA7" s="36" t="e">
        <f>VLOOKUP(W7,ОТТС!$A$2:$B$3,2,0)</f>
        <v>#N/A</v>
      </c>
      <c r="AB7" s="36" t="e">
        <f t="shared" si="21"/>
        <v>#N/A</v>
      </c>
    </row>
    <row r="8" spans="1:28" ht="13.2">
      <c r="A8" s="34">
        <v>1351</v>
      </c>
      <c r="B8" s="107">
        <v>45583</v>
      </c>
      <c r="C8" s="34" t="s">
        <v>5305</v>
      </c>
      <c r="D8" s="34" t="s">
        <v>1188</v>
      </c>
      <c r="E8" s="34" t="s">
        <v>1052</v>
      </c>
      <c r="F8" s="34" t="s">
        <v>1190</v>
      </c>
      <c r="G8" s="34" t="s">
        <v>5306</v>
      </c>
      <c r="H8" s="34" t="s">
        <v>1191</v>
      </c>
      <c r="I8" s="34" t="s">
        <v>1056</v>
      </c>
      <c r="J8" s="34">
        <v>140540004751</v>
      </c>
      <c r="K8" s="34" t="s">
        <v>1192</v>
      </c>
      <c r="L8" s="34" t="s">
        <v>1183</v>
      </c>
      <c r="M8" s="34" t="s">
        <v>1184</v>
      </c>
      <c r="N8" s="34">
        <v>18</v>
      </c>
      <c r="O8" s="34" t="s">
        <v>5307</v>
      </c>
      <c r="P8" s="36"/>
      <c r="Q8" s="34" t="s">
        <v>5308</v>
      </c>
      <c r="R8" s="34">
        <v>340000</v>
      </c>
      <c r="S8" s="34" t="s">
        <v>1062</v>
      </c>
      <c r="T8" s="39" t="s">
        <v>11</v>
      </c>
      <c r="U8" s="34" t="s">
        <v>5309</v>
      </c>
      <c r="V8" s="34" t="s">
        <v>114</v>
      </c>
      <c r="W8" s="34" t="s">
        <v>119</v>
      </c>
      <c r="X8" s="34">
        <v>2024</v>
      </c>
      <c r="Y8" s="34" t="s">
        <v>5310</v>
      </c>
      <c r="Z8" s="34" t="s">
        <v>5311</v>
      </c>
      <c r="AA8" s="34" t="s">
        <v>5312</v>
      </c>
      <c r="AB8" s="34" t="s">
        <v>121</v>
      </c>
    </row>
    <row r="9" spans="1:28" ht="13.2">
      <c r="A9" s="34">
        <v>1362</v>
      </c>
      <c r="B9" s="107">
        <v>45595</v>
      </c>
      <c r="C9" s="34" t="s">
        <v>5313</v>
      </c>
      <c r="D9" s="34" t="s">
        <v>1051</v>
      </c>
      <c r="E9" s="34" t="s">
        <v>1052</v>
      </c>
      <c r="F9" s="34" t="s">
        <v>5314</v>
      </c>
      <c r="G9" s="34" t="s">
        <v>5315</v>
      </c>
      <c r="H9" s="34" t="s">
        <v>5316</v>
      </c>
      <c r="I9" s="34" t="s">
        <v>1056</v>
      </c>
      <c r="J9" s="34">
        <v>110240010680</v>
      </c>
      <c r="K9" s="34" t="s">
        <v>5317</v>
      </c>
      <c r="L9" s="34" t="s">
        <v>1146</v>
      </c>
      <c r="M9" s="34" t="s">
        <v>1147</v>
      </c>
      <c r="N9" s="36"/>
      <c r="O9" s="34" t="s">
        <v>5318</v>
      </c>
      <c r="P9" s="34" t="s">
        <v>5319</v>
      </c>
      <c r="Q9" s="34" t="s">
        <v>5320</v>
      </c>
      <c r="R9" s="36"/>
      <c r="S9" s="34"/>
      <c r="T9" s="39"/>
      <c r="U9" s="36"/>
      <c r="V9" s="36"/>
      <c r="W9" s="36"/>
      <c r="X9" s="36"/>
      <c r="Y9" s="36"/>
      <c r="Z9" s="36"/>
      <c r="AA9" s="36"/>
      <c r="AB9" s="36"/>
    </row>
    <row r="10" spans="1:28" ht="13.2">
      <c r="A10" s="34">
        <v>1392</v>
      </c>
      <c r="B10" s="107">
        <v>45617</v>
      </c>
      <c r="C10" s="34" t="s">
        <v>1194</v>
      </c>
      <c r="D10" s="34" t="s">
        <v>1051</v>
      </c>
      <c r="E10" s="34" t="s">
        <v>1052</v>
      </c>
      <c r="F10" s="36"/>
      <c r="G10" s="36"/>
      <c r="H10" s="36"/>
      <c r="I10" s="34" t="s">
        <v>1056</v>
      </c>
      <c r="J10" s="34">
        <v>130740014030</v>
      </c>
      <c r="K10" s="34" t="s">
        <v>1195</v>
      </c>
      <c r="L10" s="34" t="s">
        <v>1196</v>
      </c>
      <c r="M10" s="34" t="s">
        <v>1069</v>
      </c>
      <c r="N10" s="34">
        <v>17</v>
      </c>
      <c r="O10" s="34" t="s">
        <v>1197</v>
      </c>
      <c r="P10" s="36"/>
      <c r="Q10" s="36"/>
      <c r="R10" s="34">
        <v>340000</v>
      </c>
      <c r="S10" s="34" t="s">
        <v>1062</v>
      </c>
      <c r="T10" s="39" t="str">
        <f>VLOOKUP(A10,'Реестр договоров'!A10:D232,4,0)</f>
        <v>MX4000002R0001824</v>
      </c>
      <c r="U10" s="34" t="s">
        <v>5309</v>
      </c>
      <c r="V10" s="34" t="s">
        <v>114</v>
      </c>
      <c r="W10" s="34" t="s">
        <v>119</v>
      </c>
      <c r="X10" s="34">
        <v>2024</v>
      </c>
      <c r="Y10" s="34" t="s">
        <v>5310</v>
      </c>
      <c r="Z10" s="34" t="s">
        <v>5311</v>
      </c>
      <c r="AA10" s="34" t="s">
        <v>5312</v>
      </c>
      <c r="AB10" s="34" t="s">
        <v>121</v>
      </c>
    </row>
    <row r="11" spans="1:28" ht="13.2">
      <c r="A11" s="34">
        <v>1392</v>
      </c>
      <c r="B11" s="107">
        <v>45617</v>
      </c>
      <c r="C11" s="34" t="s">
        <v>1194</v>
      </c>
      <c r="D11" s="34" t="s">
        <v>1051</v>
      </c>
      <c r="E11" s="34" t="s">
        <v>1052</v>
      </c>
      <c r="F11" s="36"/>
      <c r="G11" s="36"/>
      <c r="H11" s="36"/>
      <c r="I11" s="34" t="s">
        <v>1056</v>
      </c>
      <c r="J11" s="34">
        <v>130740014030</v>
      </c>
      <c r="K11" s="34" t="s">
        <v>1195</v>
      </c>
      <c r="L11" s="34" t="s">
        <v>1196</v>
      </c>
      <c r="M11" s="34" t="s">
        <v>1069</v>
      </c>
      <c r="N11" s="34">
        <v>17</v>
      </c>
      <c r="O11" s="34" t="s">
        <v>5321</v>
      </c>
      <c r="P11" s="36"/>
      <c r="Q11" s="36"/>
      <c r="R11" s="34">
        <v>340000</v>
      </c>
      <c r="S11" s="34" t="s">
        <v>1062</v>
      </c>
      <c r="T11" s="39" t="s">
        <v>22</v>
      </c>
      <c r="U11" s="34" t="s">
        <v>5309</v>
      </c>
      <c r="V11" s="34" t="s">
        <v>114</v>
      </c>
      <c r="W11" s="34" t="s">
        <v>119</v>
      </c>
      <c r="X11" s="34">
        <v>2024</v>
      </c>
      <c r="Y11" s="34" t="s">
        <v>5310</v>
      </c>
      <c r="Z11" s="34" t="s">
        <v>5311</v>
      </c>
      <c r="AA11" s="34" t="s">
        <v>5312</v>
      </c>
      <c r="AB11" s="34" t="s">
        <v>121</v>
      </c>
    </row>
    <row r="12" spans="1:28" ht="13.2">
      <c r="A12" s="34">
        <v>1392</v>
      </c>
      <c r="B12" s="107">
        <v>45617</v>
      </c>
      <c r="C12" s="34" t="s">
        <v>1194</v>
      </c>
      <c r="D12" s="34" t="s">
        <v>1051</v>
      </c>
      <c r="E12" s="34" t="s">
        <v>1052</v>
      </c>
      <c r="F12" s="36"/>
      <c r="G12" s="36"/>
      <c r="H12" s="36"/>
      <c r="I12" s="34" t="s">
        <v>1056</v>
      </c>
      <c r="J12" s="34">
        <v>130740014030</v>
      </c>
      <c r="K12" s="34" t="s">
        <v>1195</v>
      </c>
      <c r="L12" s="34" t="s">
        <v>1196</v>
      </c>
      <c r="M12" s="34" t="s">
        <v>1069</v>
      </c>
      <c r="N12" s="34">
        <v>17</v>
      </c>
      <c r="O12" s="34" t="s">
        <v>5322</v>
      </c>
      <c r="P12" s="36"/>
      <c r="Q12" s="36"/>
      <c r="R12" s="34">
        <v>340000</v>
      </c>
      <c r="S12" s="34" t="s">
        <v>1062</v>
      </c>
      <c r="T12" s="39" t="s">
        <v>23</v>
      </c>
      <c r="U12" s="34" t="s">
        <v>5309</v>
      </c>
      <c r="V12" s="34" t="s">
        <v>114</v>
      </c>
      <c r="W12" s="34" t="s">
        <v>119</v>
      </c>
      <c r="X12" s="34">
        <v>2024</v>
      </c>
      <c r="Y12" s="34" t="s">
        <v>5310</v>
      </c>
      <c r="Z12" s="34" t="s">
        <v>5311</v>
      </c>
      <c r="AA12" s="34" t="s">
        <v>5312</v>
      </c>
      <c r="AB12" s="34" t="s">
        <v>121</v>
      </c>
    </row>
    <row r="13" spans="1:28" ht="13.2">
      <c r="A13" s="34">
        <v>1392</v>
      </c>
      <c r="B13" s="107">
        <v>45617</v>
      </c>
      <c r="C13" s="34" t="s">
        <v>1194</v>
      </c>
      <c r="D13" s="34" t="s">
        <v>1051</v>
      </c>
      <c r="E13" s="34" t="s">
        <v>1052</v>
      </c>
      <c r="F13" s="36"/>
      <c r="G13" s="36"/>
      <c r="H13" s="36"/>
      <c r="I13" s="34" t="s">
        <v>1056</v>
      </c>
      <c r="J13" s="34">
        <v>130740014030</v>
      </c>
      <c r="K13" s="34" t="s">
        <v>5323</v>
      </c>
      <c r="L13" s="34" t="s">
        <v>1196</v>
      </c>
      <c r="M13" s="34" t="s">
        <v>1069</v>
      </c>
      <c r="N13" s="34">
        <v>17</v>
      </c>
      <c r="O13" s="34" t="s">
        <v>5324</v>
      </c>
      <c r="P13" s="36"/>
      <c r="Q13" s="36"/>
      <c r="R13" s="34">
        <v>340000</v>
      </c>
      <c r="S13" s="34" t="s">
        <v>1062</v>
      </c>
      <c r="T13" s="39" t="s">
        <v>24</v>
      </c>
      <c r="U13" s="34" t="s">
        <v>5309</v>
      </c>
      <c r="V13" s="34" t="s">
        <v>114</v>
      </c>
      <c r="W13" s="34" t="s">
        <v>119</v>
      </c>
      <c r="X13" s="34">
        <v>2024</v>
      </c>
      <c r="Y13" s="34" t="s">
        <v>5310</v>
      </c>
      <c r="Z13" s="34" t="s">
        <v>5311</v>
      </c>
      <c r="AA13" s="34" t="s">
        <v>5312</v>
      </c>
      <c r="AB13" s="34" t="s">
        <v>121</v>
      </c>
    </row>
    <row r="14" spans="1:28" ht="13.2">
      <c r="A14" s="34">
        <v>1392</v>
      </c>
      <c r="B14" s="107">
        <v>45617</v>
      </c>
      <c r="C14" s="34" t="s">
        <v>1194</v>
      </c>
      <c r="D14" s="34" t="s">
        <v>1051</v>
      </c>
      <c r="E14" s="34" t="s">
        <v>1052</v>
      </c>
      <c r="F14" s="36"/>
      <c r="G14" s="36"/>
      <c r="H14" s="36"/>
      <c r="I14" s="34" t="s">
        <v>1056</v>
      </c>
      <c r="J14" s="34">
        <v>130740014030</v>
      </c>
      <c r="K14" s="34" t="s">
        <v>1195</v>
      </c>
      <c r="L14" s="34" t="s">
        <v>1196</v>
      </c>
      <c r="M14" s="34" t="s">
        <v>1069</v>
      </c>
      <c r="N14" s="34">
        <v>17</v>
      </c>
      <c r="O14" s="34" t="s">
        <v>5325</v>
      </c>
      <c r="P14" s="36"/>
      <c r="Q14" s="36"/>
      <c r="R14" s="34">
        <v>340000</v>
      </c>
      <c r="S14" s="34" t="s">
        <v>1062</v>
      </c>
      <c r="T14" s="39" t="s">
        <v>25</v>
      </c>
      <c r="U14" s="34" t="s">
        <v>5309</v>
      </c>
      <c r="V14" s="34" t="s">
        <v>114</v>
      </c>
      <c r="W14" s="34" t="s">
        <v>119</v>
      </c>
      <c r="X14" s="34">
        <v>2024</v>
      </c>
      <c r="Y14" s="34" t="s">
        <v>5310</v>
      </c>
      <c r="Z14" s="34" t="s">
        <v>5311</v>
      </c>
      <c r="AA14" s="34" t="s">
        <v>5312</v>
      </c>
      <c r="AB14" s="34" t="s">
        <v>121</v>
      </c>
    </row>
    <row r="15" spans="1:28" ht="13.2">
      <c r="A15" s="34">
        <v>1392</v>
      </c>
      <c r="B15" s="107">
        <v>45617</v>
      </c>
      <c r="C15" s="34" t="s">
        <v>1194</v>
      </c>
      <c r="D15" s="34" t="s">
        <v>1051</v>
      </c>
      <c r="E15" s="34" t="s">
        <v>1052</v>
      </c>
      <c r="F15" s="36"/>
      <c r="G15" s="36"/>
      <c r="H15" s="36"/>
      <c r="I15" s="34" t="s">
        <v>1056</v>
      </c>
      <c r="J15" s="34">
        <v>130740014030</v>
      </c>
      <c r="K15" s="34" t="s">
        <v>1195</v>
      </c>
      <c r="L15" s="34" t="s">
        <v>1196</v>
      </c>
      <c r="M15" s="34" t="s">
        <v>1069</v>
      </c>
      <c r="N15" s="34">
        <v>17</v>
      </c>
      <c r="O15" s="34" t="s">
        <v>5326</v>
      </c>
      <c r="P15" s="36"/>
      <c r="Q15" s="36"/>
      <c r="R15" s="34">
        <v>340000</v>
      </c>
      <c r="S15" s="34" t="s">
        <v>1062</v>
      </c>
      <c r="T15" s="39" t="s">
        <v>26</v>
      </c>
      <c r="U15" s="34" t="s">
        <v>5309</v>
      </c>
      <c r="V15" s="34" t="s">
        <v>114</v>
      </c>
      <c r="W15" s="34" t="s">
        <v>119</v>
      </c>
      <c r="X15" s="34">
        <v>2024</v>
      </c>
      <c r="Y15" s="34" t="s">
        <v>5310</v>
      </c>
      <c r="Z15" s="34" t="s">
        <v>5311</v>
      </c>
      <c r="AA15" s="34" t="s">
        <v>5312</v>
      </c>
      <c r="AB15" s="34" t="s">
        <v>121</v>
      </c>
    </row>
    <row r="16" spans="1:28" ht="13.2">
      <c r="A16" s="34">
        <v>1392</v>
      </c>
      <c r="B16" s="107">
        <v>45617</v>
      </c>
      <c r="C16" s="34" t="s">
        <v>1194</v>
      </c>
      <c r="D16" s="34" t="s">
        <v>1051</v>
      </c>
      <c r="E16" s="34" t="s">
        <v>1052</v>
      </c>
      <c r="F16" s="36"/>
      <c r="G16" s="36"/>
      <c r="H16" s="36"/>
      <c r="I16" s="34" t="s">
        <v>1056</v>
      </c>
      <c r="J16" s="34">
        <v>130740014030</v>
      </c>
      <c r="K16" s="34" t="s">
        <v>1195</v>
      </c>
      <c r="L16" s="34" t="s">
        <v>1196</v>
      </c>
      <c r="M16" s="34" t="s">
        <v>1069</v>
      </c>
      <c r="N16" s="34">
        <v>17</v>
      </c>
      <c r="O16" s="34" t="s">
        <v>5327</v>
      </c>
      <c r="P16" s="36"/>
      <c r="Q16" s="36"/>
      <c r="R16" s="34">
        <v>340000</v>
      </c>
      <c r="S16" s="34" t="s">
        <v>1062</v>
      </c>
      <c r="T16" s="39" t="s">
        <v>27</v>
      </c>
      <c r="U16" s="34" t="s">
        <v>5309</v>
      </c>
      <c r="V16" s="34" t="s">
        <v>114</v>
      </c>
      <c r="W16" s="34" t="s">
        <v>119</v>
      </c>
      <c r="X16" s="34">
        <v>2024</v>
      </c>
      <c r="Y16" s="34" t="s">
        <v>5310</v>
      </c>
      <c r="Z16" s="34" t="s">
        <v>5311</v>
      </c>
      <c r="AA16" s="34" t="s">
        <v>5312</v>
      </c>
      <c r="AB16" s="34" t="s">
        <v>121</v>
      </c>
    </row>
    <row r="17" spans="1:28" ht="13.2">
      <c r="A17" s="34">
        <v>1394</v>
      </c>
      <c r="B17" s="107">
        <v>45618</v>
      </c>
      <c r="C17" s="34" t="s">
        <v>1198</v>
      </c>
      <c r="D17" s="34" t="s">
        <v>1051</v>
      </c>
      <c r="E17" s="34" t="s">
        <v>1052</v>
      </c>
      <c r="F17" s="34" t="s">
        <v>1199</v>
      </c>
      <c r="G17" s="34" t="s">
        <v>3471</v>
      </c>
      <c r="H17" s="34" t="s">
        <v>1201</v>
      </c>
      <c r="I17" s="34" t="s">
        <v>1056</v>
      </c>
      <c r="J17" s="34">
        <v>180540007812</v>
      </c>
      <c r="K17" s="34" t="s">
        <v>1202</v>
      </c>
      <c r="L17" s="108" t="s">
        <v>1077</v>
      </c>
      <c r="M17" s="34" t="s">
        <v>1060</v>
      </c>
      <c r="N17" s="34">
        <v>17</v>
      </c>
      <c r="O17" s="34" t="s">
        <v>1203</v>
      </c>
      <c r="P17" s="36"/>
      <c r="Q17" s="36"/>
      <c r="R17" s="34">
        <v>850000</v>
      </c>
      <c r="S17" s="34" t="s">
        <v>1062</v>
      </c>
      <c r="T17" s="39" t="s">
        <v>30</v>
      </c>
      <c r="U17" s="36" t="str">
        <f>VLOOKUP(T17,ПРИЦЕПЫ,11,0)</f>
        <v>004-3515E30Q13-OK150</v>
      </c>
      <c r="V17" s="34" t="s">
        <v>375</v>
      </c>
      <c r="W17" s="34" t="s">
        <v>5328</v>
      </c>
      <c r="X17" s="34">
        <v>2024</v>
      </c>
      <c r="Y17" s="34" t="s">
        <v>5329</v>
      </c>
      <c r="Z17" s="34" t="s">
        <v>933</v>
      </c>
      <c r="AA17" s="34" t="s">
        <v>5330</v>
      </c>
      <c r="AB17" s="34" t="s">
        <v>118</v>
      </c>
    </row>
    <row r="18" spans="1:28" ht="13.2">
      <c r="A18" s="34">
        <v>1395</v>
      </c>
      <c r="B18" s="107">
        <v>45618</v>
      </c>
      <c r="C18" s="36" t="str">
        <f>'юр лица'!C9</f>
        <v>Куаныш</v>
      </c>
      <c r="D18" s="36" t="str">
        <f>VLOOKUP(C18,'юр лица'!$C$2:$T$24,2,0)</f>
        <v>Индивидуальный предприниматель</v>
      </c>
      <c r="E18" s="36" t="str">
        <f>VLOOKUP(C18,Юр_лица,3,0)</f>
        <v>Руководителя</v>
      </c>
      <c r="F18" s="36" t="str">
        <f>VLOOKUP(C18,Юр_лица,4,0)</f>
        <v>Куаныш</v>
      </c>
      <c r="G18" s="36" t="str">
        <f>VLOOKUP(C18,Юр_лица,5,0)</f>
        <v>Елчибеков</v>
      </c>
      <c r="H18" s="36" t="str">
        <f>VLOOKUP(C18,Юр_лица,6,0)</f>
        <v>Бауржанович</v>
      </c>
      <c r="I18" s="36" t="str">
        <f>VLOOKUP(C18,Юр_лица,7,0)</f>
        <v>Уведомления</v>
      </c>
      <c r="J18" s="36">
        <f>VLOOKUP(C18,Юр_лица,8,0)</f>
        <v>900907301403</v>
      </c>
      <c r="K18" s="36" t="str">
        <f>VLOOKUP(C18,Юр_лица,9,0)</f>
        <v>KZ268562204132388953</v>
      </c>
      <c r="L18" s="36" t="str">
        <f>VLOOKUP(C18,Юр_лица,10,0)</f>
        <v>АО «Банк Центр Кредит»</v>
      </c>
      <c r="M18" s="36" t="str">
        <f>VLOOKUP(C18,Юр_лица,11,0)</f>
        <v>KCJBKZKX</v>
      </c>
      <c r="N18" s="36">
        <f>VLOOKUP(C18,Юр_лица,12,0)</f>
        <v>19</v>
      </c>
      <c r="O18" s="36" t="str">
        <f>VLOOKUP(C18,Юр_лица,13,0)</f>
        <v>Республика Казахстан, ВКО, г.Усть-Каменагорск, 070014,
 пр, Есенберлина, дом 4а-34</v>
      </c>
      <c r="P18" s="36" t="str">
        <f>VLOOKUP(C18,Юр_лица,14,0)</f>
        <v>+77713310889</v>
      </c>
      <c r="Q18" s="36" t="str">
        <f>VLOOKUP(C18,Юр_лица,15,0)</f>
        <v>shah_4667@mail.ru</v>
      </c>
      <c r="R18" s="36">
        <f>VLOOKUP(C18,Юр_лица,16,0)</f>
        <v>740000</v>
      </c>
      <c r="S18" s="36" t="str">
        <f>VLOOKUP(C18,Юр_лица,17,0)</f>
        <v>Безналичным способом на счето организации</v>
      </c>
      <c r="T18" s="36" t="str">
        <f>VLOOKUP(A18,'Реестр договоров'!A18:D298,4,0)</f>
        <v>MX4000002R0001845</v>
      </c>
      <c r="U18" s="36" t="str">
        <f>VLOOKUP(T18,ПРИЦЕПЫ,11,0)</f>
        <v>002-3515E30Q13-OK150</v>
      </c>
      <c r="V18" s="104" t="str">
        <f>VLOOKUP(T18,ПРИЦЕПЫ,2,0)</f>
        <v>Прицеп 3,5*1,5 м  (до 750 кг.)</v>
      </c>
      <c r="W18" s="36" t="str">
        <f>VLOOKUP(T18,ПРИЦЕПЫ,10,0)</f>
        <v>1 ось</v>
      </c>
      <c r="X18" s="104">
        <f>YEAR(VLOOKUP(T18,ПРИЦЕПЫ,7,0))</f>
        <v>2024</v>
      </c>
      <c r="Y18" s="34" t="s">
        <v>5329</v>
      </c>
      <c r="Z18" s="106" t="s">
        <v>933</v>
      </c>
      <c r="AA18" s="36" t="str">
        <f>VLOOKUP(W18,ОТТС!$A$2:$B$3,2,0)</f>
        <v>ТС KZ Е-KZ.0317.00251 от 28.02.2023</v>
      </c>
      <c r="AB18" s="36" t="str">
        <f>VLOOKUP(T18,ПРИЦЕПЫ,9,0)</f>
        <v>Астана</v>
      </c>
    </row>
    <row r="19" spans="1:28" ht="13.2">
      <c r="A19" s="34">
        <v>1406</v>
      </c>
      <c r="B19" s="107">
        <v>45638</v>
      </c>
      <c r="C19" s="36" t="str">
        <f>'юр лица'!C10</f>
        <v>"СК ТехноСтройСеть"</v>
      </c>
      <c r="D19" s="36" t="str">
        <f>VLOOKUP(C19,'юр лица'!$C$2:$T$24,2,0)</f>
        <v>Товарищество с ограниченной ответственностью</v>
      </c>
      <c r="E19" s="36" t="str">
        <f>VLOOKUP(C19,Юр_лица,3,0)</f>
        <v>Директор</v>
      </c>
      <c r="F19" s="36" t="str">
        <f>VLOOKUP(C19,Юр_лица,4,0)</f>
        <v>Александра</v>
      </c>
      <c r="G19" s="36" t="str">
        <f>VLOOKUP(C19,Юр_лица,5,0)</f>
        <v>Романова</v>
      </c>
      <c r="H19" s="36" t="str">
        <f>VLOOKUP(C19,Юр_лица,6,0)</f>
        <v>Николаевна</v>
      </c>
      <c r="I19" s="36" t="str">
        <f>VLOOKUP(C19,Юр_лица,7,0)</f>
        <v>Устава</v>
      </c>
      <c r="J19" s="36" t="str">
        <f>VLOOKUP(C19,Юр_лица,8,0)</f>
        <v>040340016162</v>
      </c>
      <c r="K19" s="36" t="str">
        <f>VLOOKUP(C19,Юр_лица,9,0)</f>
        <v>KZ5096515F0008046969</v>
      </c>
      <c r="L19" s="36" t="str">
        <f>VLOOKUP(C19,Юр_лица,10,0)</f>
        <v>АО "Forte Bank"</v>
      </c>
      <c r="M19" s="36" t="str">
        <f>VLOOKUP(C19,Юр_лица,11,0)</f>
        <v>IRTYKZKA</v>
      </c>
      <c r="N19" s="36">
        <f>VLOOKUP(C19,Юр_лица,12,0)</f>
        <v>17</v>
      </c>
      <c r="O19" s="36" t="str">
        <f>VLOOKUP(C19,Юр_лица,13,0)</f>
        <v>РК,г.Актобе проспект Мира 5"А" кв.94</v>
      </c>
      <c r="P19" s="36">
        <f>VLOOKUP(C19,Юр_лица,14,0)</f>
        <v>87053970401</v>
      </c>
      <c r="Q19" s="36">
        <f>VLOOKUP(C19,Юр_лица,15,0)</f>
        <v>0</v>
      </c>
      <c r="R19" s="36">
        <f>VLOOKUP(C19,Юр_лица,16,0)</f>
        <v>320000</v>
      </c>
      <c r="S19" s="36" t="str">
        <f>VLOOKUP(C19,Юр_лица,17,0)</f>
        <v>Безналичным способом на счето организации</v>
      </c>
      <c r="T19" s="36" t="str">
        <f>VLOOKUP(A19,'Реестр договоров'!A19:D299,4,0)</f>
        <v>MX4000002R0001774</v>
      </c>
      <c r="U19" s="36" t="str">
        <f ca="1">VLOOKUP(T19,ПРИЦЕПЫ,11,0)</f>
        <v>002-2013E30Q13-OK</v>
      </c>
      <c r="V19" s="104" t="str">
        <f>VLOOKUP(T19,ПРИЦЕПЫ,2,0)</f>
        <v>Прицеп 2,0*1,25 м  (до 750 кг.)</v>
      </c>
      <c r="W19" s="36" t="str">
        <f>VLOOKUP(T19,ПРИЦЕПЫ,10,0)</f>
        <v>1 ось</v>
      </c>
      <c r="X19" s="104">
        <f>YEAR(VLOOKUP(T19,ПРИЦЕПЫ,7,0))</f>
        <v>2024</v>
      </c>
      <c r="Y19" s="36" t="str">
        <f ca="1">VLOOKUP(U19,матрица,16,0)</f>
        <v>3150*1700*900</v>
      </c>
      <c r="Z19" s="105" t="str">
        <f ca="1">VLOOKUP(U19,матрица,17,0)</f>
        <v>2000*1250*300</v>
      </c>
      <c r="AA19" s="36" t="str">
        <f>VLOOKUP(W19,ОТТС!$A$2:$B$3,2,0)</f>
        <v>ТС KZ Е-KZ.0317.00251 от 28.02.2023</v>
      </c>
      <c r="AB19" s="36" t="str">
        <f>VLOOKUP(T19,ПРИЦЕПЫ,9,0)</f>
        <v>Астана</v>
      </c>
    </row>
    <row r="20" spans="1:28" ht="13.2">
      <c r="A20" s="34">
        <v>1467</v>
      </c>
      <c r="B20" s="107">
        <v>45715</v>
      </c>
      <c r="C20" s="34" t="s">
        <v>1206</v>
      </c>
      <c r="D20" s="34" t="s">
        <v>1051</v>
      </c>
      <c r="E20" s="34" t="s">
        <v>1052</v>
      </c>
      <c r="F20" s="34" t="s">
        <v>1208</v>
      </c>
      <c r="G20" s="34" t="s">
        <v>5331</v>
      </c>
      <c r="H20" s="34" t="s">
        <v>1209</v>
      </c>
      <c r="I20" s="34" t="s">
        <v>1056</v>
      </c>
      <c r="J20" s="36"/>
      <c r="K20" s="36"/>
      <c r="L20" s="36"/>
      <c r="M20" s="36"/>
      <c r="N20" s="36"/>
      <c r="O20" s="36"/>
      <c r="P20" s="36"/>
      <c r="Q20" s="36"/>
      <c r="R20" s="36"/>
      <c r="S20" s="36" t="str">
        <f>VLOOKUP(C20,Юр_лица,17,0)</f>
        <v>Безналичным способом на счето организации</v>
      </c>
      <c r="T20" s="39"/>
      <c r="U20" s="36"/>
      <c r="V20" s="36"/>
      <c r="W20" s="36"/>
      <c r="X20" s="36"/>
      <c r="Y20" s="36"/>
      <c r="Z20" s="36"/>
      <c r="AA20" s="36"/>
      <c r="AB20" s="36"/>
    </row>
    <row r="21" spans="1:28" ht="13.2">
      <c r="A21" s="34">
        <v>1506</v>
      </c>
      <c r="B21" s="107">
        <v>45736</v>
      </c>
      <c r="C21" s="34" t="s">
        <v>1132</v>
      </c>
      <c r="D21" s="34" t="s">
        <v>1051</v>
      </c>
      <c r="E21" s="34" t="s">
        <v>1052</v>
      </c>
      <c r="F21" s="34" t="s">
        <v>1133</v>
      </c>
      <c r="G21" s="34" t="s">
        <v>1134</v>
      </c>
      <c r="H21" s="34" t="s">
        <v>1135</v>
      </c>
      <c r="I21" s="34" t="s">
        <v>1056</v>
      </c>
      <c r="J21" s="34">
        <v>250140002812</v>
      </c>
      <c r="K21" s="34" t="s">
        <v>1137</v>
      </c>
      <c r="L21" s="34" t="s">
        <v>5332</v>
      </c>
      <c r="M21" s="34" t="s">
        <v>5333</v>
      </c>
      <c r="N21" s="34">
        <v>17</v>
      </c>
      <c r="O21" s="34" t="s">
        <v>1139</v>
      </c>
      <c r="P21" s="34" t="s">
        <v>1215</v>
      </c>
      <c r="Q21" s="34" t="s">
        <v>1140</v>
      </c>
      <c r="R21" s="34">
        <v>565000</v>
      </c>
      <c r="S21" s="36" t="str">
        <f>VLOOKUP(C21,Юр_лица,17,0)</f>
        <v>Безналичным способом на счето организации</v>
      </c>
      <c r="T21" s="39" t="s">
        <v>36</v>
      </c>
      <c r="U21" s="34" t="s">
        <v>5334</v>
      </c>
      <c r="V21" s="34" t="s">
        <v>347</v>
      </c>
      <c r="W21" s="34" t="s">
        <v>119</v>
      </c>
      <c r="X21" s="34">
        <v>2025</v>
      </c>
      <c r="Y21" s="34" t="s">
        <v>921</v>
      </c>
      <c r="Z21" s="34" t="s">
        <v>929</v>
      </c>
      <c r="AA21" s="34" t="s">
        <v>5312</v>
      </c>
      <c r="AB21" s="34" t="s">
        <v>118</v>
      </c>
    </row>
    <row r="22" spans="1:28" ht="13.2">
      <c r="A22" s="34">
        <v>1649</v>
      </c>
      <c r="B22" s="35">
        <f>'Реестр договоров'!B83</f>
        <v>45496</v>
      </c>
      <c r="C22" s="36" t="str">
        <f>VLOOKUP(A22,Реестр_Договоров,3,0)</f>
        <v>"ЕН-ДАЛА"</v>
      </c>
      <c r="D22" s="36" t="str">
        <f>VLOOKUP(C22,'юр лица'!$C$2:$T$24,2,0)</f>
        <v>Товарищество с ограниченной ответственностью</v>
      </c>
      <c r="E22" s="36" t="str">
        <f>VLOOKUP(C22,Юр_лица,3,0)</f>
        <v>Руководителя</v>
      </c>
      <c r="F22" s="36" t="str">
        <f>VLOOKUP(C22,Юр_лица,4,0)</f>
        <v>Михаил</v>
      </c>
      <c r="G22" s="36" t="str">
        <f>VLOOKUP(C22,Юр_лица,5,0)</f>
        <v>Поклонский</v>
      </c>
      <c r="H22" s="36" t="str">
        <f>VLOOKUP(C22,Юр_лица,6,0)</f>
        <v>Евгеньевич</v>
      </c>
      <c r="I22" s="36" t="str">
        <f>VLOOKUP(C22,Юр_лица,7,0)</f>
        <v>Устава</v>
      </c>
      <c r="J22" s="36">
        <f>VLOOKUP(C22,Юр_лица,8,0)</f>
        <v>980240001027</v>
      </c>
      <c r="K22" s="36" t="str">
        <f>VLOOKUP(C22,Юр_лица,9,0)</f>
        <v>KZ316010321000127952</v>
      </c>
      <c r="L22" s="36" t="str">
        <f>VLOOKUP(C22,Юр_лица,10,0)</f>
        <v>АО "Народный Банк Казахстана"</v>
      </c>
      <c r="M22" s="36" t="str">
        <f>VLOOKUP(C22,Юр_лица,11,0)</f>
        <v>HSBKKZKX</v>
      </c>
      <c r="N22" s="36">
        <f>VLOOKUP(C22,Юр_лица,12,0)</f>
        <v>17</v>
      </c>
      <c r="O22" s="36" t="str">
        <f>VLOOKUP(C22,Юр_лица,13,0)</f>
        <v>Акмолинская обл., Целиноградский р-н, с.Рахимжана Кошкарбаева, Учетный квартал 033, 91</v>
      </c>
      <c r="P22" s="36">
        <f>VLOOKUP(C22,Юр_лица,14,0)</f>
        <v>87172343188</v>
      </c>
      <c r="Q22" s="36" t="str">
        <f>VLOOKUP(C22,Юр_лица,15,0)</f>
        <v>en-dala@mail.ru</v>
      </c>
      <c r="R22" s="36">
        <f>VLOOKUP(C22,Юр_лица,16,0)</f>
        <v>700000</v>
      </c>
      <c r="S22" s="36" t="str">
        <f>VLOOKUP(C22,Юр_лица,17,0)</f>
        <v>Безналичным способом на счето организации</v>
      </c>
      <c r="T22" s="36" t="str">
        <f>VLOOKUP(A22,'Реестр договоров'!A22:D599,4,0)</f>
        <v>MX4000004S0002161</v>
      </c>
      <c r="U22" s="36" t="str">
        <f ca="1">VLOOKUP(T22,ПРИЦЕПЫ,11,0)</f>
        <v>002-2515E30Q13-OK120</v>
      </c>
      <c r="V22" s="104" t="str">
        <f>VLOOKUP(T22,ПРИЦЕПЫ,2,0)</f>
        <v>Прицеп 2,5*1,5 м  (до 750 кг.)</v>
      </c>
      <c r="W22" s="36" t="str">
        <f>VLOOKUP(T22,ПРИЦЕПЫ,10,0)</f>
        <v>2 оси</v>
      </c>
      <c r="X22" s="104">
        <f>YEAR(VLOOKUP(T22,ПРИЦЕПЫ,7,0))</f>
        <v>2025</v>
      </c>
      <c r="Y22" s="36" t="str">
        <f ca="1">VLOOKUP(U22,матрица,16,0)</f>
        <v>3650*1950*900</v>
      </c>
      <c r="Z22" s="105" t="str">
        <f ca="1">VLOOKUP(U22,матрица,17,0)</f>
        <v>2500*1500*300</v>
      </c>
      <c r="AA22" s="36" t="str">
        <f>VLOOKUP(W22,ОТТС!$A$2:$B$3,2,0)</f>
        <v>ТС KZ Е-KZ.0317.00219.П1 от 17.07.2025</v>
      </c>
      <c r="AB22" s="36" t="str">
        <f>VLOOKUP(T22,ПРИЦЕПЫ,9,0)</f>
        <v>Астана</v>
      </c>
    </row>
    <row r="23" spans="1:28" ht="13.2">
      <c r="A23" s="34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4"/>
      <c r="T23" s="39"/>
      <c r="U23" s="36"/>
      <c r="V23" s="36"/>
      <c r="W23" s="36"/>
      <c r="X23" s="36"/>
      <c r="Y23" s="36"/>
      <c r="Z23" s="36"/>
      <c r="AA23" s="36"/>
      <c r="AB23" s="36"/>
    </row>
    <row r="24" spans="1:28" ht="13.2">
      <c r="A24" s="34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4"/>
      <c r="T24" s="39"/>
      <c r="U24" s="36"/>
      <c r="V24" s="36"/>
      <c r="W24" s="36"/>
      <c r="X24" s="36"/>
      <c r="Y24" s="36"/>
      <c r="Z24" s="36"/>
      <c r="AA24" s="36"/>
      <c r="AB24" s="36"/>
    </row>
    <row r="25" spans="1:28" ht="13.2">
      <c r="A25" s="34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4"/>
      <c r="T25" s="39"/>
      <c r="U25" s="36"/>
      <c r="V25" s="36"/>
      <c r="W25" s="36"/>
      <c r="X25" s="36"/>
      <c r="Y25" s="36"/>
      <c r="Z25" s="36"/>
      <c r="AA25" s="36"/>
      <c r="AB25" s="36"/>
    </row>
    <row r="26" spans="1:28" ht="13.2">
      <c r="A26" s="34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4"/>
      <c r="T26" s="39"/>
      <c r="U26" s="36"/>
      <c r="V26" s="36"/>
      <c r="W26" s="36"/>
      <c r="X26" s="36"/>
      <c r="Y26" s="36"/>
      <c r="Z26" s="36"/>
      <c r="AA26" s="36"/>
      <c r="AB26" s="36"/>
    </row>
    <row r="27" spans="1:28" ht="13.2">
      <c r="A27" s="34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4"/>
      <c r="T27" s="39"/>
      <c r="U27" s="36"/>
      <c r="V27" s="36"/>
      <c r="W27" s="36"/>
      <c r="X27" s="36"/>
      <c r="Y27" s="36"/>
      <c r="Z27" s="36"/>
      <c r="AA27" s="36"/>
      <c r="AB27" s="36"/>
    </row>
    <row r="28" spans="1:28" ht="13.2">
      <c r="A28" s="34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4"/>
      <c r="T28" s="39"/>
      <c r="U28" s="36"/>
      <c r="V28" s="36"/>
      <c r="W28" s="36"/>
      <c r="X28" s="36"/>
      <c r="Y28" s="36"/>
      <c r="Z28" s="36"/>
      <c r="AA28" s="36"/>
      <c r="AB28" s="36"/>
    </row>
    <row r="29" spans="1:28" ht="13.2">
      <c r="A29" s="34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4"/>
      <c r="T29" s="39"/>
      <c r="U29" s="36"/>
      <c r="V29" s="36"/>
      <c r="W29" s="36"/>
      <c r="X29" s="36"/>
      <c r="Y29" s="36"/>
      <c r="Z29" s="36"/>
      <c r="AA29" s="36"/>
      <c r="AB29" s="36"/>
    </row>
    <row r="30" spans="1:28" ht="13.2">
      <c r="A30" s="34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4"/>
      <c r="T30" s="39"/>
      <c r="U30" s="36"/>
      <c r="V30" s="36"/>
      <c r="W30" s="36"/>
      <c r="X30" s="36"/>
      <c r="Y30" s="36"/>
      <c r="Z30" s="36"/>
      <c r="AA30" s="36"/>
      <c r="AB30" s="36"/>
    </row>
    <row r="31" spans="1:28" ht="13.2">
      <c r="A31" s="34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4"/>
      <c r="T31" s="39"/>
      <c r="U31" s="36"/>
      <c r="V31" s="36"/>
      <c r="W31" s="36"/>
      <c r="X31" s="36"/>
      <c r="Y31" s="36"/>
      <c r="Z31" s="36"/>
      <c r="AA31" s="36"/>
      <c r="AB31" s="36"/>
    </row>
    <row r="32" spans="1:28" ht="13.2">
      <c r="A32" s="34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4"/>
      <c r="T32" s="39"/>
      <c r="U32" s="36"/>
      <c r="V32" s="36"/>
      <c r="W32" s="36"/>
      <c r="X32" s="36"/>
      <c r="Y32" s="36"/>
      <c r="Z32" s="36"/>
      <c r="AA32" s="36"/>
      <c r="AB32" s="36"/>
    </row>
    <row r="33" spans="1:28" ht="13.2">
      <c r="A33" s="34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4"/>
      <c r="T33" s="39"/>
      <c r="U33" s="36"/>
      <c r="V33" s="36"/>
      <c r="W33" s="36"/>
      <c r="X33" s="36"/>
      <c r="Y33" s="36"/>
      <c r="Z33" s="36"/>
      <c r="AA33" s="36"/>
      <c r="AB33" s="36"/>
    </row>
    <row r="34" spans="1:28" ht="13.2">
      <c r="A34" s="34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4"/>
      <c r="T34" s="39"/>
      <c r="U34" s="36"/>
      <c r="V34" s="36"/>
      <c r="W34" s="36"/>
      <c r="X34" s="36"/>
      <c r="Y34" s="36"/>
      <c r="Z34" s="36"/>
      <c r="AA34" s="36"/>
      <c r="AB34" s="36"/>
    </row>
    <row r="35" spans="1:28" ht="13.2">
      <c r="A35" s="34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4"/>
      <c r="T35" s="39"/>
      <c r="U35" s="36"/>
      <c r="V35" s="36"/>
      <c r="W35" s="36"/>
      <c r="X35" s="36"/>
      <c r="Y35" s="36"/>
      <c r="Z35" s="36"/>
      <c r="AA35" s="36"/>
      <c r="AB35" s="36"/>
    </row>
    <row r="36" spans="1:28" ht="13.2">
      <c r="A36" s="34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4"/>
      <c r="T36" s="39"/>
      <c r="U36" s="36"/>
      <c r="V36" s="36"/>
      <c r="W36" s="36"/>
      <c r="X36" s="36"/>
      <c r="Y36" s="36"/>
      <c r="Z36" s="36"/>
      <c r="AA36" s="36"/>
      <c r="AB36" s="36"/>
    </row>
    <row r="37" spans="1:28" ht="13.2">
      <c r="A37" s="34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4"/>
      <c r="T37" s="39"/>
      <c r="U37" s="36"/>
      <c r="V37" s="36"/>
      <c r="W37" s="36"/>
      <c r="X37" s="36"/>
      <c r="Y37" s="36"/>
      <c r="Z37" s="36"/>
      <c r="AA37" s="36"/>
      <c r="AB37" s="36"/>
    </row>
    <row r="38" spans="1:28" ht="13.2">
      <c r="A38" s="34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4"/>
      <c r="T38" s="39"/>
      <c r="U38" s="36"/>
      <c r="V38" s="36"/>
      <c r="W38" s="36"/>
      <c r="X38" s="36"/>
      <c r="Y38" s="36"/>
      <c r="Z38" s="36"/>
      <c r="AA38" s="36"/>
      <c r="AB38" s="36"/>
    </row>
    <row r="39" spans="1:28" ht="13.2">
      <c r="A39" s="1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4"/>
      <c r="T39" s="39"/>
      <c r="U39" s="36"/>
      <c r="V39" s="36"/>
      <c r="W39" s="36"/>
      <c r="X39" s="36"/>
      <c r="Y39" s="36"/>
      <c r="Z39" s="36"/>
      <c r="AA39" s="36"/>
      <c r="AB39" s="36"/>
    </row>
    <row r="40" spans="1:28" ht="13.2">
      <c r="A40" s="1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4"/>
      <c r="T40" s="39"/>
      <c r="U40" s="36"/>
      <c r="V40" s="36"/>
      <c r="W40" s="36"/>
      <c r="X40" s="36"/>
      <c r="Y40" s="36"/>
      <c r="Z40" s="36"/>
      <c r="AA40" s="36"/>
      <c r="AB40" s="36"/>
    </row>
    <row r="41" spans="1:28" ht="13.2">
      <c r="A41" s="1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4"/>
      <c r="T41" s="39"/>
      <c r="U41" s="36"/>
      <c r="V41" s="36"/>
      <c r="W41" s="36"/>
      <c r="X41" s="36"/>
      <c r="Y41" s="36"/>
      <c r="Z41" s="36"/>
      <c r="AA41" s="36"/>
      <c r="AB41" s="36"/>
    </row>
    <row r="42" spans="1:28" ht="13.2">
      <c r="A42" s="1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4"/>
      <c r="T42" s="39"/>
      <c r="U42" s="36"/>
      <c r="V42" s="36"/>
      <c r="W42" s="36"/>
      <c r="X42" s="36"/>
      <c r="Y42" s="36"/>
      <c r="Z42" s="36"/>
      <c r="AA42" s="36"/>
      <c r="AB42" s="36"/>
    </row>
    <row r="43" spans="1:28" ht="13.2">
      <c r="A43" s="34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4"/>
      <c r="T43" s="39"/>
      <c r="U43" s="36"/>
      <c r="V43" s="36"/>
      <c r="W43" s="36"/>
      <c r="X43" s="36"/>
      <c r="Y43" s="36"/>
      <c r="Z43" s="36"/>
      <c r="AA43" s="36"/>
      <c r="AB43" s="36"/>
    </row>
    <row r="44" spans="1:28" ht="13.2">
      <c r="A44" s="34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4"/>
      <c r="T44" s="39"/>
      <c r="U44" s="36"/>
      <c r="V44" s="36"/>
      <c r="W44" s="36"/>
      <c r="X44" s="36"/>
      <c r="Y44" s="36"/>
      <c r="Z44" s="36"/>
      <c r="AA44" s="36"/>
      <c r="AB44" s="36"/>
    </row>
    <row r="45" spans="1:28" ht="13.2">
      <c r="A45" s="34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4"/>
      <c r="R45" s="34"/>
      <c r="S45" s="34"/>
      <c r="T45" s="39"/>
      <c r="U45" s="36"/>
      <c r="V45" s="36"/>
      <c r="W45" s="36"/>
      <c r="X45" s="36"/>
      <c r="Y45" s="36"/>
      <c r="Z45" s="36"/>
      <c r="AA45" s="36"/>
      <c r="AB45" s="36"/>
    </row>
    <row r="46" spans="1:28" ht="13.2">
      <c r="A46" s="34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4"/>
      <c r="T46" s="39"/>
      <c r="U46" s="36"/>
      <c r="V46" s="36"/>
      <c r="W46" s="36"/>
      <c r="X46" s="36"/>
      <c r="Y46" s="36"/>
      <c r="Z46" s="36"/>
      <c r="AA46" s="36"/>
      <c r="AB46" s="36"/>
    </row>
    <row r="47" spans="1:28" ht="13.2">
      <c r="A47" s="34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4"/>
      <c r="T47" s="39"/>
      <c r="U47" s="36"/>
      <c r="V47" s="36"/>
      <c r="W47" s="36"/>
      <c r="X47" s="36"/>
      <c r="Y47" s="36"/>
      <c r="Z47" s="36"/>
      <c r="AA47" s="36"/>
      <c r="AB47" s="36"/>
    </row>
    <row r="48" spans="1:28" ht="13.2">
      <c r="A48" s="34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4"/>
      <c r="N48" s="36"/>
      <c r="O48" s="36"/>
      <c r="P48" s="36"/>
      <c r="Q48" s="36"/>
      <c r="R48" s="36"/>
      <c r="S48" s="34"/>
      <c r="T48" s="39"/>
      <c r="U48" s="36"/>
      <c r="V48" s="36"/>
      <c r="W48" s="36"/>
      <c r="X48" s="36"/>
      <c r="Y48" s="36"/>
      <c r="Z48" s="36"/>
      <c r="AA48" s="36"/>
      <c r="AB48" s="36"/>
    </row>
    <row r="49" spans="1:28" ht="13.2">
      <c r="A49" s="34"/>
      <c r="B49" s="35"/>
      <c r="C49" s="36"/>
      <c r="D49" s="36"/>
      <c r="E49" s="36"/>
      <c r="F49" s="36"/>
      <c r="G49" s="37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4"/>
      <c r="T49" s="39"/>
      <c r="U49" s="36"/>
      <c r="V49" s="36"/>
      <c r="W49" s="36"/>
      <c r="X49" s="36"/>
      <c r="Y49" s="36"/>
      <c r="Z49" s="36"/>
      <c r="AA49" s="36"/>
      <c r="AB49" s="36"/>
    </row>
    <row r="50" spans="1:28" ht="13.2">
      <c r="A50" s="34"/>
      <c r="B50" s="35"/>
      <c r="C50" s="36"/>
      <c r="D50" s="36"/>
      <c r="E50" s="36"/>
      <c r="F50" s="36"/>
      <c r="G50" s="37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4"/>
      <c r="T50" s="39"/>
      <c r="U50" s="34"/>
      <c r="V50" s="34"/>
      <c r="W50" s="34"/>
      <c r="X50" s="34"/>
      <c r="Y50" s="34"/>
      <c r="Z50" s="34"/>
      <c r="AA50" s="34"/>
      <c r="AB50" s="34"/>
    </row>
    <row r="51" spans="1:28" ht="13.2">
      <c r="A51" s="34"/>
      <c r="B51" s="6"/>
      <c r="C51" s="36"/>
      <c r="D51" s="36"/>
      <c r="E51" s="36"/>
      <c r="F51" s="36"/>
      <c r="G51" s="37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4"/>
      <c r="T51" s="39"/>
      <c r="U51" s="36"/>
      <c r="V51" s="36"/>
      <c r="W51" s="36"/>
      <c r="X51" s="36"/>
      <c r="Y51" s="36"/>
      <c r="Z51" s="36"/>
      <c r="AA51" s="36"/>
      <c r="AB51" s="36"/>
    </row>
    <row r="52" spans="1:28" ht="13.2">
      <c r="A52" s="34"/>
      <c r="B52" s="6"/>
      <c r="C52" s="36"/>
      <c r="D52" s="36"/>
      <c r="E52" s="36"/>
      <c r="F52" s="36"/>
      <c r="G52" s="37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4"/>
      <c r="T52" s="39"/>
      <c r="U52" s="36"/>
      <c r="V52" s="36"/>
      <c r="W52" s="36"/>
      <c r="X52" s="36"/>
      <c r="Y52" s="36"/>
      <c r="Z52" s="36"/>
      <c r="AA52" s="36"/>
      <c r="AB52" s="36"/>
    </row>
    <row r="53" spans="1:28" ht="13.2">
      <c r="A53" s="34"/>
      <c r="B53" s="6"/>
      <c r="C53" s="36"/>
      <c r="D53" s="36"/>
      <c r="E53" s="36"/>
      <c r="F53" s="36"/>
      <c r="G53" s="37"/>
      <c r="H53" s="36"/>
      <c r="I53" s="36"/>
      <c r="J53" s="36"/>
      <c r="K53" s="36"/>
      <c r="L53" s="36"/>
      <c r="M53" s="36"/>
      <c r="N53" s="36"/>
      <c r="O53" s="36"/>
      <c r="P53" s="36"/>
      <c r="Q53" s="34"/>
      <c r="R53" s="34"/>
      <c r="S53" s="34"/>
      <c r="T53" s="39"/>
      <c r="U53" s="36"/>
      <c r="V53" s="36"/>
      <c r="W53" s="36"/>
      <c r="X53" s="36"/>
      <c r="Y53" s="36"/>
      <c r="Z53" s="36"/>
      <c r="AA53" s="36"/>
      <c r="AB53" s="36"/>
    </row>
    <row r="54" spans="1:28" ht="13.2">
      <c r="A54" s="34"/>
      <c r="B54" s="6"/>
      <c r="C54" s="36"/>
      <c r="D54" s="36"/>
      <c r="E54" s="36"/>
      <c r="F54" s="36"/>
      <c r="G54" s="37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4"/>
      <c r="T54" s="39"/>
      <c r="U54" s="36"/>
      <c r="V54" s="36"/>
      <c r="W54" s="36"/>
      <c r="X54" s="36"/>
      <c r="Y54" s="36"/>
      <c r="Z54" s="36"/>
      <c r="AA54" s="36"/>
      <c r="AB54" s="36"/>
    </row>
    <row r="55" spans="1:28" ht="13.2">
      <c r="A55" s="34"/>
      <c r="B55" s="6"/>
      <c r="C55" s="36"/>
      <c r="D55" s="36"/>
      <c r="E55" s="36"/>
      <c r="F55" s="36"/>
      <c r="G55" s="37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4"/>
      <c r="T55" s="39"/>
      <c r="U55" s="36"/>
      <c r="V55" s="36"/>
      <c r="W55" s="36"/>
      <c r="X55" s="36"/>
      <c r="Y55" s="36"/>
      <c r="Z55" s="36"/>
      <c r="AA55" s="36"/>
      <c r="AB55" s="36"/>
    </row>
    <row r="56" spans="1:28" ht="13.2">
      <c r="A56" s="34"/>
      <c r="B56" s="6"/>
      <c r="C56" s="36"/>
      <c r="D56" s="36"/>
      <c r="E56" s="36"/>
      <c r="F56" s="36"/>
      <c r="G56" s="37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4"/>
      <c r="T56" s="39"/>
      <c r="U56" s="36"/>
      <c r="V56" s="36"/>
      <c r="W56" s="36"/>
      <c r="X56" s="36"/>
      <c r="Y56" s="36"/>
      <c r="Z56" s="36"/>
      <c r="AA56" s="36"/>
      <c r="AB56" s="36"/>
    </row>
    <row r="57" spans="1:28" ht="13.2">
      <c r="A57" s="34"/>
      <c r="B57" s="6"/>
      <c r="C57" s="36"/>
      <c r="D57" s="36"/>
      <c r="E57" s="36"/>
      <c r="F57" s="36"/>
      <c r="G57" s="37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4"/>
      <c r="T57" s="39"/>
      <c r="U57" s="36"/>
      <c r="V57" s="36"/>
      <c r="W57" s="36"/>
      <c r="X57" s="36"/>
      <c r="Y57" s="36"/>
      <c r="Z57" s="36"/>
      <c r="AA57" s="36"/>
      <c r="AB57" s="36"/>
    </row>
    <row r="58" spans="1:28" ht="13.2">
      <c r="A58" s="34"/>
      <c r="B58" s="6"/>
      <c r="C58" s="36"/>
      <c r="D58" s="36"/>
      <c r="E58" s="36"/>
      <c r="F58" s="36"/>
      <c r="G58" s="37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4"/>
      <c r="T58" s="39"/>
      <c r="U58" s="36"/>
      <c r="V58" s="36"/>
      <c r="W58" s="36"/>
      <c r="X58" s="36"/>
      <c r="Y58" s="36"/>
      <c r="Z58" s="36"/>
      <c r="AA58" s="36"/>
      <c r="AB58" s="36"/>
    </row>
    <row r="59" spans="1:28" ht="13.2">
      <c r="A59" s="34"/>
      <c r="B59" s="6"/>
      <c r="C59" s="36"/>
      <c r="D59" s="36"/>
      <c r="E59" s="36"/>
      <c r="F59" s="36"/>
      <c r="G59" s="37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4"/>
      <c r="T59" s="39"/>
      <c r="U59" s="36"/>
      <c r="V59" s="36"/>
      <c r="W59" s="36"/>
      <c r="X59" s="36"/>
      <c r="Y59" s="36"/>
      <c r="Z59" s="36"/>
      <c r="AA59" s="36"/>
      <c r="AB59" s="36"/>
    </row>
    <row r="60" spans="1:28" ht="13.2">
      <c r="A60" s="34"/>
      <c r="B60" s="6"/>
      <c r="C60" s="36"/>
      <c r="D60" s="36"/>
      <c r="E60" s="36"/>
      <c r="F60" s="36"/>
      <c r="G60" s="37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4"/>
      <c r="T60" s="39"/>
      <c r="U60" s="36"/>
      <c r="V60" s="36"/>
      <c r="W60" s="36"/>
      <c r="X60" s="36"/>
      <c r="Y60" s="36"/>
      <c r="Z60" s="36"/>
      <c r="AA60" s="36"/>
      <c r="AB60" s="36"/>
    </row>
    <row r="61" spans="1:28" ht="13.2">
      <c r="A61" s="34"/>
      <c r="B61" s="6"/>
      <c r="C61" s="36"/>
      <c r="D61" s="36"/>
      <c r="E61" s="36"/>
      <c r="F61" s="36"/>
      <c r="G61" s="37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4"/>
      <c r="T61" s="39"/>
      <c r="U61" s="36"/>
      <c r="V61" s="36"/>
      <c r="W61" s="36"/>
      <c r="X61" s="36"/>
      <c r="Y61" s="36"/>
      <c r="Z61" s="36"/>
      <c r="AA61" s="36"/>
      <c r="AB61" s="36"/>
    </row>
  </sheetData>
  <autoFilter ref="A1:U48"/>
  <conditionalFormatting sqref="L2:L990">
    <cfRule type="expression" dxfId="1" priority="1">
      <formula>AND(NOT(ISBLANK(L1)), COUNTIF($L$1:$L990, "=" &amp; L1) &gt; 1)</formula>
    </cfRule>
  </conditionalFormatting>
  <conditionalFormatting sqref="A33:A61">
    <cfRule type="notContainsBlanks" dxfId="0" priority="2">
      <formula>LEN(TRIM(A33))&gt;0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'Реестр договоров'!$A$2:$A$506</xm:f>
          </x14:formula1>
          <xm:sqref>A2:A61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B30"/>
  <sheetViews>
    <sheetView workbookViewId="0">
      <selection activeCell="B22" sqref="B22"/>
    </sheetView>
  </sheetViews>
  <sheetFormatPr defaultColWidth="12.6640625" defaultRowHeight="15.75" customHeight="1"/>
  <cols>
    <col min="1" max="1" width="26" customWidth="1"/>
  </cols>
  <sheetData>
    <row r="2" spans="1:2">
      <c r="A2" s="109" t="s">
        <v>114</v>
      </c>
      <c r="B2" s="8" t="s">
        <v>5335</v>
      </c>
    </row>
    <row r="3" spans="1:2">
      <c r="A3" s="110" t="s">
        <v>287</v>
      </c>
      <c r="B3" s="8" t="s">
        <v>5336</v>
      </c>
    </row>
    <row r="4" spans="1:2">
      <c r="A4" s="110" t="s">
        <v>347</v>
      </c>
      <c r="B4" s="8" t="s">
        <v>5337</v>
      </c>
    </row>
    <row r="5" spans="1:2">
      <c r="A5" s="110" t="s">
        <v>366</v>
      </c>
      <c r="B5" s="8" t="s">
        <v>5338</v>
      </c>
    </row>
    <row r="6" spans="1:2">
      <c r="A6" s="110" t="s">
        <v>375</v>
      </c>
      <c r="B6" s="8" t="s">
        <v>5339</v>
      </c>
    </row>
    <row r="7" spans="1:2">
      <c r="A7" s="110" t="s">
        <v>383</v>
      </c>
      <c r="B7" s="8" t="s">
        <v>5340</v>
      </c>
    </row>
    <row r="8" spans="1:2">
      <c r="A8" s="8" t="s">
        <v>5341</v>
      </c>
    </row>
    <row r="9" spans="1:2">
      <c r="A9" s="8" t="s">
        <v>115</v>
      </c>
    </row>
    <row r="10" spans="1:2">
      <c r="A10" s="8">
        <v>30</v>
      </c>
      <c r="B10" s="8" t="s">
        <v>5342</v>
      </c>
    </row>
    <row r="11" spans="1:2">
      <c r="A11" s="8">
        <v>50</v>
      </c>
      <c r="B11" s="8" t="s">
        <v>5343</v>
      </c>
    </row>
    <row r="12" spans="1:2">
      <c r="A12" s="8" t="s">
        <v>5344</v>
      </c>
    </row>
    <row r="13" spans="1:2">
      <c r="A13" s="8" t="s">
        <v>116</v>
      </c>
      <c r="B13" s="8"/>
    </row>
    <row r="14" spans="1:2">
      <c r="A14" s="8" t="s">
        <v>144</v>
      </c>
    </row>
    <row r="16" spans="1:2">
      <c r="A16" s="8" t="s">
        <v>5345</v>
      </c>
    </row>
    <row r="17" spans="1:2">
      <c r="A17" s="8" t="s">
        <v>115</v>
      </c>
    </row>
    <row r="18" spans="1:2">
      <c r="A18" s="8" t="s">
        <v>116</v>
      </c>
      <c r="B18" s="8" t="s">
        <v>5346</v>
      </c>
    </row>
    <row r="19" spans="1:2">
      <c r="A19" s="8" t="s">
        <v>144</v>
      </c>
      <c r="B19" s="8" t="s">
        <v>5347</v>
      </c>
    </row>
    <row r="21" spans="1:2">
      <c r="A21" s="8" t="s">
        <v>5348</v>
      </c>
    </row>
    <row r="22" spans="1:2">
      <c r="A22" s="8" t="s">
        <v>117</v>
      </c>
      <c r="B22" s="241" t="s">
        <v>5349</v>
      </c>
    </row>
    <row r="23" spans="1:2">
      <c r="A23" s="8" t="s">
        <v>115</v>
      </c>
    </row>
    <row r="25" spans="1:2">
      <c r="A25" s="8" t="s">
        <v>5350</v>
      </c>
    </row>
    <row r="26" spans="1:2">
      <c r="A26" s="8" t="s">
        <v>115</v>
      </c>
      <c r="B26" s="8"/>
    </row>
    <row r="27" spans="1:2">
      <c r="A27" s="8">
        <v>30</v>
      </c>
      <c r="B27" s="8">
        <v>30</v>
      </c>
    </row>
    <row r="28" spans="1:2">
      <c r="A28" s="8">
        <v>60</v>
      </c>
      <c r="B28" s="8">
        <v>60</v>
      </c>
    </row>
    <row r="29" spans="1:2">
      <c r="A29" s="8">
        <v>90</v>
      </c>
      <c r="B29" s="8">
        <v>90</v>
      </c>
    </row>
    <row r="30" spans="1:2">
      <c r="A30" s="8">
        <v>120</v>
      </c>
      <c r="B30" s="8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4"/>
  <sheetViews>
    <sheetView topLeftCell="A13" workbookViewId="0">
      <selection activeCell="E36" sqref="E36"/>
    </sheetView>
  </sheetViews>
  <sheetFormatPr defaultColWidth="12.6640625" defaultRowHeight="15.75" customHeight="1"/>
  <cols>
    <col min="1" max="1" width="27.44140625" customWidth="1"/>
    <col min="2" max="2" width="17.21875" customWidth="1"/>
    <col min="5" max="5" width="26.77734375" customWidth="1"/>
    <col min="6" max="6" width="20.21875" customWidth="1"/>
  </cols>
  <sheetData>
    <row r="1" spans="1:6" ht="15.75" customHeight="1">
      <c r="A1" s="111" t="s">
        <v>5351</v>
      </c>
      <c r="B1" s="112" t="s">
        <v>5352</v>
      </c>
      <c r="E1" s="113" t="s">
        <v>5353</v>
      </c>
      <c r="F1" s="114" t="s">
        <v>5352</v>
      </c>
    </row>
    <row r="2" spans="1:6" ht="15.75" customHeight="1">
      <c r="A2" s="109" t="s">
        <v>114</v>
      </c>
      <c r="B2" s="115">
        <v>260000</v>
      </c>
      <c r="E2" s="116"/>
      <c r="F2" s="117"/>
    </row>
    <row r="3" spans="1:6" ht="15.75" customHeight="1">
      <c r="A3" s="110" t="s">
        <v>287</v>
      </c>
      <c r="B3" s="117">
        <v>300000</v>
      </c>
      <c r="E3" s="116"/>
      <c r="F3" s="117"/>
    </row>
    <row r="4" spans="1:6" ht="15.75" customHeight="1">
      <c r="A4" s="110" t="s">
        <v>347</v>
      </c>
      <c r="B4" s="117">
        <v>360000</v>
      </c>
      <c r="E4" s="118" t="s">
        <v>5354</v>
      </c>
      <c r="F4" s="119" t="s">
        <v>5355</v>
      </c>
    </row>
    <row r="5" spans="1:6" ht="15.75" customHeight="1">
      <c r="A5" s="110" t="s">
        <v>366</v>
      </c>
      <c r="B5" s="117">
        <v>410000</v>
      </c>
      <c r="E5" s="120" t="s">
        <v>5356</v>
      </c>
      <c r="F5" s="121" t="s">
        <v>5357</v>
      </c>
    </row>
    <row r="6" spans="1:6" ht="15.75" customHeight="1">
      <c r="A6" s="110" t="s">
        <v>375</v>
      </c>
      <c r="B6" s="122">
        <v>460000</v>
      </c>
      <c r="E6" s="120" t="s">
        <v>5358</v>
      </c>
      <c r="F6" s="121" t="s">
        <v>5359</v>
      </c>
    </row>
    <row r="7" spans="1:6" ht="15.75" customHeight="1">
      <c r="A7" s="110" t="s">
        <v>383</v>
      </c>
      <c r="B7" s="123">
        <v>510000</v>
      </c>
      <c r="E7" s="120" t="s">
        <v>5360</v>
      </c>
      <c r="F7" s="124" t="s">
        <v>5361</v>
      </c>
    </row>
    <row r="9" spans="1:6" ht="15.75" customHeight="1">
      <c r="A9" s="289" t="s">
        <v>5362</v>
      </c>
      <c r="B9" s="125">
        <v>0</v>
      </c>
      <c r="C9" s="126">
        <v>0</v>
      </c>
      <c r="D9" s="127"/>
    </row>
    <row r="10" spans="1:6" ht="15.75" customHeight="1">
      <c r="A10" s="286"/>
      <c r="B10" s="128">
        <v>30</v>
      </c>
      <c r="C10" s="117">
        <v>20000</v>
      </c>
      <c r="D10" s="129" t="s">
        <v>5342</v>
      </c>
    </row>
    <row r="11" spans="1:6" ht="15.75" customHeight="1">
      <c r="A11" s="287"/>
      <c r="B11" s="130">
        <v>50</v>
      </c>
      <c r="C11" s="122">
        <v>40000</v>
      </c>
      <c r="D11" s="131" t="s">
        <v>5343</v>
      </c>
    </row>
    <row r="12" spans="1:6" ht="15.75" customHeight="1">
      <c r="A12" s="285" t="s">
        <v>5363</v>
      </c>
      <c r="B12" s="128">
        <v>0</v>
      </c>
      <c r="C12" s="117">
        <v>0</v>
      </c>
      <c r="D12" s="132"/>
    </row>
    <row r="13" spans="1:6" ht="15.75" customHeight="1">
      <c r="A13" s="286"/>
      <c r="B13" s="128">
        <v>30</v>
      </c>
      <c r="C13" s="117">
        <v>40000</v>
      </c>
      <c r="D13" s="129" t="s">
        <v>5342</v>
      </c>
    </row>
    <row r="14" spans="1:6" ht="15.75" customHeight="1">
      <c r="A14" s="287"/>
      <c r="B14" s="130">
        <v>50</v>
      </c>
      <c r="C14" s="122">
        <v>50000</v>
      </c>
      <c r="D14" s="131" t="s">
        <v>5343</v>
      </c>
    </row>
    <row r="15" spans="1:6" ht="15.75" customHeight="1">
      <c r="A15" s="285" t="s">
        <v>5364</v>
      </c>
      <c r="B15" s="128">
        <v>0</v>
      </c>
      <c r="C15" s="117">
        <v>0</v>
      </c>
      <c r="D15" s="132"/>
    </row>
    <row r="16" spans="1:6" ht="14.4">
      <c r="A16" s="286"/>
      <c r="B16" s="128">
        <v>30</v>
      </c>
      <c r="C16" s="133">
        <v>40000</v>
      </c>
      <c r="D16" s="129" t="s">
        <v>5342</v>
      </c>
    </row>
    <row r="17" spans="1:4" ht="14.4">
      <c r="A17" s="287"/>
      <c r="B17" s="130">
        <v>50</v>
      </c>
      <c r="C17" s="134">
        <v>50000</v>
      </c>
      <c r="D17" s="131" t="s">
        <v>5343</v>
      </c>
    </row>
    <row r="18" spans="1:4" ht="14.4">
      <c r="A18" s="285" t="s">
        <v>5365</v>
      </c>
      <c r="B18" s="128">
        <v>0</v>
      </c>
      <c r="C18" s="117">
        <v>0</v>
      </c>
      <c r="D18" s="132"/>
    </row>
    <row r="19" spans="1:4" ht="14.4">
      <c r="A19" s="286"/>
      <c r="B19" s="128">
        <v>30</v>
      </c>
      <c r="C19" s="117">
        <v>50000</v>
      </c>
      <c r="D19" s="129" t="s">
        <v>5342</v>
      </c>
    </row>
    <row r="20" spans="1:4" ht="14.4">
      <c r="A20" s="287"/>
      <c r="B20" s="130">
        <v>50</v>
      </c>
      <c r="C20" s="134">
        <v>60000</v>
      </c>
      <c r="D20" s="131" t="s">
        <v>5343</v>
      </c>
    </row>
    <row r="21" spans="1:4" ht="14.4">
      <c r="A21" s="285" t="s">
        <v>5366</v>
      </c>
      <c r="B21" s="128">
        <v>0</v>
      </c>
      <c r="C21" s="117">
        <v>0</v>
      </c>
      <c r="D21" s="132"/>
    </row>
    <row r="22" spans="1:4" ht="14.4">
      <c r="A22" s="286"/>
      <c r="B22" s="128">
        <v>30</v>
      </c>
      <c r="C22" s="133">
        <v>60000</v>
      </c>
      <c r="D22" s="129" t="s">
        <v>5342</v>
      </c>
    </row>
    <row r="23" spans="1:4" ht="14.4">
      <c r="A23" s="287"/>
      <c r="B23" s="130">
        <v>50</v>
      </c>
      <c r="C23" s="122">
        <v>70000</v>
      </c>
      <c r="D23" s="131" t="s">
        <v>5343</v>
      </c>
    </row>
    <row r="24" spans="1:4" ht="14.4">
      <c r="A24" s="285" t="s">
        <v>5367</v>
      </c>
      <c r="B24" s="128">
        <v>0</v>
      </c>
      <c r="C24" s="117">
        <v>0</v>
      </c>
      <c r="D24" s="132"/>
    </row>
    <row r="25" spans="1:4" ht="14.4">
      <c r="A25" s="286"/>
      <c r="B25" s="128">
        <v>30</v>
      </c>
      <c r="C25" s="133">
        <v>70000</v>
      </c>
      <c r="D25" s="129" t="s">
        <v>5342</v>
      </c>
    </row>
    <row r="26" spans="1:4" ht="14.4">
      <c r="A26" s="287"/>
      <c r="B26" s="130">
        <v>50</v>
      </c>
      <c r="C26" s="134">
        <v>80000</v>
      </c>
      <c r="D26" s="131" t="s">
        <v>5343</v>
      </c>
    </row>
    <row r="27" spans="1:4" ht="14.4">
      <c r="A27" s="285" t="s">
        <v>5368</v>
      </c>
      <c r="B27" s="128">
        <v>0</v>
      </c>
      <c r="C27" s="117">
        <v>0</v>
      </c>
      <c r="D27" s="132"/>
    </row>
    <row r="28" spans="1:4" ht="14.4">
      <c r="A28" s="286"/>
      <c r="B28" s="128">
        <v>13</v>
      </c>
      <c r="C28" s="117">
        <v>30000</v>
      </c>
      <c r="D28" s="129" t="s">
        <v>5346</v>
      </c>
    </row>
    <row r="29" spans="1:4" ht="14.4">
      <c r="A29" s="287"/>
      <c r="B29" s="130">
        <v>15</v>
      </c>
      <c r="C29" s="122">
        <v>50000</v>
      </c>
      <c r="D29" s="131" t="s">
        <v>5347</v>
      </c>
    </row>
    <row r="30" spans="1:4" ht="14.4">
      <c r="A30" s="285" t="s">
        <v>5344</v>
      </c>
      <c r="B30" s="128">
        <v>0</v>
      </c>
      <c r="C30" s="117">
        <v>0</v>
      </c>
      <c r="D30" s="132"/>
    </row>
    <row r="31" spans="1:4" ht="14.4">
      <c r="A31" s="286"/>
      <c r="B31" s="128">
        <v>13</v>
      </c>
      <c r="C31" s="117">
        <v>0</v>
      </c>
      <c r="D31" s="129" t="s">
        <v>116</v>
      </c>
    </row>
    <row r="32" spans="1:4" ht="14.4">
      <c r="A32" s="287"/>
      <c r="B32" s="130">
        <v>15</v>
      </c>
      <c r="C32" s="122">
        <v>30000</v>
      </c>
      <c r="D32" s="131" t="s">
        <v>144</v>
      </c>
    </row>
    <row r="33" spans="1:4" ht="14.4">
      <c r="A33" s="285" t="s">
        <v>5369</v>
      </c>
      <c r="B33" s="128">
        <v>0</v>
      </c>
      <c r="C33" s="117">
        <v>0</v>
      </c>
      <c r="D33" s="132"/>
    </row>
    <row r="34" spans="1:4" ht="14.4">
      <c r="A34" s="287"/>
      <c r="B34" s="294" t="s">
        <v>5371</v>
      </c>
      <c r="C34" s="122">
        <v>10000</v>
      </c>
      <c r="D34" s="295" t="s">
        <v>5371</v>
      </c>
    </row>
    <row r="35" spans="1:4" ht="14.4">
      <c r="A35" s="285" t="s">
        <v>5372</v>
      </c>
      <c r="B35" s="135">
        <v>0</v>
      </c>
      <c r="C35" s="117">
        <v>0</v>
      </c>
      <c r="D35" s="132"/>
    </row>
    <row r="36" spans="1:4" ht="14.4">
      <c r="A36" s="286"/>
      <c r="B36" s="136">
        <v>30</v>
      </c>
      <c r="C36" s="133">
        <v>30000</v>
      </c>
      <c r="D36" s="137">
        <v>30</v>
      </c>
    </row>
    <row r="37" spans="1:4" ht="14.4">
      <c r="A37" s="286"/>
      <c r="B37" s="128">
        <v>60</v>
      </c>
      <c r="C37" s="133">
        <v>60000</v>
      </c>
      <c r="D37" s="129">
        <v>60</v>
      </c>
    </row>
    <row r="38" spans="1:4" ht="14.4">
      <c r="A38" s="287"/>
      <c r="B38" s="130">
        <v>90</v>
      </c>
      <c r="C38" s="122">
        <v>80000</v>
      </c>
      <c r="D38" s="131">
        <v>90</v>
      </c>
    </row>
    <row r="39" spans="1:4" ht="14.4">
      <c r="A39" s="285" t="s">
        <v>5373</v>
      </c>
      <c r="B39" s="128">
        <v>0</v>
      </c>
      <c r="C39" s="117">
        <v>0</v>
      </c>
      <c r="D39" s="132"/>
    </row>
    <row r="40" spans="1:4" ht="14.4">
      <c r="A40" s="286"/>
      <c r="B40" s="136">
        <v>30</v>
      </c>
      <c r="C40" s="133">
        <v>35000</v>
      </c>
      <c r="D40" s="137">
        <v>30</v>
      </c>
    </row>
    <row r="41" spans="1:4" ht="14.4">
      <c r="A41" s="286"/>
      <c r="B41" s="128">
        <v>60</v>
      </c>
      <c r="C41" s="133">
        <v>70000</v>
      </c>
      <c r="D41" s="129">
        <v>60</v>
      </c>
    </row>
    <row r="42" spans="1:4" ht="14.4">
      <c r="A42" s="287"/>
      <c r="B42" s="130">
        <v>90</v>
      </c>
      <c r="C42" s="122">
        <v>90000</v>
      </c>
      <c r="D42" s="131">
        <v>90</v>
      </c>
    </row>
    <row r="43" spans="1:4" ht="14.4">
      <c r="A43" s="285" t="s">
        <v>5374</v>
      </c>
      <c r="B43" s="128">
        <v>0</v>
      </c>
      <c r="C43" s="117">
        <v>0</v>
      </c>
      <c r="D43" s="132"/>
    </row>
    <row r="44" spans="1:4" ht="14.4">
      <c r="A44" s="286"/>
      <c r="B44" s="128">
        <v>90</v>
      </c>
      <c r="C44" s="117">
        <v>100000</v>
      </c>
      <c r="D44" s="129">
        <v>90</v>
      </c>
    </row>
    <row r="45" spans="1:4" ht="14.4">
      <c r="A45" s="287"/>
      <c r="B45" s="130">
        <v>120</v>
      </c>
      <c r="C45" s="122">
        <v>110000</v>
      </c>
      <c r="D45" s="131">
        <v>120</v>
      </c>
    </row>
    <row r="46" spans="1:4" ht="14.4">
      <c r="A46" s="285" t="s">
        <v>5375</v>
      </c>
      <c r="B46" s="128">
        <v>0</v>
      </c>
      <c r="C46" s="117">
        <v>0</v>
      </c>
      <c r="D46" s="132"/>
    </row>
    <row r="47" spans="1:4" ht="14.4">
      <c r="A47" s="286"/>
      <c r="B47" s="128">
        <v>90</v>
      </c>
      <c r="C47" s="133">
        <v>110000</v>
      </c>
      <c r="D47" s="129">
        <v>90</v>
      </c>
    </row>
    <row r="48" spans="1:4" ht="14.4">
      <c r="A48" s="287"/>
      <c r="B48" s="138">
        <v>120</v>
      </c>
      <c r="C48" s="139">
        <v>140000</v>
      </c>
      <c r="D48" s="140">
        <v>120</v>
      </c>
    </row>
    <row r="49" spans="1:4" ht="14.4">
      <c r="A49" s="288" t="s">
        <v>5376</v>
      </c>
      <c r="B49" s="141">
        <v>0</v>
      </c>
      <c r="C49" s="142">
        <v>0</v>
      </c>
      <c r="D49" s="143"/>
    </row>
    <row r="50" spans="1:4" ht="14.4">
      <c r="A50" s="243"/>
      <c r="B50" s="141">
        <v>120</v>
      </c>
      <c r="C50" s="144">
        <v>130000</v>
      </c>
      <c r="D50" s="145">
        <v>120</v>
      </c>
    </row>
    <row r="51" spans="1:4" ht="14.4">
      <c r="A51" s="244"/>
      <c r="B51" s="146">
        <v>150</v>
      </c>
      <c r="C51" s="147">
        <v>140000</v>
      </c>
      <c r="D51" s="148">
        <v>150</v>
      </c>
    </row>
    <row r="52" spans="1:4" ht="14.4">
      <c r="A52" s="288" t="s">
        <v>5377</v>
      </c>
      <c r="B52" s="141">
        <v>0</v>
      </c>
      <c r="C52" s="142">
        <v>0</v>
      </c>
      <c r="D52" s="143"/>
    </row>
    <row r="53" spans="1:4" ht="14.4">
      <c r="A53" s="243"/>
      <c r="B53" s="141">
        <v>120</v>
      </c>
      <c r="C53" s="144">
        <v>150000</v>
      </c>
      <c r="D53" s="145">
        <v>120</v>
      </c>
    </row>
    <row r="54" spans="1:4" ht="14.4">
      <c r="A54" s="244"/>
      <c r="B54" s="149">
        <v>150</v>
      </c>
      <c r="C54" s="144">
        <v>160000</v>
      </c>
      <c r="D54" s="150">
        <v>150</v>
      </c>
    </row>
  </sheetData>
  <mergeCells count="15">
    <mergeCell ref="A46:A48"/>
    <mergeCell ref="A49:A51"/>
    <mergeCell ref="A52:A54"/>
    <mergeCell ref="A9:A11"/>
    <mergeCell ref="A12:A14"/>
    <mergeCell ref="A15:A17"/>
    <mergeCell ref="A18:A20"/>
    <mergeCell ref="A21:A23"/>
    <mergeCell ref="A24:A26"/>
    <mergeCell ref="A27:A29"/>
    <mergeCell ref="A30:A32"/>
    <mergeCell ref="A33:A34"/>
    <mergeCell ref="A35:A38"/>
    <mergeCell ref="A39:A42"/>
    <mergeCell ref="A43:A4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7"/>
  <sheetViews>
    <sheetView topLeftCell="A16" workbookViewId="0"/>
  </sheetViews>
  <sheetFormatPr defaultColWidth="12.6640625" defaultRowHeight="15.75" customHeight="1"/>
  <cols>
    <col min="1" max="2" width="26.6640625" customWidth="1"/>
    <col min="3" max="3" width="12.21875" customWidth="1"/>
    <col min="4" max="4" width="9.21875" customWidth="1"/>
    <col min="5" max="5" width="10.77734375" customWidth="1"/>
    <col min="6" max="6" width="9" customWidth="1"/>
    <col min="13" max="13" width="16.88671875" customWidth="1"/>
  </cols>
  <sheetData>
    <row r="1" spans="1:14" ht="15.75" customHeight="1">
      <c r="A1" s="8"/>
      <c r="B1" s="8"/>
      <c r="C1" s="151"/>
      <c r="D1" s="151"/>
      <c r="E1" s="151"/>
      <c r="F1" s="152"/>
    </row>
    <row r="2" spans="1:14" ht="15.75" customHeight="1">
      <c r="C2" s="291" t="s">
        <v>5378</v>
      </c>
      <c r="D2" s="270"/>
      <c r="E2" s="270"/>
      <c r="F2" s="271"/>
      <c r="G2" s="292" t="s">
        <v>5379</v>
      </c>
      <c r="H2" s="270"/>
      <c r="I2" s="271"/>
    </row>
    <row r="3" spans="1:14" ht="15.75" customHeight="1">
      <c r="A3" s="8"/>
      <c r="B3" s="34" t="s">
        <v>905</v>
      </c>
      <c r="C3" s="153" t="s">
        <v>5380</v>
      </c>
      <c r="D3" s="154" t="s">
        <v>5381</v>
      </c>
      <c r="E3" s="154" t="s">
        <v>5382</v>
      </c>
      <c r="F3" s="155" t="s">
        <v>5383</v>
      </c>
      <c r="G3" s="154" t="s">
        <v>5381</v>
      </c>
      <c r="H3" s="154" t="s">
        <v>5382</v>
      </c>
      <c r="I3" s="155" t="s">
        <v>5383</v>
      </c>
      <c r="M3" s="8" t="s">
        <v>907</v>
      </c>
      <c r="N3" s="8" t="s">
        <v>908</v>
      </c>
    </row>
    <row r="4" spans="1:14" ht="15.75" customHeight="1">
      <c r="A4" s="156"/>
      <c r="B4" s="290" t="s">
        <v>114</v>
      </c>
      <c r="C4" s="149">
        <v>0</v>
      </c>
      <c r="D4" s="141">
        <f t="shared" ref="D4:D6" si="0">2000+1150</f>
        <v>3150</v>
      </c>
      <c r="E4" s="141">
        <v>1700</v>
      </c>
      <c r="F4" s="141">
        <v>570</v>
      </c>
      <c r="G4" s="34">
        <v>2000</v>
      </c>
      <c r="H4" s="34">
        <v>1250</v>
      </c>
      <c r="I4" s="34">
        <v>0</v>
      </c>
      <c r="J4" s="8">
        <v>4000</v>
      </c>
      <c r="K4" s="8">
        <v>1700</v>
      </c>
      <c r="L4" s="8">
        <v>650</v>
      </c>
      <c r="M4" s="8" t="str">
        <f ca="1">IFERROR(__xludf.DUMMYFUNCTION("JOIN(""*"",J4:L4)"),"4000*1700*650")</f>
        <v>4000*1700*650</v>
      </c>
      <c r="N4" s="16" t="str">
        <f ca="1">IFERROR(__xludf.DUMMYFUNCTION("JOIN(""*"",G4:I4)"),"2000*1250*0")</f>
        <v>2000*1250*0</v>
      </c>
    </row>
    <row r="5" spans="1:14" ht="15.75" customHeight="1">
      <c r="A5" s="156"/>
      <c r="B5" s="243"/>
      <c r="C5" s="149">
        <v>30</v>
      </c>
      <c r="D5" s="141">
        <f t="shared" si="0"/>
        <v>3150</v>
      </c>
      <c r="E5" s="141">
        <v>1700</v>
      </c>
      <c r="F5" s="149">
        <v>870</v>
      </c>
      <c r="G5" s="34">
        <v>2000</v>
      </c>
      <c r="H5" s="34">
        <v>1250</v>
      </c>
      <c r="I5" s="34">
        <v>300</v>
      </c>
      <c r="J5" s="16">
        <f t="shared" ref="J5:K5" si="1">D5</f>
        <v>3150</v>
      </c>
      <c r="K5" s="16">
        <f t="shared" si="1"/>
        <v>1700</v>
      </c>
      <c r="L5" s="8">
        <v>900</v>
      </c>
      <c r="M5" s="8" t="str">
        <f ca="1">IFERROR(__xludf.DUMMYFUNCTION("JOIN(""*"",J5:L5)"),"3150*1700*900")</f>
        <v>3150*1700*900</v>
      </c>
      <c r="N5" s="16" t="str">
        <f ca="1">IFERROR(__xludf.DUMMYFUNCTION("JOIN(""*"",G5:I5)"),"2000*1250*300")</f>
        <v>2000*1250*300</v>
      </c>
    </row>
    <row r="6" spans="1:14" ht="15.75" customHeight="1">
      <c r="A6" s="156"/>
      <c r="B6" s="244"/>
      <c r="C6" s="149">
        <v>50</v>
      </c>
      <c r="D6" s="141">
        <f t="shared" si="0"/>
        <v>3150</v>
      </c>
      <c r="E6" s="141">
        <v>1700</v>
      </c>
      <c r="F6" s="149">
        <v>1070</v>
      </c>
      <c r="G6" s="34">
        <v>2000</v>
      </c>
      <c r="H6" s="34">
        <v>1250</v>
      </c>
      <c r="I6" s="34">
        <v>500</v>
      </c>
      <c r="J6" s="16">
        <f t="shared" ref="J6:L6" si="2">D6</f>
        <v>3150</v>
      </c>
      <c r="K6" s="16">
        <f t="shared" si="2"/>
        <v>1700</v>
      </c>
      <c r="L6" s="16">
        <f t="shared" si="2"/>
        <v>1070</v>
      </c>
      <c r="M6" s="8" t="str">
        <f ca="1">IFERROR(__xludf.DUMMYFUNCTION("JOIN(""*"",J6:L6)"),"3150*1700*1070")</f>
        <v>3150*1700*1070</v>
      </c>
      <c r="N6" s="16" t="str">
        <f ca="1">IFERROR(__xludf.DUMMYFUNCTION("JOIN(""*"",G6:I6)"),"2000*1250*500")</f>
        <v>2000*1250*500</v>
      </c>
    </row>
    <row r="7" spans="1:14" ht="15.75" customHeight="1">
      <c r="A7" s="156"/>
      <c r="B7" s="290" t="s">
        <v>287</v>
      </c>
      <c r="C7" s="149">
        <v>0</v>
      </c>
      <c r="D7" s="141">
        <f t="shared" ref="D7:D9" si="3">D4+500</f>
        <v>3650</v>
      </c>
      <c r="E7" s="141">
        <v>1700</v>
      </c>
      <c r="F7" s="141">
        <v>570</v>
      </c>
      <c r="G7" s="34">
        <v>2500</v>
      </c>
      <c r="H7" s="34">
        <v>1250</v>
      </c>
      <c r="I7" s="34">
        <v>0</v>
      </c>
      <c r="J7" s="8">
        <v>4000</v>
      </c>
      <c r="K7" s="8">
        <v>1700</v>
      </c>
      <c r="L7" s="8">
        <v>650</v>
      </c>
      <c r="M7" s="8" t="str">
        <f ca="1">IFERROR(__xludf.DUMMYFUNCTION("JOIN(""*"",J7:L7)"),"4000*1700*650")</f>
        <v>4000*1700*650</v>
      </c>
      <c r="N7" s="16" t="str">
        <f ca="1">IFERROR(__xludf.DUMMYFUNCTION("JOIN(""*"",G7:I7)"),"2500*1250*0")</f>
        <v>2500*1250*0</v>
      </c>
    </row>
    <row r="8" spans="1:14" ht="15.75" customHeight="1">
      <c r="A8" s="156"/>
      <c r="B8" s="243"/>
      <c r="C8" s="149">
        <v>30</v>
      </c>
      <c r="D8" s="141">
        <f t="shared" si="3"/>
        <v>3650</v>
      </c>
      <c r="E8" s="141">
        <v>1700</v>
      </c>
      <c r="F8" s="149">
        <v>870</v>
      </c>
      <c r="G8" s="34">
        <v>2500</v>
      </c>
      <c r="H8" s="34">
        <v>1250</v>
      </c>
      <c r="I8" s="34">
        <v>300</v>
      </c>
      <c r="J8" s="16">
        <f t="shared" ref="J8:K8" si="4">D8</f>
        <v>3650</v>
      </c>
      <c r="K8" s="16">
        <f t="shared" si="4"/>
        <v>1700</v>
      </c>
      <c r="L8" s="8">
        <v>900</v>
      </c>
      <c r="M8" s="8" t="str">
        <f ca="1">IFERROR(__xludf.DUMMYFUNCTION("JOIN(""*"",J8:L8)"),"3650*1700*900")</f>
        <v>3650*1700*900</v>
      </c>
      <c r="N8" s="16" t="str">
        <f ca="1">IFERROR(__xludf.DUMMYFUNCTION("JOIN(""*"",G8:I8)"),"2500*1250*300")</f>
        <v>2500*1250*300</v>
      </c>
    </row>
    <row r="9" spans="1:14" ht="15.75" customHeight="1">
      <c r="A9" s="156"/>
      <c r="B9" s="244"/>
      <c r="C9" s="149">
        <v>50</v>
      </c>
      <c r="D9" s="141">
        <f t="shared" si="3"/>
        <v>3650</v>
      </c>
      <c r="E9" s="141">
        <v>1700</v>
      </c>
      <c r="F9" s="149">
        <v>1070</v>
      </c>
      <c r="G9" s="34">
        <v>2500</v>
      </c>
      <c r="H9" s="34">
        <v>1250</v>
      </c>
      <c r="I9" s="34">
        <v>500</v>
      </c>
      <c r="J9" s="16">
        <f t="shared" ref="J9:L9" si="5">D9</f>
        <v>3650</v>
      </c>
      <c r="K9" s="16">
        <f t="shared" si="5"/>
        <v>1700</v>
      </c>
      <c r="L9" s="16">
        <f t="shared" si="5"/>
        <v>1070</v>
      </c>
      <c r="M9" s="8" t="str">
        <f ca="1">IFERROR(__xludf.DUMMYFUNCTION("JOIN(""*"",J9:L9)"),"3650*1700*1070")</f>
        <v>3650*1700*1070</v>
      </c>
      <c r="N9" s="16" t="str">
        <f ca="1">IFERROR(__xludf.DUMMYFUNCTION("JOIN(""*"",G9:I9)"),"2500*1250*500")</f>
        <v>2500*1250*500</v>
      </c>
    </row>
    <row r="10" spans="1:14" ht="15.75" customHeight="1">
      <c r="A10" s="156"/>
      <c r="B10" s="290" t="s">
        <v>347</v>
      </c>
      <c r="C10" s="149">
        <v>0</v>
      </c>
      <c r="D10" s="141">
        <v>3650</v>
      </c>
      <c r="E10" s="141">
        <f t="shared" ref="E10:E12" si="6">1700+250</f>
        <v>1950</v>
      </c>
      <c r="F10" s="141">
        <v>570</v>
      </c>
      <c r="G10" s="34">
        <v>2500</v>
      </c>
      <c r="H10" s="34">
        <v>1500</v>
      </c>
      <c r="I10" s="34">
        <v>0</v>
      </c>
      <c r="J10" s="8">
        <v>4000</v>
      </c>
      <c r="K10" s="16">
        <f>E10</f>
        <v>1950</v>
      </c>
      <c r="L10" s="8">
        <v>650</v>
      </c>
      <c r="M10" s="8" t="str">
        <f ca="1">IFERROR(__xludf.DUMMYFUNCTION("JOIN(""*"",J10:L10)"),"4000*1950*650")</f>
        <v>4000*1950*650</v>
      </c>
      <c r="N10" s="16" t="str">
        <f ca="1">IFERROR(__xludf.DUMMYFUNCTION("JOIN(""*"",G10:I10)"),"2500*1500*0")</f>
        <v>2500*1500*0</v>
      </c>
    </row>
    <row r="11" spans="1:14" ht="15.75" customHeight="1">
      <c r="A11" s="156"/>
      <c r="B11" s="243"/>
      <c r="C11" s="149">
        <v>30</v>
      </c>
      <c r="D11" s="141">
        <v>3650</v>
      </c>
      <c r="E11" s="141">
        <f t="shared" si="6"/>
        <v>1950</v>
      </c>
      <c r="F11" s="149">
        <v>870</v>
      </c>
      <c r="G11" s="34">
        <v>2500</v>
      </c>
      <c r="H11" s="34">
        <v>1500</v>
      </c>
      <c r="I11" s="34">
        <v>300</v>
      </c>
      <c r="J11" s="16">
        <f t="shared" ref="J11:K11" si="7">D11</f>
        <v>3650</v>
      </c>
      <c r="K11" s="16">
        <f t="shared" si="7"/>
        <v>1950</v>
      </c>
      <c r="L11" s="8">
        <v>900</v>
      </c>
      <c r="M11" s="8" t="str">
        <f ca="1">IFERROR(__xludf.DUMMYFUNCTION("JOIN(""*"",J11:L11)"),"3650*1950*900")</f>
        <v>3650*1950*900</v>
      </c>
      <c r="N11" s="16" t="str">
        <f ca="1">IFERROR(__xludf.DUMMYFUNCTION("JOIN(""*"",G11:I11)"),"2500*1500*300")</f>
        <v>2500*1500*300</v>
      </c>
    </row>
    <row r="12" spans="1:14" ht="15.75" customHeight="1">
      <c r="A12" s="156"/>
      <c r="B12" s="244"/>
      <c r="C12" s="149">
        <v>50</v>
      </c>
      <c r="D12" s="141">
        <v>3650</v>
      </c>
      <c r="E12" s="141">
        <f t="shared" si="6"/>
        <v>1950</v>
      </c>
      <c r="F12" s="149">
        <v>1070</v>
      </c>
      <c r="G12" s="34">
        <v>2500</v>
      </c>
      <c r="H12" s="34">
        <v>1500</v>
      </c>
      <c r="I12" s="34">
        <v>500</v>
      </c>
      <c r="J12" s="16">
        <f t="shared" ref="J12:L12" si="8">D12</f>
        <v>3650</v>
      </c>
      <c r="K12" s="16">
        <f t="shared" si="8"/>
        <v>1950</v>
      </c>
      <c r="L12" s="16">
        <f t="shared" si="8"/>
        <v>1070</v>
      </c>
      <c r="M12" s="8" t="str">
        <f ca="1">IFERROR(__xludf.DUMMYFUNCTION("JOIN(""*"",J12:L12)"),"3650*1950*1070")</f>
        <v>3650*1950*1070</v>
      </c>
      <c r="N12" s="16" t="str">
        <f ca="1">IFERROR(__xludf.DUMMYFUNCTION("JOIN(""*"",G12:I12)"),"2500*1500*500")</f>
        <v>2500*1500*500</v>
      </c>
    </row>
    <row r="13" spans="1:14" ht="15.75" customHeight="1">
      <c r="A13" s="156"/>
      <c r="B13" s="290" t="s">
        <v>366</v>
      </c>
      <c r="C13" s="149">
        <v>0</v>
      </c>
      <c r="D13" s="141">
        <f t="shared" ref="D13:D21" si="9">D10+500</f>
        <v>4150</v>
      </c>
      <c r="E13" s="141">
        <v>1950</v>
      </c>
      <c r="F13" s="141">
        <v>570</v>
      </c>
      <c r="G13" s="34">
        <v>3000</v>
      </c>
      <c r="H13" s="34">
        <v>1500</v>
      </c>
      <c r="I13" s="34">
        <v>0</v>
      </c>
      <c r="J13" s="16">
        <f t="shared" ref="J13:K13" si="10">D13</f>
        <v>4150</v>
      </c>
      <c r="K13" s="16">
        <f t="shared" si="10"/>
        <v>1950</v>
      </c>
      <c r="L13" s="8">
        <v>650</v>
      </c>
      <c r="M13" s="8" t="str">
        <f ca="1">IFERROR(__xludf.DUMMYFUNCTION("JOIN(""*"",J13:L13)"),"4150*1950*650")</f>
        <v>4150*1950*650</v>
      </c>
      <c r="N13" s="16" t="str">
        <f ca="1">IFERROR(__xludf.DUMMYFUNCTION("JOIN(""*"",G13:I13)"),"3000*1500*0")</f>
        <v>3000*1500*0</v>
      </c>
    </row>
    <row r="14" spans="1:14" ht="15.75" customHeight="1">
      <c r="A14" s="156"/>
      <c r="B14" s="243"/>
      <c r="C14" s="149">
        <v>30</v>
      </c>
      <c r="D14" s="141">
        <f t="shared" si="9"/>
        <v>4150</v>
      </c>
      <c r="E14" s="141">
        <v>1950</v>
      </c>
      <c r="F14" s="149">
        <v>870</v>
      </c>
      <c r="G14" s="34">
        <v>3000</v>
      </c>
      <c r="H14" s="34">
        <v>1500</v>
      </c>
      <c r="I14" s="34">
        <v>300</v>
      </c>
      <c r="J14" s="8">
        <v>3800</v>
      </c>
      <c r="K14" s="16">
        <f t="shared" ref="K14:K15" si="11">E14</f>
        <v>1950</v>
      </c>
      <c r="L14" s="8">
        <v>900</v>
      </c>
      <c r="M14" s="8" t="str">
        <f ca="1">IFERROR(__xludf.DUMMYFUNCTION("JOIN(""*"",J14:L14)"),"3800*1950*900")</f>
        <v>3800*1950*900</v>
      </c>
      <c r="N14" s="16" t="str">
        <f ca="1">IFERROR(__xludf.DUMMYFUNCTION("JOIN(""*"",G14:I14)"),"3000*1500*300")</f>
        <v>3000*1500*300</v>
      </c>
    </row>
    <row r="15" spans="1:14" ht="15.75" customHeight="1">
      <c r="A15" s="156"/>
      <c r="B15" s="244"/>
      <c r="C15" s="149">
        <v>50</v>
      </c>
      <c r="D15" s="141">
        <f t="shared" si="9"/>
        <v>4150</v>
      </c>
      <c r="E15" s="141">
        <v>1950</v>
      </c>
      <c r="F15" s="149">
        <v>1070</v>
      </c>
      <c r="G15" s="34">
        <v>3000</v>
      </c>
      <c r="H15" s="34">
        <v>1500</v>
      </c>
      <c r="I15" s="34">
        <v>500</v>
      </c>
      <c r="J15" s="8">
        <v>3800</v>
      </c>
      <c r="K15" s="16">
        <f t="shared" si="11"/>
        <v>1950</v>
      </c>
      <c r="L15" s="8">
        <v>1200</v>
      </c>
      <c r="M15" s="8" t="str">
        <f ca="1">IFERROR(__xludf.DUMMYFUNCTION("JOIN(""*"",J15:L15)"),"3800*1950*1200")</f>
        <v>3800*1950*1200</v>
      </c>
      <c r="N15" s="16" t="str">
        <f ca="1">IFERROR(__xludf.DUMMYFUNCTION("JOIN(""*"",G15:I15)"),"3000*1500*500")</f>
        <v>3000*1500*500</v>
      </c>
    </row>
    <row r="16" spans="1:14" ht="14.4">
      <c r="A16" s="156"/>
      <c r="B16" s="290" t="s">
        <v>375</v>
      </c>
      <c r="C16" s="149">
        <v>0</v>
      </c>
      <c r="D16" s="141">
        <f t="shared" si="9"/>
        <v>4650</v>
      </c>
      <c r="E16" s="141">
        <v>1950</v>
      </c>
      <c r="F16" s="141">
        <v>570</v>
      </c>
      <c r="G16" s="34">
        <v>3500</v>
      </c>
      <c r="H16" s="34">
        <v>1500</v>
      </c>
      <c r="I16" s="34">
        <v>0</v>
      </c>
      <c r="J16" s="16">
        <f t="shared" ref="J16:K16" si="12">D16</f>
        <v>4650</v>
      </c>
      <c r="K16" s="16">
        <f t="shared" si="12"/>
        <v>1950</v>
      </c>
      <c r="L16" s="8">
        <v>650</v>
      </c>
      <c r="M16" s="8" t="str">
        <f ca="1">IFERROR(__xludf.DUMMYFUNCTION("JOIN(""*"",J16:L16)"),"4650*1950*650")</f>
        <v>4650*1950*650</v>
      </c>
      <c r="N16" s="16" t="str">
        <f ca="1">IFERROR(__xludf.DUMMYFUNCTION("JOIN(""*"",G16:I16)"),"3500*1500*0")</f>
        <v>3500*1500*0</v>
      </c>
    </row>
    <row r="17" spans="1:14" ht="14.4">
      <c r="A17" s="156"/>
      <c r="B17" s="243"/>
      <c r="C17" s="149">
        <v>30</v>
      </c>
      <c r="D17" s="141">
        <f t="shared" si="9"/>
        <v>4650</v>
      </c>
      <c r="E17" s="141">
        <v>1950</v>
      </c>
      <c r="F17" s="149">
        <v>870</v>
      </c>
      <c r="G17" s="34">
        <v>3500</v>
      </c>
      <c r="H17" s="34">
        <v>1500</v>
      </c>
      <c r="I17" s="34">
        <v>300</v>
      </c>
      <c r="J17" s="8">
        <v>3800</v>
      </c>
      <c r="K17" s="16">
        <f t="shared" ref="K17:K18" si="13">E17</f>
        <v>1950</v>
      </c>
      <c r="L17" s="8">
        <v>900</v>
      </c>
      <c r="M17" s="8" t="str">
        <f ca="1">IFERROR(__xludf.DUMMYFUNCTION("JOIN(""*"",J17:L17)"),"3800*1950*900")</f>
        <v>3800*1950*900</v>
      </c>
      <c r="N17" s="16" t="str">
        <f ca="1">IFERROR(__xludf.DUMMYFUNCTION("JOIN(""*"",G17:I17)"),"3500*1500*300")</f>
        <v>3500*1500*300</v>
      </c>
    </row>
    <row r="18" spans="1:14" ht="14.4">
      <c r="A18" s="156"/>
      <c r="B18" s="244"/>
      <c r="C18" s="149">
        <v>50</v>
      </c>
      <c r="D18" s="141">
        <f t="shared" si="9"/>
        <v>4650</v>
      </c>
      <c r="E18" s="141">
        <v>1950</v>
      </c>
      <c r="F18" s="149">
        <v>1070</v>
      </c>
      <c r="G18" s="34">
        <v>3500</v>
      </c>
      <c r="H18" s="34">
        <v>1500</v>
      </c>
      <c r="I18" s="34">
        <v>500</v>
      </c>
      <c r="J18" s="8">
        <v>3800</v>
      </c>
      <c r="K18" s="16">
        <f t="shared" si="13"/>
        <v>1950</v>
      </c>
      <c r="L18" s="8">
        <v>1200</v>
      </c>
      <c r="M18" s="8" t="str">
        <f ca="1">IFERROR(__xludf.DUMMYFUNCTION("JOIN(""*"",J18:L18)"),"3800*1950*1200")</f>
        <v>3800*1950*1200</v>
      </c>
      <c r="N18" s="16" t="str">
        <f ca="1">IFERROR(__xludf.DUMMYFUNCTION("JOIN(""*"",G18:I18)"),"3500*1500*500")</f>
        <v>3500*1500*500</v>
      </c>
    </row>
    <row r="19" spans="1:14" ht="14.4">
      <c r="A19" s="156"/>
      <c r="B19" s="290" t="s">
        <v>383</v>
      </c>
      <c r="C19" s="149">
        <v>0</v>
      </c>
      <c r="D19" s="141">
        <f t="shared" si="9"/>
        <v>5150</v>
      </c>
      <c r="E19" s="141">
        <v>1950</v>
      </c>
      <c r="F19" s="141">
        <v>570</v>
      </c>
      <c r="G19" s="34">
        <v>4000</v>
      </c>
      <c r="H19" s="34">
        <v>1500</v>
      </c>
      <c r="I19" s="34">
        <v>0</v>
      </c>
      <c r="J19" s="16">
        <f t="shared" ref="J19:K19" si="14">D19</f>
        <v>5150</v>
      </c>
      <c r="K19" s="16">
        <f t="shared" si="14"/>
        <v>1950</v>
      </c>
      <c r="L19" s="8">
        <v>650</v>
      </c>
      <c r="M19" s="8" t="str">
        <f ca="1">IFERROR(__xludf.DUMMYFUNCTION("JOIN(""*"",J19:L19)"),"5150*1950*650")</f>
        <v>5150*1950*650</v>
      </c>
      <c r="N19" s="16" t="str">
        <f ca="1">IFERROR(__xludf.DUMMYFUNCTION("JOIN(""*"",G19:I19)"),"4000*1500*0")</f>
        <v>4000*1500*0</v>
      </c>
    </row>
    <row r="20" spans="1:14" ht="14.4">
      <c r="A20" s="156"/>
      <c r="B20" s="243"/>
      <c r="C20" s="149">
        <v>30</v>
      </c>
      <c r="D20" s="141">
        <f t="shared" si="9"/>
        <v>5150</v>
      </c>
      <c r="E20" s="141">
        <v>1950</v>
      </c>
      <c r="F20" s="149">
        <v>870</v>
      </c>
      <c r="G20" s="34">
        <v>4000</v>
      </c>
      <c r="H20" s="34">
        <v>1500</v>
      </c>
      <c r="I20" s="34">
        <v>300</v>
      </c>
      <c r="J20" s="8">
        <v>3800</v>
      </c>
      <c r="K20" s="16">
        <f t="shared" ref="K20:K21" si="15">E20</f>
        <v>1950</v>
      </c>
      <c r="L20" s="8">
        <v>900</v>
      </c>
      <c r="M20" s="8" t="str">
        <f ca="1">IFERROR(__xludf.DUMMYFUNCTION("JOIN(""*"",J20:L20)"),"3800*1950*900")</f>
        <v>3800*1950*900</v>
      </c>
      <c r="N20" s="16" t="str">
        <f ca="1">IFERROR(__xludf.DUMMYFUNCTION("JOIN(""*"",G20:I20)"),"4000*1500*300")</f>
        <v>4000*1500*300</v>
      </c>
    </row>
    <row r="21" spans="1:14" ht="14.4">
      <c r="A21" s="156"/>
      <c r="B21" s="244"/>
      <c r="C21" s="149">
        <v>50</v>
      </c>
      <c r="D21" s="141">
        <f t="shared" si="9"/>
        <v>5150</v>
      </c>
      <c r="E21" s="141">
        <v>1950</v>
      </c>
      <c r="F21" s="149">
        <v>1070</v>
      </c>
      <c r="G21" s="34">
        <v>4000</v>
      </c>
      <c r="H21" s="34">
        <v>1500</v>
      </c>
      <c r="I21" s="34">
        <v>500</v>
      </c>
      <c r="J21" s="8">
        <v>3800</v>
      </c>
      <c r="K21" s="16">
        <f t="shared" si="15"/>
        <v>1950</v>
      </c>
      <c r="L21" s="8">
        <v>1200</v>
      </c>
      <c r="M21" s="8" t="str">
        <f ca="1">IFERROR(__xludf.DUMMYFUNCTION("JOIN(""*"",J21:L21)"),"3800*1950*1200")</f>
        <v>3800*1950*1200</v>
      </c>
      <c r="N21" s="16" t="str">
        <f ca="1">IFERROR(__xludf.DUMMYFUNCTION("JOIN(""*"",G21:I21)"),"4000*1500*500")</f>
        <v>4000*1500*500</v>
      </c>
    </row>
    <row r="24" spans="1:14" ht="13.2">
      <c r="A24" s="8"/>
      <c r="B24" s="8" t="s">
        <v>909</v>
      </c>
      <c r="C24" s="8">
        <v>4000</v>
      </c>
      <c r="D24" s="8">
        <v>7000</v>
      </c>
      <c r="E24" s="8">
        <v>1700</v>
      </c>
      <c r="F24" s="8">
        <v>2200</v>
      </c>
      <c r="G24" s="8">
        <v>650</v>
      </c>
      <c r="H24" s="8">
        <v>800</v>
      </c>
    </row>
    <row r="25" spans="1:14" ht="13.2">
      <c r="C25" s="8">
        <v>2500</v>
      </c>
      <c r="D25" s="8">
        <v>3800</v>
      </c>
      <c r="E25" s="8">
        <v>1400</v>
      </c>
      <c r="F25" s="8">
        <v>2100</v>
      </c>
      <c r="G25" s="8">
        <v>900</v>
      </c>
      <c r="H25" s="8">
        <v>1200</v>
      </c>
    </row>
    <row r="29" spans="1:14" ht="13.2">
      <c r="A29" s="8" t="s">
        <v>1229</v>
      </c>
      <c r="B29" s="8" t="s">
        <v>5384</v>
      </c>
      <c r="C29" s="8">
        <v>360000</v>
      </c>
    </row>
    <row r="30" spans="1:14" ht="13.2">
      <c r="A30" s="8" t="s">
        <v>1312</v>
      </c>
      <c r="B30" s="8" t="s">
        <v>5385</v>
      </c>
      <c r="C30" s="8">
        <v>730000</v>
      </c>
    </row>
    <row r="31" spans="1:14" ht="13.2">
      <c r="A31" s="8" t="s">
        <v>1245</v>
      </c>
      <c r="B31" s="8" t="s">
        <v>5386</v>
      </c>
      <c r="C31" s="8">
        <v>1050000</v>
      </c>
    </row>
    <row r="32" spans="1:14" ht="13.2">
      <c r="A32" s="8" t="s">
        <v>1223</v>
      </c>
      <c r="B32" s="8" t="s">
        <v>5309</v>
      </c>
      <c r="C32" s="8">
        <v>380000</v>
      </c>
    </row>
    <row r="33" spans="1:3" ht="13.2">
      <c r="A33" s="8" t="s">
        <v>1257</v>
      </c>
      <c r="B33" s="8" t="s">
        <v>5387</v>
      </c>
      <c r="C33" s="8">
        <v>640000</v>
      </c>
    </row>
    <row r="34" spans="1:3" ht="13.2">
      <c r="A34" s="8" t="s">
        <v>1225</v>
      </c>
      <c r="B34" s="8" t="s">
        <v>5388</v>
      </c>
      <c r="C34" s="8">
        <v>430000</v>
      </c>
    </row>
    <row r="35" spans="1:3" ht="13.2">
      <c r="A35" s="8" t="s">
        <v>5389</v>
      </c>
      <c r="B35" s="8" t="s">
        <v>348</v>
      </c>
      <c r="C35" s="8">
        <v>900000</v>
      </c>
    </row>
    <row r="36" spans="1:3" ht="13.2">
      <c r="A36" s="8" t="s">
        <v>5390</v>
      </c>
      <c r="B36" s="8" t="s">
        <v>5391</v>
      </c>
      <c r="C36" s="8">
        <v>540000</v>
      </c>
    </row>
    <row r="37" spans="1:3" ht="13.2">
      <c r="A37" s="8" t="s">
        <v>1290</v>
      </c>
      <c r="B37" s="8" t="s">
        <v>5392</v>
      </c>
      <c r="C37" s="8">
        <v>450000</v>
      </c>
    </row>
  </sheetData>
  <mergeCells count="8">
    <mergeCell ref="B13:B15"/>
    <mergeCell ref="B16:B18"/>
    <mergeCell ref="B19:B21"/>
    <mergeCell ref="C2:F2"/>
    <mergeCell ref="G2:I2"/>
    <mergeCell ref="B4:B6"/>
    <mergeCell ref="B7:B9"/>
    <mergeCell ref="B10:B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"/>
  <sheetViews>
    <sheetView workbookViewId="0"/>
  </sheetViews>
  <sheetFormatPr defaultColWidth="12.6640625" defaultRowHeight="15.75" customHeight="1"/>
  <cols>
    <col min="1" max="1" width="12.6640625" customWidth="1"/>
    <col min="2" max="2" width="27" customWidth="1"/>
  </cols>
  <sheetData>
    <row r="1" spans="1:3">
      <c r="B1" s="8" t="s">
        <v>5393</v>
      </c>
      <c r="C1" s="8" t="s">
        <v>5394</v>
      </c>
    </row>
    <row r="2" spans="1:3">
      <c r="A2" s="8" t="s">
        <v>119</v>
      </c>
      <c r="B2" s="157" t="s">
        <v>5312</v>
      </c>
      <c r="C2" s="88">
        <v>46080</v>
      </c>
    </row>
    <row r="3" spans="1:3">
      <c r="A3" s="157" t="s">
        <v>288</v>
      </c>
      <c r="B3" s="157" t="s">
        <v>5395</v>
      </c>
      <c r="C3" s="88">
        <v>46219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509"/>
  <sheetViews>
    <sheetView tabSelected="1" topLeftCell="A8" workbookViewId="0">
      <pane xSplit="3" topLeftCell="D1" activePane="topRight" state="frozen"/>
      <selection pane="topRight" activeCell="F8" sqref="F1:F1048576"/>
    </sheetView>
  </sheetViews>
  <sheetFormatPr defaultColWidth="12.6640625" defaultRowHeight="15.75" customHeight="1" outlineLevelRow="2"/>
  <cols>
    <col min="1" max="1" width="22.33203125" customWidth="1"/>
    <col min="2" max="2" width="23.44140625" customWidth="1"/>
    <col min="3" max="3" width="27.33203125" customWidth="1"/>
    <col min="4" max="6" width="6.109375" customWidth="1"/>
    <col min="7" max="7" width="7.21875" customWidth="1"/>
    <col min="8" max="8" width="9.77734375" customWidth="1"/>
    <col min="9" max="14" width="8.6640625" customWidth="1"/>
    <col min="16" max="17" width="18.44140625" customWidth="1"/>
  </cols>
  <sheetData>
    <row r="1" spans="1:26" ht="14.4">
      <c r="A1" s="158" t="s">
        <v>111</v>
      </c>
      <c r="B1" s="159" t="s">
        <v>1010</v>
      </c>
      <c r="C1" s="160"/>
      <c r="D1" s="159" t="s">
        <v>5396</v>
      </c>
      <c r="E1" s="159" t="s">
        <v>5397</v>
      </c>
      <c r="F1" s="161" t="s">
        <v>5371</v>
      </c>
      <c r="G1" s="159" t="s">
        <v>5398</v>
      </c>
      <c r="H1" s="162" t="s">
        <v>5399</v>
      </c>
      <c r="I1" s="160"/>
      <c r="J1" s="163" t="s">
        <v>5396</v>
      </c>
      <c r="K1" s="163" t="s">
        <v>5397</v>
      </c>
      <c r="L1" s="163" t="s">
        <v>5370</v>
      </c>
      <c r="M1" s="163" t="s">
        <v>5398</v>
      </c>
      <c r="N1" s="164" t="s">
        <v>5399</v>
      </c>
      <c r="O1" s="165" t="s">
        <v>5400</v>
      </c>
      <c r="P1" s="34" t="s">
        <v>907</v>
      </c>
      <c r="Q1" s="34" t="s">
        <v>908</v>
      </c>
    </row>
    <row r="2" spans="1:26" ht="14.4">
      <c r="A2" s="166" t="s">
        <v>5401</v>
      </c>
      <c r="B2" s="167"/>
      <c r="C2" s="168"/>
      <c r="D2" s="169"/>
      <c r="E2" s="169"/>
      <c r="F2" s="169"/>
      <c r="G2" s="169"/>
      <c r="H2" s="170"/>
      <c r="I2" s="171"/>
      <c r="J2" s="171"/>
      <c r="K2" s="171"/>
      <c r="L2" s="171"/>
      <c r="M2" s="171"/>
      <c r="N2" s="172"/>
      <c r="O2" s="172"/>
      <c r="P2" s="173"/>
      <c r="Q2" s="173"/>
      <c r="R2" s="174"/>
      <c r="S2" s="174"/>
      <c r="T2" s="174"/>
      <c r="U2" s="174"/>
      <c r="V2" s="174"/>
      <c r="W2" s="174"/>
      <c r="X2" s="174"/>
      <c r="Y2" s="174"/>
      <c r="Z2" s="174"/>
    </row>
    <row r="3" spans="1:26" ht="14.4" outlineLevel="1">
      <c r="A3" s="175" t="s">
        <v>114</v>
      </c>
      <c r="B3" s="176"/>
      <c r="C3" s="177"/>
      <c r="D3" s="178"/>
      <c r="E3" s="178"/>
      <c r="F3" s="178"/>
      <c r="G3" s="178"/>
      <c r="H3" s="178"/>
      <c r="I3" s="179"/>
      <c r="J3" s="179"/>
      <c r="K3" s="179"/>
      <c r="L3" s="179"/>
      <c r="M3" s="179"/>
      <c r="N3" s="179"/>
      <c r="O3" s="179"/>
      <c r="P3" s="173"/>
      <c r="Q3" s="173"/>
      <c r="R3" s="174"/>
      <c r="S3" s="174"/>
      <c r="T3" s="174"/>
      <c r="U3" s="174"/>
      <c r="V3" s="174"/>
      <c r="W3" s="174"/>
      <c r="X3" s="174"/>
      <c r="Y3" s="174"/>
      <c r="Z3" s="174"/>
    </row>
    <row r="4" spans="1:26" ht="57.6" outlineLevel="2">
      <c r="A4" s="180" t="s">
        <v>5402</v>
      </c>
      <c r="B4" s="181" t="s">
        <v>5403</v>
      </c>
      <c r="C4" s="182" t="s">
        <v>114</v>
      </c>
      <c r="D4" s="183">
        <v>0</v>
      </c>
      <c r="E4" s="184">
        <v>0</v>
      </c>
      <c r="F4" s="184">
        <v>0</v>
      </c>
      <c r="G4" s="184">
        <v>0</v>
      </c>
      <c r="H4" s="184">
        <v>13</v>
      </c>
      <c r="I4" s="185">
        <f t="shared" ref="I4:I35" si="0">VLOOKUP(C4,Платформа,2,0)</f>
        <v>260000</v>
      </c>
      <c r="J4" s="185">
        <f t="shared" ref="J4:J35" si="1">VLOOKUP(D4,борт_2013,2)</f>
        <v>0</v>
      </c>
      <c r="K4" s="185">
        <f t="shared" ref="K4:K35" si="2">VLOOKUP(E4,колесо,2,0)</f>
        <v>0</v>
      </c>
      <c r="L4" s="185">
        <f t="shared" ref="L4:L35" si="3">VLOOKUP(F4,опорное_колесо,2,0)</f>
        <v>0</v>
      </c>
      <c r="M4" s="185">
        <f t="shared" ref="M4:M35" si="4">VLOOKUP(G4,тент_2013,2,0)</f>
        <v>0</v>
      </c>
      <c r="N4" s="185">
        <f t="shared" ref="N4:N35" si="5">VLOOKUP(H4,ступица,2,0)</f>
        <v>0</v>
      </c>
      <c r="O4" s="185">
        <f t="shared" ref="O4:O75" si="6">SUM(I4:N4)</f>
        <v>260000</v>
      </c>
      <c r="P4" s="186" t="str">
        <f ca="1">IF(D4=0,'Виды прицепов'!$M$4,IF(D4=30,'Виды прицепов'!$M$5,'Виды прицепов'!$M$6))</f>
        <v>4000*1700*650</v>
      </c>
      <c r="Q4" s="186" t="str">
        <f ca="1">IF(D4=0,'Виды прицепов'!$N$4,IF(D4=30,'Виды прицепов'!$N$5,'Виды прицепов'!$N$6))</f>
        <v>2000*1250*0</v>
      </c>
      <c r="R4" s="187"/>
      <c r="S4" s="187"/>
      <c r="T4" s="187"/>
      <c r="U4" s="187"/>
      <c r="V4" s="187"/>
      <c r="W4" s="187"/>
      <c r="X4" s="187"/>
      <c r="Y4" s="187"/>
      <c r="Z4" s="187"/>
    </row>
    <row r="5" spans="1:26" ht="57.6" outlineLevel="2">
      <c r="A5" s="180" t="s">
        <v>5404</v>
      </c>
      <c r="B5" s="181" t="s">
        <v>5405</v>
      </c>
      <c r="C5" s="182" t="s">
        <v>114</v>
      </c>
      <c r="D5" s="184">
        <v>0</v>
      </c>
      <c r="E5" s="184">
        <v>0</v>
      </c>
      <c r="F5" s="184" t="s">
        <v>5371</v>
      </c>
      <c r="G5" s="184">
        <v>0</v>
      </c>
      <c r="H5" s="184">
        <v>13</v>
      </c>
      <c r="I5" s="185">
        <f t="shared" si="0"/>
        <v>260000</v>
      </c>
      <c r="J5" s="185">
        <f t="shared" si="1"/>
        <v>0</v>
      </c>
      <c r="K5" s="185">
        <f t="shared" si="2"/>
        <v>0</v>
      </c>
      <c r="L5" s="185">
        <f t="shared" si="3"/>
        <v>10000</v>
      </c>
      <c r="M5" s="185">
        <f t="shared" si="4"/>
        <v>0</v>
      </c>
      <c r="N5" s="185">
        <f t="shared" si="5"/>
        <v>0</v>
      </c>
      <c r="O5" s="185">
        <f t="shared" si="6"/>
        <v>270000</v>
      </c>
      <c r="P5" s="186" t="str">
        <f ca="1">IF(D5=0,'Виды прицепов'!$M$4,IF(D5=30,'Виды прицепов'!$M$5,'Виды прицепов'!$M$6))</f>
        <v>4000*1700*650</v>
      </c>
      <c r="Q5" s="186" t="str">
        <f ca="1">IF(D5=0,'Виды прицепов'!$N$4,IF(D5=30,'Виды прицепов'!$N$5,'Виды прицепов'!$N$6))</f>
        <v>2000*1250*0</v>
      </c>
      <c r="R5" s="187"/>
      <c r="S5" s="187"/>
      <c r="T5" s="187"/>
      <c r="U5" s="187"/>
      <c r="V5" s="187"/>
      <c r="W5" s="187"/>
      <c r="X5" s="187"/>
      <c r="Y5" s="187"/>
      <c r="Z5" s="187"/>
    </row>
    <row r="6" spans="1:26" ht="57.6" outlineLevel="2">
      <c r="A6" s="180" t="s">
        <v>5406</v>
      </c>
      <c r="B6" s="181" t="s">
        <v>5407</v>
      </c>
      <c r="C6" s="182" t="s">
        <v>114</v>
      </c>
      <c r="D6" s="184">
        <v>30</v>
      </c>
      <c r="E6" s="184">
        <v>0</v>
      </c>
      <c r="F6" s="184">
        <v>0</v>
      </c>
      <c r="G6" s="184">
        <v>0</v>
      </c>
      <c r="H6" s="184">
        <v>13</v>
      </c>
      <c r="I6" s="185">
        <f t="shared" si="0"/>
        <v>260000</v>
      </c>
      <c r="J6" s="185">
        <f t="shared" si="1"/>
        <v>20000</v>
      </c>
      <c r="K6" s="185">
        <f t="shared" si="2"/>
        <v>0</v>
      </c>
      <c r="L6" s="185">
        <f t="shared" si="3"/>
        <v>0</v>
      </c>
      <c r="M6" s="185">
        <f t="shared" si="4"/>
        <v>0</v>
      </c>
      <c r="N6" s="185">
        <f t="shared" si="5"/>
        <v>0</v>
      </c>
      <c r="O6" s="185">
        <f t="shared" si="6"/>
        <v>280000</v>
      </c>
      <c r="P6" s="186" t="str">
        <f ca="1">IF(D6=0,'Виды прицепов'!$M$4,IF(D6=30,'Виды прицепов'!$M$5,'Виды прицепов'!$M$6))</f>
        <v>3150*1700*900</v>
      </c>
      <c r="Q6" s="186" t="str">
        <f ca="1">IF(D6=0,'Виды прицепов'!$N$4,IF(D6=30,'Виды прицепов'!$N$5,'Виды прицепов'!$N$6))</f>
        <v>2000*1250*300</v>
      </c>
      <c r="R6" s="187"/>
      <c r="S6" s="187"/>
      <c r="T6" s="187"/>
      <c r="U6" s="187"/>
      <c r="V6" s="187"/>
      <c r="W6" s="187"/>
      <c r="X6" s="187"/>
      <c r="Y6" s="187"/>
      <c r="Z6" s="187"/>
    </row>
    <row r="7" spans="1:26" ht="57.6" outlineLevel="2">
      <c r="A7" s="180" t="s">
        <v>5408</v>
      </c>
      <c r="B7" s="181" t="s">
        <v>5409</v>
      </c>
      <c r="C7" s="182" t="s">
        <v>114</v>
      </c>
      <c r="D7" s="184">
        <v>0</v>
      </c>
      <c r="E7" s="184">
        <v>13</v>
      </c>
      <c r="F7" s="184">
        <v>0</v>
      </c>
      <c r="G7" s="184">
        <v>0</v>
      </c>
      <c r="H7" s="184">
        <v>13</v>
      </c>
      <c r="I7" s="185">
        <f t="shared" si="0"/>
        <v>260000</v>
      </c>
      <c r="J7" s="185">
        <f t="shared" si="1"/>
        <v>0</v>
      </c>
      <c r="K7" s="185">
        <f t="shared" si="2"/>
        <v>30000</v>
      </c>
      <c r="L7" s="185">
        <f t="shared" si="3"/>
        <v>0</v>
      </c>
      <c r="M7" s="185">
        <f t="shared" si="4"/>
        <v>0</v>
      </c>
      <c r="N7" s="185">
        <f t="shared" si="5"/>
        <v>0</v>
      </c>
      <c r="O7" s="185">
        <f t="shared" si="6"/>
        <v>290000</v>
      </c>
      <c r="P7" s="186" t="str">
        <f ca="1">IF(D7=0,'Виды прицепов'!$M$4,IF(D7=30,'Виды прицепов'!$M$5,'Виды прицепов'!$M$6))</f>
        <v>4000*1700*650</v>
      </c>
      <c r="Q7" s="186" t="str">
        <f ca="1">IF(D7=0,'Виды прицепов'!$N$4,IF(D7=30,'Виды прицепов'!$N$5,'Виды прицепов'!$N$6))</f>
        <v>2000*1250*0</v>
      </c>
      <c r="R7" s="187"/>
      <c r="S7" s="187"/>
      <c r="T7" s="187"/>
      <c r="U7" s="187"/>
      <c r="V7" s="187"/>
      <c r="W7" s="187"/>
      <c r="X7" s="187"/>
      <c r="Y7" s="187"/>
      <c r="Z7" s="187"/>
    </row>
    <row r="8" spans="1:26" ht="43.2" outlineLevel="2">
      <c r="A8" s="180" t="s">
        <v>5410</v>
      </c>
      <c r="B8" s="181" t="s">
        <v>5411</v>
      </c>
      <c r="C8" s="182" t="s">
        <v>114</v>
      </c>
      <c r="D8" s="184">
        <v>0</v>
      </c>
      <c r="E8" s="184">
        <v>0</v>
      </c>
      <c r="F8" s="184">
        <v>0</v>
      </c>
      <c r="G8" s="184">
        <v>0</v>
      </c>
      <c r="H8" s="184">
        <v>15</v>
      </c>
      <c r="I8" s="185">
        <f t="shared" si="0"/>
        <v>260000</v>
      </c>
      <c r="J8" s="185">
        <f t="shared" si="1"/>
        <v>0</v>
      </c>
      <c r="K8" s="185">
        <f t="shared" si="2"/>
        <v>0</v>
      </c>
      <c r="L8" s="185">
        <f t="shared" si="3"/>
        <v>0</v>
      </c>
      <c r="M8" s="185">
        <f t="shared" si="4"/>
        <v>0</v>
      </c>
      <c r="N8" s="185">
        <f t="shared" si="5"/>
        <v>30000</v>
      </c>
      <c r="O8" s="185">
        <f t="shared" si="6"/>
        <v>290000</v>
      </c>
      <c r="P8" s="186" t="str">
        <f ca="1">IF(D8=0,'Виды прицепов'!$M$4,IF(D8=30,'Виды прицепов'!$M$5,'Виды прицепов'!$M$6))</f>
        <v>4000*1700*650</v>
      </c>
      <c r="Q8" s="186" t="str">
        <f ca="1">IF(D8=0,'Виды прицепов'!$N$4,IF(D8=30,'Виды прицепов'!$N$5,'Виды прицепов'!$N$6))</f>
        <v>2000*1250*0</v>
      </c>
      <c r="R8" s="187"/>
      <c r="S8" s="187"/>
      <c r="T8" s="187"/>
      <c r="U8" s="187"/>
      <c r="V8" s="187"/>
      <c r="W8" s="187"/>
      <c r="X8" s="187"/>
      <c r="Y8" s="187"/>
      <c r="Z8" s="187"/>
    </row>
    <row r="9" spans="1:26" ht="72" outlineLevel="2">
      <c r="A9" s="180" t="s">
        <v>5412</v>
      </c>
      <c r="B9" s="181" t="s">
        <v>5413</v>
      </c>
      <c r="C9" s="182" t="s">
        <v>114</v>
      </c>
      <c r="D9" s="184">
        <v>30</v>
      </c>
      <c r="E9" s="184">
        <v>0</v>
      </c>
      <c r="F9" s="184">
        <v>0</v>
      </c>
      <c r="G9" s="184">
        <v>60</v>
      </c>
      <c r="H9" s="184">
        <v>13</v>
      </c>
      <c r="I9" s="185">
        <f t="shared" si="0"/>
        <v>260000</v>
      </c>
      <c r="J9" s="185">
        <f t="shared" si="1"/>
        <v>20000</v>
      </c>
      <c r="K9" s="185">
        <f t="shared" si="2"/>
        <v>0</v>
      </c>
      <c r="L9" s="185">
        <f t="shared" si="3"/>
        <v>0</v>
      </c>
      <c r="M9" s="185">
        <f t="shared" si="4"/>
        <v>60000</v>
      </c>
      <c r="N9" s="185">
        <f t="shared" si="5"/>
        <v>0</v>
      </c>
      <c r="O9" s="185">
        <f t="shared" si="6"/>
        <v>340000</v>
      </c>
      <c r="P9" s="186" t="str">
        <f ca="1">IF(D9=0,'Виды прицепов'!$M$4,IF(D9=30,'Виды прицепов'!$M$5,'Виды прицепов'!$M$6))</f>
        <v>3150*1700*900</v>
      </c>
      <c r="Q9" s="186" t="str">
        <f ca="1">IF(D9=0,'Виды прицепов'!$N$4,IF(D9=30,'Виды прицепов'!$N$5,'Виды прицепов'!$N$6))</f>
        <v>2000*1250*300</v>
      </c>
      <c r="R9" s="187"/>
      <c r="S9" s="187"/>
      <c r="T9" s="187"/>
      <c r="U9" s="187"/>
      <c r="V9" s="187"/>
      <c r="W9" s="187"/>
      <c r="X9" s="187"/>
      <c r="Y9" s="187"/>
      <c r="Z9" s="187"/>
    </row>
    <row r="10" spans="1:26" ht="72" outlineLevel="2">
      <c r="A10" s="188" t="s">
        <v>5414</v>
      </c>
      <c r="B10" s="189" t="s">
        <v>5415</v>
      </c>
      <c r="C10" s="182" t="s">
        <v>114</v>
      </c>
      <c r="D10" s="184">
        <v>30</v>
      </c>
      <c r="E10" s="184">
        <v>0</v>
      </c>
      <c r="F10" s="184">
        <v>0</v>
      </c>
      <c r="G10" s="183">
        <v>30</v>
      </c>
      <c r="H10" s="184">
        <v>13</v>
      </c>
      <c r="I10" s="185">
        <f t="shared" si="0"/>
        <v>260000</v>
      </c>
      <c r="J10" s="185">
        <f t="shared" si="1"/>
        <v>20000</v>
      </c>
      <c r="K10" s="185">
        <f t="shared" si="2"/>
        <v>0</v>
      </c>
      <c r="L10" s="185">
        <f t="shared" si="3"/>
        <v>0</v>
      </c>
      <c r="M10" s="185">
        <f t="shared" si="4"/>
        <v>30000</v>
      </c>
      <c r="N10" s="185">
        <f t="shared" si="5"/>
        <v>0</v>
      </c>
      <c r="O10" s="185">
        <f t="shared" si="6"/>
        <v>310000</v>
      </c>
      <c r="P10" s="186" t="str">
        <f ca="1">IF(D10=0,'Виды прицепов'!$M$4,IF(D10=30,'Виды прицепов'!$M$5,'Виды прицепов'!$M$6))</f>
        <v>3150*1700*900</v>
      </c>
      <c r="Q10" s="186" t="str">
        <f ca="1">IF(D10=0,'Виды прицепов'!$N$4,IF(D10=30,'Виды прицепов'!$N$5,'Виды прицепов'!$N$6))</f>
        <v>2000*1250*300</v>
      </c>
      <c r="R10" s="187"/>
      <c r="S10" s="187"/>
      <c r="T10" s="187"/>
      <c r="U10" s="187"/>
      <c r="V10" s="187"/>
      <c r="W10" s="187"/>
      <c r="X10" s="187"/>
      <c r="Y10" s="187"/>
      <c r="Z10" s="187"/>
    </row>
    <row r="11" spans="1:26" ht="72" outlineLevel="2">
      <c r="A11" s="180" t="s">
        <v>5416</v>
      </c>
      <c r="B11" s="181" t="s">
        <v>5417</v>
      </c>
      <c r="C11" s="182" t="s">
        <v>114</v>
      </c>
      <c r="D11" s="184">
        <v>30</v>
      </c>
      <c r="E11" s="184">
        <v>0</v>
      </c>
      <c r="F11" s="184">
        <v>0</v>
      </c>
      <c r="G11" s="184">
        <v>90</v>
      </c>
      <c r="H11" s="184">
        <v>13</v>
      </c>
      <c r="I11" s="185">
        <f t="shared" si="0"/>
        <v>260000</v>
      </c>
      <c r="J11" s="185">
        <f t="shared" si="1"/>
        <v>20000</v>
      </c>
      <c r="K11" s="185">
        <f t="shared" si="2"/>
        <v>0</v>
      </c>
      <c r="L11" s="185">
        <f t="shared" si="3"/>
        <v>0</v>
      </c>
      <c r="M11" s="185">
        <f t="shared" si="4"/>
        <v>80000</v>
      </c>
      <c r="N11" s="185">
        <f t="shared" si="5"/>
        <v>0</v>
      </c>
      <c r="O11" s="185">
        <f t="shared" si="6"/>
        <v>360000</v>
      </c>
      <c r="P11" s="186" t="str">
        <f ca="1">IF(D11=0,'Виды прицепов'!$M$4,IF(D11=30,'Виды прицепов'!$M$5,'Виды прицепов'!$M$6))</f>
        <v>3150*1700*900</v>
      </c>
      <c r="Q11" s="186" t="str">
        <f ca="1">IF(D11=0,'Виды прицепов'!$N$4,IF(D11=30,'Виды прицепов'!$N$5,'Виды прицепов'!$N$6))</f>
        <v>2000*1250*300</v>
      </c>
      <c r="R11" s="187"/>
      <c r="S11" s="187"/>
      <c r="T11" s="187"/>
      <c r="U11" s="187"/>
      <c r="V11" s="187"/>
      <c r="W11" s="187"/>
      <c r="X11" s="187"/>
      <c r="Y11" s="187"/>
      <c r="Z11" s="187"/>
    </row>
    <row r="12" spans="1:26" ht="57.6" outlineLevel="2">
      <c r="A12" s="180" t="s">
        <v>5418</v>
      </c>
      <c r="B12" s="181" t="s">
        <v>5419</v>
      </c>
      <c r="C12" s="182" t="s">
        <v>114</v>
      </c>
      <c r="D12" s="184">
        <v>0</v>
      </c>
      <c r="E12" s="184">
        <v>13</v>
      </c>
      <c r="F12" s="184" t="s">
        <v>5371</v>
      </c>
      <c r="G12" s="184">
        <v>0</v>
      </c>
      <c r="H12" s="184">
        <v>13</v>
      </c>
      <c r="I12" s="185">
        <f t="shared" si="0"/>
        <v>260000</v>
      </c>
      <c r="J12" s="185">
        <f t="shared" si="1"/>
        <v>0</v>
      </c>
      <c r="K12" s="185">
        <f t="shared" si="2"/>
        <v>30000</v>
      </c>
      <c r="L12" s="185">
        <f t="shared" si="3"/>
        <v>10000</v>
      </c>
      <c r="M12" s="185">
        <f t="shared" si="4"/>
        <v>0</v>
      </c>
      <c r="N12" s="185">
        <f t="shared" si="5"/>
        <v>0</v>
      </c>
      <c r="O12" s="185">
        <f t="shared" si="6"/>
        <v>300000</v>
      </c>
      <c r="P12" s="186" t="str">
        <f ca="1">IF(D12=0,'Виды прицепов'!$M$4,IF(D12=30,'Виды прицепов'!$M$5,'Виды прицепов'!$M$6))</f>
        <v>4000*1700*650</v>
      </c>
      <c r="Q12" s="186" t="str">
        <f ca="1">IF(D12=0,'Виды прицепов'!$N$4,IF(D12=30,'Виды прицепов'!$N$5,'Виды прицепов'!$N$6))</f>
        <v>2000*1250*0</v>
      </c>
      <c r="R12" s="187"/>
      <c r="S12" s="187"/>
      <c r="T12" s="187"/>
      <c r="U12" s="187"/>
      <c r="V12" s="187"/>
      <c r="W12" s="187"/>
      <c r="X12" s="187"/>
      <c r="Y12" s="187"/>
      <c r="Z12" s="187"/>
    </row>
    <row r="13" spans="1:26" ht="57.6" outlineLevel="2">
      <c r="A13" s="180" t="s">
        <v>5420</v>
      </c>
      <c r="B13" s="181" t="s">
        <v>5421</v>
      </c>
      <c r="C13" s="182" t="s">
        <v>114</v>
      </c>
      <c r="D13" s="184">
        <v>0</v>
      </c>
      <c r="E13" s="184">
        <v>0</v>
      </c>
      <c r="F13" s="184" t="s">
        <v>5371</v>
      </c>
      <c r="G13" s="184">
        <v>0</v>
      </c>
      <c r="H13" s="184">
        <v>15</v>
      </c>
      <c r="I13" s="185">
        <f t="shared" si="0"/>
        <v>260000</v>
      </c>
      <c r="J13" s="185">
        <f t="shared" si="1"/>
        <v>0</v>
      </c>
      <c r="K13" s="185">
        <f t="shared" si="2"/>
        <v>0</v>
      </c>
      <c r="L13" s="185">
        <f t="shared" si="3"/>
        <v>10000</v>
      </c>
      <c r="M13" s="185">
        <f t="shared" si="4"/>
        <v>0</v>
      </c>
      <c r="N13" s="185">
        <f t="shared" si="5"/>
        <v>30000</v>
      </c>
      <c r="O13" s="185">
        <f t="shared" si="6"/>
        <v>300000</v>
      </c>
      <c r="P13" s="186" t="str">
        <f ca="1">IF(D13=0,'Виды прицепов'!$M$4,IF(D13=30,'Виды прицепов'!$M$5,'Виды прицепов'!$M$6))</f>
        <v>4000*1700*650</v>
      </c>
      <c r="Q13" s="186" t="str">
        <f ca="1">IF(D13=0,'Виды прицепов'!$N$4,IF(D13=30,'Виды прицепов'!$N$5,'Виды прицепов'!$N$6))</f>
        <v>2000*1250*0</v>
      </c>
      <c r="R13" s="187"/>
      <c r="S13" s="187"/>
      <c r="T13" s="187"/>
      <c r="U13" s="187"/>
      <c r="V13" s="187"/>
      <c r="W13" s="187"/>
      <c r="X13" s="187"/>
      <c r="Y13" s="187"/>
      <c r="Z13" s="187"/>
    </row>
    <row r="14" spans="1:26" ht="72" outlineLevel="2">
      <c r="A14" s="180" t="s">
        <v>5422</v>
      </c>
      <c r="B14" s="181" t="s">
        <v>5423</v>
      </c>
      <c r="C14" s="182" t="s">
        <v>114</v>
      </c>
      <c r="D14" s="184">
        <v>30</v>
      </c>
      <c r="E14" s="184">
        <v>13</v>
      </c>
      <c r="F14" s="184">
        <v>0</v>
      </c>
      <c r="G14" s="184">
        <v>0</v>
      </c>
      <c r="H14" s="184">
        <v>13</v>
      </c>
      <c r="I14" s="185">
        <f t="shared" si="0"/>
        <v>260000</v>
      </c>
      <c r="J14" s="185">
        <f t="shared" si="1"/>
        <v>20000</v>
      </c>
      <c r="K14" s="185">
        <f t="shared" si="2"/>
        <v>30000</v>
      </c>
      <c r="L14" s="185">
        <f t="shared" si="3"/>
        <v>0</v>
      </c>
      <c r="M14" s="185">
        <f t="shared" si="4"/>
        <v>0</v>
      </c>
      <c r="N14" s="185">
        <f t="shared" si="5"/>
        <v>0</v>
      </c>
      <c r="O14" s="185">
        <f t="shared" si="6"/>
        <v>310000</v>
      </c>
      <c r="P14" s="186" t="str">
        <f ca="1">IF(D14=0,'Виды прицепов'!$M$4,IF(D14=30,'Виды прицепов'!$M$5,'Виды прицепов'!$M$6))</f>
        <v>3150*1700*900</v>
      </c>
      <c r="Q14" s="186" t="str">
        <f ca="1">IF(D14=0,'Виды прицепов'!$N$4,IF(D14=30,'Виды прицепов'!$N$5,'Виды прицепов'!$N$6))</f>
        <v>2000*1250*300</v>
      </c>
      <c r="R14" s="187"/>
      <c r="S14" s="187"/>
      <c r="T14" s="187"/>
      <c r="U14" s="187"/>
      <c r="V14" s="187"/>
      <c r="W14" s="187"/>
      <c r="X14" s="187"/>
      <c r="Y14" s="187"/>
      <c r="Z14" s="187"/>
    </row>
    <row r="15" spans="1:26" ht="72" outlineLevel="2">
      <c r="A15" s="180" t="s">
        <v>5424</v>
      </c>
      <c r="B15" s="181" t="s">
        <v>5425</v>
      </c>
      <c r="C15" s="182" t="s">
        <v>114</v>
      </c>
      <c r="D15" s="184">
        <v>30</v>
      </c>
      <c r="E15" s="184">
        <v>13</v>
      </c>
      <c r="F15" s="184">
        <v>0</v>
      </c>
      <c r="G15" s="184">
        <v>60</v>
      </c>
      <c r="H15" s="184">
        <v>13</v>
      </c>
      <c r="I15" s="185">
        <f t="shared" si="0"/>
        <v>260000</v>
      </c>
      <c r="J15" s="185">
        <f t="shared" si="1"/>
        <v>20000</v>
      </c>
      <c r="K15" s="185">
        <f t="shared" si="2"/>
        <v>30000</v>
      </c>
      <c r="L15" s="185">
        <f t="shared" si="3"/>
        <v>0</v>
      </c>
      <c r="M15" s="185">
        <f t="shared" si="4"/>
        <v>60000</v>
      </c>
      <c r="N15" s="185">
        <f t="shared" si="5"/>
        <v>0</v>
      </c>
      <c r="O15" s="185">
        <f t="shared" si="6"/>
        <v>370000</v>
      </c>
      <c r="P15" s="186" t="str">
        <f ca="1">IF(D15=0,'Виды прицепов'!$M$4,IF(D15=30,'Виды прицепов'!$M$5,'Виды прицепов'!$M$6))</f>
        <v>3150*1700*900</v>
      </c>
      <c r="Q15" s="186" t="str">
        <f ca="1">IF(D15=0,'Виды прицепов'!$N$4,IF(D15=30,'Виды прицепов'!$N$5,'Виды прицепов'!$N$6))</f>
        <v>2000*1250*300</v>
      </c>
      <c r="R15" s="187"/>
      <c r="S15" s="187"/>
      <c r="T15" s="187"/>
      <c r="U15" s="187"/>
      <c r="V15" s="187"/>
      <c r="W15" s="187"/>
      <c r="X15" s="187"/>
      <c r="Y15" s="187"/>
      <c r="Z15" s="187"/>
    </row>
    <row r="16" spans="1:26" ht="72" outlineLevel="2">
      <c r="A16" s="188" t="s">
        <v>5426</v>
      </c>
      <c r="B16" s="189" t="s">
        <v>5427</v>
      </c>
      <c r="C16" s="182" t="s">
        <v>114</v>
      </c>
      <c r="D16" s="184">
        <v>30</v>
      </c>
      <c r="E16" s="184">
        <v>13</v>
      </c>
      <c r="F16" s="184">
        <v>0</v>
      </c>
      <c r="G16" s="183">
        <v>30</v>
      </c>
      <c r="H16" s="184">
        <v>13</v>
      </c>
      <c r="I16" s="185">
        <f t="shared" si="0"/>
        <v>260000</v>
      </c>
      <c r="J16" s="185">
        <f t="shared" si="1"/>
        <v>20000</v>
      </c>
      <c r="K16" s="185">
        <f t="shared" si="2"/>
        <v>30000</v>
      </c>
      <c r="L16" s="185">
        <f t="shared" si="3"/>
        <v>0</v>
      </c>
      <c r="M16" s="185">
        <f t="shared" si="4"/>
        <v>30000</v>
      </c>
      <c r="N16" s="185">
        <f t="shared" si="5"/>
        <v>0</v>
      </c>
      <c r="O16" s="185">
        <f t="shared" si="6"/>
        <v>340000</v>
      </c>
      <c r="P16" s="186" t="str">
        <f ca="1">IF(D16=0,'Виды прицепов'!$M$4,IF(D16=30,'Виды прицепов'!$M$5,'Виды прицепов'!$M$6))</f>
        <v>3150*1700*900</v>
      </c>
      <c r="Q16" s="186" t="str">
        <f ca="1">IF(D16=0,'Виды прицепов'!$N$4,IF(D16=30,'Виды прицепов'!$N$5,'Виды прицепов'!$N$6))</f>
        <v>2000*1250*300</v>
      </c>
      <c r="R16" s="187"/>
      <c r="S16" s="187"/>
      <c r="T16" s="187"/>
      <c r="U16" s="187"/>
      <c r="V16" s="187"/>
      <c r="W16" s="187"/>
      <c r="X16" s="187"/>
      <c r="Y16" s="187"/>
      <c r="Z16" s="187"/>
    </row>
    <row r="17" spans="1:26" ht="72" outlineLevel="2">
      <c r="A17" s="180" t="s">
        <v>5428</v>
      </c>
      <c r="B17" s="181" t="s">
        <v>5429</v>
      </c>
      <c r="C17" s="182" t="s">
        <v>114</v>
      </c>
      <c r="D17" s="184">
        <v>30</v>
      </c>
      <c r="E17" s="184">
        <v>13</v>
      </c>
      <c r="F17" s="184">
        <v>0</v>
      </c>
      <c r="G17" s="184">
        <v>90</v>
      </c>
      <c r="H17" s="184">
        <v>13</v>
      </c>
      <c r="I17" s="185">
        <f t="shared" si="0"/>
        <v>260000</v>
      </c>
      <c r="J17" s="185">
        <f t="shared" si="1"/>
        <v>20000</v>
      </c>
      <c r="K17" s="185">
        <f t="shared" si="2"/>
        <v>30000</v>
      </c>
      <c r="L17" s="185">
        <f t="shared" si="3"/>
        <v>0</v>
      </c>
      <c r="M17" s="185">
        <f t="shared" si="4"/>
        <v>80000</v>
      </c>
      <c r="N17" s="185">
        <f t="shared" si="5"/>
        <v>0</v>
      </c>
      <c r="O17" s="185">
        <f t="shared" si="6"/>
        <v>390000</v>
      </c>
      <c r="P17" s="186" t="str">
        <f ca="1">IF(D17=0,'Виды прицепов'!$M$4,IF(D17=30,'Виды прицепов'!$M$5,'Виды прицепов'!$M$6))</f>
        <v>3150*1700*900</v>
      </c>
      <c r="Q17" s="186" t="str">
        <f ca="1">IF(D17=0,'Виды прицепов'!$N$4,IF(D17=30,'Виды прицепов'!$N$5,'Виды прицепов'!$N$6))</f>
        <v>2000*1250*300</v>
      </c>
      <c r="R17" s="187"/>
      <c r="S17" s="187"/>
      <c r="T17" s="187"/>
      <c r="U17" s="187"/>
      <c r="V17" s="187"/>
      <c r="W17" s="187"/>
      <c r="X17" s="187"/>
      <c r="Y17" s="187"/>
      <c r="Z17" s="187"/>
    </row>
    <row r="18" spans="1:26" ht="57.6" outlineLevel="2">
      <c r="A18" s="180" t="s">
        <v>5430</v>
      </c>
      <c r="B18" s="181" t="s">
        <v>5431</v>
      </c>
      <c r="C18" s="182" t="s">
        <v>114</v>
      </c>
      <c r="D18" s="184">
        <v>30</v>
      </c>
      <c r="E18" s="184">
        <v>0</v>
      </c>
      <c r="F18" s="184" t="s">
        <v>5371</v>
      </c>
      <c r="G18" s="184">
        <v>0</v>
      </c>
      <c r="H18" s="184">
        <v>13</v>
      </c>
      <c r="I18" s="185">
        <f t="shared" si="0"/>
        <v>260000</v>
      </c>
      <c r="J18" s="185">
        <f t="shared" si="1"/>
        <v>20000</v>
      </c>
      <c r="K18" s="185">
        <f t="shared" si="2"/>
        <v>0</v>
      </c>
      <c r="L18" s="185">
        <f t="shared" si="3"/>
        <v>10000</v>
      </c>
      <c r="M18" s="185">
        <f t="shared" si="4"/>
        <v>0</v>
      </c>
      <c r="N18" s="185">
        <f t="shared" si="5"/>
        <v>0</v>
      </c>
      <c r="O18" s="185">
        <f t="shared" si="6"/>
        <v>290000</v>
      </c>
      <c r="P18" s="186" t="str">
        <f ca="1">IF(D18=0,'Виды прицепов'!$M$4,IF(D18=30,'Виды прицепов'!$M$5,'Виды прицепов'!$M$6))</f>
        <v>3150*1700*900</v>
      </c>
      <c r="Q18" s="186" t="str">
        <f ca="1">IF(D18=0,'Виды прицепов'!$N$4,IF(D18=30,'Виды прицепов'!$N$5,'Виды прицепов'!$N$6))</f>
        <v>2000*1250*300</v>
      </c>
      <c r="R18" s="187"/>
      <c r="S18" s="187"/>
      <c r="T18" s="187"/>
      <c r="U18" s="187"/>
      <c r="V18" s="187"/>
      <c r="W18" s="187"/>
      <c r="X18" s="187"/>
      <c r="Y18" s="187"/>
      <c r="Z18" s="187"/>
    </row>
    <row r="19" spans="1:26" ht="72" outlineLevel="2">
      <c r="A19" s="180" t="s">
        <v>5432</v>
      </c>
      <c r="B19" s="181" t="s">
        <v>5433</v>
      </c>
      <c r="C19" s="182" t="s">
        <v>114</v>
      </c>
      <c r="D19" s="184">
        <v>30</v>
      </c>
      <c r="E19" s="184">
        <v>0</v>
      </c>
      <c r="F19" s="184" t="s">
        <v>5371</v>
      </c>
      <c r="G19" s="184">
        <v>60</v>
      </c>
      <c r="H19" s="184">
        <v>13</v>
      </c>
      <c r="I19" s="185">
        <f t="shared" si="0"/>
        <v>260000</v>
      </c>
      <c r="J19" s="185">
        <f t="shared" si="1"/>
        <v>20000</v>
      </c>
      <c r="K19" s="185">
        <f t="shared" si="2"/>
        <v>0</v>
      </c>
      <c r="L19" s="185">
        <f t="shared" si="3"/>
        <v>10000</v>
      </c>
      <c r="M19" s="185">
        <f t="shared" si="4"/>
        <v>60000</v>
      </c>
      <c r="N19" s="185">
        <f t="shared" si="5"/>
        <v>0</v>
      </c>
      <c r="O19" s="185">
        <f t="shared" si="6"/>
        <v>350000</v>
      </c>
      <c r="P19" s="186" t="str">
        <f ca="1">IF(D19=0,'Виды прицепов'!$M$4,IF(D19=30,'Виды прицепов'!$M$5,'Виды прицепов'!$M$6))</f>
        <v>3150*1700*900</v>
      </c>
      <c r="Q19" s="186" t="str">
        <f ca="1">IF(D19=0,'Виды прицепов'!$N$4,IF(D19=30,'Виды прицепов'!$N$5,'Виды прицепов'!$N$6))</f>
        <v>2000*1250*300</v>
      </c>
      <c r="R19" s="187"/>
      <c r="S19" s="187"/>
      <c r="T19" s="187"/>
      <c r="U19" s="187"/>
      <c r="V19" s="187"/>
      <c r="W19" s="187"/>
      <c r="X19" s="187"/>
      <c r="Y19" s="187"/>
      <c r="Z19" s="187"/>
    </row>
    <row r="20" spans="1:26" ht="72" outlineLevel="2">
      <c r="A20" s="190" t="s">
        <v>5434</v>
      </c>
      <c r="B20" s="189" t="s">
        <v>5435</v>
      </c>
      <c r="C20" s="191" t="s">
        <v>114</v>
      </c>
      <c r="D20" s="184">
        <v>30</v>
      </c>
      <c r="E20" s="184">
        <v>0</v>
      </c>
      <c r="F20" s="184" t="s">
        <v>5371</v>
      </c>
      <c r="G20" s="183">
        <v>30</v>
      </c>
      <c r="H20" s="184">
        <v>13</v>
      </c>
      <c r="I20" s="185">
        <f t="shared" si="0"/>
        <v>260000</v>
      </c>
      <c r="J20" s="185">
        <f t="shared" si="1"/>
        <v>20000</v>
      </c>
      <c r="K20" s="185">
        <f t="shared" si="2"/>
        <v>0</v>
      </c>
      <c r="L20" s="185">
        <f t="shared" si="3"/>
        <v>10000</v>
      </c>
      <c r="M20" s="185">
        <f t="shared" si="4"/>
        <v>30000</v>
      </c>
      <c r="N20" s="185">
        <f t="shared" si="5"/>
        <v>0</v>
      </c>
      <c r="O20" s="185">
        <f t="shared" si="6"/>
        <v>320000</v>
      </c>
      <c r="P20" s="192" t="str">
        <f ca="1">IF(D20=0,'Виды прицепов'!$M$4,IF(D20=30,'Виды прицепов'!$M$5,'Виды прицепов'!$M$6))</f>
        <v>3150*1700*900</v>
      </c>
      <c r="Q20" s="192" t="str">
        <f ca="1">IF(D20=0,'Виды прицепов'!$N$4,IF(D20=30,'Виды прицепов'!$N$5,'Виды прицепов'!$N$6))</f>
        <v>2000*1250*300</v>
      </c>
      <c r="R20" s="91"/>
      <c r="S20" s="91"/>
      <c r="T20" s="91"/>
      <c r="U20" s="91"/>
      <c r="V20" s="91"/>
      <c r="W20" s="91"/>
      <c r="X20" s="91"/>
      <c r="Y20" s="91"/>
      <c r="Z20" s="91"/>
    </row>
    <row r="21" spans="1:26" ht="72" outlineLevel="2">
      <c r="A21" s="180" t="s">
        <v>5436</v>
      </c>
      <c r="B21" s="181" t="s">
        <v>5437</v>
      </c>
      <c r="C21" s="182" t="s">
        <v>114</v>
      </c>
      <c r="D21" s="184">
        <v>30</v>
      </c>
      <c r="E21" s="184">
        <v>0</v>
      </c>
      <c r="F21" s="184" t="s">
        <v>5371</v>
      </c>
      <c r="G21" s="184">
        <v>90</v>
      </c>
      <c r="H21" s="184">
        <v>13</v>
      </c>
      <c r="I21" s="185">
        <f t="shared" si="0"/>
        <v>260000</v>
      </c>
      <c r="J21" s="185">
        <f t="shared" si="1"/>
        <v>20000</v>
      </c>
      <c r="K21" s="185">
        <f t="shared" si="2"/>
        <v>0</v>
      </c>
      <c r="L21" s="185">
        <f t="shared" si="3"/>
        <v>10000</v>
      </c>
      <c r="M21" s="185">
        <f t="shared" si="4"/>
        <v>80000</v>
      </c>
      <c r="N21" s="185">
        <f t="shared" si="5"/>
        <v>0</v>
      </c>
      <c r="O21" s="185">
        <f t="shared" si="6"/>
        <v>370000</v>
      </c>
      <c r="P21" s="186" t="str">
        <f ca="1">IF(D21=0,'Виды прицепов'!$M$4,IF(D21=30,'Виды прицепов'!$M$5,'Виды прицепов'!$M$6))</f>
        <v>3150*1700*900</v>
      </c>
      <c r="Q21" s="186" t="str">
        <f ca="1">IF(D21=0,'Виды прицепов'!$N$4,IF(D21=30,'Виды прицепов'!$N$5,'Виды прицепов'!$N$6))</f>
        <v>2000*1250*300</v>
      </c>
      <c r="R21" s="187"/>
      <c r="S21" s="187"/>
      <c r="T21" s="187"/>
      <c r="U21" s="187"/>
      <c r="V21" s="187"/>
      <c r="W21" s="187"/>
      <c r="X21" s="187"/>
      <c r="Y21" s="187"/>
      <c r="Z21" s="187"/>
    </row>
    <row r="22" spans="1:26" ht="72" outlineLevel="2">
      <c r="A22" s="180" t="s">
        <v>5384</v>
      </c>
      <c r="B22" s="181" t="s">
        <v>5438</v>
      </c>
      <c r="C22" s="182" t="s">
        <v>114</v>
      </c>
      <c r="D22" s="184">
        <v>30</v>
      </c>
      <c r="E22" s="184">
        <v>13</v>
      </c>
      <c r="F22" s="184" t="s">
        <v>5371</v>
      </c>
      <c r="G22" s="184">
        <v>0</v>
      </c>
      <c r="H22" s="184">
        <v>13</v>
      </c>
      <c r="I22" s="185">
        <f t="shared" si="0"/>
        <v>260000</v>
      </c>
      <c r="J22" s="185">
        <f t="shared" si="1"/>
        <v>20000</v>
      </c>
      <c r="K22" s="185">
        <f t="shared" si="2"/>
        <v>30000</v>
      </c>
      <c r="L22" s="185">
        <f t="shared" si="3"/>
        <v>10000</v>
      </c>
      <c r="M22" s="185">
        <f t="shared" si="4"/>
        <v>0</v>
      </c>
      <c r="N22" s="185">
        <f t="shared" si="5"/>
        <v>0</v>
      </c>
      <c r="O22" s="185">
        <f t="shared" si="6"/>
        <v>320000</v>
      </c>
      <c r="P22" s="186" t="str">
        <f ca="1">IF(D22=0,'Виды прицепов'!$M$4,IF(D22=30,'Виды прицепов'!$M$5,'Виды прицепов'!$M$6))</f>
        <v>3150*1700*900</v>
      </c>
      <c r="Q22" s="186" t="str">
        <f ca="1">IF(D22=0,'Виды прицепов'!$N$4,IF(D22=30,'Виды прицепов'!$N$5,'Виды прицепов'!$N$6))</f>
        <v>2000*1250*300</v>
      </c>
      <c r="R22" s="187"/>
      <c r="S22" s="187"/>
      <c r="T22" s="187"/>
      <c r="U22" s="187"/>
      <c r="V22" s="187"/>
      <c r="W22" s="187"/>
      <c r="X22" s="187"/>
      <c r="Y22" s="187"/>
      <c r="Z22" s="187"/>
    </row>
    <row r="23" spans="1:26" ht="57.6" outlineLevel="2">
      <c r="A23" s="180" t="s">
        <v>5439</v>
      </c>
      <c r="B23" s="181" t="s">
        <v>5440</v>
      </c>
      <c r="C23" s="182" t="s">
        <v>114</v>
      </c>
      <c r="D23" s="184">
        <v>0</v>
      </c>
      <c r="E23" s="184">
        <v>15</v>
      </c>
      <c r="F23" s="184">
        <v>0</v>
      </c>
      <c r="G23" s="184">
        <v>0</v>
      </c>
      <c r="H23" s="184">
        <v>15</v>
      </c>
      <c r="I23" s="185">
        <f t="shared" si="0"/>
        <v>260000</v>
      </c>
      <c r="J23" s="185">
        <f t="shared" si="1"/>
        <v>0</v>
      </c>
      <c r="K23" s="185">
        <f t="shared" si="2"/>
        <v>50000</v>
      </c>
      <c r="L23" s="185">
        <f t="shared" si="3"/>
        <v>0</v>
      </c>
      <c r="M23" s="185">
        <f t="shared" si="4"/>
        <v>0</v>
      </c>
      <c r="N23" s="185">
        <f t="shared" si="5"/>
        <v>30000</v>
      </c>
      <c r="O23" s="185">
        <f t="shared" si="6"/>
        <v>340000</v>
      </c>
      <c r="P23" s="186" t="str">
        <f ca="1">IF(D23=0,'Виды прицепов'!$M$4,IF(D23=30,'Виды прицепов'!$M$5,'Виды прицепов'!$M$6))</f>
        <v>4000*1700*650</v>
      </c>
      <c r="Q23" s="186" t="str">
        <f ca="1">IF(D23=0,'Виды прицепов'!$N$4,IF(D23=30,'Виды прицепов'!$N$5,'Виды прицепов'!$N$6))</f>
        <v>2000*1250*0</v>
      </c>
      <c r="R23" s="187"/>
      <c r="S23" s="187"/>
      <c r="T23" s="187"/>
      <c r="U23" s="187"/>
      <c r="V23" s="187"/>
      <c r="W23" s="187"/>
      <c r="X23" s="187"/>
      <c r="Y23" s="187"/>
      <c r="Z23" s="187"/>
    </row>
    <row r="24" spans="1:26" ht="72" outlineLevel="2">
      <c r="A24" s="180" t="s">
        <v>5441</v>
      </c>
      <c r="B24" s="181" t="s">
        <v>5442</v>
      </c>
      <c r="C24" s="182" t="s">
        <v>114</v>
      </c>
      <c r="D24" s="184">
        <v>30</v>
      </c>
      <c r="E24" s="184">
        <v>13</v>
      </c>
      <c r="F24" s="184" t="s">
        <v>5371</v>
      </c>
      <c r="G24" s="184">
        <v>60</v>
      </c>
      <c r="H24" s="184">
        <v>13</v>
      </c>
      <c r="I24" s="185">
        <f t="shared" si="0"/>
        <v>260000</v>
      </c>
      <c r="J24" s="185">
        <f t="shared" si="1"/>
        <v>20000</v>
      </c>
      <c r="K24" s="185">
        <f t="shared" si="2"/>
        <v>30000</v>
      </c>
      <c r="L24" s="185">
        <f t="shared" si="3"/>
        <v>10000</v>
      </c>
      <c r="M24" s="185">
        <f t="shared" si="4"/>
        <v>60000</v>
      </c>
      <c r="N24" s="185">
        <f t="shared" si="5"/>
        <v>0</v>
      </c>
      <c r="O24" s="185">
        <f t="shared" si="6"/>
        <v>380000</v>
      </c>
      <c r="P24" s="186" t="str">
        <f ca="1">IF(D24=0,'Виды прицепов'!$M$4,IF(D24=30,'Виды прицепов'!$M$5,'Виды прицепов'!$M$6))</f>
        <v>3150*1700*900</v>
      </c>
      <c r="Q24" s="186" t="str">
        <f ca="1">IF(D24=0,'Виды прицепов'!$N$4,IF(D24=30,'Виды прицепов'!$N$5,'Виды прицепов'!$N$6))</f>
        <v>2000*1250*300</v>
      </c>
      <c r="R24" s="187"/>
      <c r="S24" s="187"/>
      <c r="T24" s="187"/>
      <c r="U24" s="187"/>
      <c r="V24" s="187"/>
      <c r="W24" s="187"/>
      <c r="X24" s="187"/>
      <c r="Y24" s="187"/>
      <c r="Z24" s="187"/>
    </row>
    <row r="25" spans="1:26" ht="72" outlineLevel="2">
      <c r="A25" s="188" t="s">
        <v>916</v>
      </c>
      <c r="B25" s="189" t="s">
        <v>5443</v>
      </c>
      <c r="C25" s="182" t="s">
        <v>114</v>
      </c>
      <c r="D25" s="184">
        <v>30</v>
      </c>
      <c r="E25" s="184">
        <v>13</v>
      </c>
      <c r="F25" s="184" t="s">
        <v>5371</v>
      </c>
      <c r="G25" s="183">
        <v>30</v>
      </c>
      <c r="H25" s="184">
        <v>13</v>
      </c>
      <c r="I25" s="185">
        <f t="shared" si="0"/>
        <v>260000</v>
      </c>
      <c r="J25" s="185">
        <f t="shared" si="1"/>
        <v>20000</v>
      </c>
      <c r="K25" s="185">
        <f t="shared" si="2"/>
        <v>30000</v>
      </c>
      <c r="L25" s="185">
        <f t="shared" si="3"/>
        <v>10000</v>
      </c>
      <c r="M25" s="185">
        <f t="shared" si="4"/>
        <v>30000</v>
      </c>
      <c r="N25" s="185">
        <f t="shared" si="5"/>
        <v>0</v>
      </c>
      <c r="O25" s="185">
        <f t="shared" si="6"/>
        <v>350000</v>
      </c>
      <c r="P25" s="186" t="str">
        <f ca="1">IF(D25=0,'Виды прицепов'!$M$4,IF(D25=30,'Виды прицепов'!$M$5,'Виды прицепов'!$M$6))</f>
        <v>3150*1700*900</v>
      </c>
      <c r="Q25" s="186" t="str">
        <f ca="1">IF(D25=0,'Виды прицепов'!$N$4,IF(D25=30,'Виды прицепов'!$N$5,'Виды прицепов'!$N$6))</f>
        <v>2000*1250*300</v>
      </c>
      <c r="R25" s="187"/>
      <c r="S25" s="187"/>
      <c r="T25" s="187"/>
      <c r="U25" s="187"/>
      <c r="V25" s="187"/>
      <c r="W25" s="187"/>
      <c r="X25" s="187"/>
      <c r="Y25" s="187"/>
      <c r="Z25" s="187"/>
    </row>
    <row r="26" spans="1:26" ht="72" outlineLevel="2">
      <c r="A26" s="180" t="s">
        <v>5444</v>
      </c>
      <c r="B26" s="181" t="s">
        <v>5445</v>
      </c>
      <c r="C26" s="182" t="s">
        <v>114</v>
      </c>
      <c r="D26" s="184">
        <v>30</v>
      </c>
      <c r="E26" s="184">
        <v>13</v>
      </c>
      <c r="F26" s="184" t="s">
        <v>5371</v>
      </c>
      <c r="G26" s="184">
        <v>90</v>
      </c>
      <c r="H26" s="184">
        <v>13</v>
      </c>
      <c r="I26" s="185">
        <f t="shared" si="0"/>
        <v>260000</v>
      </c>
      <c r="J26" s="185">
        <f t="shared" si="1"/>
        <v>20000</v>
      </c>
      <c r="K26" s="185">
        <f t="shared" si="2"/>
        <v>30000</v>
      </c>
      <c r="L26" s="185">
        <f t="shared" si="3"/>
        <v>10000</v>
      </c>
      <c r="M26" s="185">
        <f t="shared" si="4"/>
        <v>80000</v>
      </c>
      <c r="N26" s="185">
        <f t="shared" si="5"/>
        <v>0</v>
      </c>
      <c r="O26" s="185">
        <f t="shared" si="6"/>
        <v>400000</v>
      </c>
      <c r="P26" s="186" t="str">
        <f ca="1">IF(D26=0,'Виды прицепов'!$M$4,IF(D26=30,'Виды прицепов'!$M$5,'Виды прицепов'!$M$6))</f>
        <v>3150*1700*900</v>
      </c>
      <c r="Q26" s="186" t="str">
        <f ca="1">IF(D26=0,'Виды прицепов'!$N$4,IF(D26=30,'Виды прицепов'!$N$5,'Виды прицепов'!$N$6))</f>
        <v>2000*1250*300</v>
      </c>
      <c r="R26" s="187"/>
      <c r="S26" s="187"/>
      <c r="T26" s="187"/>
      <c r="U26" s="187"/>
      <c r="V26" s="187"/>
      <c r="W26" s="187"/>
      <c r="X26" s="187"/>
      <c r="Y26" s="187"/>
      <c r="Z26" s="187"/>
    </row>
    <row r="27" spans="1:26" ht="57.6" outlineLevel="2">
      <c r="A27" s="180" t="s">
        <v>5446</v>
      </c>
      <c r="B27" s="181" t="s">
        <v>5447</v>
      </c>
      <c r="C27" s="182" t="s">
        <v>114</v>
      </c>
      <c r="D27" s="184">
        <v>50</v>
      </c>
      <c r="E27" s="184">
        <v>0</v>
      </c>
      <c r="F27" s="184">
        <v>0</v>
      </c>
      <c r="G27" s="184">
        <v>0</v>
      </c>
      <c r="H27" s="184">
        <v>13</v>
      </c>
      <c r="I27" s="185">
        <f t="shared" si="0"/>
        <v>260000</v>
      </c>
      <c r="J27" s="185">
        <f t="shared" si="1"/>
        <v>40000</v>
      </c>
      <c r="K27" s="185">
        <f t="shared" si="2"/>
        <v>0</v>
      </c>
      <c r="L27" s="185">
        <f t="shared" si="3"/>
        <v>0</v>
      </c>
      <c r="M27" s="185">
        <f t="shared" si="4"/>
        <v>0</v>
      </c>
      <c r="N27" s="185">
        <f t="shared" si="5"/>
        <v>0</v>
      </c>
      <c r="O27" s="185">
        <f t="shared" si="6"/>
        <v>300000</v>
      </c>
      <c r="P27" s="186" t="str">
        <f ca="1">IF(D27=0,'Виды прицепов'!$M$4,IF(D27=30,'Виды прицепов'!$M$5,'Виды прицепов'!$M$6))</f>
        <v>3150*1700*1070</v>
      </c>
      <c r="Q27" s="186" t="str">
        <f ca="1">IF(D27=0,'Виды прицепов'!$N$4,IF(D27=30,'Виды прицепов'!$N$5,'Виды прицепов'!$N$6))</f>
        <v>2000*1250*500</v>
      </c>
      <c r="R27" s="187"/>
      <c r="S27" s="187"/>
      <c r="T27" s="187"/>
      <c r="U27" s="187"/>
      <c r="V27" s="187"/>
      <c r="W27" s="187"/>
      <c r="X27" s="187"/>
      <c r="Y27" s="187"/>
      <c r="Z27" s="187"/>
    </row>
    <row r="28" spans="1:26" ht="57.6" outlineLevel="2">
      <c r="A28" s="180" t="s">
        <v>5448</v>
      </c>
      <c r="B28" s="181" t="s">
        <v>5449</v>
      </c>
      <c r="C28" s="182" t="s">
        <v>114</v>
      </c>
      <c r="D28" s="184">
        <v>0</v>
      </c>
      <c r="E28" s="184">
        <v>15</v>
      </c>
      <c r="F28" s="184" t="s">
        <v>5371</v>
      </c>
      <c r="G28" s="184">
        <v>0</v>
      </c>
      <c r="H28" s="184">
        <v>15</v>
      </c>
      <c r="I28" s="185">
        <f t="shared" si="0"/>
        <v>260000</v>
      </c>
      <c r="J28" s="185">
        <f t="shared" si="1"/>
        <v>0</v>
      </c>
      <c r="K28" s="185">
        <f t="shared" si="2"/>
        <v>50000</v>
      </c>
      <c r="L28" s="185">
        <f t="shared" si="3"/>
        <v>10000</v>
      </c>
      <c r="M28" s="185">
        <f t="shared" si="4"/>
        <v>0</v>
      </c>
      <c r="N28" s="185">
        <f t="shared" si="5"/>
        <v>30000</v>
      </c>
      <c r="O28" s="185">
        <f t="shared" si="6"/>
        <v>350000</v>
      </c>
      <c r="P28" s="186" t="str">
        <f ca="1">IF(D28=0,'Виды прицепов'!$M$4,IF(D28=30,'Виды прицепов'!$M$5,'Виды прицепов'!$M$6))</f>
        <v>4000*1700*650</v>
      </c>
      <c r="Q28" s="186" t="str">
        <f ca="1">IF(D28=0,'Виды прицепов'!$N$4,IF(D28=30,'Виды прицепов'!$N$5,'Виды прицепов'!$N$6))</f>
        <v>2000*1250*0</v>
      </c>
      <c r="R28" s="187"/>
      <c r="S28" s="187"/>
      <c r="T28" s="187"/>
      <c r="U28" s="187"/>
      <c r="V28" s="187"/>
      <c r="W28" s="187"/>
      <c r="X28" s="187"/>
      <c r="Y28" s="187"/>
      <c r="Z28" s="187"/>
    </row>
    <row r="29" spans="1:26" ht="72" outlineLevel="2">
      <c r="A29" s="180" t="s">
        <v>5450</v>
      </c>
      <c r="B29" s="181" t="s">
        <v>5451</v>
      </c>
      <c r="C29" s="182" t="s">
        <v>114</v>
      </c>
      <c r="D29" s="184">
        <v>50</v>
      </c>
      <c r="E29" s="184">
        <v>0</v>
      </c>
      <c r="F29" s="184">
        <v>0</v>
      </c>
      <c r="G29" s="184">
        <v>60</v>
      </c>
      <c r="H29" s="184">
        <v>13</v>
      </c>
      <c r="I29" s="185">
        <f t="shared" si="0"/>
        <v>260000</v>
      </c>
      <c r="J29" s="185">
        <f t="shared" si="1"/>
        <v>40000</v>
      </c>
      <c r="K29" s="185">
        <f t="shared" si="2"/>
        <v>0</v>
      </c>
      <c r="L29" s="185">
        <f t="shared" si="3"/>
        <v>0</v>
      </c>
      <c r="M29" s="185">
        <f t="shared" si="4"/>
        <v>60000</v>
      </c>
      <c r="N29" s="185">
        <f t="shared" si="5"/>
        <v>0</v>
      </c>
      <c r="O29" s="185">
        <f t="shared" si="6"/>
        <v>360000</v>
      </c>
      <c r="P29" s="186" t="str">
        <f ca="1">IF(D29=0,'Виды прицепов'!$M$4,IF(D29=30,'Виды прицепов'!$M$5,'Виды прицепов'!$M$6))</f>
        <v>3150*1700*1070</v>
      </c>
      <c r="Q29" s="186" t="str">
        <f ca="1">IF(D29=0,'Виды прицепов'!$N$4,IF(D29=30,'Виды прицепов'!$N$5,'Виды прицепов'!$N$6))</f>
        <v>2000*1250*500</v>
      </c>
      <c r="R29" s="187"/>
      <c r="S29" s="187"/>
      <c r="T29" s="187"/>
      <c r="U29" s="187"/>
      <c r="V29" s="187"/>
      <c r="W29" s="187"/>
      <c r="X29" s="187"/>
      <c r="Y29" s="187"/>
      <c r="Z29" s="187"/>
    </row>
    <row r="30" spans="1:26" ht="72" outlineLevel="2">
      <c r="A30" s="188" t="s">
        <v>5452</v>
      </c>
      <c r="B30" s="189" t="s">
        <v>5453</v>
      </c>
      <c r="C30" s="182" t="s">
        <v>114</v>
      </c>
      <c r="D30" s="184">
        <v>50</v>
      </c>
      <c r="E30" s="184">
        <v>0</v>
      </c>
      <c r="F30" s="184">
        <v>0</v>
      </c>
      <c r="G30" s="183">
        <v>30</v>
      </c>
      <c r="H30" s="184">
        <v>13</v>
      </c>
      <c r="I30" s="185">
        <f t="shared" si="0"/>
        <v>260000</v>
      </c>
      <c r="J30" s="185">
        <f t="shared" si="1"/>
        <v>40000</v>
      </c>
      <c r="K30" s="185">
        <f t="shared" si="2"/>
        <v>0</v>
      </c>
      <c r="L30" s="185">
        <f t="shared" si="3"/>
        <v>0</v>
      </c>
      <c r="M30" s="185">
        <f t="shared" si="4"/>
        <v>30000</v>
      </c>
      <c r="N30" s="185">
        <f t="shared" si="5"/>
        <v>0</v>
      </c>
      <c r="O30" s="185">
        <f t="shared" si="6"/>
        <v>330000</v>
      </c>
      <c r="P30" s="186" t="str">
        <f ca="1">IF(D30=0,'Виды прицепов'!$M$4,IF(D30=30,'Виды прицепов'!$M$5,'Виды прицепов'!$M$6))</f>
        <v>3150*1700*1070</v>
      </c>
      <c r="Q30" s="186" t="str">
        <f ca="1">IF(D30=0,'Виды прицепов'!$N$4,IF(D30=30,'Виды прицепов'!$N$5,'Виды прицепов'!$N$6))</f>
        <v>2000*1250*500</v>
      </c>
      <c r="R30" s="187"/>
      <c r="S30" s="187"/>
      <c r="T30" s="187"/>
      <c r="U30" s="187"/>
      <c r="V30" s="187"/>
      <c r="W30" s="187"/>
      <c r="X30" s="187"/>
      <c r="Y30" s="187"/>
      <c r="Z30" s="187"/>
    </row>
    <row r="31" spans="1:26" ht="72" outlineLevel="2">
      <c r="A31" s="180" t="s">
        <v>5454</v>
      </c>
      <c r="B31" s="181" t="s">
        <v>5455</v>
      </c>
      <c r="C31" s="182" t="s">
        <v>114</v>
      </c>
      <c r="D31" s="184">
        <v>50</v>
      </c>
      <c r="E31" s="184">
        <v>0</v>
      </c>
      <c r="F31" s="184">
        <v>0</v>
      </c>
      <c r="G31" s="184">
        <v>90</v>
      </c>
      <c r="H31" s="184">
        <v>13</v>
      </c>
      <c r="I31" s="185">
        <f t="shared" si="0"/>
        <v>260000</v>
      </c>
      <c r="J31" s="185">
        <f t="shared" si="1"/>
        <v>40000</v>
      </c>
      <c r="K31" s="185">
        <f t="shared" si="2"/>
        <v>0</v>
      </c>
      <c r="L31" s="185">
        <f t="shared" si="3"/>
        <v>0</v>
      </c>
      <c r="M31" s="185">
        <f t="shared" si="4"/>
        <v>80000</v>
      </c>
      <c r="N31" s="185">
        <f t="shared" si="5"/>
        <v>0</v>
      </c>
      <c r="O31" s="185">
        <f t="shared" si="6"/>
        <v>380000</v>
      </c>
      <c r="P31" s="186" t="str">
        <f ca="1">IF(D31=0,'Виды прицепов'!$M$4,IF(D31=30,'Виды прицепов'!$M$5,'Виды прицепов'!$M$6))</f>
        <v>3150*1700*1070</v>
      </c>
      <c r="Q31" s="186" t="str">
        <f ca="1">IF(D31=0,'Виды прицепов'!$N$4,IF(D31=30,'Виды прицепов'!$N$5,'Виды прицепов'!$N$6))</f>
        <v>2000*1250*500</v>
      </c>
      <c r="R31" s="187"/>
      <c r="S31" s="187"/>
      <c r="T31" s="187"/>
      <c r="U31" s="187"/>
      <c r="V31" s="187"/>
      <c r="W31" s="187"/>
      <c r="X31" s="187"/>
      <c r="Y31" s="187"/>
      <c r="Z31" s="187"/>
    </row>
    <row r="32" spans="1:26" ht="72" outlineLevel="2">
      <c r="A32" s="180" t="s">
        <v>5456</v>
      </c>
      <c r="B32" s="181" t="s">
        <v>5457</v>
      </c>
      <c r="C32" s="182" t="s">
        <v>114</v>
      </c>
      <c r="D32" s="184">
        <v>50</v>
      </c>
      <c r="E32" s="184">
        <v>13</v>
      </c>
      <c r="F32" s="184">
        <v>0</v>
      </c>
      <c r="G32" s="184">
        <v>0</v>
      </c>
      <c r="H32" s="184">
        <v>13</v>
      </c>
      <c r="I32" s="185">
        <f t="shared" si="0"/>
        <v>260000</v>
      </c>
      <c r="J32" s="185">
        <f t="shared" si="1"/>
        <v>40000</v>
      </c>
      <c r="K32" s="185">
        <f t="shared" si="2"/>
        <v>30000</v>
      </c>
      <c r="L32" s="185">
        <f t="shared" si="3"/>
        <v>0</v>
      </c>
      <c r="M32" s="185">
        <f t="shared" si="4"/>
        <v>0</v>
      </c>
      <c r="N32" s="185">
        <f t="shared" si="5"/>
        <v>0</v>
      </c>
      <c r="O32" s="185">
        <f t="shared" si="6"/>
        <v>330000</v>
      </c>
      <c r="P32" s="186" t="str">
        <f ca="1">IF(D32=0,'Виды прицепов'!$M$4,IF(D32=30,'Виды прицепов'!$M$5,'Виды прицепов'!$M$6))</f>
        <v>3150*1700*1070</v>
      </c>
      <c r="Q32" s="186" t="str">
        <f ca="1">IF(D32=0,'Виды прицепов'!$N$4,IF(D32=30,'Виды прицепов'!$N$5,'Виды прицепов'!$N$6))</f>
        <v>2000*1250*500</v>
      </c>
      <c r="R32" s="187"/>
      <c r="S32" s="187"/>
      <c r="T32" s="187"/>
      <c r="U32" s="187"/>
      <c r="V32" s="187"/>
      <c r="W32" s="187"/>
      <c r="X32" s="187"/>
      <c r="Y32" s="187"/>
      <c r="Z32" s="187"/>
    </row>
    <row r="33" spans="1:26" ht="72" outlineLevel="2">
      <c r="A33" s="180" t="s">
        <v>5458</v>
      </c>
      <c r="B33" s="181" t="s">
        <v>5459</v>
      </c>
      <c r="C33" s="182" t="s">
        <v>114</v>
      </c>
      <c r="D33" s="184">
        <v>50</v>
      </c>
      <c r="E33" s="184">
        <v>13</v>
      </c>
      <c r="F33" s="184">
        <v>0</v>
      </c>
      <c r="G33" s="184">
        <v>60</v>
      </c>
      <c r="H33" s="184">
        <v>13</v>
      </c>
      <c r="I33" s="185">
        <f t="shared" si="0"/>
        <v>260000</v>
      </c>
      <c r="J33" s="185">
        <f t="shared" si="1"/>
        <v>40000</v>
      </c>
      <c r="K33" s="185">
        <f t="shared" si="2"/>
        <v>30000</v>
      </c>
      <c r="L33" s="185">
        <f t="shared" si="3"/>
        <v>0</v>
      </c>
      <c r="M33" s="185">
        <f t="shared" si="4"/>
        <v>60000</v>
      </c>
      <c r="N33" s="185">
        <f t="shared" si="5"/>
        <v>0</v>
      </c>
      <c r="O33" s="185">
        <f t="shared" si="6"/>
        <v>390000</v>
      </c>
      <c r="P33" s="186" t="str">
        <f ca="1">IF(D33=0,'Виды прицепов'!$M$4,IF(D33=30,'Виды прицепов'!$M$5,'Виды прицепов'!$M$6))</f>
        <v>3150*1700*1070</v>
      </c>
      <c r="Q33" s="186" t="str">
        <f ca="1">IF(D33=0,'Виды прицепов'!$N$4,IF(D33=30,'Виды прицепов'!$N$5,'Виды прицепов'!$N$6))</f>
        <v>2000*1250*500</v>
      </c>
      <c r="R33" s="187"/>
      <c r="S33" s="187"/>
      <c r="T33" s="187"/>
      <c r="U33" s="187"/>
      <c r="V33" s="187"/>
      <c r="W33" s="187"/>
      <c r="X33" s="187"/>
      <c r="Y33" s="187"/>
      <c r="Z33" s="187"/>
    </row>
    <row r="34" spans="1:26" ht="72" outlineLevel="2">
      <c r="A34" s="188" t="s">
        <v>5460</v>
      </c>
      <c r="B34" s="189" t="s">
        <v>5461</v>
      </c>
      <c r="C34" s="182" t="s">
        <v>114</v>
      </c>
      <c r="D34" s="184">
        <v>50</v>
      </c>
      <c r="E34" s="184">
        <v>13</v>
      </c>
      <c r="F34" s="184">
        <v>0</v>
      </c>
      <c r="G34" s="183">
        <v>30</v>
      </c>
      <c r="H34" s="184">
        <v>13</v>
      </c>
      <c r="I34" s="185">
        <f t="shared" si="0"/>
        <v>260000</v>
      </c>
      <c r="J34" s="185">
        <f t="shared" si="1"/>
        <v>40000</v>
      </c>
      <c r="K34" s="185">
        <f t="shared" si="2"/>
        <v>30000</v>
      </c>
      <c r="L34" s="185">
        <f t="shared" si="3"/>
        <v>0</v>
      </c>
      <c r="M34" s="185">
        <f t="shared" si="4"/>
        <v>30000</v>
      </c>
      <c r="N34" s="185">
        <f t="shared" si="5"/>
        <v>0</v>
      </c>
      <c r="O34" s="185">
        <f t="shared" si="6"/>
        <v>360000</v>
      </c>
      <c r="P34" s="186" t="str">
        <f ca="1">IF(D34=0,'Виды прицепов'!$M$4,IF(D34=30,'Виды прицепов'!$M$5,'Виды прицепов'!$M$6))</f>
        <v>3150*1700*1070</v>
      </c>
      <c r="Q34" s="186" t="str">
        <f ca="1">IF(D34=0,'Виды прицепов'!$N$4,IF(D34=30,'Виды прицепов'!$N$5,'Виды прицепов'!$N$6))</f>
        <v>2000*1250*500</v>
      </c>
      <c r="R34" s="187"/>
      <c r="S34" s="187"/>
      <c r="T34" s="187"/>
      <c r="U34" s="187"/>
      <c r="V34" s="187"/>
      <c r="W34" s="187"/>
      <c r="X34" s="187"/>
      <c r="Y34" s="187"/>
      <c r="Z34" s="187"/>
    </row>
    <row r="35" spans="1:26" ht="72" outlineLevel="2">
      <c r="A35" s="180" t="s">
        <v>5462</v>
      </c>
      <c r="B35" s="181" t="s">
        <v>5463</v>
      </c>
      <c r="C35" s="182" t="s">
        <v>114</v>
      </c>
      <c r="D35" s="184">
        <v>50</v>
      </c>
      <c r="E35" s="184">
        <v>13</v>
      </c>
      <c r="F35" s="184">
        <v>0</v>
      </c>
      <c r="G35" s="184">
        <v>90</v>
      </c>
      <c r="H35" s="184">
        <v>13</v>
      </c>
      <c r="I35" s="185">
        <f t="shared" si="0"/>
        <v>260000</v>
      </c>
      <c r="J35" s="185">
        <f t="shared" si="1"/>
        <v>40000</v>
      </c>
      <c r="K35" s="185">
        <f t="shared" si="2"/>
        <v>30000</v>
      </c>
      <c r="L35" s="185">
        <f t="shared" si="3"/>
        <v>0</v>
      </c>
      <c r="M35" s="185">
        <f t="shared" si="4"/>
        <v>80000</v>
      </c>
      <c r="N35" s="185">
        <f t="shared" si="5"/>
        <v>0</v>
      </c>
      <c r="O35" s="185">
        <f t="shared" si="6"/>
        <v>410000</v>
      </c>
      <c r="P35" s="186" t="str">
        <f ca="1">IF(D35=0,'Виды прицепов'!$M$4,IF(D35=30,'Виды прицепов'!$M$5,'Виды прицепов'!$M$6))</f>
        <v>3150*1700*1070</v>
      </c>
      <c r="Q35" s="186" t="str">
        <f ca="1">IF(D35=0,'Виды прицепов'!$N$4,IF(D35=30,'Виды прицепов'!$N$5,'Виды прицепов'!$N$6))</f>
        <v>2000*1250*500</v>
      </c>
      <c r="R35" s="187"/>
      <c r="S35" s="187"/>
      <c r="T35" s="187"/>
      <c r="U35" s="187"/>
      <c r="V35" s="187"/>
      <c r="W35" s="187"/>
      <c r="X35" s="187"/>
      <c r="Y35" s="187"/>
      <c r="Z35" s="187"/>
    </row>
    <row r="36" spans="1:26" ht="57.6" outlineLevel="2">
      <c r="A36" s="180" t="s">
        <v>5464</v>
      </c>
      <c r="B36" s="181" t="s">
        <v>5465</v>
      </c>
      <c r="C36" s="182" t="s">
        <v>114</v>
      </c>
      <c r="D36" s="184">
        <v>50</v>
      </c>
      <c r="E36" s="184">
        <v>0</v>
      </c>
      <c r="F36" s="184" t="s">
        <v>5371</v>
      </c>
      <c r="G36" s="184">
        <v>0</v>
      </c>
      <c r="H36" s="184">
        <v>13</v>
      </c>
      <c r="I36" s="185">
        <f t="shared" ref="I36:I67" si="7">VLOOKUP(C36,Платформа,2,0)</f>
        <v>260000</v>
      </c>
      <c r="J36" s="185">
        <f t="shared" ref="J36:J67" si="8">VLOOKUP(D36,борт_2013,2)</f>
        <v>40000</v>
      </c>
      <c r="K36" s="185">
        <f t="shared" ref="K36:K67" si="9">VLOOKUP(E36,колесо,2,0)</f>
        <v>0</v>
      </c>
      <c r="L36" s="185">
        <f t="shared" ref="L36:L67" si="10">VLOOKUP(F36,опорное_колесо,2,0)</f>
        <v>10000</v>
      </c>
      <c r="M36" s="185">
        <f t="shared" ref="M36:M67" si="11">VLOOKUP(G36,тент_2013,2,0)</f>
        <v>0</v>
      </c>
      <c r="N36" s="185">
        <f t="shared" ref="N36:N67" si="12">VLOOKUP(H36,ступица,2,0)</f>
        <v>0</v>
      </c>
      <c r="O36" s="185">
        <f t="shared" si="6"/>
        <v>310000</v>
      </c>
      <c r="P36" s="186" t="str">
        <f ca="1">IF(D36=0,'Виды прицепов'!$M$4,IF(D36=30,'Виды прицепов'!$M$5,'Виды прицепов'!$M$6))</f>
        <v>3150*1700*1070</v>
      </c>
      <c r="Q36" s="186" t="str">
        <f ca="1">IF(D36=0,'Виды прицепов'!$N$4,IF(D36=30,'Виды прицепов'!$N$5,'Виды прицепов'!$N$6))</f>
        <v>2000*1250*500</v>
      </c>
      <c r="R36" s="187"/>
      <c r="S36" s="187"/>
      <c r="T36" s="187"/>
      <c r="U36" s="187"/>
      <c r="V36" s="187"/>
      <c r="W36" s="187"/>
      <c r="X36" s="187"/>
      <c r="Y36" s="187"/>
      <c r="Z36" s="187"/>
    </row>
    <row r="37" spans="1:26" ht="72" outlineLevel="2">
      <c r="A37" s="180" t="s">
        <v>5466</v>
      </c>
      <c r="B37" s="181" t="s">
        <v>5467</v>
      </c>
      <c r="C37" s="182" t="s">
        <v>114</v>
      </c>
      <c r="D37" s="184">
        <v>50</v>
      </c>
      <c r="E37" s="184">
        <v>0</v>
      </c>
      <c r="F37" s="184" t="s">
        <v>5371</v>
      </c>
      <c r="G37" s="184">
        <v>60</v>
      </c>
      <c r="H37" s="184">
        <v>13</v>
      </c>
      <c r="I37" s="185">
        <f t="shared" si="7"/>
        <v>260000</v>
      </c>
      <c r="J37" s="185">
        <f t="shared" si="8"/>
        <v>40000</v>
      </c>
      <c r="K37" s="185">
        <f t="shared" si="9"/>
        <v>0</v>
      </c>
      <c r="L37" s="185">
        <f t="shared" si="10"/>
        <v>10000</v>
      </c>
      <c r="M37" s="185">
        <f t="shared" si="11"/>
        <v>60000</v>
      </c>
      <c r="N37" s="185">
        <f t="shared" si="12"/>
        <v>0</v>
      </c>
      <c r="O37" s="185">
        <f t="shared" si="6"/>
        <v>370000</v>
      </c>
      <c r="P37" s="186" t="str">
        <f ca="1">IF(D37=0,'Виды прицепов'!$M$4,IF(D37=30,'Виды прицепов'!$M$5,'Виды прицепов'!$M$6))</f>
        <v>3150*1700*1070</v>
      </c>
      <c r="Q37" s="186" t="str">
        <f ca="1">IF(D37=0,'Виды прицепов'!$N$4,IF(D37=30,'Виды прицепов'!$N$5,'Виды прицепов'!$N$6))</f>
        <v>2000*1250*500</v>
      </c>
      <c r="R37" s="187"/>
      <c r="S37" s="187"/>
      <c r="T37" s="187"/>
      <c r="U37" s="187"/>
      <c r="V37" s="187"/>
      <c r="W37" s="187"/>
      <c r="X37" s="187"/>
      <c r="Y37" s="187"/>
      <c r="Z37" s="187"/>
    </row>
    <row r="38" spans="1:26" ht="72" outlineLevel="2">
      <c r="A38" s="188" t="s">
        <v>5468</v>
      </c>
      <c r="B38" s="189" t="s">
        <v>5469</v>
      </c>
      <c r="C38" s="182" t="s">
        <v>114</v>
      </c>
      <c r="D38" s="184">
        <v>50</v>
      </c>
      <c r="E38" s="184">
        <v>0</v>
      </c>
      <c r="F38" s="184" t="s">
        <v>5371</v>
      </c>
      <c r="G38" s="183">
        <v>30</v>
      </c>
      <c r="H38" s="184">
        <v>13</v>
      </c>
      <c r="I38" s="185">
        <f t="shared" si="7"/>
        <v>260000</v>
      </c>
      <c r="J38" s="185">
        <f t="shared" si="8"/>
        <v>40000</v>
      </c>
      <c r="K38" s="185">
        <f t="shared" si="9"/>
        <v>0</v>
      </c>
      <c r="L38" s="185">
        <f t="shared" si="10"/>
        <v>10000</v>
      </c>
      <c r="M38" s="185">
        <f t="shared" si="11"/>
        <v>30000</v>
      </c>
      <c r="N38" s="185">
        <f t="shared" si="12"/>
        <v>0</v>
      </c>
      <c r="O38" s="185">
        <f t="shared" si="6"/>
        <v>340000</v>
      </c>
      <c r="P38" s="186" t="str">
        <f ca="1">IF(D38=0,'Виды прицепов'!$M$4,IF(D38=30,'Виды прицепов'!$M$5,'Виды прицепов'!$M$6))</f>
        <v>3150*1700*1070</v>
      </c>
      <c r="Q38" s="186" t="str">
        <f ca="1">IF(D38=0,'Виды прицепов'!$N$4,IF(D38=30,'Виды прицепов'!$N$5,'Виды прицепов'!$N$6))</f>
        <v>2000*1250*500</v>
      </c>
      <c r="R38" s="187"/>
      <c r="S38" s="187"/>
      <c r="T38" s="187"/>
      <c r="U38" s="187"/>
      <c r="V38" s="187"/>
      <c r="W38" s="187"/>
      <c r="X38" s="187"/>
      <c r="Y38" s="187"/>
      <c r="Z38" s="187"/>
    </row>
    <row r="39" spans="1:26" ht="72" outlineLevel="2">
      <c r="A39" s="180" t="s">
        <v>5470</v>
      </c>
      <c r="B39" s="181" t="s">
        <v>5471</v>
      </c>
      <c r="C39" s="182" t="s">
        <v>114</v>
      </c>
      <c r="D39" s="184">
        <v>50</v>
      </c>
      <c r="E39" s="184">
        <v>0</v>
      </c>
      <c r="F39" s="184" t="s">
        <v>5371</v>
      </c>
      <c r="G39" s="184">
        <v>90</v>
      </c>
      <c r="H39" s="184">
        <v>13</v>
      </c>
      <c r="I39" s="185">
        <f t="shared" si="7"/>
        <v>260000</v>
      </c>
      <c r="J39" s="185">
        <f t="shared" si="8"/>
        <v>40000</v>
      </c>
      <c r="K39" s="185">
        <f t="shared" si="9"/>
        <v>0</v>
      </c>
      <c r="L39" s="185">
        <f t="shared" si="10"/>
        <v>10000</v>
      </c>
      <c r="M39" s="185">
        <f t="shared" si="11"/>
        <v>80000</v>
      </c>
      <c r="N39" s="185">
        <f t="shared" si="12"/>
        <v>0</v>
      </c>
      <c r="O39" s="185">
        <f t="shared" si="6"/>
        <v>390000</v>
      </c>
      <c r="P39" s="186" t="str">
        <f ca="1">IF(D39=0,'Виды прицепов'!$M$4,IF(D39=30,'Виды прицепов'!$M$5,'Виды прицепов'!$M$6))</f>
        <v>3150*1700*1070</v>
      </c>
      <c r="Q39" s="186" t="str">
        <f ca="1">IF(D39=0,'Виды прицепов'!$N$4,IF(D39=30,'Виды прицепов'!$N$5,'Виды прицепов'!$N$6))</f>
        <v>2000*1250*500</v>
      </c>
      <c r="R39" s="187"/>
      <c r="S39" s="187"/>
      <c r="T39" s="187"/>
      <c r="U39" s="187"/>
      <c r="V39" s="187"/>
      <c r="W39" s="187"/>
      <c r="X39" s="187"/>
      <c r="Y39" s="187"/>
      <c r="Z39" s="187"/>
    </row>
    <row r="40" spans="1:26" ht="72" outlineLevel="2">
      <c r="A40" s="180" t="s">
        <v>5309</v>
      </c>
      <c r="B40" s="181" t="s">
        <v>5472</v>
      </c>
      <c r="C40" s="182" t="s">
        <v>114</v>
      </c>
      <c r="D40" s="184">
        <v>50</v>
      </c>
      <c r="E40" s="184">
        <v>13</v>
      </c>
      <c r="F40" s="184" t="s">
        <v>5371</v>
      </c>
      <c r="G40" s="184">
        <v>0</v>
      </c>
      <c r="H40" s="184">
        <v>13</v>
      </c>
      <c r="I40" s="185">
        <f t="shared" si="7"/>
        <v>260000</v>
      </c>
      <c r="J40" s="185">
        <f t="shared" si="8"/>
        <v>40000</v>
      </c>
      <c r="K40" s="185">
        <f t="shared" si="9"/>
        <v>30000</v>
      </c>
      <c r="L40" s="185">
        <f t="shared" si="10"/>
        <v>10000</v>
      </c>
      <c r="M40" s="185">
        <f t="shared" si="11"/>
        <v>0</v>
      </c>
      <c r="N40" s="185">
        <f t="shared" si="12"/>
        <v>0</v>
      </c>
      <c r="O40" s="185">
        <f t="shared" si="6"/>
        <v>340000</v>
      </c>
      <c r="P40" s="186" t="str">
        <f ca="1">IF(D40=0,'Виды прицепов'!$M$4,IF(D40=30,'Виды прицепов'!$M$5,'Виды прицепов'!$M$6))</f>
        <v>3150*1700*1070</v>
      </c>
      <c r="Q40" s="186" t="str">
        <f ca="1">IF(D40=0,'Виды прицепов'!$N$4,IF(D40=30,'Виды прицепов'!$N$5,'Виды прицепов'!$N$6))</f>
        <v>2000*1250*500</v>
      </c>
      <c r="R40" s="187"/>
      <c r="S40" s="187"/>
      <c r="T40" s="187"/>
      <c r="U40" s="187"/>
      <c r="V40" s="187"/>
      <c r="W40" s="187"/>
      <c r="X40" s="187"/>
      <c r="Y40" s="187"/>
      <c r="Z40" s="187"/>
    </row>
    <row r="41" spans="1:26" ht="72" outlineLevel="2">
      <c r="A41" s="180" t="s">
        <v>201</v>
      </c>
      <c r="B41" s="181" t="s">
        <v>5473</v>
      </c>
      <c r="C41" s="182" t="s">
        <v>114</v>
      </c>
      <c r="D41" s="184">
        <v>50</v>
      </c>
      <c r="E41" s="184">
        <v>13</v>
      </c>
      <c r="F41" s="184" t="s">
        <v>5371</v>
      </c>
      <c r="G41" s="184">
        <v>60</v>
      </c>
      <c r="H41" s="184">
        <v>13</v>
      </c>
      <c r="I41" s="185">
        <f t="shared" si="7"/>
        <v>260000</v>
      </c>
      <c r="J41" s="185">
        <f t="shared" si="8"/>
        <v>40000</v>
      </c>
      <c r="K41" s="185">
        <f t="shared" si="9"/>
        <v>30000</v>
      </c>
      <c r="L41" s="185">
        <f t="shared" si="10"/>
        <v>10000</v>
      </c>
      <c r="M41" s="185">
        <f t="shared" si="11"/>
        <v>60000</v>
      </c>
      <c r="N41" s="185">
        <f t="shared" si="12"/>
        <v>0</v>
      </c>
      <c r="O41" s="185">
        <f t="shared" si="6"/>
        <v>400000</v>
      </c>
      <c r="P41" s="186" t="str">
        <f ca="1">IF(D41=0,'Виды прицепов'!$M$4,IF(D41=30,'Виды прицепов'!$M$5,'Виды прицепов'!$M$6))</f>
        <v>3150*1700*1070</v>
      </c>
      <c r="Q41" s="186" t="str">
        <f ca="1">IF(D41=0,'Виды прицепов'!$N$4,IF(D41=30,'Виды прицепов'!$N$5,'Виды прицепов'!$N$6))</f>
        <v>2000*1250*500</v>
      </c>
      <c r="R41" s="187"/>
      <c r="S41" s="187"/>
      <c r="T41" s="187"/>
      <c r="U41" s="187"/>
      <c r="V41" s="187"/>
      <c r="W41" s="187"/>
      <c r="X41" s="187"/>
      <c r="Y41" s="187"/>
      <c r="Z41" s="187"/>
    </row>
    <row r="42" spans="1:26" ht="72" outlineLevel="2">
      <c r="A42" s="188" t="s">
        <v>5474</v>
      </c>
      <c r="B42" s="189" t="s">
        <v>5475</v>
      </c>
      <c r="C42" s="182" t="s">
        <v>114</v>
      </c>
      <c r="D42" s="184">
        <v>50</v>
      </c>
      <c r="E42" s="184">
        <v>13</v>
      </c>
      <c r="F42" s="184" t="s">
        <v>5371</v>
      </c>
      <c r="G42" s="183">
        <v>30</v>
      </c>
      <c r="H42" s="184">
        <v>13</v>
      </c>
      <c r="I42" s="185">
        <f t="shared" si="7"/>
        <v>260000</v>
      </c>
      <c r="J42" s="185">
        <f t="shared" si="8"/>
        <v>40000</v>
      </c>
      <c r="K42" s="185">
        <f t="shared" si="9"/>
        <v>30000</v>
      </c>
      <c r="L42" s="185">
        <f t="shared" si="10"/>
        <v>10000</v>
      </c>
      <c r="M42" s="185">
        <f t="shared" si="11"/>
        <v>30000</v>
      </c>
      <c r="N42" s="185">
        <f t="shared" si="12"/>
        <v>0</v>
      </c>
      <c r="O42" s="185">
        <f t="shared" si="6"/>
        <v>370000</v>
      </c>
      <c r="P42" s="186" t="str">
        <f ca="1">IF(D42=0,'Виды прицепов'!$M$4,IF(D42=30,'Виды прицепов'!$M$5,'Виды прицепов'!$M$6))</f>
        <v>3150*1700*1070</v>
      </c>
      <c r="Q42" s="186" t="str">
        <f ca="1">IF(D42=0,'Виды прицепов'!$N$4,IF(D42=30,'Виды прицепов'!$N$5,'Виды прицепов'!$N$6))</f>
        <v>2000*1250*500</v>
      </c>
      <c r="R42" s="187"/>
      <c r="S42" s="187"/>
      <c r="T42" s="187"/>
      <c r="U42" s="187"/>
      <c r="V42" s="187"/>
      <c r="W42" s="187"/>
      <c r="X42" s="187"/>
      <c r="Y42" s="187"/>
      <c r="Z42" s="187"/>
    </row>
    <row r="43" spans="1:26" ht="72" outlineLevel="2">
      <c r="A43" s="180" t="s">
        <v>5476</v>
      </c>
      <c r="B43" s="181" t="s">
        <v>5477</v>
      </c>
      <c r="C43" s="182" t="s">
        <v>114</v>
      </c>
      <c r="D43" s="184">
        <v>50</v>
      </c>
      <c r="E43" s="184">
        <v>13</v>
      </c>
      <c r="F43" s="184" t="s">
        <v>5371</v>
      </c>
      <c r="G43" s="184">
        <v>90</v>
      </c>
      <c r="H43" s="184">
        <v>13</v>
      </c>
      <c r="I43" s="185">
        <f t="shared" si="7"/>
        <v>260000</v>
      </c>
      <c r="J43" s="185">
        <f t="shared" si="8"/>
        <v>40000</v>
      </c>
      <c r="K43" s="185">
        <f t="shared" si="9"/>
        <v>30000</v>
      </c>
      <c r="L43" s="185">
        <f t="shared" si="10"/>
        <v>10000</v>
      </c>
      <c r="M43" s="185">
        <f t="shared" si="11"/>
        <v>80000</v>
      </c>
      <c r="N43" s="185">
        <f t="shared" si="12"/>
        <v>0</v>
      </c>
      <c r="O43" s="185">
        <f t="shared" si="6"/>
        <v>420000</v>
      </c>
      <c r="P43" s="186" t="str">
        <f ca="1">IF(D43=0,'Виды прицепов'!$M$4,IF(D43=30,'Виды прицепов'!$M$5,'Виды прицепов'!$M$6))</f>
        <v>3150*1700*1070</v>
      </c>
      <c r="Q43" s="186" t="str">
        <f ca="1">IF(D43=0,'Виды прицепов'!$N$4,IF(D43=30,'Виды прицепов'!$N$5,'Виды прицепов'!$N$6))</f>
        <v>2000*1250*500</v>
      </c>
      <c r="R43" s="187"/>
      <c r="S43" s="187"/>
      <c r="T43" s="187"/>
      <c r="U43" s="187"/>
      <c r="V43" s="187"/>
      <c r="W43" s="187"/>
      <c r="X43" s="187"/>
      <c r="Y43" s="187"/>
      <c r="Z43" s="187"/>
    </row>
    <row r="44" spans="1:26" ht="57.6" outlineLevel="2">
      <c r="A44" s="180" t="s">
        <v>5478</v>
      </c>
      <c r="B44" s="181" t="s">
        <v>5479</v>
      </c>
      <c r="C44" s="182" t="s">
        <v>114</v>
      </c>
      <c r="D44" s="184">
        <v>30</v>
      </c>
      <c r="E44" s="184">
        <v>0</v>
      </c>
      <c r="F44" s="184">
        <v>0</v>
      </c>
      <c r="G44" s="184">
        <v>0</v>
      </c>
      <c r="H44" s="184">
        <v>15</v>
      </c>
      <c r="I44" s="185">
        <f t="shared" si="7"/>
        <v>260000</v>
      </c>
      <c r="J44" s="185">
        <f t="shared" si="8"/>
        <v>20000</v>
      </c>
      <c r="K44" s="185">
        <f t="shared" si="9"/>
        <v>0</v>
      </c>
      <c r="L44" s="185">
        <f t="shared" si="10"/>
        <v>0</v>
      </c>
      <c r="M44" s="185">
        <f t="shared" si="11"/>
        <v>0</v>
      </c>
      <c r="N44" s="185">
        <f t="shared" si="12"/>
        <v>30000</v>
      </c>
      <c r="O44" s="185">
        <f t="shared" si="6"/>
        <v>310000</v>
      </c>
      <c r="P44" s="186" t="str">
        <f ca="1">IF(D44=0,'Виды прицепов'!$M$4,IF(D44=30,'Виды прицепов'!$M$5,'Виды прицепов'!$M$6))</f>
        <v>3150*1700*900</v>
      </c>
      <c r="Q44" s="186" t="str">
        <f ca="1">IF(D44=0,'Виды прицепов'!$N$4,IF(D44=30,'Виды прицепов'!$N$5,'Виды прицепов'!$N$6))</f>
        <v>2000*1250*300</v>
      </c>
      <c r="R44" s="187"/>
      <c r="S44" s="187"/>
      <c r="T44" s="187"/>
      <c r="U44" s="187"/>
      <c r="V44" s="187"/>
      <c r="W44" s="187"/>
      <c r="X44" s="187"/>
      <c r="Y44" s="187"/>
      <c r="Z44" s="187"/>
    </row>
    <row r="45" spans="1:26" ht="72" outlineLevel="2">
      <c r="A45" s="180" t="s">
        <v>5480</v>
      </c>
      <c r="B45" s="181" t="s">
        <v>5481</v>
      </c>
      <c r="C45" s="182" t="s">
        <v>114</v>
      </c>
      <c r="D45" s="184">
        <v>30</v>
      </c>
      <c r="E45" s="184">
        <v>0</v>
      </c>
      <c r="F45" s="184">
        <v>0</v>
      </c>
      <c r="G45" s="184">
        <v>60</v>
      </c>
      <c r="H45" s="184">
        <v>15</v>
      </c>
      <c r="I45" s="185">
        <f t="shared" si="7"/>
        <v>260000</v>
      </c>
      <c r="J45" s="185">
        <f t="shared" si="8"/>
        <v>20000</v>
      </c>
      <c r="K45" s="185">
        <f t="shared" si="9"/>
        <v>0</v>
      </c>
      <c r="L45" s="185">
        <f t="shared" si="10"/>
        <v>0</v>
      </c>
      <c r="M45" s="185">
        <f t="shared" si="11"/>
        <v>60000</v>
      </c>
      <c r="N45" s="185">
        <f t="shared" si="12"/>
        <v>30000</v>
      </c>
      <c r="O45" s="185">
        <f t="shared" si="6"/>
        <v>370000</v>
      </c>
      <c r="P45" s="186" t="str">
        <f ca="1">IF(D45=0,'Виды прицепов'!$M$4,IF(D45=30,'Виды прицепов'!$M$5,'Виды прицепов'!$M$6))</f>
        <v>3150*1700*900</v>
      </c>
      <c r="Q45" s="186" t="str">
        <f ca="1">IF(D45=0,'Виды прицепов'!$N$4,IF(D45=30,'Виды прицепов'!$N$5,'Виды прицепов'!$N$6))</f>
        <v>2000*1250*300</v>
      </c>
      <c r="R45" s="187"/>
      <c r="S45" s="187"/>
      <c r="T45" s="187"/>
      <c r="U45" s="187"/>
      <c r="V45" s="187"/>
      <c r="W45" s="187"/>
      <c r="X45" s="187"/>
      <c r="Y45" s="187"/>
      <c r="Z45" s="187"/>
    </row>
    <row r="46" spans="1:26" ht="72" outlineLevel="2">
      <c r="A46" s="188" t="s">
        <v>5482</v>
      </c>
      <c r="B46" s="189" t="s">
        <v>5483</v>
      </c>
      <c r="C46" s="182" t="s">
        <v>114</v>
      </c>
      <c r="D46" s="184">
        <v>30</v>
      </c>
      <c r="E46" s="184">
        <v>0</v>
      </c>
      <c r="F46" s="184">
        <v>0</v>
      </c>
      <c r="G46" s="183">
        <v>30</v>
      </c>
      <c r="H46" s="184">
        <v>15</v>
      </c>
      <c r="I46" s="185">
        <f t="shared" si="7"/>
        <v>260000</v>
      </c>
      <c r="J46" s="185">
        <f t="shared" si="8"/>
        <v>20000</v>
      </c>
      <c r="K46" s="185">
        <f t="shared" si="9"/>
        <v>0</v>
      </c>
      <c r="L46" s="185">
        <f t="shared" si="10"/>
        <v>0</v>
      </c>
      <c r="M46" s="185">
        <f t="shared" si="11"/>
        <v>30000</v>
      </c>
      <c r="N46" s="185">
        <f t="shared" si="12"/>
        <v>30000</v>
      </c>
      <c r="O46" s="185">
        <f t="shared" si="6"/>
        <v>340000</v>
      </c>
      <c r="P46" s="186" t="str">
        <f ca="1">IF(D46=0,'Виды прицепов'!$M$4,IF(D46=30,'Виды прицепов'!$M$5,'Виды прицепов'!$M$6))</f>
        <v>3150*1700*900</v>
      </c>
      <c r="Q46" s="186" t="str">
        <f ca="1">IF(D46=0,'Виды прицепов'!$N$4,IF(D46=30,'Виды прицепов'!$N$5,'Виды прицепов'!$N$6))</f>
        <v>2000*1250*300</v>
      </c>
      <c r="R46" s="187"/>
      <c r="S46" s="187"/>
      <c r="T46" s="187"/>
      <c r="U46" s="187"/>
      <c r="V46" s="187"/>
      <c r="W46" s="187"/>
      <c r="X46" s="187"/>
      <c r="Y46" s="187"/>
      <c r="Z46" s="187"/>
    </row>
    <row r="47" spans="1:26" ht="72" outlineLevel="2">
      <c r="A47" s="180" t="s">
        <v>5484</v>
      </c>
      <c r="B47" s="181" t="s">
        <v>5485</v>
      </c>
      <c r="C47" s="182" t="s">
        <v>114</v>
      </c>
      <c r="D47" s="184">
        <v>30</v>
      </c>
      <c r="E47" s="184">
        <v>0</v>
      </c>
      <c r="F47" s="184">
        <v>0</v>
      </c>
      <c r="G47" s="184">
        <v>90</v>
      </c>
      <c r="H47" s="184">
        <v>15</v>
      </c>
      <c r="I47" s="185">
        <f t="shared" si="7"/>
        <v>260000</v>
      </c>
      <c r="J47" s="185">
        <f t="shared" si="8"/>
        <v>20000</v>
      </c>
      <c r="K47" s="185">
        <f t="shared" si="9"/>
        <v>0</v>
      </c>
      <c r="L47" s="185">
        <f t="shared" si="10"/>
        <v>0</v>
      </c>
      <c r="M47" s="185">
        <f t="shared" si="11"/>
        <v>80000</v>
      </c>
      <c r="N47" s="185">
        <f t="shared" si="12"/>
        <v>30000</v>
      </c>
      <c r="O47" s="185">
        <f t="shared" si="6"/>
        <v>390000</v>
      </c>
      <c r="P47" s="186" t="str">
        <f ca="1">IF(D47=0,'Виды прицепов'!$M$4,IF(D47=30,'Виды прицепов'!$M$5,'Виды прицепов'!$M$6))</f>
        <v>3150*1700*900</v>
      </c>
      <c r="Q47" s="186" t="str">
        <f ca="1">IF(D47=0,'Виды прицепов'!$N$4,IF(D47=30,'Виды прицепов'!$N$5,'Виды прицепов'!$N$6))</f>
        <v>2000*1250*300</v>
      </c>
      <c r="R47" s="187"/>
      <c r="S47" s="187"/>
      <c r="T47" s="187"/>
      <c r="U47" s="187"/>
      <c r="V47" s="187"/>
      <c r="W47" s="187"/>
      <c r="X47" s="187"/>
      <c r="Y47" s="187"/>
      <c r="Z47" s="187"/>
    </row>
    <row r="48" spans="1:26" ht="72" outlineLevel="2">
      <c r="A48" s="180" t="s">
        <v>5486</v>
      </c>
      <c r="B48" s="181" t="s">
        <v>5487</v>
      </c>
      <c r="C48" s="182" t="s">
        <v>114</v>
      </c>
      <c r="D48" s="184">
        <v>30</v>
      </c>
      <c r="E48" s="184">
        <v>15</v>
      </c>
      <c r="F48" s="184">
        <v>0</v>
      </c>
      <c r="G48" s="184">
        <v>0</v>
      </c>
      <c r="H48" s="184">
        <v>15</v>
      </c>
      <c r="I48" s="185">
        <f t="shared" si="7"/>
        <v>260000</v>
      </c>
      <c r="J48" s="185">
        <f t="shared" si="8"/>
        <v>20000</v>
      </c>
      <c r="K48" s="185">
        <f t="shared" si="9"/>
        <v>50000</v>
      </c>
      <c r="L48" s="185">
        <f t="shared" si="10"/>
        <v>0</v>
      </c>
      <c r="M48" s="185">
        <f t="shared" si="11"/>
        <v>0</v>
      </c>
      <c r="N48" s="185">
        <f t="shared" si="12"/>
        <v>30000</v>
      </c>
      <c r="O48" s="185">
        <f t="shared" si="6"/>
        <v>360000</v>
      </c>
      <c r="P48" s="186" t="str">
        <f ca="1">IF(D48=0,'Виды прицепов'!$M$4,IF(D48=30,'Виды прицепов'!$M$5,'Виды прицепов'!$M$6))</f>
        <v>3150*1700*900</v>
      </c>
      <c r="Q48" s="186" t="str">
        <f ca="1">IF(D48=0,'Виды прицепов'!$N$4,IF(D48=30,'Виды прицепов'!$N$5,'Виды прицепов'!$N$6))</f>
        <v>2000*1250*300</v>
      </c>
      <c r="R48" s="187"/>
      <c r="S48" s="187"/>
      <c r="T48" s="187"/>
      <c r="U48" s="187"/>
      <c r="V48" s="187"/>
      <c r="W48" s="187"/>
      <c r="X48" s="187"/>
      <c r="Y48" s="187"/>
      <c r="Z48" s="187"/>
    </row>
    <row r="49" spans="1:26" ht="72" outlineLevel="2">
      <c r="A49" s="180" t="s">
        <v>5488</v>
      </c>
      <c r="B49" s="181" t="s">
        <v>5489</v>
      </c>
      <c r="C49" s="182" t="s">
        <v>114</v>
      </c>
      <c r="D49" s="184">
        <v>30</v>
      </c>
      <c r="E49" s="184">
        <v>15</v>
      </c>
      <c r="F49" s="184">
        <v>0</v>
      </c>
      <c r="G49" s="184">
        <v>60</v>
      </c>
      <c r="H49" s="184">
        <v>15</v>
      </c>
      <c r="I49" s="185">
        <f t="shared" si="7"/>
        <v>260000</v>
      </c>
      <c r="J49" s="185">
        <f t="shared" si="8"/>
        <v>20000</v>
      </c>
      <c r="K49" s="185">
        <f t="shared" si="9"/>
        <v>50000</v>
      </c>
      <c r="L49" s="185">
        <f t="shared" si="10"/>
        <v>0</v>
      </c>
      <c r="M49" s="185">
        <f t="shared" si="11"/>
        <v>60000</v>
      </c>
      <c r="N49" s="185">
        <f t="shared" si="12"/>
        <v>30000</v>
      </c>
      <c r="O49" s="185">
        <f t="shared" si="6"/>
        <v>420000</v>
      </c>
      <c r="P49" s="186" t="str">
        <f ca="1">IF(D49=0,'Виды прицепов'!$M$4,IF(D49=30,'Виды прицепов'!$M$5,'Виды прицепов'!$M$6))</f>
        <v>3150*1700*900</v>
      </c>
      <c r="Q49" s="186" t="str">
        <f ca="1">IF(D49=0,'Виды прицепов'!$N$4,IF(D49=30,'Виды прицепов'!$N$5,'Виды прицепов'!$N$6))</f>
        <v>2000*1250*300</v>
      </c>
      <c r="R49" s="187"/>
      <c r="S49" s="187"/>
      <c r="T49" s="187"/>
      <c r="U49" s="187"/>
      <c r="V49" s="187"/>
      <c r="W49" s="187"/>
      <c r="X49" s="187"/>
      <c r="Y49" s="187"/>
      <c r="Z49" s="187"/>
    </row>
    <row r="50" spans="1:26" ht="72" outlineLevel="2">
      <c r="A50" s="188" t="s">
        <v>5490</v>
      </c>
      <c r="B50" s="189" t="s">
        <v>5491</v>
      </c>
      <c r="C50" s="182" t="s">
        <v>114</v>
      </c>
      <c r="D50" s="184">
        <v>30</v>
      </c>
      <c r="E50" s="184">
        <v>15</v>
      </c>
      <c r="F50" s="184">
        <v>0</v>
      </c>
      <c r="G50" s="183">
        <v>30</v>
      </c>
      <c r="H50" s="184">
        <v>15</v>
      </c>
      <c r="I50" s="185">
        <f t="shared" si="7"/>
        <v>260000</v>
      </c>
      <c r="J50" s="185">
        <f t="shared" si="8"/>
        <v>20000</v>
      </c>
      <c r="K50" s="185">
        <f t="shared" si="9"/>
        <v>50000</v>
      </c>
      <c r="L50" s="185">
        <f t="shared" si="10"/>
        <v>0</v>
      </c>
      <c r="M50" s="185">
        <f t="shared" si="11"/>
        <v>30000</v>
      </c>
      <c r="N50" s="185">
        <f t="shared" si="12"/>
        <v>30000</v>
      </c>
      <c r="O50" s="185">
        <f t="shared" si="6"/>
        <v>390000</v>
      </c>
      <c r="P50" s="186" t="str">
        <f ca="1">IF(D50=0,'Виды прицепов'!$M$4,IF(D50=30,'Виды прицепов'!$M$5,'Виды прицепов'!$M$6))</f>
        <v>3150*1700*900</v>
      </c>
      <c r="Q50" s="186" t="str">
        <f ca="1">IF(D50=0,'Виды прицепов'!$N$4,IF(D50=30,'Виды прицепов'!$N$5,'Виды прицепов'!$N$6))</f>
        <v>2000*1250*300</v>
      </c>
      <c r="R50" s="187"/>
      <c r="S50" s="187"/>
      <c r="T50" s="187"/>
      <c r="U50" s="187"/>
      <c r="V50" s="187"/>
      <c r="W50" s="187"/>
      <c r="X50" s="187"/>
      <c r="Y50" s="187"/>
      <c r="Z50" s="187"/>
    </row>
    <row r="51" spans="1:26" ht="72" outlineLevel="2">
      <c r="A51" s="180" t="s">
        <v>5492</v>
      </c>
      <c r="B51" s="181" t="s">
        <v>5493</v>
      </c>
      <c r="C51" s="182" t="s">
        <v>114</v>
      </c>
      <c r="D51" s="184">
        <v>30</v>
      </c>
      <c r="E51" s="184">
        <v>15</v>
      </c>
      <c r="F51" s="184">
        <v>0</v>
      </c>
      <c r="G51" s="184">
        <v>90</v>
      </c>
      <c r="H51" s="184">
        <v>15</v>
      </c>
      <c r="I51" s="185">
        <f t="shared" si="7"/>
        <v>260000</v>
      </c>
      <c r="J51" s="185">
        <f t="shared" si="8"/>
        <v>20000</v>
      </c>
      <c r="K51" s="185">
        <f t="shared" si="9"/>
        <v>50000</v>
      </c>
      <c r="L51" s="185">
        <f t="shared" si="10"/>
        <v>0</v>
      </c>
      <c r="M51" s="185">
        <f t="shared" si="11"/>
        <v>80000</v>
      </c>
      <c r="N51" s="185">
        <f t="shared" si="12"/>
        <v>30000</v>
      </c>
      <c r="O51" s="185">
        <f t="shared" si="6"/>
        <v>440000</v>
      </c>
      <c r="P51" s="186" t="str">
        <f ca="1">IF(D51=0,'Виды прицепов'!$M$4,IF(D51=30,'Виды прицепов'!$M$5,'Виды прицепов'!$M$6))</f>
        <v>3150*1700*900</v>
      </c>
      <c r="Q51" s="186" t="str">
        <f ca="1">IF(D51=0,'Виды прицепов'!$N$4,IF(D51=30,'Виды прицепов'!$N$5,'Виды прицепов'!$N$6))</f>
        <v>2000*1250*300</v>
      </c>
      <c r="R51" s="187"/>
      <c r="S51" s="187"/>
      <c r="T51" s="187"/>
      <c r="U51" s="187"/>
      <c r="V51" s="187"/>
      <c r="W51" s="187"/>
      <c r="X51" s="187"/>
      <c r="Y51" s="187"/>
      <c r="Z51" s="187"/>
    </row>
    <row r="52" spans="1:26" ht="57.6" outlineLevel="2">
      <c r="A52" s="180" t="s">
        <v>5494</v>
      </c>
      <c r="B52" s="181" t="s">
        <v>5495</v>
      </c>
      <c r="C52" s="182" t="s">
        <v>114</v>
      </c>
      <c r="D52" s="184">
        <v>30</v>
      </c>
      <c r="E52" s="184">
        <v>0</v>
      </c>
      <c r="F52" s="184" t="s">
        <v>5371</v>
      </c>
      <c r="G52" s="184">
        <v>0</v>
      </c>
      <c r="H52" s="184">
        <v>15</v>
      </c>
      <c r="I52" s="185">
        <f t="shared" si="7"/>
        <v>260000</v>
      </c>
      <c r="J52" s="185">
        <f t="shared" si="8"/>
        <v>20000</v>
      </c>
      <c r="K52" s="185">
        <f t="shared" si="9"/>
        <v>0</v>
      </c>
      <c r="L52" s="185">
        <f t="shared" si="10"/>
        <v>10000</v>
      </c>
      <c r="M52" s="185">
        <f t="shared" si="11"/>
        <v>0</v>
      </c>
      <c r="N52" s="185">
        <f t="shared" si="12"/>
        <v>30000</v>
      </c>
      <c r="O52" s="185">
        <f t="shared" si="6"/>
        <v>320000</v>
      </c>
      <c r="P52" s="186" t="str">
        <f ca="1">IF(D52=0,'Виды прицепов'!$M$4,IF(D52=30,'Виды прицепов'!$M$5,'Виды прицепов'!$M$6))</f>
        <v>3150*1700*900</v>
      </c>
      <c r="Q52" s="186" t="str">
        <f ca="1">IF(D52=0,'Виды прицепов'!$N$4,IF(D52=30,'Виды прицепов'!$N$5,'Виды прицепов'!$N$6))</f>
        <v>2000*1250*300</v>
      </c>
      <c r="R52" s="187"/>
      <c r="S52" s="187"/>
      <c r="T52" s="187"/>
      <c r="U52" s="187"/>
      <c r="V52" s="187"/>
      <c r="W52" s="187"/>
      <c r="X52" s="187"/>
      <c r="Y52" s="187"/>
      <c r="Z52" s="187"/>
    </row>
    <row r="53" spans="1:26" ht="72" outlineLevel="2">
      <c r="A53" s="180" t="s">
        <v>5496</v>
      </c>
      <c r="B53" s="181" t="s">
        <v>5497</v>
      </c>
      <c r="C53" s="182" t="s">
        <v>114</v>
      </c>
      <c r="D53" s="184">
        <v>30</v>
      </c>
      <c r="E53" s="184">
        <v>0</v>
      </c>
      <c r="F53" s="184" t="s">
        <v>5371</v>
      </c>
      <c r="G53" s="184">
        <v>60</v>
      </c>
      <c r="H53" s="184">
        <v>15</v>
      </c>
      <c r="I53" s="185">
        <f t="shared" si="7"/>
        <v>260000</v>
      </c>
      <c r="J53" s="185">
        <f t="shared" si="8"/>
        <v>20000</v>
      </c>
      <c r="K53" s="185">
        <f t="shared" si="9"/>
        <v>0</v>
      </c>
      <c r="L53" s="185">
        <f t="shared" si="10"/>
        <v>10000</v>
      </c>
      <c r="M53" s="185">
        <f t="shared" si="11"/>
        <v>60000</v>
      </c>
      <c r="N53" s="185">
        <f t="shared" si="12"/>
        <v>30000</v>
      </c>
      <c r="O53" s="185">
        <f t="shared" si="6"/>
        <v>380000</v>
      </c>
      <c r="P53" s="186" t="str">
        <f ca="1">IF(D53=0,'Виды прицепов'!$M$4,IF(D53=30,'Виды прицепов'!$M$5,'Виды прицепов'!$M$6))</f>
        <v>3150*1700*900</v>
      </c>
      <c r="Q53" s="186" t="str">
        <f ca="1">IF(D53=0,'Виды прицепов'!$N$4,IF(D53=30,'Виды прицепов'!$N$5,'Виды прицепов'!$N$6))</f>
        <v>2000*1250*300</v>
      </c>
      <c r="R53" s="187"/>
      <c r="S53" s="187"/>
      <c r="T53" s="187"/>
      <c r="U53" s="187"/>
      <c r="V53" s="187"/>
      <c r="W53" s="187"/>
      <c r="X53" s="187"/>
      <c r="Y53" s="187"/>
      <c r="Z53" s="187"/>
    </row>
    <row r="54" spans="1:26" ht="72" outlineLevel="2">
      <c r="A54" s="188" t="s">
        <v>5498</v>
      </c>
      <c r="B54" s="189" t="s">
        <v>5499</v>
      </c>
      <c r="C54" s="182" t="s">
        <v>114</v>
      </c>
      <c r="D54" s="184">
        <v>30</v>
      </c>
      <c r="E54" s="184">
        <v>0</v>
      </c>
      <c r="F54" s="184" t="s">
        <v>5371</v>
      </c>
      <c r="G54" s="183">
        <v>30</v>
      </c>
      <c r="H54" s="184">
        <v>15</v>
      </c>
      <c r="I54" s="185">
        <f t="shared" si="7"/>
        <v>260000</v>
      </c>
      <c r="J54" s="185">
        <f t="shared" si="8"/>
        <v>20000</v>
      </c>
      <c r="K54" s="185">
        <f t="shared" si="9"/>
        <v>0</v>
      </c>
      <c r="L54" s="185">
        <f t="shared" si="10"/>
        <v>10000</v>
      </c>
      <c r="M54" s="185">
        <f t="shared" si="11"/>
        <v>30000</v>
      </c>
      <c r="N54" s="185">
        <f t="shared" si="12"/>
        <v>30000</v>
      </c>
      <c r="O54" s="185">
        <f t="shared" si="6"/>
        <v>350000</v>
      </c>
      <c r="P54" s="186" t="str">
        <f ca="1">IF(D54=0,'Виды прицепов'!$M$4,IF(D54=30,'Виды прицепов'!$M$5,'Виды прицепов'!$M$6))</f>
        <v>3150*1700*900</v>
      </c>
      <c r="Q54" s="186" t="str">
        <f ca="1">IF(D54=0,'Виды прицепов'!$N$4,IF(D54=30,'Виды прицепов'!$N$5,'Виды прицепов'!$N$6))</f>
        <v>2000*1250*300</v>
      </c>
      <c r="R54" s="187"/>
      <c r="S54" s="187"/>
      <c r="T54" s="187"/>
      <c r="U54" s="187"/>
      <c r="V54" s="187"/>
      <c r="W54" s="187"/>
      <c r="X54" s="187"/>
      <c r="Y54" s="187"/>
      <c r="Z54" s="187"/>
    </row>
    <row r="55" spans="1:26" ht="72" outlineLevel="2">
      <c r="A55" s="180" t="s">
        <v>5500</v>
      </c>
      <c r="B55" s="181" t="s">
        <v>5501</v>
      </c>
      <c r="C55" s="182" t="s">
        <v>114</v>
      </c>
      <c r="D55" s="184">
        <v>30</v>
      </c>
      <c r="E55" s="184">
        <v>0</v>
      </c>
      <c r="F55" s="184" t="s">
        <v>5371</v>
      </c>
      <c r="G55" s="184">
        <v>90</v>
      </c>
      <c r="H55" s="184">
        <v>15</v>
      </c>
      <c r="I55" s="185">
        <f t="shared" si="7"/>
        <v>260000</v>
      </c>
      <c r="J55" s="185">
        <f t="shared" si="8"/>
        <v>20000</v>
      </c>
      <c r="K55" s="185">
        <f t="shared" si="9"/>
        <v>0</v>
      </c>
      <c r="L55" s="185">
        <f t="shared" si="10"/>
        <v>10000</v>
      </c>
      <c r="M55" s="185">
        <f t="shared" si="11"/>
        <v>80000</v>
      </c>
      <c r="N55" s="185">
        <f t="shared" si="12"/>
        <v>30000</v>
      </c>
      <c r="O55" s="185">
        <f t="shared" si="6"/>
        <v>400000</v>
      </c>
      <c r="P55" s="186" t="str">
        <f ca="1">IF(D55=0,'Виды прицепов'!$M$4,IF(D55=30,'Виды прицепов'!$M$5,'Виды прицепов'!$M$6))</f>
        <v>3150*1700*900</v>
      </c>
      <c r="Q55" s="186" t="str">
        <f ca="1">IF(D55=0,'Виды прицепов'!$N$4,IF(D55=30,'Виды прицепов'!$N$5,'Виды прицепов'!$N$6))</f>
        <v>2000*1250*300</v>
      </c>
      <c r="R55" s="187"/>
      <c r="S55" s="187"/>
      <c r="T55" s="187"/>
      <c r="U55" s="187"/>
      <c r="V55" s="187"/>
      <c r="W55" s="187"/>
      <c r="X55" s="187"/>
      <c r="Y55" s="187"/>
      <c r="Z55" s="187"/>
    </row>
    <row r="56" spans="1:26" ht="72" outlineLevel="2">
      <c r="A56" s="180" t="s">
        <v>5502</v>
      </c>
      <c r="B56" s="181" t="s">
        <v>5503</v>
      </c>
      <c r="C56" s="182" t="s">
        <v>114</v>
      </c>
      <c r="D56" s="184">
        <v>30</v>
      </c>
      <c r="E56" s="184">
        <v>15</v>
      </c>
      <c r="F56" s="184" t="s">
        <v>5371</v>
      </c>
      <c r="G56" s="184">
        <v>0</v>
      </c>
      <c r="H56" s="184">
        <v>15</v>
      </c>
      <c r="I56" s="185">
        <f t="shared" si="7"/>
        <v>260000</v>
      </c>
      <c r="J56" s="185">
        <f t="shared" si="8"/>
        <v>20000</v>
      </c>
      <c r="K56" s="185">
        <f t="shared" si="9"/>
        <v>50000</v>
      </c>
      <c r="L56" s="185">
        <f t="shared" si="10"/>
        <v>10000</v>
      </c>
      <c r="M56" s="185">
        <f t="shared" si="11"/>
        <v>0</v>
      </c>
      <c r="N56" s="185">
        <f t="shared" si="12"/>
        <v>30000</v>
      </c>
      <c r="O56" s="185">
        <f t="shared" si="6"/>
        <v>370000</v>
      </c>
      <c r="P56" s="186" t="str">
        <f ca="1">IF(D56=0,'Виды прицепов'!$M$4,IF(D56=30,'Виды прицепов'!$M$5,'Виды прицепов'!$M$6))</f>
        <v>3150*1700*900</v>
      </c>
      <c r="Q56" s="186" t="str">
        <f ca="1">IF(D56=0,'Виды прицепов'!$N$4,IF(D56=30,'Виды прицепов'!$N$5,'Виды прицепов'!$N$6))</f>
        <v>2000*1250*300</v>
      </c>
      <c r="R56" s="187"/>
      <c r="S56" s="187"/>
      <c r="T56" s="187"/>
      <c r="U56" s="187"/>
      <c r="V56" s="187"/>
      <c r="W56" s="187"/>
      <c r="X56" s="187"/>
      <c r="Y56" s="187"/>
      <c r="Z56" s="187"/>
    </row>
    <row r="57" spans="1:26" ht="72" outlineLevel="2">
      <c r="A57" s="180" t="s">
        <v>5504</v>
      </c>
      <c r="B57" s="181" t="s">
        <v>5505</v>
      </c>
      <c r="C57" s="182" t="s">
        <v>114</v>
      </c>
      <c r="D57" s="184">
        <v>30</v>
      </c>
      <c r="E57" s="184">
        <v>15</v>
      </c>
      <c r="F57" s="184" t="s">
        <v>5371</v>
      </c>
      <c r="G57" s="293">
        <v>60</v>
      </c>
      <c r="H57" s="184">
        <v>15</v>
      </c>
      <c r="I57" s="185">
        <f t="shared" si="7"/>
        <v>260000</v>
      </c>
      <c r="J57" s="185">
        <f t="shared" si="8"/>
        <v>20000</v>
      </c>
      <c r="K57" s="185">
        <f t="shared" si="9"/>
        <v>50000</v>
      </c>
      <c r="L57" s="185">
        <f>VLOOKUP(F57,опорное_колесо,2,0)</f>
        <v>10000</v>
      </c>
      <c r="M57" s="185">
        <f t="shared" si="11"/>
        <v>60000</v>
      </c>
      <c r="N57" s="185">
        <f t="shared" si="12"/>
        <v>30000</v>
      </c>
      <c r="O57" s="185">
        <f t="shared" si="6"/>
        <v>430000</v>
      </c>
      <c r="P57" s="186" t="str">
        <f ca="1">IF(D57=0,'Виды прицепов'!$M$4,IF(D57=30,'Виды прицепов'!$M$5,'Виды прицепов'!$M$6))</f>
        <v>3150*1700*900</v>
      </c>
      <c r="Q57" s="186" t="str">
        <f ca="1">IF(D57=0,'Виды прицепов'!$N$4,IF(D57=30,'Виды прицепов'!$N$5,'Виды прицепов'!$N$6))</f>
        <v>2000*1250*300</v>
      </c>
      <c r="R57" s="187"/>
      <c r="S57" s="187"/>
      <c r="T57" s="187"/>
      <c r="U57" s="187"/>
      <c r="V57" s="187"/>
      <c r="W57" s="187"/>
      <c r="X57" s="187"/>
      <c r="Y57" s="187"/>
      <c r="Z57" s="187"/>
    </row>
    <row r="58" spans="1:26" ht="72" outlineLevel="2">
      <c r="A58" s="188" t="s">
        <v>5506</v>
      </c>
      <c r="B58" s="189" t="s">
        <v>5507</v>
      </c>
      <c r="C58" s="182" t="s">
        <v>114</v>
      </c>
      <c r="D58" s="184">
        <v>30</v>
      </c>
      <c r="E58" s="184">
        <v>15</v>
      </c>
      <c r="F58" s="184" t="s">
        <v>5371</v>
      </c>
      <c r="G58" s="183">
        <v>30</v>
      </c>
      <c r="H58" s="184">
        <v>15</v>
      </c>
      <c r="I58" s="185">
        <f t="shared" si="7"/>
        <v>260000</v>
      </c>
      <c r="J58" s="185">
        <f t="shared" si="8"/>
        <v>20000</v>
      </c>
      <c r="K58" s="185">
        <f t="shared" si="9"/>
        <v>50000</v>
      </c>
      <c r="L58" s="185">
        <f t="shared" si="10"/>
        <v>10000</v>
      </c>
      <c r="M58" s="185">
        <f t="shared" si="11"/>
        <v>30000</v>
      </c>
      <c r="N58" s="185">
        <f t="shared" si="12"/>
        <v>30000</v>
      </c>
      <c r="O58" s="185">
        <f t="shared" si="6"/>
        <v>400000</v>
      </c>
      <c r="P58" s="186" t="str">
        <f ca="1">IF(D58=0,'Виды прицепов'!$M$4,IF(D58=30,'Виды прицепов'!$M$5,'Виды прицепов'!$M$6))</f>
        <v>3150*1700*900</v>
      </c>
      <c r="Q58" s="186" t="str">
        <f ca="1">IF(D58=0,'Виды прицепов'!$N$4,IF(D58=30,'Виды прицепов'!$N$5,'Виды прицепов'!$N$6))</f>
        <v>2000*1250*300</v>
      </c>
      <c r="R58" s="187"/>
      <c r="S58" s="187"/>
      <c r="T58" s="187"/>
      <c r="U58" s="187"/>
      <c r="V58" s="187"/>
      <c r="W58" s="187"/>
      <c r="X58" s="187"/>
      <c r="Y58" s="187"/>
      <c r="Z58" s="187"/>
    </row>
    <row r="59" spans="1:26" ht="72" outlineLevel="2">
      <c r="A59" s="180" t="s">
        <v>5508</v>
      </c>
      <c r="B59" s="181" t="s">
        <v>5509</v>
      </c>
      <c r="C59" s="182" t="s">
        <v>114</v>
      </c>
      <c r="D59" s="184">
        <v>30</v>
      </c>
      <c r="E59" s="184">
        <v>15</v>
      </c>
      <c r="F59" s="184" t="s">
        <v>5371</v>
      </c>
      <c r="G59" s="184">
        <v>90</v>
      </c>
      <c r="H59" s="184">
        <v>15</v>
      </c>
      <c r="I59" s="185">
        <f t="shared" si="7"/>
        <v>260000</v>
      </c>
      <c r="J59" s="185">
        <f t="shared" si="8"/>
        <v>20000</v>
      </c>
      <c r="K59" s="185">
        <f t="shared" si="9"/>
        <v>50000</v>
      </c>
      <c r="L59" s="185">
        <f t="shared" si="10"/>
        <v>10000</v>
      </c>
      <c r="M59" s="185">
        <f t="shared" si="11"/>
        <v>80000</v>
      </c>
      <c r="N59" s="185">
        <f t="shared" si="12"/>
        <v>30000</v>
      </c>
      <c r="O59" s="185">
        <f t="shared" si="6"/>
        <v>450000</v>
      </c>
      <c r="P59" s="186" t="str">
        <f ca="1">IF(D59=0,'Виды прицепов'!$M$4,IF(D59=30,'Виды прицепов'!$M$5,'Виды прицепов'!$M$6))</f>
        <v>3150*1700*900</v>
      </c>
      <c r="Q59" s="186" t="str">
        <f ca="1">IF(D59=0,'Виды прицепов'!$N$4,IF(D59=30,'Виды прицепов'!$N$5,'Виды прицепов'!$N$6))</f>
        <v>2000*1250*300</v>
      </c>
      <c r="R59" s="187"/>
      <c r="S59" s="187"/>
      <c r="T59" s="187"/>
      <c r="U59" s="187"/>
      <c r="V59" s="187"/>
      <c r="W59" s="187"/>
      <c r="X59" s="187"/>
      <c r="Y59" s="187"/>
      <c r="Z59" s="187"/>
    </row>
    <row r="60" spans="1:26" ht="57.6" outlineLevel="2">
      <c r="A60" s="180" t="s">
        <v>5510</v>
      </c>
      <c r="B60" s="181" t="s">
        <v>5511</v>
      </c>
      <c r="C60" s="182" t="s">
        <v>114</v>
      </c>
      <c r="D60" s="184">
        <v>50</v>
      </c>
      <c r="E60" s="184">
        <v>0</v>
      </c>
      <c r="F60" s="184">
        <v>0</v>
      </c>
      <c r="G60" s="184">
        <v>0</v>
      </c>
      <c r="H60" s="184">
        <v>15</v>
      </c>
      <c r="I60" s="185">
        <f t="shared" si="7"/>
        <v>260000</v>
      </c>
      <c r="J60" s="185">
        <f t="shared" si="8"/>
        <v>40000</v>
      </c>
      <c r="K60" s="185">
        <f t="shared" si="9"/>
        <v>0</v>
      </c>
      <c r="L60" s="185">
        <f t="shared" si="10"/>
        <v>0</v>
      </c>
      <c r="M60" s="185">
        <f t="shared" si="11"/>
        <v>0</v>
      </c>
      <c r="N60" s="185">
        <f t="shared" si="12"/>
        <v>30000</v>
      </c>
      <c r="O60" s="185">
        <f t="shared" si="6"/>
        <v>330000</v>
      </c>
      <c r="P60" s="186" t="str">
        <f ca="1">IF(D60=0,'Виды прицепов'!$M$4,IF(D60=30,'Виды прицепов'!$M$5,'Виды прицепов'!$M$6))</f>
        <v>3150*1700*1070</v>
      </c>
      <c r="Q60" s="186" t="str">
        <f ca="1">IF(D60=0,'Виды прицепов'!$N$4,IF(D60=30,'Виды прицепов'!$N$5,'Виды прицепов'!$N$6))</f>
        <v>2000*1250*500</v>
      </c>
      <c r="R60" s="187"/>
      <c r="S60" s="187"/>
      <c r="T60" s="187"/>
      <c r="U60" s="187"/>
      <c r="V60" s="187"/>
      <c r="W60" s="187"/>
      <c r="X60" s="187"/>
      <c r="Y60" s="187"/>
      <c r="Z60" s="187"/>
    </row>
    <row r="61" spans="1:26" ht="72" outlineLevel="2">
      <c r="A61" s="180" t="s">
        <v>5512</v>
      </c>
      <c r="B61" s="181" t="s">
        <v>5513</v>
      </c>
      <c r="C61" s="182" t="s">
        <v>114</v>
      </c>
      <c r="D61" s="184">
        <v>50</v>
      </c>
      <c r="E61" s="184">
        <v>0</v>
      </c>
      <c r="F61" s="184">
        <v>0</v>
      </c>
      <c r="G61" s="184">
        <v>60</v>
      </c>
      <c r="H61" s="184">
        <v>15</v>
      </c>
      <c r="I61" s="185">
        <f t="shared" si="7"/>
        <v>260000</v>
      </c>
      <c r="J61" s="185">
        <f t="shared" si="8"/>
        <v>40000</v>
      </c>
      <c r="K61" s="185">
        <f t="shared" si="9"/>
        <v>0</v>
      </c>
      <c r="L61" s="185">
        <f t="shared" si="10"/>
        <v>0</v>
      </c>
      <c r="M61" s="185">
        <f t="shared" si="11"/>
        <v>60000</v>
      </c>
      <c r="N61" s="185">
        <f t="shared" si="12"/>
        <v>30000</v>
      </c>
      <c r="O61" s="185">
        <f t="shared" si="6"/>
        <v>390000</v>
      </c>
      <c r="P61" s="186" t="str">
        <f ca="1">IF(D61=0,'Виды прицепов'!$M$4,IF(D61=30,'Виды прицепов'!$M$5,'Виды прицепов'!$M$6))</f>
        <v>3150*1700*1070</v>
      </c>
      <c r="Q61" s="186" t="str">
        <f ca="1">IF(D61=0,'Виды прицепов'!$N$4,IF(D61=30,'Виды прицепов'!$N$5,'Виды прицепов'!$N$6))</f>
        <v>2000*1250*500</v>
      </c>
      <c r="R61" s="187"/>
      <c r="S61" s="187"/>
      <c r="T61" s="187"/>
      <c r="U61" s="187"/>
      <c r="V61" s="187"/>
      <c r="W61" s="187"/>
      <c r="X61" s="187"/>
      <c r="Y61" s="187"/>
      <c r="Z61" s="187"/>
    </row>
    <row r="62" spans="1:26" ht="72" outlineLevel="2">
      <c r="A62" s="188" t="s">
        <v>5514</v>
      </c>
      <c r="B62" s="189" t="s">
        <v>5515</v>
      </c>
      <c r="C62" s="182" t="s">
        <v>114</v>
      </c>
      <c r="D62" s="184">
        <v>50</v>
      </c>
      <c r="E62" s="184">
        <v>0</v>
      </c>
      <c r="F62" s="184">
        <v>0</v>
      </c>
      <c r="G62" s="183">
        <v>30</v>
      </c>
      <c r="H62" s="184">
        <v>15</v>
      </c>
      <c r="I62" s="185">
        <f t="shared" si="7"/>
        <v>260000</v>
      </c>
      <c r="J62" s="185">
        <f t="shared" si="8"/>
        <v>40000</v>
      </c>
      <c r="K62" s="185">
        <f t="shared" si="9"/>
        <v>0</v>
      </c>
      <c r="L62" s="185">
        <f t="shared" si="10"/>
        <v>0</v>
      </c>
      <c r="M62" s="185">
        <f t="shared" si="11"/>
        <v>30000</v>
      </c>
      <c r="N62" s="185">
        <f t="shared" si="12"/>
        <v>30000</v>
      </c>
      <c r="O62" s="185">
        <f t="shared" si="6"/>
        <v>360000</v>
      </c>
      <c r="P62" s="186" t="str">
        <f ca="1">IF(D62=0,'Виды прицепов'!$M$4,IF(D62=30,'Виды прицепов'!$M$5,'Виды прицепов'!$M$6))</f>
        <v>3150*1700*1070</v>
      </c>
      <c r="Q62" s="186" t="str">
        <f ca="1">IF(D62=0,'Виды прицепов'!$N$4,IF(D62=30,'Виды прицепов'!$N$5,'Виды прицепов'!$N$6))</f>
        <v>2000*1250*500</v>
      </c>
      <c r="R62" s="187"/>
      <c r="S62" s="187"/>
      <c r="T62" s="187"/>
      <c r="U62" s="187"/>
      <c r="V62" s="187"/>
      <c r="W62" s="187"/>
      <c r="X62" s="187"/>
      <c r="Y62" s="187"/>
      <c r="Z62" s="187"/>
    </row>
    <row r="63" spans="1:26" ht="72" outlineLevel="2">
      <c r="A63" s="180" t="s">
        <v>5516</v>
      </c>
      <c r="B63" s="181" t="s">
        <v>5517</v>
      </c>
      <c r="C63" s="182" t="s">
        <v>114</v>
      </c>
      <c r="D63" s="184">
        <v>50</v>
      </c>
      <c r="E63" s="184">
        <v>0</v>
      </c>
      <c r="F63" s="184">
        <v>0</v>
      </c>
      <c r="G63" s="184">
        <v>90</v>
      </c>
      <c r="H63" s="184">
        <v>15</v>
      </c>
      <c r="I63" s="185">
        <f t="shared" si="7"/>
        <v>260000</v>
      </c>
      <c r="J63" s="185">
        <f t="shared" si="8"/>
        <v>40000</v>
      </c>
      <c r="K63" s="185">
        <f t="shared" si="9"/>
        <v>0</v>
      </c>
      <c r="L63" s="185">
        <f t="shared" si="10"/>
        <v>0</v>
      </c>
      <c r="M63" s="185">
        <f t="shared" si="11"/>
        <v>80000</v>
      </c>
      <c r="N63" s="185">
        <f t="shared" si="12"/>
        <v>30000</v>
      </c>
      <c r="O63" s="185">
        <f t="shared" si="6"/>
        <v>410000</v>
      </c>
      <c r="P63" s="186" t="str">
        <f ca="1">IF(D63=0,'Виды прицепов'!$M$4,IF(D63=30,'Виды прицепов'!$M$5,'Виды прицепов'!$M$6))</f>
        <v>3150*1700*1070</v>
      </c>
      <c r="Q63" s="186" t="str">
        <f ca="1">IF(D63=0,'Виды прицепов'!$N$4,IF(D63=30,'Виды прицепов'!$N$5,'Виды прицепов'!$N$6))</f>
        <v>2000*1250*500</v>
      </c>
      <c r="R63" s="187"/>
      <c r="S63" s="187"/>
      <c r="T63" s="187"/>
      <c r="U63" s="187"/>
      <c r="V63" s="187"/>
      <c r="W63" s="187"/>
      <c r="X63" s="187"/>
      <c r="Y63" s="187"/>
      <c r="Z63" s="187"/>
    </row>
    <row r="64" spans="1:26" ht="72" outlineLevel="2">
      <c r="A64" s="180" t="s">
        <v>5518</v>
      </c>
      <c r="B64" s="181" t="s">
        <v>5519</v>
      </c>
      <c r="C64" s="182" t="s">
        <v>114</v>
      </c>
      <c r="D64" s="184">
        <v>50</v>
      </c>
      <c r="E64" s="184">
        <v>15</v>
      </c>
      <c r="F64" s="184">
        <v>0</v>
      </c>
      <c r="G64" s="184">
        <v>0</v>
      </c>
      <c r="H64" s="184">
        <v>15</v>
      </c>
      <c r="I64" s="185">
        <f t="shared" si="7"/>
        <v>260000</v>
      </c>
      <c r="J64" s="185">
        <f t="shared" si="8"/>
        <v>40000</v>
      </c>
      <c r="K64" s="185">
        <f t="shared" si="9"/>
        <v>50000</v>
      </c>
      <c r="L64" s="185">
        <f t="shared" si="10"/>
        <v>0</v>
      </c>
      <c r="M64" s="185">
        <f t="shared" si="11"/>
        <v>0</v>
      </c>
      <c r="N64" s="185">
        <f t="shared" si="12"/>
        <v>30000</v>
      </c>
      <c r="O64" s="185">
        <f t="shared" si="6"/>
        <v>380000</v>
      </c>
      <c r="P64" s="186" t="str">
        <f ca="1">IF(D64=0,'Виды прицепов'!$M$4,IF(D64=30,'Виды прицепов'!$M$5,'Виды прицепов'!$M$6))</f>
        <v>3150*1700*1070</v>
      </c>
      <c r="Q64" s="186" t="str">
        <f ca="1">IF(D64=0,'Виды прицепов'!$N$4,IF(D64=30,'Виды прицепов'!$N$5,'Виды прицепов'!$N$6))</f>
        <v>2000*1250*500</v>
      </c>
      <c r="R64" s="187"/>
      <c r="S64" s="187"/>
      <c r="T64" s="187"/>
      <c r="U64" s="187"/>
      <c r="V64" s="187"/>
      <c r="W64" s="187"/>
      <c r="X64" s="187"/>
      <c r="Y64" s="187"/>
      <c r="Z64" s="187"/>
    </row>
    <row r="65" spans="1:26" ht="72" outlineLevel="2">
      <c r="A65" s="180" t="s">
        <v>5520</v>
      </c>
      <c r="B65" s="181" t="s">
        <v>5521</v>
      </c>
      <c r="C65" s="182" t="s">
        <v>114</v>
      </c>
      <c r="D65" s="184">
        <v>50</v>
      </c>
      <c r="E65" s="184">
        <v>15</v>
      </c>
      <c r="F65" s="184">
        <v>0</v>
      </c>
      <c r="G65" s="184">
        <v>60</v>
      </c>
      <c r="H65" s="184">
        <v>15</v>
      </c>
      <c r="I65" s="185">
        <f t="shared" si="7"/>
        <v>260000</v>
      </c>
      <c r="J65" s="185">
        <f t="shared" si="8"/>
        <v>40000</v>
      </c>
      <c r="K65" s="185">
        <f t="shared" si="9"/>
        <v>50000</v>
      </c>
      <c r="L65" s="185">
        <f t="shared" si="10"/>
        <v>0</v>
      </c>
      <c r="M65" s="185">
        <f t="shared" si="11"/>
        <v>60000</v>
      </c>
      <c r="N65" s="185">
        <f t="shared" si="12"/>
        <v>30000</v>
      </c>
      <c r="O65" s="185">
        <f t="shared" si="6"/>
        <v>440000</v>
      </c>
      <c r="P65" s="186" t="str">
        <f ca="1">IF(D65=0,'Виды прицепов'!$M$4,IF(D65=30,'Виды прицепов'!$M$5,'Виды прицепов'!$M$6))</f>
        <v>3150*1700*1070</v>
      </c>
      <c r="Q65" s="186" t="str">
        <f ca="1">IF(D65=0,'Виды прицепов'!$N$4,IF(D65=30,'Виды прицепов'!$N$5,'Виды прицепов'!$N$6))</f>
        <v>2000*1250*500</v>
      </c>
      <c r="R65" s="187"/>
      <c r="S65" s="187"/>
      <c r="T65" s="187"/>
      <c r="U65" s="187"/>
      <c r="V65" s="187"/>
      <c r="W65" s="187"/>
      <c r="X65" s="187"/>
      <c r="Y65" s="187"/>
      <c r="Z65" s="187"/>
    </row>
    <row r="66" spans="1:26" ht="72" outlineLevel="2">
      <c r="A66" s="188" t="s">
        <v>5522</v>
      </c>
      <c r="B66" s="189" t="s">
        <v>5523</v>
      </c>
      <c r="C66" s="182" t="s">
        <v>114</v>
      </c>
      <c r="D66" s="184">
        <v>50</v>
      </c>
      <c r="E66" s="184">
        <v>15</v>
      </c>
      <c r="F66" s="184">
        <v>0</v>
      </c>
      <c r="G66" s="183">
        <v>30</v>
      </c>
      <c r="H66" s="184">
        <v>15</v>
      </c>
      <c r="I66" s="185">
        <f t="shared" si="7"/>
        <v>260000</v>
      </c>
      <c r="J66" s="185">
        <f t="shared" si="8"/>
        <v>40000</v>
      </c>
      <c r="K66" s="185">
        <f t="shared" si="9"/>
        <v>50000</v>
      </c>
      <c r="L66" s="185">
        <f t="shared" si="10"/>
        <v>0</v>
      </c>
      <c r="M66" s="185">
        <f t="shared" si="11"/>
        <v>30000</v>
      </c>
      <c r="N66" s="185">
        <f t="shared" si="12"/>
        <v>30000</v>
      </c>
      <c r="O66" s="185">
        <f t="shared" si="6"/>
        <v>410000</v>
      </c>
      <c r="P66" s="186" t="str">
        <f ca="1">IF(D66=0,'Виды прицепов'!$M$4,IF(D66=30,'Виды прицепов'!$M$5,'Виды прицепов'!$M$6))</f>
        <v>3150*1700*1070</v>
      </c>
      <c r="Q66" s="186" t="str">
        <f ca="1">IF(D66=0,'Виды прицепов'!$N$4,IF(D66=30,'Виды прицепов'!$N$5,'Виды прицепов'!$N$6))</f>
        <v>2000*1250*500</v>
      </c>
      <c r="R66" s="187"/>
      <c r="S66" s="187"/>
      <c r="T66" s="187"/>
      <c r="U66" s="187"/>
      <c r="V66" s="187"/>
      <c r="W66" s="187"/>
      <c r="X66" s="187"/>
      <c r="Y66" s="187"/>
      <c r="Z66" s="187"/>
    </row>
    <row r="67" spans="1:26" ht="72" outlineLevel="2">
      <c r="A67" s="180" t="s">
        <v>5524</v>
      </c>
      <c r="B67" s="181" t="s">
        <v>5525</v>
      </c>
      <c r="C67" s="182" t="s">
        <v>114</v>
      </c>
      <c r="D67" s="184">
        <v>50</v>
      </c>
      <c r="E67" s="184">
        <v>15</v>
      </c>
      <c r="F67" s="184">
        <v>0</v>
      </c>
      <c r="G67" s="184">
        <v>90</v>
      </c>
      <c r="H67" s="184">
        <v>15</v>
      </c>
      <c r="I67" s="185">
        <f t="shared" si="7"/>
        <v>260000</v>
      </c>
      <c r="J67" s="185">
        <f t="shared" si="8"/>
        <v>40000</v>
      </c>
      <c r="K67" s="185">
        <f t="shared" si="9"/>
        <v>50000</v>
      </c>
      <c r="L67" s="185">
        <f t="shared" si="10"/>
        <v>0</v>
      </c>
      <c r="M67" s="185">
        <f t="shared" si="11"/>
        <v>80000</v>
      </c>
      <c r="N67" s="185">
        <f t="shared" si="12"/>
        <v>30000</v>
      </c>
      <c r="O67" s="185">
        <f t="shared" si="6"/>
        <v>460000</v>
      </c>
      <c r="P67" s="186" t="str">
        <f ca="1">IF(D67=0,'Виды прицепов'!$M$4,IF(D67=30,'Виды прицепов'!$M$5,'Виды прицепов'!$M$6))</f>
        <v>3150*1700*1070</v>
      </c>
      <c r="Q67" s="186" t="str">
        <f ca="1">IF(D67=0,'Виды прицепов'!$N$4,IF(D67=30,'Виды прицепов'!$N$5,'Виды прицепов'!$N$6))</f>
        <v>2000*1250*500</v>
      </c>
      <c r="R67" s="187"/>
      <c r="S67" s="187"/>
      <c r="T67" s="187"/>
      <c r="U67" s="187"/>
      <c r="V67" s="187"/>
      <c r="W67" s="187"/>
      <c r="X67" s="187"/>
      <c r="Y67" s="187"/>
      <c r="Z67" s="187"/>
    </row>
    <row r="68" spans="1:26" ht="57.6" outlineLevel="2">
      <c r="A68" s="180" t="s">
        <v>5526</v>
      </c>
      <c r="B68" s="181" t="s">
        <v>5527</v>
      </c>
      <c r="C68" s="182" t="s">
        <v>114</v>
      </c>
      <c r="D68" s="184">
        <v>50</v>
      </c>
      <c r="E68" s="184">
        <v>0</v>
      </c>
      <c r="F68" s="184" t="s">
        <v>5371</v>
      </c>
      <c r="G68" s="184">
        <v>0</v>
      </c>
      <c r="H68" s="184">
        <v>15</v>
      </c>
      <c r="I68" s="185">
        <f t="shared" ref="I68:I75" si="13">VLOOKUP(C68,Платформа,2,0)</f>
        <v>260000</v>
      </c>
      <c r="J68" s="185">
        <f t="shared" ref="J68:J75" si="14">VLOOKUP(D68,борт_2013,2)</f>
        <v>40000</v>
      </c>
      <c r="K68" s="185">
        <f t="shared" ref="K68:K75" si="15">VLOOKUP(E68,колесо,2,0)</f>
        <v>0</v>
      </c>
      <c r="L68" s="185">
        <f t="shared" ref="L68:L75" si="16">VLOOKUP(F68,опорное_колесо,2,0)</f>
        <v>10000</v>
      </c>
      <c r="M68" s="185">
        <f t="shared" ref="M68:M75" si="17">VLOOKUP(G68,тент_2013,2,0)</f>
        <v>0</v>
      </c>
      <c r="N68" s="185">
        <f t="shared" ref="N68:N75" si="18">VLOOKUP(H68,ступица,2,0)</f>
        <v>30000</v>
      </c>
      <c r="O68" s="185">
        <f t="shared" si="6"/>
        <v>340000</v>
      </c>
      <c r="P68" s="186" t="str">
        <f ca="1">IF(D68=0,'Виды прицепов'!$M$4,IF(D68=30,'Виды прицепов'!$M$5,'Виды прицепов'!$M$6))</f>
        <v>3150*1700*1070</v>
      </c>
      <c r="Q68" s="186" t="str">
        <f ca="1">IF(D68=0,'Виды прицепов'!$N$4,IF(D68=30,'Виды прицепов'!$N$5,'Виды прицепов'!$N$6))</f>
        <v>2000*1250*500</v>
      </c>
      <c r="R68" s="187"/>
      <c r="S68" s="187"/>
      <c r="T68" s="187"/>
      <c r="U68" s="187"/>
      <c r="V68" s="187"/>
      <c r="W68" s="187"/>
      <c r="X68" s="187"/>
      <c r="Y68" s="187"/>
      <c r="Z68" s="187"/>
    </row>
    <row r="69" spans="1:26" ht="72" outlineLevel="2">
      <c r="A69" s="180" t="s">
        <v>5528</v>
      </c>
      <c r="B69" s="181" t="s">
        <v>5529</v>
      </c>
      <c r="C69" s="182" t="s">
        <v>114</v>
      </c>
      <c r="D69" s="184">
        <v>50</v>
      </c>
      <c r="E69" s="184">
        <v>0</v>
      </c>
      <c r="F69" s="184" t="s">
        <v>5371</v>
      </c>
      <c r="G69" s="184">
        <v>60</v>
      </c>
      <c r="H69" s="184">
        <v>15</v>
      </c>
      <c r="I69" s="185">
        <f t="shared" si="13"/>
        <v>260000</v>
      </c>
      <c r="J69" s="185">
        <f t="shared" si="14"/>
        <v>40000</v>
      </c>
      <c r="K69" s="185">
        <f t="shared" si="15"/>
        <v>0</v>
      </c>
      <c r="L69" s="185">
        <f t="shared" si="16"/>
        <v>10000</v>
      </c>
      <c r="M69" s="185">
        <f t="shared" si="17"/>
        <v>60000</v>
      </c>
      <c r="N69" s="185">
        <f t="shared" si="18"/>
        <v>30000</v>
      </c>
      <c r="O69" s="185">
        <f t="shared" si="6"/>
        <v>400000</v>
      </c>
      <c r="P69" s="186" t="str">
        <f ca="1">IF(D69=0,'Виды прицепов'!$M$4,IF(D69=30,'Виды прицепов'!$M$5,'Виды прицепов'!$M$6))</f>
        <v>3150*1700*1070</v>
      </c>
      <c r="Q69" s="186" t="str">
        <f ca="1">IF(D69=0,'Виды прицепов'!$N$4,IF(D69=30,'Виды прицепов'!$N$5,'Виды прицепов'!$N$6))</f>
        <v>2000*1250*500</v>
      </c>
      <c r="R69" s="187"/>
      <c r="S69" s="187"/>
      <c r="T69" s="187"/>
      <c r="U69" s="187"/>
      <c r="V69" s="187"/>
      <c r="W69" s="187"/>
      <c r="X69" s="187"/>
      <c r="Y69" s="187"/>
      <c r="Z69" s="187"/>
    </row>
    <row r="70" spans="1:26" ht="72" outlineLevel="2">
      <c r="A70" s="188" t="s">
        <v>5530</v>
      </c>
      <c r="B70" s="189" t="s">
        <v>5531</v>
      </c>
      <c r="C70" s="182" t="s">
        <v>114</v>
      </c>
      <c r="D70" s="184">
        <v>50</v>
      </c>
      <c r="E70" s="184">
        <v>0</v>
      </c>
      <c r="F70" s="184" t="s">
        <v>5371</v>
      </c>
      <c r="G70" s="183">
        <v>30</v>
      </c>
      <c r="H70" s="184">
        <v>15</v>
      </c>
      <c r="I70" s="185">
        <f t="shared" si="13"/>
        <v>260000</v>
      </c>
      <c r="J70" s="185">
        <f t="shared" si="14"/>
        <v>40000</v>
      </c>
      <c r="K70" s="185">
        <f t="shared" si="15"/>
        <v>0</v>
      </c>
      <c r="L70" s="185">
        <f t="shared" si="16"/>
        <v>10000</v>
      </c>
      <c r="M70" s="185">
        <f t="shared" si="17"/>
        <v>30000</v>
      </c>
      <c r="N70" s="185">
        <f t="shared" si="18"/>
        <v>30000</v>
      </c>
      <c r="O70" s="185">
        <f t="shared" si="6"/>
        <v>370000</v>
      </c>
      <c r="P70" s="186" t="str">
        <f ca="1">IF(D70=0,'Виды прицепов'!$M$4,IF(D70=30,'Виды прицепов'!$M$5,'Виды прицепов'!$M$6))</f>
        <v>3150*1700*1070</v>
      </c>
      <c r="Q70" s="186" t="str">
        <f ca="1">IF(D70=0,'Виды прицепов'!$N$4,IF(D70=30,'Виды прицепов'!$N$5,'Виды прицепов'!$N$6))</f>
        <v>2000*1250*500</v>
      </c>
      <c r="R70" s="187"/>
      <c r="S70" s="187"/>
      <c r="T70" s="187"/>
      <c r="U70" s="187"/>
      <c r="V70" s="187"/>
      <c r="W70" s="187"/>
      <c r="X70" s="187"/>
      <c r="Y70" s="187"/>
      <c r="Z70" s="187"/>
    </row>
    <row r="71" spans="1:26" ht="72" outlineLevel="2">
      <c r="A71" s="180" t="s">
        <v>5532</v>
      </c>
      <c r="B71" s="181" t="s">
        <v>5533</v>
      </c>
      <c r="C71" s="182" t="s">
        <v>114</v>
      </c>
      <c r="D71" s="184">
        <v>50</v>
      </c>
      <c r="E71" s="184">
        <v>0</v>
      </c>
      <c r="F71" s="184" t="s">
        <v>5371</v>
      </c>
      <c r="G71" s="184">
        <v>90</v>
      </c>
      <c r="H71" s="184">
        <v>15</v>
      </c>
      <c r="I71" s="185">
        <f t="shared" si="13"/>
        <v>260000</v>
      </c>
      <c r="J71" s="185">
        <f t="shared" si="14"/>
        <v>40000</v>
      </c>
      <c r="K71" s="185">
        <f t="shared" si="15"/>
        <v>0</v>
      </c>
      <c r="L71" s="185">
        <f t="shared" si="16"/>
        <v>10000</v>
      </c>
      <c r="M71" s="185">
        <f t="shared" si="17"/>
        <v>80000</v>
      </c>
      <c r="N71" s="185">
        <f t="shared" si="18"/>
        <v>30000</v>
      </c>
      <c r="O71" s="185">
        <f t="shared" si="6"/>
        <v>420000</v>
      </c>
      <c r="P71" s="186" t="str">
        <f ca="1">IF(D71=0,'Виды прицепов'!$M$4,IF(D71=30,'Виды прицепов'!$M$5,'Виды прицепов'!$M$6))</f>
        <v>3150*1700*1070</v>
      </c>
      <c r="Q71" s="186" t="str">
        <f ca="1">IF(D71=0,'Виды прицепов'!$N$4,IF(D71=30,'Виды прицепов'!$N$5,'Виды прицепов'!$N$6))</f>
        <v>2000*1250*500</v>
      </c>
      <c r="R71" s="187"/>
      <c r="S71" s="187"/>
      <c r="T71" s="187"/>
      <c r="U71" s="187"/>
      <c r="V71" s="187"/>
      <c r="W71" s="187"/>
      <c r="X71" s="187"/>
      <c r="Y71" s="187"/>
      <c r="Z71" s="187"/>
    </row>
    <row r="72" spans="1:26" ht="72" outlineLevel="2">
      <c r="A72" s="180" t="s">
        <v>5534</v>
      </c>
      <c r="B72" s="181" t="s">
        <v>5535</v>
      </c>
      <c r="C72" s="182" t="s">
        <v>114</v>
      </c>
      <c r="D72" s="184">
        <v>50</v>
      </c>
      <c r="E72" s="184">
        <v>15</v>
      </c>
      <c r="F72" s="184" t="s">
        <v>5371</v>
      </c>
      <c r="G72" s="184">
        <v>0</v>
      </c>
      <c r="H72" s="184">
        <v>15</v>
      </c>
      <c r="I72" s="185">
        <f t="shared" si="13"/>
        <v>260000</v>
      </c>
      <c r="J72" s="185">
        <f t="shared" si="14"/>
        <v>40000</v>
      </c>
      <c r="K72" s="185">
        <f t="shared" si="15"/>
        <v>50000</v>
      </c>
      <c r="L72" s="185">
        <f t="shared" si="16"/>
        <v>10000</v>
      </c>
      <c r="M72" s="185">
        <f t="shared" si="17"/>
        <v>0</v>
      </c>
      <c r="N72" s="185">
        <f t="shared" si="18"/>
        <v>30000</v>
      </c>
      <c r="O72" s="185">
        <f t="shared" si="6"/>
        <v>390000</v>
      </c>
      <c r="P72" s="186" t="str">
        <f ca="1">IF(D72=0,'Виды прицепов'!$M$4,IF(D72=30,'Виды прицепов'!$M$5,'Виды прицепов'!$M$6))</f>
        <v>3150*1700*1070</v>
      </c>
      <c r="Q72" s="186" t="str">
        <f ca="1">IF(D72=0,'Виды прицепов'!$N$4,IF(D72=30,'Виды прицепов'!$N$5,'Виды прицепов'!$N$6))</f>
        <v>2000*1250*500</v>
      </c>
      <c r="R72" s="187"/>
      <c r="S72" s="187"/>
      <c r="T72" s="187"/>
      <c r="U72" s="187"/>
      <c r="V72" s="187"/>
      <c r="W72" s="187"/>
      <c r="X72" s="187"/>
      <c r="Y72" s="187"/>
      <c r="Z72" s="187"/>
    </row>
    <row r="73" spans="1:26" ht="72" outlineLevel="2">
      <c r="A73" s="180" t="s">
        <v>5536</v>
      </c>
      <c r="B73" s="181" t="s">
        <v>5537</v>
      </c>
      <c r="C73" s="182" t="s">
        <v>114</v>
      </c>
      <c r="D73" s="184">
        <v>50</v>
      </c>
      <c r="E73" s="184">
        <v>15</v>
      </c>
      <c r="F73" s="184" t="s">
        <v>5371</v>
      </c>
      <c r="G73" s="184">
        <v>60</v>
      </c>
      <c r="H73" s="184">
        <v>15</v>
      </c>
      <c r="I73" s="185">
        <f t="shared" si="13"/>
        <v>260000</v>
      </c>
      <c r="J73" s="185">
        <f t="shared" si="14"/>
        <v>40000</v>
      </c>
      <c r="K73" s="185">
        <f t="shared" si="15"/>
        <v>50000</v>
      </c>
      <c r="L73" s="185">
        <f t="shared" si="16"/>
        <v>10000</v>
      </c>
      <c r="M73" s="185">
        <f t="shared" si="17"/>
        <v>60000</v>
      </c>
      <c r="N73" s="185">
        <f t="shared" si="18"/>
        <v>30000</v>
      </c>
      <c r="O73" s="185">
        <f t="shared" si="6"/>
        <v>450000</v>
      </c>
      <c r="P73" s="186" t="str">
        <f ca="1">IF(D73=0,'Виды прицепов'!$M$4,IF(D73=30,'Виды прицепов'!$M$5,'Виды прицепов'!$M$6))</f>
        <v>3150*1700*1070</v>
      </c>
      <c r="Q73" s="186" t="str">
        <f ca="1">IF(D73=0,'Виды прицепов'!$N$4,IF(D73=30,'Виды прицепов'!$N$5,'Виды прицепов'!$N$6))</f>
        <v>2000*1250*500</v>
      </c>
      <c r="R73" s="187"/>
      <c r="S73" s="187"/>
      <c r="T73" s="187"/>
      <c r="U73" s="187"/>
      <c r="V73" s="187"/>
      <c r="W73" s="187"/>
      <c r="X73" s="187"/>
      <c r="Y73" s="187"/>
      <c r="Z73" s="187"/>
    </row>
    <row r="74" spans="1:26" ht="72" outlineLevel="2">
      <c r="A74" s="188" t="s">
        <v>5538</v>
      </c>
      <c r="B74" s="189" t="s">
        <v>5539</v>
      </c>
      <c r="C74" s="182" t="s">
        <v>114</v>
      </c>
      <c r="D74" s="184">
        <v>50</v>
      </c>
      <c r="E74" s="184">
        <v>15</v>
      </c>
      <c r="F74" s="184" t="s">
        <v>5371</v>
      </c>
      <c r="G74" s="183">
        <v>30</v>
      </c>
      <c r="H74" s="184">
        <v>15</v>
      </c>
      <c r="I74" s="185">
        <f t="shared" si="13"/>
        <v>260000</v>
      </c>
      <c r="J74" s="185">
        <f t="shared" si="14"/>
        <v>40000</v>
      </c>
      <c r="K74" s="185">
        <f t="shared" si="15"/>
        <v>50000</v>
      </c>
      <c r="L74" s="185">
        <f t="shared" si="16"/>
        <v>10000</v>
      </c>
      <c r="M74" s="185">
        <f t="shared" si="17"/>
        <v>30000</v>
      </c>
      <c r="N74" s="185">
        <f t="shared" si="18"/>
        <v>30000</v>
      </c>
      <c r="O74" s="185">
        <f t="shared" si="6"/>
        <v>420000</v>
      </c>
      <c r="P74" s="186" t="str">
        <f ca="1">IF(D74=0,'Виды прицепов'!$M$4,IF(D74=30,'Виды прицепов'!$M$5,'Виды прицепов'!$M$6))</f>
        <v>3150*1700*1070</v>
      </c>
      <c r="Q74" s="186" t="str">
        <f ca="1">IF(D74=0,'Виды прицепов'!$N$4,IF(D74=30,'Виды прицепов'!$N$5,'Виды прицепов'!$N$6))</f>
        <v>2000*1250*500</v>
      </c>
      <c r="R74" s="187"/>
      <c r="S74" s="187"/>
      <c r="T74" s="187"/>
      <c r="U74" s="187"/>
      <c r="V74" s="187"/>
      <c r="W74" s="187"/>
      <c r="X74" s="187"/>
      <c r="Y74" s="187"/>
      <c r="Z74" s="187"/>
    </row>
    <row r="75" spans="1:26" ht="72" outlineLevel="2">
      <c r="A75" s="180" t="s">
        <v>5540</v>
      </c>
      <c r="B75" s="181" t="s">
        <v>5541</v>
      </c>
      <c r="C75" s="182" t="s">
        <v>114</v>
      </c>
      <c r="D75" s="184">
        <v>50</v>
      </c>
      <c r="E75" s="184">
        <v>15</v>
      </c>
      <c r="F75" s="184" t="s">
        <v>5371</v>
      </c>
      <c r="G75" s="184">
        <v>90</v>
      </c>
      <c r="H75" s="184">
        <v>15</v>
      </c>
      <c r="I75" s="185">
        <f t="shared" si="13"/>
        <v>260000</v>
      </c>
      <c r="J75" s="185">
        <f t="shared" si="14"/>
        <v>40000</v>
      </c>
      <c r="K75" s="185">
        <f t="shared" si="15"/>
        <v>50000</v>
      </c>
      <c r="L75" s="185">
        <f t="shared" si="16"/>
        <v>10000</v>
      </c>
      <c r="M75" s="185">
        <f t="shared" si="17"/>
        <v>80000</v>
      </c>
      <c r="N75" s="185">
        <f t="shared" si="18"/>
        <v>30000</v>
      </c>
      <c r="O75" s="185">
        <f t="shared" si="6"/>
        <v>470000</v>
      </c>
      <c r="P75" s="186" t="str">
        <f ca="1">IF(D75=0,'Виды прицепов'!$M$4,IF(D75=30,'Виды прицепов'!$M$5,'Виды прицепов'!$M$6))</f>
        <v>3150*1700*1070</v>
      </c>
      <c r="Q75" s="186" t="str">
        <f ca="1">IF(D75=0,'Виды прицепов'!$N$4,IF(D75=30,'Виды прицепов'!$N$5,'Виды прицепов'!$N$6))</f>
        <v>2000*1250*500</v>
      </c>
      <c r="R75" s="187"/>
      <c r="S75" s="187"/>
      <c r="T75" s="187"/>
      <c r="U75" s="187"/>
      <c r="V75" s="187"/>
      <c r="W75" s="187"/>
      <c r="X75" s="187"/>
      <c r="Y75" s="187"/>
      <c r="Z75" s="187"/>
    </row>
    <row r="76" spans="1:26" ht="14.4" outlineLevel="1">
      <c r="A76" s="175" t="s">
        <v>287</v>
      </c>
      <c r="B76" s="176"/>
      <c r="C76" s="177"/>
      <c r="D76" s="178"/>
      <c r="E76" s="178"/>
      <c r="F76" s="178"/>
      <c r="G76" s="178"/>
      <c r="H76" s="178"/>
      <c r="I76" s="179"/>
      <c r="J76" s="179"/>
      <c r="K76" s="179"/>
      <c r="L76" s="179"/>
      <c r="M76" s="179"/>
      <c r="N76" s="179"/>
      <c r="O76" s="193"/>
      <c r="P76" s="173"/>
      <c r="Q76" s="173"/>
      <c r="R76" s="174"/>
      <c r="S76" s="174"/>
      <c r="T76" s="174"/>
      <c r="U76" s="174"/>
      <c r="V76" s="174"/>
      <c r="W76" s="174"/>
      <c r="X76" s="174"/>
      <c r="Y76" s="174"/>
      <c r="Z76" s="174"/>
    </row>
    <row r="77" spans="1:26" ht="72" outlineLevel="2">
      <c r="A77" s="180" t="s">
        <v>5542</v>
      </c>
      <c r="B77" s="181" t="s">
        <v>5543</v>
      </c>
      <c r="C77" s="182" t="s">
        <v>287</v>
      </c>
      <c r="D77" s="184">
        <v>0</v>
      </c>
      <c r="E77" s="184">
        <v>0</v>
      </c>
      <c r="F77" s="184">
        <v>0</v>
      </c>
      <c r="G77" s="184">
        <v>0</v>
      </c>
      <c r="H77" s="184">
        <v>13</v>
      </c>
      <c r="I77" s="185">
        <f t="shared" ref="I77:I108" si="19">VLOOKUP(C77,Платформа,2,0)</f>
        <v>300000</v>
      </c>
      <c r="J77" s="185">
        <f t="shared" ref="J77:J108" si="20">VLOOKUP(D77,борт_2513,2)</f>
        <v>0</v>
      </c>
      <c r="K77" s="185">
        <f t="shared" ref="K77:K108" si="21">VLOOKUP(E77,колесо,2,0)</f>
        <v>0</v>
      </c>
      <c r="L77" s="185">
        <f t="shared" ref="L77:L108" si="22">VLOOKUP(F77,опорное_колесо,2,0)</f>
        <v>0</v>
      </c>
      <c r="M77" s="185">
        <f t="shared" ref="M77:M108" si="23">VLOOKUP(G77,тент_2513,2,0)</f>
        <v>0</v>
      </c>
      <c r="N77" s="185">
        <f t="shared" ref="N77:N108" si="24">VLOOKUP(H77,ступица,2,0)</f>
        <v>0</v>
      </c>
      <c r="O77" s="194">
        <f t="shared" ref="O77:O148" si="25">SUM(I77:M77)</f>
        <v>300000</v>
      </c>
      <c r="P77" s="186" t="str">
        <f ca="1">IF(D77=0,'Виды прицепов'!$M$7,IF(D77=30,'Виды прицепов'!$M$8,'Виды прицепов'!$M$9))</f>
        <v>4000*1700*650</v>
      </c>
      <c r="Q77" s="186" t="str">
        <f ca="1">IF(D77=0,'Виды прицепов'!$N$7,IF(D77=30,'Виды прицепов'!$N$8,'Виды прицепов'!$N$9))</f>
        <v>2500*1250*0</v>
      </c>
      <c r="R77" s="187"/>
      <c r="S77" s="187"/>
      <c r="T77" s="187"/>
      <c r="U77" s="187"/>
      <c r="V77" s="187"/>
      <c r="W77" s="187"/>
      <c r="X77" s="187"/>
      <c r="Y77" s="187"/>
      <c r="Z77" s="187"/>
    </row>
    <row r="78" spans="1:26" ht="57.6" outlineLevel="2">
      <c r="A78" s="180" t="s">
        <v>5544</v>
      </c>
      <c r="B78" s="181" t="s">
        <v>5545</v>
      </c>
      <c r="C78" s="182" t="s">
        <v>287</v>
      </c>
      <c r="D78" s="184">
        <v>30</v>
      </c>
      <c r="E78" s="184">
        <v>0</v>
      </c>
      <c r="F78" s="184">
        <v>0</v>
      </c>
      <c r="G78" s="184">
        <v>0</v>
      </c>
      <c r="H78" s="184">
        <v>13</v>
      </c>
      <c r="I78" s="185">
        <f t="shared" si="19"/>
        <v>300000</v>
      </c>
      <c r="J78" s="185">
        <f t="shared" si="20"/>
        <v>40000</v>
      </c>
      <c r="K78" s="185">
        <f t="shared" si="21"/>
        <v>0</v>
      </c>
      <c r="L78" s="185">
        <f t="shared" si="22"/>
        <v>0</v>
      </c>
      <c r="M78" s="185">
        <f t="shared" si="23"/>
        <v>0</v>
      </c>
      <c r="N78" s="185">
        <f t="shared" si="24"/>
        <v>0</v>
      </c>
      <c r="O78" s="194">
        <f t="shared" si="25"/>
        <v>340000</v>
      </c>
      <c r="P78" s="186" t="str">
        <f ca="1">IF(D78=0,'Виды прицепов'!$M$7,IF(D78=30,'Виды прицепов'!$M$8,'Виды прицепов'!$M$9))</f>
        <v>3650*1700*900</v>
      </c>
      <c r="Q78" s="186" t="str">
        <f ca="1">IF(D78=0,'Виды прицепов'!$N$7,IF(D78=30,'Виды прицепов'!$N$8,'Виды прицепов'!$N$9))</f>
        <v>2500*1250*300</v>
      </c>
      <c r="R78" s="187"/>
      <c r="S78" s="187"/>
      <c r="T78" s="187"/>
      <c r="U78" s="187"/>
      <c r="V78" s="187"/>
      <c r="W78" s="187"/>
      <c r="X78" s="187"/>
      <c r="Y78" s="187"/>
      <c r="Z78" s="187"/>
    </row>
    <row r="79" spans="1:26" ht="57.6" outlineLevel="2">
      <c r="A79" s="180" t="s">
        <v>5546</v>
      </c>
      <c r="B79" s="181" t="s">
        <v>5547</v>
      </c>
      <c r="C79" s="182" t="s">
        <v>287</v>
      </c>
      <c r="D79" s="184">
        <v>30</v>
      </c>
      <c r="E79" s="184">
        <v>0</v>
      </c>
      <c r="F79" s="184" t="s">
        <v>5371</v>
      </c>
      <c r="G79" s="184">
        <v>0</v>
      </c>
      <c r="H79" s="184">
        <v>13</v>
      </c>
      <c r="I79" s="185">
        <f t="shared" si="19"/>
        <v>300000</v>
      </c>
      <c r="J79" s="185">
        <f t="shared" si="20"/>
        <v>40000</v>
      </c>
      <c r="K79" s="185">
        <f t="shared" si="21"/>
        <v>0</v>
      </c>
      <c r="L79" s="185">
        <f t="shared" si="22"/>
        <v>10000</v>
      </c>
      <c r="M79" s="185">
        <f t="shared" si="23"/>
        <v>0</v>
      </c>
      <c r="N79" s="185">
        <f t="shared" si="24"/>
        <v>0</v>
      </c>
      <c r="O79" s="194">
        <f t="shared" si="25"/>
        <v>350000</v>
      </c>
      <c r="P79" s="186" t="str">
        <f ca="1">IF(D79=0,'Виды прицепов'!$M$7,IF(D79=30,'Виды прицепов'!$M$8,'Виды прицепов'!$M$9))</f>
        <v>3650*1700*900</v>
      </c>
      <c r="Q79" s="186" t="str">
        <f ca="1">IF(D79=0,'Виды прицепов'!$N$7,IF(D79=30,'Виды прицепов'!$N$8,'Виды прицепов'!$N$9))</f>
        <v>2500*1250*300</v>
      </c>
      <c r="R79" s="187"/>
      <c r="S79" s="187"/>
      <c r="T79" s="187"/>
      <c r="U79" s="187"/>
      <c r="V79" s="187"/>
      <c r="W79" s="187"/>
      <c r="X79" s="187"/>
      <c r="Y79" s="187"/>
      <c r="Z79" s="187"/>
    </row>
    <row r="80" spans="1:26" ht="72" outlineLevel="2">
      <c r="A80" s="180" t="s">
        <v>5548</v>
      </c>
      <c r="B80" s="181" t="s">
        <v>5549</v>
      </c>
      <c r="C80" s="182" t="s">
        <v>287</v>
      </c>
      <c r="D80" s="184">
        <v>30</v>
      </c>
      <c r="E80" s="184">
        <v>0</v>
      </c>
      <c r="F80" s="184">
        <v>0</v>
      </c>
      <c r="G80" s="184">
        <v>60</v>
      </c>
      <c r="H80" s="184">
        <v>13</v>
      </c>
      <c r="I80" s="185">
        <f t="shared" si="19"/>
        <v>300000</v>
      </c>
      <c r="J80" s="185">
        <f t="shared" si="20"/>
        <v>40000</v>
      </c>
      <c r="K80" s="185">
        <f t="shared" si="21"/>
        <v>0</v>
      </c>
      <c r="L80" s="185">
        <f t="shared" si="22"/>
        <v>0</v>
      </c>
      <c r="M80" s="185">
        <f t="shared" si="23"/>
        <v>70000</v>
      </c>
      <c r="N80" s="185">
        <f t="shared" si="24"/>
        <v>0</v>
      </c>
      <c r="O80" s="194">
        <f t="shared" si="25"/>
        <v>410000</v>
      </c>
      <c r="P80" s="186" t="str">
        <f ca="1">IF(D80=0,'Виды прицепов'!$M$7,IF(D80=30,'Виды прицепов'!$M$8,'Виды прицепов'!$M$9))</f>
        <v>3650*1700*900</v>
      </c>
      <c r="Q80" s="186" t="str">
        <f ca="1">IF(D80=0,'Виды прицепов'!$N$7,IF(D80=30,'Виды прицепов'!$N$8,'Виды прицепов'!$N$9))</f>
        <v>2500*1250*300</v>
      </c>
      <c r="R80" s="187"/>
      <c r="S80" s="187"/>
      <c r="T80" s="187"/>
      <c r="U80" s="187"/>
      <c r="V80" s="187"/>
      <c r="W80" s="187"/>
      <c r="X80" s="187"/>
      <c r="Y80" s="187"/>
      <c r="Z80" s="187"/>
    </row>
    <row r="81" spans="1:26" ht="72" outlineLevel="2">
      <c r="A81" s="188" t="s">
        <v>5550</v>
      </c>
      <c r="B81" s="189" t="s">
        <v>5551</v>
      </c>
      <c r="C81" s="182" t="s">
        <v>287</v>
      </c>
      <c r="D81" s="184">
        <v>30</v>
      </c>
      <c r="E81" s="184">
        <v>0</v>
      </c>
      <c r="F81" s="184">
        <v>0</v>
      </c>
      <c r="G81" s="183">
        <v>30</v>
      </c>
      <c r="H81" s="184">
        <v>13</v>
      </c>
      <c r="I81" s="185">
        <f t="shared" si="19"/>
        <v>300000</v>
      </c>
      <c r="J81" s="185">
        <f t="shared" si="20"/>
        <v>40000</v>
      </c>
      <c r="K81" s="185">
        <f t="shared" si="21"/>
        <v>0</v>
      </c>
      <c r="L81" s="185">
        <f t="shared" si="22"/>
        <v>0</v>
      </c>
      <c r="M81" s="185">
        <f t="shared" si="23"/>
        <v>35000</v>
      </c>
      <c r="N81" s="185">
        <f t="shared" si="24"/>
        <v>0</v>
      </c>
      <c r="O81" s="194">
        <f t="shared" si="25"/>
        <v>375000</v>
      </c>
      <c r="P81" s="186" t="str">
        <f ca="1">IF(D81=0,'Виды прицепов'!$M$7,IF(D81=30,'Виды прицепов'!$M$8,'Виды прицепов'!$M$9))</f>
        <v>3650*1700*900</v>
      </c>
      <c r="Q81" s="186" t="str">
        <f ca="1">IF(D81=0,'Виды прицепов'!$N$7,IF(D81=30,'Виды прицепов'!$N$8,'Виды прицепов'!$N$9))</f>
        <v>2500*1250*300</v>
      </c>
      <c r="R81" s="187"/>
      <c r="S81" s="187"/>
      <c r="T81" s="187"/>
      <c r="U81" s="187"/>
      <c r="V81" s="187"/>
      <c r="W81" s="187"/>
      <c r="X81" s="187"/>
      <c r="Y81" s="187"/>
      <c r="Z81" s="187"/>
    </row>
    <row r="82" spans="1:26" ht="72" outlineLevel="2">
      <c r="A82" s="180" t="s">
        <v>5552</v>
      </c>
      <c r="B82" s="181" t="s">
        <v>5553</v>
      </c>
      <c r="C82" s="182" t="s">
        <v>287</v>
      </c>
      <c r="D82" s="184">
        <v>30</v>
      </c>
      <c r="E82" s="184">
        <v>0</v>
      </c>
      <c r="F82" s="184" t="s">
        <v>5371</v>
      </c>
      <c r="G82" s="184">
        <v>60</v>
      </c>
      <c r="H82" s="184">
        <v>13</v>
      </c>
      <c r="I82" s="185">
        <f t="shared" si="19"/>
        <v>300000</v>
      </c>
      <c r="J82" s="185">
        <f t="shared" si="20"/>
        <v>40000</v>
      </c>
      <c r="K82" s="185">
        <f t="shared" si="21"/>
        <v>0</v>
      </c>
      <c r="L82" s="185">
        <f t="shared" si="22"/>
        <v>10000</v>
      </c>
      <c r="M82" s="185">
        <f t="shared" si="23"/>
        <v>70000</v>
      </c>
      <c r="N82" s="185">
        <f t="shared" si="24"/>
        <v>0</v>
      </c>
      <c r="O82" s="194">
        <f t="shared" si="25"/>
        <v>420000</v>
      </c>
      <c r="P82" s="186" t="str">
        <f ca="1">IF(D82=0,'Виды прицепов'!$M$7,IF(D82=30,'Виды прицепов'!$M$8,'Виды прицепов'!$M$9))</f>
        <v>3650*1700*900</v>
      </c>
      <c r="Q82" s="186" t="str">
        <f ca="1">IF(D82=0,'Виды прицепов'!$N$7,IF(D82=30,'Виды прицепов'!$N$8,'Виды прицепов'!$N$9))</f>
        <v>2500*1250*300</v>
      </c>
      <c r="R82" s="187"/>
      <c r="S82" s="187"/>
      <c r="T82" s="187"/>
      <c r="U82" s="187"/>
      <c r="V82" s="187"/>
      <c r="W82" s="187"/>
      <c r="X82" s="187"/>
      <c r="Y82" s="187"/>
      <c r="Z82" s="187"/>
    </row>
    <row r="83" spans="1:26" ht="72" outlineLevel="2">
      <c r="A83" s="188" t="s">
        <v>5554</v>
      </c>
      <c r="B83" s="189" t="s">
        <v>5555</v>
      </c>
      <c r="C83" s="182" t="s">
        <v>287</v>
      </c>
      <c r="D83" s="184">
        <v>30</v>
      </c>
      <c r="E83" s="184">
        <v>0</v>
      </c>
      <c r="F83" s="184" t="s">
        <v>5371</v>
      </c>
      <c r="G83" s="183">
        <v>30</v>
      </c>
      <c r="H83" s="184">
        <v>13</v>
      </c>
      <c r="I83" s="185">
        <f t="shared" si="19"/>
        <v>300000</v>
      </c>
      <c r="J83" s="185">
        <f t="shared" si="20"/>
        <v>40000</v>
      </c>
      <c r="K83" s="185">
        <f t="shared" si="21"/>
        <v>0</v>
      </c>
      <c r="L83" s="185">
        <f t="shared" si="22"/>
        <v>10000</v>
      </c>
      <c r="M83" s="185">
        <f t="shared" si="23"/>
        <v>35000</v>
      </c>
      <c r="N83" s="185">
        <f t="shared" si="24"/>
        <v>0</v>
      </c>
      <c r="O83" s="194">
        <f t="shared" si="25"/>
        <v>385000</v>
      </c>
      <c r="P83" s="186" t="str">
        <f ca="1">IF(D83=0,'Виды прицепов'!$M$7,IF(D83=30,'Виды прицепов'!$M$8,'Виды прицепов'!$M$9))</f>
        <v>3650*1700*900</v>
      </c>
      <c r="Q83" s="186" t="str">
        <f ca="1">IF(D83=0,'Виды прицепов'!$N$7,IF(D83=30,'Виды прицепов'!$N$8,'Виды прицепов'!$N$9))</f>
        <v>2500*1250*300</v>
      </c>
      <c r="R83" s="187"/>
      <c r="S83" s="187"/>
      <c r="T83" s="187"/>
      <c r="U83" s="187"/>
      <c r="V83" s="187"/>
      <c r="W83" s="187"/>
      <c r="X83" s="187"/>
      <c r="Y83" s="187"/>
      <c r="Z83" s="187"/>
    </row>
    <row r="84" spans="1:26" ht="72" outlineLevel="2">
      <c r="A84" s="180" t="s">
        <v>5556</v>
      </c>
      <c r="B84" s="181" t="s">
        <v>5557</v>
      </c>
      <c r="C84" s="182" t="s">
        <v>287</v>
      </c>
      <c r="D84" s="184">
        <v>30</v>
      </c>
      <c r="E84" s="184">
        <v>0</v>
      </c>
      <c r="F84" s="184">
        <v>0</v>
      </c>
      <c r="G84" s="184">
        <v>90</v>
      </c>
      <c r="H84" s="184">
        <v>13</v>
      </c>
      <c r="I84" s="185">
        <f t="shared" si="19"/>
        <v>300000</v>
      </c>
      <c r="J84" s="185">
        <f t="shared" si="20"/>
        <v>40000</v>
      </c>
      <c r="K84" s="185">
        <f t="shared" si="21"/>
        <v>0</v>
      </c>
      <c r="L84" s="185">
        <f t="shared" si="22"/>
        <v>0</v>
      </c>
      <c r="M84" s="185">
        <f t="shared" si="23"/>
        <v>90000</v>
      </c>
      <c r="N84" s="185">
        <f t="shared" si="24"/>
        <v>0</v>
      </c>
      <c r="O84" s="194">
        <f t="shared" si="25"/>
        <v>430000</v>
      </c>
      <c r="P84" s="186" t="str">
        <f ca="1">IF(D84=0,'Виды прицепов'!$M$7,IF(D84=30,'Виды прицепов'!$M$8,'Виды прицепов'!$M$9))</f>
        <v>3650*1700*900</v>
      </c>
      <c r="Q84" s="186" t="str">
        <f ca="1">IF(D84=0,'Виды прицепов'!$N$7,IF(D84=30,'Виды прицепов'!$N$8,'Виды прицепов'!$N$9))</f>
        <v>2500*1250*300</v>
      </c>
      <c r="R84" s="187"/>
      <c r="S84" s="187"/>
      <c r="T84" s="187"/>
      <c r="U84" s="187"/>
      <c r="V84" s="187"/>
      <c r="W84" s="187"/>
      <c r="X84" s="187"/>
      <c r="Y84" s="187"/>
      <c r="Z84" s="187"/>
    </row>
    <row r="85" spans="1:26" ht="72" outlineLevel="2">
      <c r="A85" s="180" t="s">
        <v>5558</v>
      </c>
      <c r="B85" s="181" t="s">
        <v>5559</v>
      </c>
      <c r="C85" s="182" t="s">
        <v>287</v>
      </c>
      <c r="D85" s="184">
        <v>30</v>
      </c>
      <c r="E85" s="184">
        <v>0</v>
      </c>
      <c r="F85" s="184" t="s">
        <v>5371</v>
      </c>
      <c r="G85" s="184">
        <v>90</v>
      </c>
      <c r="H85" s="184">
        <v>13</v>
      </c>
      <c r="I85" s="185">
        <f t="shared" si="19"/>
        <v>300000</v>
      </c>
      <c r="J85" s="185">
        <f t="shared" si="20"/>
        <v>40000</v>
      </c>
      <c r="K85" s="185">
        <f t="shared" si="21"/>
        <v>0</v>
      </c>
      <c r="L85" s="185">
        <f t="shared" si="22"/>
        <v>10000</v>
      </c>
      <c r="M85" s="185">
        <f t="shared" si="23"/>
        <v>90000</v>
      </c>
      <c r="N85" s="185">
        <f t="shared" si="24"/>
        <v>0</v>
      </c>
      <c r="O85" s="194">
        <f t="shared" si="25"/>
        <v>440000</v>
      </c>
      <c r="P85" s="186" t="str">
        <f ca="1">IF(D85=0,'Виды прицепов'!$M$7,IF(D85=30,'Виды прицепов'!$M$8,'Виды прицепов'!$M$9))</f>
        <v>3650*1700*900</v>
      </c>
      <c r="Q85" s="186" t="str">
        <f ca="1">IF(D85=0,'Виды прицепов'!$N$7,IF(D85=30,'Виды прицепов'!$N$8,'Виды прицепов'!$N$9))</f>
        <v>2500*1250*300</v>
      </c>
      <c r="R85" s="187"/>
      <c r="S85" s="187"/>
      <c r="T85" s="187"/>
      <c r="U85" s="187"/>
      <c r="V85" s="187"/>
      <c r="W85" s="187"/>
      <c r="X85" s="187"/>
      <c r="Y85" s="187"/>
      <c r="Z85" s="187"/>
    </row>
    <row r="86" spans="1:26" ht="57.6" outlineLevel="2">
      <c r="A86" s="180" t="s">
        <v>5560</v>
      </c>
      <c r="B86" s="181" t="s">
        <v>5561</v>
      </c>
      <c r="C86" s="182" t="s">
        <v>287</v>
      </c>
      <c r="D86" s="184">
        <v>0</v>
      </c>
      <c r="E86" s="184">
        <v>13</v>
      </c>
      <c r="F86" s="184">
        <v>0</v>
      </c>
      <c r="G86" s="184">
        <v>0</v>
      </c>
      <c r="H86" s="184">
        <v>13</v>
      </c>
      <c r="I86" s="185">
        <f t="shared" si="19"/>
        <v>300000</v>
      </c>
      <c r="J86" s="185">
        <f t="shared" si="20"/>
        <v>0</v>
      </c>
      <c r="K86" s="185">
        <f t="shared" si="21"/>
        <v>30000</v>
      </c>
      <c r="L86" s="185">
        <f t="shared" si="22"/>
        <v>0</v>
      </c>
      <c r="M86" s="185">
        <f t="shared" si="23"/>
        <v>0</v>
      </c>
      <c r="N86" s="185">
        <f t="shared" si="24"/>
        <v>0</v>
      </c>
      <c r="O86" s="194">
        <f t="shared" si="25"/>
        <v>330000</v>
      </c>
      <c r="P86" s="186" t="str">
        <f ca="1">IF(D86=0,'Виды прицепов'!$M$7,IF(D86=30,'Виды прицепов'!$M$8,'Виды прицепов'!$M$9))</f>
        <v>4000*1700*650</v>
      </c>
      <c r="Q86" s="186" t="str">
        <f ca="1">IF(D86=0,'Виды прицепов'!$N$7,IF(D86=30,'Виды прицепов'!$N$8,'Виды прицепов'!$N$9))</f>
        <v>2500*1250*0</v>
      </c>
      <c r="R86" s="187"/>
      <c r="S86" s="187"/>
      <c r="T86" s="187"/>
      <c r="U86" s="187"/>
      <c r="V86" s="187"/>
      <c r="W86" s="187"/>
      <c r="X86" s="187"/>
      <c r="Y86" s="187"/>
      <c r="Z86" s="187"/>
    </row>
    <row r="87" spans="1:26" ht="72" outlineLevel="2">
      <c r="A87" s="180" t="s">
        <v>5562</v>
      </c>
      <c r="B87" s="181" t="s">
        <v>5563</v>
      </c>
      <c r="C87" s="182" t="s">
        <v>287</v>
      </c>
      <c r="D87" s="184">
        <v>30</v>
      </c>
      <c r="E87" s="184">
        <v>13</v>
      </c>
      <c r="F87" s="184">
        <v>0</v>
      </c>
      <c r="G87" s="184">
        <v>0</v>
      </c>
      <c r="H87" s="184">
        <v>13</v>
      </c>
      <c r="I87" s="185">
        <f t="shared" si="19"/>
        <v>300000</v>
      </c>
      <c r="J87" s="185">
        <f t="shared" si="20"/>
        <v>40000</v>
      </c>
      <c r="K87" s="185">
        <f t="shared" si="21"/>
        <v>30000</v>
      </c>
      <c r="L87" s="185">
        <f t="shared" si="22"/>
        <v>0</v>
      </c>
      <c r="M87" s="185">
        <f t="shared" si="23"/>
        <v>0</v>
      </c>
      <c r="N87" s="185">
        <f t="shared" si="24"/>
        <v>0</v>
      </c>
      <c r="O87" s="194">
        <f t="shared" si="25"/>
        <v>370000</v>
      </c>
      <c r="P87" s="186" t="str">
        <f ca="1">IF(D87=0,'Виды прицепов'!$M$7,IF(D87=30,'Виды прицепов'!$M$8,'Виды прицепов'!$M$9))</f>
        <v>3650*1700*900</v>
      </c>
      <c r="Q87" s="186" t="str">
        <f ca="1">IF(D87=0,'Виды прицепов'!$N$7,IF(D87=30,'Виды прицепов'!$N$8,'Виды прицепов'!$N$9))</f>
        <v>2500*1250*300</v>
      </c>
      <c r="R87" s="187"/>
      <c r="S87" s="187"/>
      <c r="T87" s="187"/>
      <c r="U87" s="187"/>
      <c r="V87" s="187"/>
      <c r="W87" s="187"/>
      <c r="X87" s="187"/>
      <c r="Y87" s="187"/>
      <c r="Z87" s="187"/>
    </row>
    <row r="88" spans="1:26" ht="72" outlineLevel="2">
      <c r="A88" s="180" t="s">
        <v>5388</v>
      </c>
      <c r="B88" s="181" t="s">
        <v>5564</v>
      </c>
      <c r="C88" s="182" t="s">
        <v>287</v>
      </c>
      <c r="D88" s="184">
        <v>30</v>
      </c>
      <c r="E88" s="184">
        <v>13</v>
      </c>
      <c r="F88" s="184" t="s">
        <v>5371</v>
      </c>
      <c r="G88" s="184">
        <v>0</v>
      </c>
      <c r="H88" s="184">
        <v>13</v>
      </c>
      <c r="I88" s="185">
        <f t="shared" si="19"/>
        <v>300000</v>
      </c>
      <c r="J88" s="185">
        <f t="shared" si="20"/>
        <v>40000</v>
      </c>
      <c r="K88" s="185">
        <f t="shared" si="21"/>
        <v>30000</v>
      </c>
      <c r="L88" s="185">
        <f t="shared" si="22"/>
        <v>10000</v>
      </c>
      <c r="M88" s="185">
        <f t="shared" si="23"/>
        <v>0</v>
      </c>
      <c r="N88" s="185">
        <f t="shared" si="24"/>
        <v>0</v>
      </c>
      <c r="O88" s="194">
        <f t="shared" si="25"/>
        <v>380000</v>
      </c>
      <c r="P88" s="186" t="str">
        <f ca="1">IF(D88=0,'Виды прицепов'!$M$7,IF(D88=30,'Виды прицепов'!$M$8,'Виды прицепов'!$M$9))</f>
        <v>3650*1700*900</v>
      </c>
      <c r="Q88" s="186" t="str">
        <f ca="1">IF(D88=0,'Виды прицепов'!$N$7,IF(D88=30,'Виды прицепов'!$N$8,'Виды прицепов'!$N$9))</f>
        <v>2500*1250*300</v>
      </c>
      <c r="R88" s="187"/>
      <c r="S88" s="187"/>
      <c r="T88" s="187"/>
      <c r="U88" s="187"/>
      <c r="V88" s="187"/>
      <c r="W88" s="187"/>
      <c r="X88" s="187"/>
      <c r="Y88" s="187"/>
      <c r="Z88" s="187"/>
    </row>
    <row r="89" spans="1:26" ht="57.6" outlineLevel="2">
      <c r="A89" s="180" t="s">
        <v>5565</v>
      </c>
      <c r="B89" s="181" t="s">
        <v>5566</v>
      </c>
      <c r="C89" s="182" t="s">
        <v>287</v>
      </c>
      <c r="D89" s="184">
        <v>0</v>
      </c>
      <c r="E89" s="184">
        <v>0</v>
      </c>
      <c r="F89" s="184">
        <v>0</v>
      </c>
      <c r="G89" s="184">
        <v>0</v>
      </c>
      <c r="H89" s="184">
        <v>15</v>
      </c>
      <c r="I89" s="185">
        <f t="shared" si="19"/>
        <v>300000</v>
      </c>
      <c r="J89" s="185">
        <f t="shared" si="20"/>
        <v>0</v>
      </c>
      <c r="K89" s="185">
        <f t="shared" si="21"/>
        <v>0</v>
      </c>
      <c r="L89" s="185">
        <f t="shared" si="22"/>
        <v>0</v>
      </c>
      <c r="M89" s="185">
        <f t="shared" si="23"/>
        <v>0</v>
      </c>
      <c r="N89" s="185">
        <f t="shared" si="24"/>
        <v>30000</v>
      </c>
      <c r="O89" s="194">
        <f t="shared" si="25"/>
        <v>300000</v>
      </c>
      <c r="P89" s="186" t="str">
        <f ca="1">IF(D89=0,'Виды прицепов'!$M$7,IF(D89=30,'Виды прицепов'!$M$8,'Виды прицепов'!$M$9))</f>
        <v>4000*1700*650</v>
      </c>
      <c r="Q89" s="186" t="str">
        <f ca="1">IF(D89=0,'Виды прицепов'!$N$7,IF(D89=30,'Виды прицепов'!$N$8,'Виды прицепов'!$N$9))</f>
        <v>2500*1250*0</v>
      </c>
      <c r="R89" s="187"/>
      <c r="S89" s="187"/>
      <c r="T89" s="187"/>
      <c r="U89" s="187"/>
      <c r="V89" s="187"/>
      <c r="W89" s="187"/>
      <c r="X89" s="187"/>
      <c r="Y89" s="187"/>
      <c r="Z89" s="187"/>
    </row>
    <row r="90" spans="1:26" ht="57.6" outlineLevel="2">
      <c r="A90" s="180" t="s">
        <v>5567</v>
      </c>
      <c r="B90" s="181" t="s">
        <v>5568</v>
      </c>
      <c r="C90" s="182" t="s">
        <v>287</v>
      </c>
      <c r="D90" s="184">
        <v>30</v>
      </c>
      <c r="E90" s="184">
        <v>0</v>
      </c>
      <c r="F90" s="184">
        <v>0</v>
      </c>
      <c r="G90" s="184">
        <v>0</v>
      </c>
      <c r="H90" s="184">
        <v>15</v>
      </c>
      <c r="I90" s="185">
        <f t="shared" si="19"/>
        <v>300000</v>
      </c>
      <c r="J90" s="185">
        <f t="shared" si="20"/>
        <v>40000</v>
      </c>
      <c r="K90" s="185">
        <f t="shared" si="21"/>
        <v>0</v>
      </c>
      <c r="L90" s="185">
        <f t="shared" si="22"/>
        <v>0</v>
      </c>
      <c r="M90" s="185">
        <f t="shared" si="23"/>
        <v>0</v>
      </c>
      <c r="N90" s="185">
        <f t="shared" si="24"/>
        <v>30000</v>
      </c>
      <c r="O90" s="194">
        <f t="shared" si="25"/>
        <v>340000</v>
      </c>
      <c r="P90" s="186" t="str">
        <f ca="1">IF(D90=0,'Виды прицепов'!$M$7,IF(D90=30,'Виды прицепов'!$M$8,'Виды прицепов'!$M$9))</f>
        <v>3650*1700*900</v>
      </c>
      <c r="Q90" s="186" t="str">
        <f ca="1">IF(D90=0,'Виды прицепов'!$N$7,IF(D90=30,'Виды прицепов'!$N$8,'Виды прицепов'!$N$9))</f>
        <v>2500*1250*300</v>
      </c>
      <c r="R90" s="187"/>
      <c r="S90" s="187"/>
      <c r="T90" s="187"/>
      <c r="U90" s="187"/>
      <c r="V90" s="187"/>
      <c r="W90" s="187"/>
      <c r="X90" s="187"/>
      <c r="Y90" s="187"/>
      <c r="Z90" s="187"/>
    </row>
    <row r="91" spans="1:26" ht="57.6" outlineLevel="2">
      <c r="A91" s="180" t="s">
        <v>5569</v>
      </c>
      <c r="B91" s="181" t="s">
        <v>5570</v>
      </c>
      <c r="C91" s="182" t="s">
        <v>287</v>
      </c>
      <c r="D91" s="184">
        <v>30</v>
      </c>
      <c r="E91" s="184">
        <v>0</v>
      </c>
      <c r="F91" s="184" t="s">
        <v>5371</v>
      </c>
      <c r="G91" s="184">
        <v>0</v>
      </c>
      <c r="H91" s="184">
        <v>15</v>
      </c>
      <c r="I91" s="185">
        <f t="shared" si="19"/>
        <v>300000</v>
      </c>
      <c r="J91" s="185">
        <f t="shared" si="20"/>
        <v>40000</v>
      </c>
      <c r="K91" s="185">
        <f t="shared" si="21"/>
        <v>0</v>
      </c>
      <c r="L91" s="185">
        <f t="shared" si="22"/>
        <v>10000</v>
      </c>
      <c r="M91" s="185">
        <f t="shared" si="23"/>
        <v>0</v>
      </c>
      <c r="N91" s="185">
        <f t="shared" si="24"/>
        <v>30000</v>
      </c>
      <c r="O91" s="194">
        <f t="shared" si="25"/>
        <v>350000</v>
      </c>
      <c r="P91" s="186" t="str">
        <f ca="1">IF(D91=0,'Виды прицепов'!$M$7,IF(D91=30,'Виды прицепов'!$M$8,'Виды прицепов'!$M$9))</f>
        <v>3650*1700*900</v>
      </c>
      <c r="Q91" s="186" t="str">
        <f ca="1">IF(D91=0,'Виды прицепов'!$N$7,IF(D91=30,'Виды прицепов'!$N$8,'Виды прицепов'!$N$9))</f>
        <v>2500*1250*300</v>
      </c>
      <c r="R91" s="187"/>
      <c r="S91" s="187"/>
      <c r="T91" s="187"/>
      <c r="U91" s="187"/>
      <c r="V91" s="187"/>
      <c r="W91" s="187"/>
      <c r="X91" s="187"/>
      <c r="Y91" s="187"/>
      <c r="Z91" s="187"/>
    </row>
    <row r="92" spans="1:26" ht="72" outlineLevel="2">
      <c r="A92" s="180" t="s">
        <v>5571</v>
      </c>
      <c r="B92" s="181" t="s">
        <v>5572</v>
      </c>
      <c r="C92" s="182" t="s">
        <v>287</v>
      </c>
      <c r="D92" s="184">
        <v>30</v>
      </c>
      <c r="E92" s="184">
        <v>0</v>
      </c>
      <c r="F92" s="184">
        <v>0</v>
      </c>
      <c r="G92" s="184">
        <v>60</v>
      </c>
      <c r="H92" s="184">
        <v>15</v>
      </c>
      <c r="I92" s="185">
        <f t="shared" si="19"/>
        <v>300000</v>
      </c>
      <c r="J92" s="185">
        <f t="shared" si="20"/>
        <v>40000</v>
      </c>
      <c r="K92" s="185">
        <f t="shared" si="21"/>
        <v>0</v>
      </c>
      <c r="L92" s="185">
        <f t="shared" si="22"/>
        <v>0</v>
      </c>
      <c r="M92" s="185">
        <f t="shared" si="23"/>
        <v>70000</v>
      </c>
      <c r="N92" s="185">
        <f t="shared" si="24"/>
        <v>30000</v>
      </c>
      <c r="O92" s="194">
        <f t="shared" si="25"/>
        <v>410000</v>
      </c>
      <c r="P92" s="186" t="str">
        <f ca="1">IF(D92=0,'Виды прицепов'!$M$7,IF(D92=30,'Виды прицепов'!$M$8,'Виды прицепов'!$M$9))</f>
        <v>3650*1700*900</v>
      </c>
      <c r="Q92" s="186" t="str">
        <f ca="1">IF(D92=0,'Виды прицепов'!$N$7,IF(D92=30,'Виды прицепов'!$N$8,'Виды прицепов'!$N$9))</f>
        <v>2500*1250*300</v>
      </c>
      <c r="R92" s="187"/>
      <c r="S92" s="187"/>
      <c r="T92" s="187"/>
      <c r="U92" s="187"/>
      <c r="V92" s="187"/>
      <c r="W92" s="187"/>
      <c r="X92" s="187"/>
      <c r="Y92" s="187"/>
      <c r="Z92" s="187"/>
    </row>
    <row r="93" spans="1:26" ht="72" outlineLevel="2">
      <c r="A93" s="188" t="s">
        <v>5573</v>
      </c>
      <c r="B93" s="189" t="s">
        <v>5574</v>
      </c>
      <c r="C93" s="182" t="s">
        <v>287</v>
      </c>
      <c r="D93" s="184">
        <v>30</v>
      </c>
      <c r="E93" s="184">
        <v>0</v>
      </c>
      <c r="F93" s="184">
        <v>0</v>
      </c>
      <c r="G93" s="183">
        <v>30</v>
      </c>
      <c r="H93" s="184">
        <v>15</v>
      </c>
      <c r="I93" s="185">
        <f t="shared" si="19"/>
        <v>300000</v>
      </c>
      <c r="J93" s="185">
        <f t="shared" si="20"/>
        <v>40000</v>
      </c>
      <c r="K93" s="185">
        <f t="shared" si="21"/>
        <v>0</v>
      </c>
      <c r="L93" s="185">
        <f t="shared" si="22"/>
        <v>0</v>
      </c>
      <c r="M93" s="185">
        <f t="shared" si="23"/>
        <v>35000</v>
      </c>
      <c r="N93" s="185">
        <f t="shared" si="24"/>
        <v>30000</v>
      </c>
      <c r="O93" s="194">
        <f t="shared" si="25"/>
        <v>375000</v>
      </c>
      <c r="P93" s="186" t="str">
        <f ca="1">IF(D93=0,'Виды прицепов'!$M$7,IF(D93=30,'Виды прицепов'!$M$8,'Виды прицепов'!$M$9))</f>
        <v>3650*1700*900</v>
      </c>
      <c r="Q93" s="186" t="str">
        <f ca="1">IF(D93=0,'Виды прицепов'!$N$7,IF(D93=30,'Виды прицепов'!$N$8,'Виды прицепов'!$N$9))</f>
        <v>2500*1250*300</v>
      </c>
      <c r="R93" s="187"/>
      <c r="S93" s="187"/>
      <c r="T93" s="187"/>
      <c r="U93" s="187"/>
      <c r="V93" s="187"/>
      <c r="W93" s="187"/>
      <c r="X93" s="187"/>
      <c r="Y93" s="187"/>
      <c r="Z93" s="187"/>
    </row>
    <row r="94" spans="1:26" ht="72" outlineLevel="2">
      <c r="A94" s="180" t="s">
        <v>5575</v>
      </c>
      <c r="B94" s="181" t="s">
        <v>5576</v>
      </c>
      <c r="C94" s="182" t="s">
        <v>287</v>
      </c>
      <c r="D94" s="184">
        <v>30</v>
      </c>
      <c r="E94" s="184">
        <v>0</v>
      </c>
      <c r="F94" s="184" t="s">
        <v>5371</v>
      </c>
      <c r="G94" s="184">
        <v>60</v>
      </c>
      <c r="H94" s="184">
        <v>15</v>
      </c>
      <c r="I94" s="185">
        <f t="shared" si="19"/>
        <v>300000</v>
      </c>
      <c r="J94" s="185">
        <f t="shared" si="20"/>
        <v>40000</v>
      </c>
      <c r="K94" s="185">
        <f t="shared" si="21"/>
        <v>0</v>
      </c>
      <c r="L94" s="185">
        <f t="shared" si="22"/>
        <v>10000</v>
      </c>
      <c r="M94" s="185">
        <f t="shared" si="23"/>
        <v>70000</v>
      </c>
      <c r="N94" s="185">
        <f t="shared" si="24"/>
        <v>30000</v>
      </c>
      <c r="O94" s="194">
        <f t="shared" si="25"/>
        <v>420000</v>
      </c>
      <c r="P94" s="186" t="str">
        <f ca="1">IF(D94=0,'Виды прицепов'!$M$7,IF(D94=30,'Виды прицепов'!$M$8,'Виды прицепов'!$M$9))</f>
        <v>3650*1700*900</v>
      </c>
      <c r="Q94" s="186" t="str">
        <f ca="1">IF(D94=0,'Виды прицепов'!$N$7,IF(D94=30,'Виды прицепов'!$N$8,'Виды прицепов'!$N$9))</f>
        <v>2500*1250*300</v>
      </c>
      <c r="R94" s="187"/>
      <c r="S94" s="187"/>
      <c r="T94" s="187"/>
      <c r="U94" s="187"/>
      <c r="V94" s="187"/>
      <c r="W94" s="187"/>
      <c r="X94" s="187"/>
      <c r="Y94" s="187"/>
      <c r="Z94" s="187"/>
    </row>
    <row r="95" spans="1:26" ht="72" outlineLevel="2">
      <c r="A95" s="188" t="s">
        <v>5577</v>
      </c>
      <c r="B95" s="189" t="s">
        <v>5578</v>
      </c>
      <c r="C95" s="182" t="s">
        <v>287</v>
      </c>
      <c r="D95" s="184">
        <v>30</v>
      </c>
      <c r="E95" s="184">
        <v>0</v>
      </c>
      <c r="F95" s="184" t="s">
        <v>5371</v>
      </c>
      <c r="G95" s="183">
        <v>30</v>
      </c>
      <c r="H95" s="184">
        <v>15</v>
      </c>
      <c r="I95" s="185">
        <f t="shared" si="19"/>
        <v>300000</v>
      </c>
      <c r="J95" s="185">
        <f t="shared" si="20"/>
        <v>40000</v>
      </c>
      <c r="K95" s="185">
        <f t="shared" si="21"/>
        <v>0</v>
      </c>
      <c r="L95" s="185">
        <f t="shared" si="22"/>
        <v>10000</v>
      </c>
      <c r="M95" s="185">
        <f t="shared" si="23"/>
        <v>35000</v>
      </c>
      <c r="N95" s="185">
        <f t="shared" si="24"/>
        <v>30000</v>
      </c>
      <c r="O95" s="194">
        <f t="shared" si="25"/>
        <v>385000</v>
      </c>
      <c r="P95" s="186" t="str">
        <f ca="1">IF(D95=0,'Виды прицепов'!$M$7,IF(D95=30,'Виды прицепов'!$M$8,'Виды прицепов'!$M$9))</f>
        <v>3650*1700*900</v>
      </c>
      <c r="Q95" s="186" t="str">
        <f ca="1">IF(D95=0,'Виды прицепов'!$N$7,IF(D95=30,'Виды прицепов'!$N$8,'Виды прицепов'!$N$9))</f>
        <v>2500*1250*300</v>
      </c>
      <c r="R95" s="187"/>
      <c r="S95" s="187"/>
      <c r="T95" s="187"/>
      <c r="U95" s="187"/>
      <c r="V95" s="187"/>
      <c r="W95" s="187"/>
      <c r="X95" s="187"/>
      <c r="Y95" s="187"/>
      <c r="Z95" s="187"/>
    </row>
    <row r="96" spans="1:26" ht="72" outlineLevel="2">
      <c r="A96" s="180" t="s">
        <v>5579</v>
      </c>
      <c r="B96" s="181" t="s">
        <v>5580</v>
      </c>
      <c r="C96" s="182" t="s">
        <v>287</v>
      </c>
      <c r="D96" s="184">
        <v>30</v>
      </c>
      <c r="E96" s="184">
        <v>0</v>
      </c>
      <c r="F96" s="184">
        <v>0</v>
      </c>
      <c r="G96" s="184">
        <v>90</v>
      </c>
      <c r="H96" s="184">
        <v>15</v>
      </c>
      <c r="I96" s="185">
        <f t="shared" si="19"/>
        <v>300000</v>
      </c>
      <c r="J96" s="185">
        <f t="shared" si="20"/>
        <v>40000</v>
      </c>
      <c r="K96" s="185">
        <f t="shared" si="21"/>
        <v>0</v>
      </c>
      <c r="L96" s="185">
        <f t="shared" si="22"/>
        <v>0</v>
      </c>
      <c r="M96" s="185">
        <f t="shared" si="23"/>
        <v>90000</v>
      </c>
      <c r="N96" s="185">
        <f t="shared" si="24"/>
        <v>30000</v>
      </c>
      <c r="O96" s="194">
        <f t="shared" si="25"/>
        <v>430000</v>
      </c>
      <c r="P96" s="186" t="str">
        <f ca="1">IF(D96=0,'Виды прицепов'!$M$7,IF(D96=30,'Виды прицепов'!$M$8,'Виды прицепов'!$M$9))</f>
        <v>3650*1700*900</v>
      </c>
      <c r="Q96" s="186" t="str">
        <f ca="1">IF(D96=0,'Виды прицепов'!$N$7,IF(D96=30,'Виды прицепов'!$N$8,'Виды прицепов'!$N$9))</f>
        <v>2500*1250*300</v>
      </c>
      <c r="R96" s="187"/>
      <c r="S96" s="187"/>
      <c r="T96" s="187"/>
      <c r="U96" s="187"/>
      <c r="V96" s="187"/>
      <c r="W96" s="187"/>
      <c r="X96" s="187"/>
      <c r="Y96" s="187"/>
      <c r="Z96" s="187"/>
    </row>
    <row r="97" spans="1:26" ht="72" outlineLevel="2">
      <c r="A97" s="180" t="s">
        <v>5581</v>
      </c>
      <c r="B97" s="181" t="s">
        <v>5582</v>
      </c>
      <c r="C97" s="182" t="s">
        <v>287</v>
      </c>
      <c r="D97" s="184">
        <v>30</v>
      </c>
      <c r="E97" s="184">
        <v>0</v>
      </c>
      <c r="F97" s="184" t="s">
        <v>5371</v>
      </c>
      <c r="G97" s="184">
        <v>90</v>
      </c>
      <c r="H97" s="184">
        <v>15</v>
      </c>
      <c r="I97" s="185">
        <f t="shared" si="19"/>
        <v>300000</v>
      </c>
      <c r="J97" s="185">
        <f t="shared" si="20"/>
        <v>40000</v>
      </c>
      <c r="K97" s="185">
        <f t="shared" si="21"/>
        <v>0</v>
      </c>
      <c r="L97" s="185">
        <f t="shared" si="22"/>
        <v>10000</v>
      </c>
      <c r="M97" s="185">
        <f t="shared" si="23"/>
        <v>90000</v>
      </c>
      <c r="N97" s="185">
        <f t="shared" si="24"/>
        <v>30000</v>
      </c>
      <c r="O97" s="194">
        <f t="shared" si="25"/>
        <v>440000</v>
      </c>
      <c r="P97" s="186" t="str">
        <f ca="1">IF(D97=0,'Виды прицепов'!$M$7,IF(D97=30,'Виды прицепов'!$M$8,'Виды прицепов'!$M$9))</f>
        <v>3650*1700*900</v>
      </c>
      <c r="Q97" s="186" t="str">
        <f ca="1">IF(D97=0,'Виды прицепов'!$N$7,IF(D97=30,'Виды прицепов'!$N$8,'Виды прицепов'!$N$9))</f>
        <v>2500*1250*300</v>
      </c>
      <c r="R97" s="187"/>
      <c r="S97" s="187"/>
      <c r="T97" s="187"/>
      <c r="U97" s="187"/>
      <c r="V97" s="187"/>
      <c r="W97" s="187"/>
      <c r="X97" s="187"/>
      <c r="Y97" s="187"/>
      <c r="Z97" s="187"/>
    </row>
    <row r="98" spans="1:26" ht="57.6" outlineLevel="2">
      <c r="A98" s="180" t="s">
        <v>5583</v>
      </c>
      <c r="B98" s="181" t="s">
        <v>5584</v>
      </c>
      <c r="C98" s="182" t="s">
        <v>287</v>
      </c>
      <c r="D98" s="184">
        <v>0</v>
      </c>
      <c r="E98" s="184">
        <v>15</v>
      </c>
      <c r="F98" s="184">
        <v>0</v>
      </c>
      <c r="G98" s="184">
        <v>0</v>
      </c>
      <c r="H98" s="184">
        <v>15</v>
      </c>
      <c r="I98" s="185">
        <f t="shared" si="19"/>
        <v>300000</v>
      </c>
      <c r="J98" s="185">
        <f t="shared" si="20"/>
        <v>0</v>
      </c>
      <c r="K98" s="185">
        <f t="shared" si="21"/>
        <v>50000</v>
      </c>
      <c r="L98" s="185">
        <f t="shared" si="22"/>
        <v>0</v>
      </c>
      <c r="M98" s="185">
        <f t="shared" si="23"/>
        <v>0</v>
      </c>
      <c r="N98" s="185">
        <f t="shared" si="24"/>
        <v>30000</v>
      </c>
      <c r="O98" s="194">
        <f t="shared" si="25"/>
        <v>350000</v>
      </c>
      <c r="P98" s="186" t="str">
        <f ca="1">IF(D98=0,'Виды прицепов'!$M$7,IF(D98=30,'Виды прицепов'!$M$8,'Виды прицепов'!$M$9))</f>
        <v>4000*1700*650</v>
      </c>
      <c r="Q98" s="186" t="str">
        <f ca="1">IF(D98=0,'Виды прицепов'!$N$7,IF(D98=30,'Виды прицепов'!$N$8,'Виды прицепов'!$N$9))</f>
        <v>2500*1250*0</v>
      </c>
      <c r="R98" s="187"/>
      <c r="S98" s="187"/>
      <c r="T98" s="187"/>
      <c r="U98" s="187"/>
      <c r="V98" s="187"/>
      <c r="W98" s="187"/>
      <c r="X98" s="187"/>
      <c r="Y98" s="187"/>
      <c r="Z98" s="187"/>
    </row>
    <row r="99" spans="1:26" ht="72" outlineLevel="2">
      <c r="A99" s="180" t="s">
        <v>5585</v>
      </c>
      <c r="B99" s="181" t="s">
        <v>5586</v>
      </c>
      <c r="C99" s="182" t="s">
        <v>287</v>
      </c>
      <c r="D99" s="184">
        <v>30</v>
      </c>
      <c r="E99" s="184">
        <v>15</v>
      </c>
      <c r="F99" s="184">
        <v>0</v>
      </c>
      <c r="G99" s="184">
        <v>0</v>
      </c>
      <c r="H99" s="184">
        <v>15</v>
      </c>
      <c r="I99" s="185">
        <f t="shared" si="19"/>
        <v>300000</v>
      </c>
      <c r="J99" s="185">
        <f t="shared" si="20"/>
        <v>40000</v>
      </c>
      <c r="K99" s="185">
        <f t="shared" si="21"/>
        <v>50000</v>
      </c>
      <c r="L99" s="185">
        <f t="shared" si="22"/>
        <v>0</v>
      </c>
      <c r="M99" s="185">
        <f t="shared" si="23"/>
        <v>0</v>
      </c>
      <c r="N99" s="185">
        <f t="shared" si="24"/>
        <v>30000</v>
      </c>
      <c r="O99" s="194">
        <f t="shared" si="25"/>
        <v>390000</v>
      </c>
      <c r="P99" s="186" t="str">
        <f ca="1">IF(D99=0,'Виды прицепов'!$M$7,IF(D99=30,'Виды прицепов'!$M$8,'Виды прицепов'!$M$9))</f>
        <v>3650*1700*900</v>
      </c>
      <c r="Q99" s="186" t="str">
        <f ca="1">IF(D99=0,'Виды прицепов'!$N$7,IF(D99=30,'Виды прицепов'!$N$8,'Виды прицепов'!$N$9))</f>
        <v>2500*1250*300</v>
      </c>
      <c r="R99" s="187"/>
      <c r="S99" s="187"/>
      <c r="T99" s="187"/>
      <c r="U99" s="187"/>
      <c r="V99" s="187"/>
      <c r="W99" s="187"/>
      <c r="X99" s="187"/>
      <c r="Y99" s="187"/>
      <c r="Z99" s="187"/>
    </row>
    <row r="100" spans="1:26" ht="72" outlineLevel="2">
      <c r="A100" s="180" t="s">
        <v>5587</v>
      </c>
      <c r="B100" s="181" t="s">
        <v>5588</v>
      </c>
      <c r="C100" s="182" t="s">
        <v>287</v>
      </c>
      <c r="D100" s="184">
        <v>30</v>
      </c>
      <c r="E100" s="184">
        <v>15</v>
      </c>
      <c r="F100" s="184" t="s">
        <v>5371</v>
      </c>
      <c r="G100" s="184">
        <v>0</v>
      </c>
      <c r="H100" s="184">
        <v>15</v>
      </c>
      <c r="I100" s="185">
        <f t="shared" si="19"/>
        <v>300000</v>
      </c>
      <c r="J100" s="185">
        <f t="shared" si="20"/>
        <v>40000</v>
      </c>
      <c r="K100" s="185">
        <f t="shared" si="21"/>
        <v>50000</v>
      </c>
      <c r="L100" s="185">
        <f t="shared" si="22"/>
        <v>10000</v>
      </c>
      <c r="M100" s="185">
        <f t="shared" si="23"/>
        <v>0</v>
      </c>
      <c r="N100" s="185">
        <f t="shared" si="24"/>
        <v>30000</v>
      </c>
      <c r="O100" s="194">
        <f t="shared" si="25"/>
        <v>400000</v>
      </c>
      <c r="P100" s="186" t="str">
        <f ca="1">IF(D100=0,'Виды прицепов'!$M$7,IF(D100=30,'Виды прицепов'!$M$8,'Виды прицепов'!$M$9))</f>
        <v>3650*1700*900</v>
      </c>
      <c r="Q100" s="186" t="str">
        <f ca="1">IF(D100=0,'Виды прицепов'!$N$7,IF(D100=30,'Виды прицепов'!$N$8,'Виды прицепов'!$N$9))</f>
        <v>2500*1250*300</v>
      </c>
      <c r="R100" s="187"/>
      <c r="S100" s="187"/>
      <c r="T100" s="187"/>
      <c r="U100" s="187"/>
      <c r="V100" s="187"/>
      <c r="W100" s="187"/>
      <c r="X100" s="187"/>
      <c r="Y100" s="187"/>
      <c r="Z100" s="187"/>
    </row>
    <row r="101" spans="1:26" ht="57.6" outlineLevel="2">
      <c r="A101" s="180" t="s">
        <v>5589</v>
      </c>
      <c r="B101" s="181" t="s">
        <v>5590</v>
      </c>
      <c r="C101" s="182" t="s">
        <v>287</v>
      </c>
      <c r="D101" s="184">
        <v>0</v>
      </c>
      <c r="E101" s="184">
        <v>0</v>
      </c>
      <c r="F101" s="184" t="s">
        <v>5371</v>
      </c>
      <c r="G101" s="184">
        <v>0</v>
      </c>
      <c r="H101" s="184">
        <v>13</v>
      </c>
      <c r="I101" s="185">
        <f t="shared" si="19"/>
        <v>300000</v>
      </c>
      <c r="J101" s="185">
        <f t="shared" si="20"/>
        <v>0</v>
      </c>
      <c r="K101" s="185">
        <f t="shared" si="21"/>
        <v>0</v>
      </c>
      <c r="L101" s="185">
        <f t="shared" si="22"/>
        <v>10000</v>
      </c>
      <c r="M101" s="185">
        <f t="shared" si="23"/>
        <v>0</v>
      </c>
      <c r="N101" s="185">
        <f t="shared" si="24"/>
        <v>0</v>
      </c>
      <c r="O101" s="194">
        <f t="shared" si="25"/>
        <v>310000</v>
      </c>
      <c r="P101" s="186" t="str">
        <f ca="1">IF(D101=0,'Виды прицепов'!$M$7,IF(D101=30,'Виды прицепов'!$M$8,'Виды прицепов'!$M$9))</f>
        <v>4000*1700*650</v>
      </c>
      <c r="Q101" s="186" t="str">
        <f ca="1">IF(D101=0,'Виды прицепов'!$N$7,IF(D101=30,'Виды прицепов'!$N$8,'Виды прицепов'!$N$9))</f>
        <v>2500*1250*0</v>
      </c>
      <c r="R101" s="187"/>
      <c r="S101" s="187"/>
      <c r="T101" s="187"/>
      <c r="U101" s="187"/>
      <c r="V101" s="187"/>
      <c r="W101" s="187"/>
      <c r="X101" s="187"/>
      <c r="Y101" s="187"/>
      <c r="Z101" s="187"/>
    </row>
    <row r="102" spans="1:26" ht="57.6" outlineLevel="2">
      <c r="A102" s="180" t="s">
        <v>5591</v>
      </c>
      <c r="B102" s="181" t="s">
        <v>5592</v>
      </c>
      <c r="C102" s="182" t="s">
        <v>287</v>
      </c>
      <c r="D102" s="184">
        <v>50</v>
      </c>
      <c r="E102" s="184">
        <v>0</v>
      </c>
      <c r="F102" s="184">
        <v>0</v>
      </c>
      <c r="G102" s="184">
        <v>0</v>
      </c>
      <c r="H102" s="184">
        <v>13</v>
      </c>
      <c r="I102" s="185">
        <f t="shared" si="19"/>
        <v>300000</v>
      </c>
      <c r="J102" s="185">
        <f t="shared" si="20"/>
        <v>50000</v>
      </c>
      <c r="K102" s="185">
        <f t="shared" si="21"/>
        <v>0</v>
      </c>
      <c r="L102" s="185">
        <f t="shared" si="22"/>
        <v>0</v>
      </c>
      <c r="M102" s="185">
        <f t="shared" si="23"/>
        <v>0</v>
      </c>
      <c r="N102" s="185">
        <f t="shared" si="24"/>
        <v>0</v>
      </c>
      <c r="O102" s="194">
        <f t="shared" si="25"/>
        <v>350000</v>
      </c>
      <c r="P102" s="186" t="str">
        <f ca="1">IF(D102=0,'Виды прицепов'!$M$7,IF(D102=30,'Виды прицепов'!$M$8,'Виды прицепов'!$M$9))</f>
        <v>3650*1700*1070</v>
      </c>
      <c r="Q102" s="186" t="str">
        <f ca="1">IF(D102=0,'Виды прицепов'!$N$7,IF(D102=30,'Виды прицепов'!$N$8,'Виды прицепов'!$N$9))</f>
        <v>2500*1250*500</v>
      </c>
      <c r="R102" s="187"/>
      <c r="S102" s="187"/>
      <c r="T102" s="187"/>
      <c r="U102" s="187"/>
      <c r="V102" s="187"/>
      <c r="W102" s="187"/>
      <c r="X102" s="187"/>
      <c r="Y102" s="187"/>
      <c r="Z102" s="187"/>
    </row>
    <row r="103" spans="1:26" ht="57.6" outlineLevel="2">
      <c r="A103" s="180" t="s">
        <v>5593</v>
      </c>
      <c r="B103" s="181" t="s">
        <v>5594</v>
      </c>
      <c r="C103" s="182" t="s">
        <v>287</v>
      </c>
      <c r="D103" s="184">
        <v>50</v>
      </c>
      <c r="E103" s="184">
        <v>0</v>
      </c>
      <c r="F103" s="184" t="s">
        <v>5371</v>
      </c>
      <c r="G103" s="184">
        <v>0</v>
      </c>
      <c r="H103" s="184">
        <v>13</v>
      </c>
      <c r="I103" s="185">
        <f t="shared" si="19"/>
        <v>300000</v>
      </c>
      <c r="J103" s="185">
        <f t="shared" si="20"/>
        <v>50000</v>
      </c>
      <c r="K103" s="185">
        <f t="shared" si="21"/>
        <v>0</v>
      </c>
      <c r="L103" s="185">
        <f t="shared" si="22"/>
        <v>10000</v>
      </c>
      <c r="M103" s="185">
        <f t="shared" si="23"/>
        <v>0</v>
      </c>
      <c r="N103" s="185">
        <f t="shared" si="24"/>
        <v>0</v>
      </c>
      <c r="O103" s="194">
        <f t="shared" si="25"/>
        <v>360000</v>
      </c>
      <c r="P103" s="186" t="str">
        <f ca="1">IF(D103=0,'Виды прицепов'!$M$7,IF(D103=30,'Виды прицепов'!$M$8,'Виды прицепов'!$M$9))</f>
        <v>3650*1700*1070</v>
      </c>
      <c r="Q103" s="186" t="str">
        <f ca="1">IF(D103=0,'Виды прицепов'!$N$7,IF(D103=30,'Виды прицепов'!$N$8,'Виды прицепов'!$N$9))</f>
        <v>2500*1250*500</v>
      </c>
      <c r="R103" s="187"/>
      <c r="S103" s="187"/>
      <c r="T103" s="187"/>
      <c r="U103" s="187"/>
      <c r="V103" s="187"/>
      <c r="W103" s="187"/>
      <c r="X103" s="187"/>
      <c r="Y103" s="187"/>
      <c r="Z103" s="187"/>
    </row>
    <row r="104" spans="1:26" ht="72" outlineLevel="2">
      <c r="A104" s="180" t="s">
        <v>5595</v>
      </c>
      <c r="B104" s="181" t="s">
        <v>5596</v>
      </c>
      <c r="C104" s="182" t="s">
        <v>287</v>
      </c>
      <c r="D104" s="184">
        <v>50</v>
      </c>
      <c r="E104" s="184">
        <v>0</v>
      </c>
      <c r="F104" s="184">
        <v>0</v>
      </c>
      <c r="G104" s="184">
        <v>60</v>
      </c>
      <c r="H104" s="184">
        <v>13</v>
      </c>
      <c r="I104" s="185">
        <f t="shared" si="19"/>
        <v>300000</v>
      </c>
      <c r="J104" s="185">
        <f t="shared" si="20"/>
        <v>50000</v>
      </c>
      <c r="K104" s="185">
        <f t="shared" si="21"/>
        <v>0</v>
      </c>
      <c r="L104" s="185">
        <f t="shared" si="22"/>
        <v>0</v>
      </c>
      <c r="M104" s="185">
        <f t="shared" si="23"/>
        <v>70000</v>
      </c>
      <c r="N104" s="185">
        <f t="shared" si="24"/>
        <v>0</v>
      </c>
      <c r="O104" s="194">
        <f t="shared" si="25"/>
        <v>420000</v>
      </c>
      <c r="P104" s="186" t="str">
        <f ca="1">IF(D104=0,'Виды прицепов'!$M$7,IF(D104=30,'Виды прицепов'!$M$8,'Виды прицепов'!$M$9))</f>
        <v>3650*1700*1070</v>
      </c>
      <c r="Q104" s="186" t="str">
        <f ca="1">IF(D104=0,'Виды прицепов'!$N$7,IF(D104=30,'Виды прицепов'!$N$8,'Виды прицепов'!$N$9))</f>
        <v>2500*1250*500</v>
      </c>
      <c r="R104" s="187"/>
      <c r="S104" s="187"/>
      <c r="T104" s="187"/>
      <c r="U104" s="187"/>
      <c r="V104" s="187"/>
      <c r="W104" s="187"/>
      <c r="X104" s="187"/>
      <c r="Y104" s="187"/>
      <c r="Z104" s="187"/>
    </row>
    <row r="105" spans="1:26" ht="72" outlineLevel="2">
      <c r="A105" s="188" t="s">
        <v>5597</v>
      </c>
      <c r="B105" s="189" t="s">
        <v>5598</v>
      </c>
      <c r="C105" s="182" t="s">
        <v>287</v>
      </c>
      <c r="D105" s="184">
        <v>50</v>
      </c>
      <c r="E105" s="184">
        <v>0</v>
      </c>
      <c r="F105" s="184">
        <v>0</v>
      </c>
      <c r="G105" s="183">
        <v>30</v>
      </c>
      <c r="H105" s="184">
        <v>13</v>
      </c>
      <c r="I105" s="185">
        <f t="shared" si="19"/>
        <v>300000</v>
      </c>
      <c r="J105" s="185">
        <f t="shared" si="20"/>
        <v>50000</v>
      </c>
      <c r="K105" s="185">
        <f t="shared" si="21"/>
        <v>0</v>
      </c>
      <c r="L105" s="185">
        <f t="shared" si="22"/>
        <v>0</v>
      </c>
      <c r="M105" s="185">
        <f t="shared" si="23"/>
        <v>35000</v>
      </c>
      <c r="N105" s="185">
        <f t="shared" si="24"/>
        <v>0</v>
      </c>
      <c r="O105" s="194">
        <f t="shared" si="25"/>
        <v>385000</v>
      </c>
      <c r="P105" s="186" t="str">
        <f ca="1">IF(D105=0,'Виды прицепов'!$M$7,IF(D105=30,'Виды прицепов'!$M$8,'Виды прицепов'!$M$9))</f>
        <v>3650*1700*1070</v>
      </c>
      <c r="Q105" s="186" t="str">
        <f ca="1">IF(D105=0,'Виды прицепов'!$N$7,IF(D105=30,'Виды прицепов'!$N$8,'Виды прицепов'!$N$9))</f>
        <v>2500*1250*500</v>
      </c>
      <c r="R105" s="187"/>
      <c r="S105" s="187"/>
      <c r="T105" s="187"/>
      <c r="U105" s="187"/>
      <c r="V105" s="187"/>
      <c r="W105" s="187"/>
      <c r="X105" s="187"/>
      <c r="Y105" s="187"/>
      <c r="Z105" s="187"/>
    </row>
    <row r="106" spans="1:26" ht="72" outlineLevel="2">
      <c r="A106" s="180" t="s">
        <v>5599</v>
      </c>
      <c r="B106" s="181" t="s">
        <v>5600</v>
      </c>
      <c r="C106" s="182" t="s">
        <v>287</v>
      </c>
      <c r="D106" s="184">
        <v>50</v>
      </c>
      <c r="E106" s="184">
        <v>0</v>
      </c>
      <c r="F106" s="184" t="s">
        <v>5371</v>
      </c>
      <c r="G106" s="184">
        <v>60</v>
      </c>
      <c r="H106" s="184">
        <v>13</v>
      </c>
      <c r="I106" s="185">
        <f t="shared" si="19"/>
        <v>300000</v>
      </c>
      <c r="J106" s="185">
        <f t="shared" si="20"/>
        <v>50000</v>
      </c>
      <c r="K106" s="185">
        <f t="shared" si="21"/>
        <v>0</v>
      </c>
      <c r="L106" s="185">
        <f t="shared" si="22"/>
        <v>10000</v>
      </c>
      <c r="M106" s="185">
        <f t="shared" si="23"/>
        <v>70000</v>
      </c>
      <c r="N106" s="185">
        <f t="shared" si="24"/>
        <v>0</v>
      </c>
      <c r="O106" s="194">
        <f t="shared" si="25"/>
        <v>430000</v>
      </c>
      <c r="P106" s="186" t="str">
        <f ca="1">IF(D106=0,'Виды прицепов'!$M$7,IF(D106=30,'Виды прицепов'!$M$8,'Виды прицепов'!$M$9))</f>
        <v>3650*1700*1070</v>
      </c>
      <c r="Q106" s="186" t="str">
        <f ca="1">IF(D106=0,'Виды прицепов'!$N$7,IF(D106=30,'Виды прицепов'!$N$8,'Виды прицепов'!$N$9))</f>
        <v>2500*1250*500</v>
      </c>
      <c r="R106" s="187"/>
      <c r="S106" s="187"/>
      <c r="T106" s="187"/>
      <c r="U106" s="187"/>
      <c r="V106" s="187"/>
      <c r="W106" s="187"/>
      <c r="X106" s="187"/>
      <c r="Y106" s="187"/>
      <c r="Z106" s="187"/>
    </row>
    <row r="107" spans="1:26" ht="72" outlineLevel="2">
      <c r="A107" s="188" t="s">
        <v>5601</v>
      </c>
      <c r="B107" s="189" t="s">
        <v>5602</v>
      </c>
      <c r="C107" s="182" t="s">
        <v>287</v>
      </c>
      <c r="D107" s="184">
        <v>50</v>
      </c>
      <c r="E107" s="184">
        <v>0</v>
      </c>
      <c r="F107" s="184" t="s">
        <v>5371</v>
      </c>
      <c r="G107" s="183">
        <v>30</v>
      </c>
      <c r="H107" s="184">
        <v>13</v>
      </c>
      <c r="I107" s="185">
        <f t="shared" si="19"/>
        <v>300000</v>
      </c>
      <c r="J107" s="185">
        <f t="shared" si="20"/>
        <v>50000</v>
      </c>
      <c r="K107" s="185">
        <f t="shared" si="21"/>
        <v>0</v>
      </c>
      <c r="L107" s="185">
        <f t="shared" si="22"/>
        <v>10000</v>
      </c>
      <c r="M107" s="185">
        <f t="shared" si="23"/>
        <v>35000</v>
      </c>
      <c r="N107" s="185">
        <f t="shared" si="24"/>
        <v>0</v>
      </c>
      <c r="O107" s="194">
        <f t="shared" si="25"/>
        <v>395000</v>
      </c>
      <c r="P107" s="186" t="str">
        <f ca="1">IF(D107=0,'Виды прицепов'!$M$7,IF(D107=30,'Виды прицепов'!$M$8,'Виды прицепов'!$M$9))</f>
        <v>3650*1700*1070</v>
      </c>
      <c r="Q107" s="186" t="str">
        <f ca="1">IF(D107=0,'Виды прицепов'!$N$7,IF(D107=30,'Виды прицепов'!$N$8,'Виды прицепов'!$N$9))</f>
        <v>2500*1250*500</v>
      </c>
      <c r="R107" s="187"/>
      <c r="S107" s="187"/>
      <c r="T107" s="187"/>
      <c r="U107" s="187"/>
      <c r="V107" s="187"/>
      <c r="W107" s="187"/>
      <c r="X107" s="187"/>
      <c r="Y107" s="187"/>
      <c r="Z107" s="187"/>
    </row>
    <row r="108" spans="1:26" ht="72" outlineLevel="2">
      <c r="A108" s="180" t="s">
        <v>5603</v>
      </c>
      <c r="B108" s="181" t="s">
        <v>5604</v>
      </c>
      <c r="C108" s="182" t="s">
        <v>287</v>
      </c>
      <c r="D108" s="184">
        <v>50</v>
      </c>
      <c r="E108" s="184">
        <v>0</v>
      </c>
      <c r="F108" s="184">
        <v>0</v>
      </c>
      <c r="G108" s="184">
        <v>90</v>
      </c>
      <c r="H108" s="184">
        <v>13</v>
      </c>
      <c r="I108" s="185">
        <f t="shared" si="19"/>
        <v>300000</v>
      </c>
      <c r="J108" s="185">
        <f t="shared" si="20"/>
        <v>50000</v>
      </c>
      <c r="K108" s="185">
        <f t="shared" si="21"/>
        <v>0</v>
      </c>
      <c r="L108" s="185">
        <f t="shared" si="22"/>
        <v>0</v>
      </c>
      <c r="M108" s="185">
        <f t="shared" si="23"/>
        <v>90000</v>
      </c>
      <c r="N108" s="185">
        <f t="shared" si="24"/>
        <v>0</v>
      </c>
      <c r="O108" s="194">
        <f t="shared" si="25"/>
        <v>440000</v>
      </c>
      <c r="P108" s="186" t="str">
        <f ca="1">IF(D108=0,'Виды прицепов'!$M$7,IF(D108=30,'Виды прицепов'!$M$8,'Виды прицепов'!$M$9))</f>
        <v>3650*1700*1070</v>
      </c>
      <c r="Q108" s="186" t="str">
        <f ca="1">IF(D108=0,'Виды прицепов'!$N$7,IF(D108=30,'Виды прицепов'!$N$8,'Виды прицепов'!$N$9))</f>
        <v>2500*1250*500</v>
      </c>
      <c r="R108" s="187"/>
      <c r="S108" s="187"/>
      <c r="T108" s="187"/>
      <c r="U108" s="187"/>
      <c r="V108" s="187"/>
      <c r="W108" s="187"/>
      <c r="X108" s="187"/>
      <c r="Y108" s="187"/>
      <c r="Z108" s="187"/>
    </row>
    <row r="109" spans="1:26" ht="72" outlineLevel="2">
      <c r="A109" s="180" t="s">
        <v>5605</v>
      </c>
      <c r="B109" s="181" t="s">
        <v>5606</v>
      </c>
      <c r="C109" s="182" t="s">
        <v>287</v>
      </c>
      <c r="D109" s="184">
        <v>50</v>
      </c>
      <c r="E109" s="184">
        <v>0</v>
      </c>
      <c r="F109" s="184" t="s">
        <v>5371</v>
      </c>
      <c r="G109" s="184">
        <v>90</v>
      </c>
      <c r="H109" s="184">
        <v>13</v>
      </c>
      <c r="I109" s="185">
        <f t="shared" ref="I109:I140" si="26">VLOOKUP(C109,Платформа,2,0)</f>
        <v>300000</v>
      </c>
      <c r="J109" s="185">
        <f t="shared" ref="J109:J140" si="27">VLOOKUP(D109,борт_2513,2)</f>
        <v>50000</v>
      </c>
      <c r="K109" s="185">
        <f t="shared" ref="K109:K140" si="28">VLOOKUP(E109,колесо,2,0)</f>
        <v>0</v>
      </c>
      <c r="L109" s="185">
        <f t="shared" ref="L109:L140" si="29">VLOOKUP(F109,опорное_колесо,2,0)</f>
        <v>10000</v>
      </c>
      <c r="M109" s="185">
        <f t="shared" ref="M109:M140" si="30">VLOOKUP(G109,тент_2513,2,0)</f>
        <v>90000</v>
      </c>
      <c r="N109" s="185">
        <f t="shared" ref="N109:N140" si="31">VLOOKUP(H109,ступица,2,0)</f>
        <v>0</v>
      </c>
      <c r="O109" s="194">
        <f t="shared" si="25"/>
        <v>450000</v>
      </c>
      <c r="P109" s="186" t="str">
        <f ca="1">IF(D109=0,'Виды прицепов'!$M$7,IF(D109=30,'Виды прицепов'!$M$8,'Виды прицепов'!$M$9))</f>
        <v>3650*1700*1070</v>
      </c>
      <c r="Q109" s="186" t="str">
        <f ca="1">IF(D109=0,'Виды прицепов'!$N$7,IF(D109=30,'Виды прицепов'!$N$8,'Виды прицепов'!$N$9))</f>
        <v>2500*1250*500</v>
      </c>
      <c r="R109" s="187"/>
      <c r="S109" s="187"/>
      <c r="T109" s="187"/>
      <c r="U109" s="187"/>
      <c r="V109" s="187"/>
      <c r="W109" s="187"/>
      <c r="X109" s="187"/>
      <c r="Y109" s="187"/>
      <c r="Z109" s="187"/>
    </row>
    <row r="110" spans="1:26" ht="57.6" outlineLevel="2">
      <c r="A110" s="180" t="s">
        <v>5607</v>
      </c>
      <c r="B110" s="181" t="s">
        <v>5608</v>
      </c>
      <c r="C110" s="182" t="s">
        <v>287</v>
      </c>
      <c r="D110" s="184">
        <v>0</v>
      </c>
      <c r="E110" s="184">
        <v>13</v>
      </c>
      <c r="F110" s="184" t="s">
        <v>5371</v>
      </c>
      <c r="G110" s="184">
        <v>0</v>
      </c>
      <c r="H110" s="184">
        <v>13</v>
      </c>
      <c r="I110" s="185">
        <f t="shared" si="26"/>
        <v>300000</v>
      </c>
      <c r="J110" s="185">
        <f t="shared" si="27"/>
        <v>0</v>
      </c>
      <c r="K110" s="185">
        <f t="shared" si="28"/>
        <v>30000</v>
      </c>
      <c r="L110" s="185">
        <f t="shared" si="29"/>
        <v>10000</v>
      </c>
      <c r="M110" s="185">
        <f t="shared" si="30"/>
        <v>0</v>
      </c>
      <c r="N110" s="185">
        <f t="shared" si="31"/>
        <v>0</v>
      </c>
      <c r="O110" s="194">
        <f t="shared" si="25"/>
        <v>340000</v>
      </c>
      <c r="P110" s="186" t="str">
        <f ca="1">IF(D110=0,'Виды прицепов'!$M$7,IF(D110=30,'Виды прицепов'!$M$8,'Виды прицепов'!$M$9))</f>
        <v>4000*1700*650</v>
      </c>
      <c r="Q110" s="186" t="str">
        <f ca="1">IF(D110=0,'Виды прицепов'!$N$7,IF(D110=30,'Виды прицепов'!$N$8,'Виды прицепов'!$N$9))</f>
        <v>2500*1250*0</v>
      </c>
      <c r="R110" s="187"/>
      <c r="S110" s="187"/>
      <c r="T110" s="187"/>
      <c r="U110" s="187"/>
      <c r="V110" s="187"/>
      <c r="W110" s="187"/>
      <c r="X110" s="187"/>
      <c r="Y110" s="187"/>
      <c r="Z110" s="187"/>
    </row>
    <row r="111" spans="1:26" ht="72" outlineLevel="2">
      <c r="A111" s="180" t="s">
        <v>5609</v>
      </c>
      <c r="B111" s="181" t="s">
        <v>5610</v>
      </c>
      <c r="C111" s="182" t="s">
        <v>287</v>
      </c>
      <c r="D111" s="184">
        <v>50</v>
      </c>
      <c r="E111" s="184">
        <v>13</v>
      </c>
      <c r="F111" s="184">
        <v>0</v>
      </c>
      <c r="G111" s="184">
        <v>0</v>
      </c>
      <c r="H111" s="184">
        <v>13</v>
      </c>
      <c r="I111" s="185">
        <f t="shared" si="26"/>
        <v>300000</v>
      </c>
      <c r="J111" s="185">
        <f t="shared" si="27"/>
        <v>50000</v>
      </c>
      <c r="K111" s="185">
        <f t="shared" si="28"/>
        <v>30000</v>
      </c>
      <c r="L111" s="185">
        <f t="shared" si="29"/>
        <v>0</v>
      </c>
      <c r="M111" s="185">
        <f t="shared" si="30"/>
        <v>0</v>
      </c>
      <c r="N111" s="185">
        <f t="shared" si="31"/>
        <v>0</v>
      </c>
      <c r="O111" s="194">
        <f t="shared" si="25"/>
        <v>380000</v>
      </c>
      <c r="P111" s="186" t="str">
        <f ca="1">IF(D111=0,'Виды прицепов'!$M$7,IF(D111=30,'Виды прицепов'!$M$8,'Виды прицепов'!$M$9))</f>
        <v>3650*1700*1070</v>
      </c>
      <c r="Q111" s="186" t="str">
        <f ca="1">IF(D111=0,'Виды прицепов'!$N$7,IF(D111=30,'Виды прицепов'!$N$8,'Виды прицепов'!$N$9))</f>
        <v>2500*1250*500</v>
      </c>
      <c r="R111" s="187"/>
      <c r="S111" s="187"/>
      <c r="T111" s="187"/>
      <c r="U111" s="187"/>
      <c r="V111" s="187"/>
      <c r="W111" s="187"/>
      <c r="X111" s="187"/>
      <c r="Y111" s="187"/>
      <c r="Z111" s="187"/>
    </row>
    <row r="112" spans="1:26" ht="72" outlineLevel="2">
      <c r="A112" s="180" t="s">
        <v>5611</v>
      </c>
      <c r="B112" s="181" t="s">
        <v>5612</v>
      </c>
      <c r="C112" s="182" t="s">
        <v>287</v>
      </c>
      <c r="D112" s="184">
        <v>50</v>
      </c>
      <c r="E112" s="184">
        <v>13</v>
      </c>
      <c r="F112" s="184" t="s">
        <v>5371</v>
      </c>
      <c r="G112" s="184">
        <v>0</v>
      </c>
      <c r="H112" s="184">
        <v>13</v>
      </c>
      <c r="I112" s="185">
        <f t="shared" si="26"/>
        <v>300000</v>
      </c>
      <c r="J112" s="185">
        <f t="shared" si="27"/>
        <v>50000</v>
      </c>
      <c r="K112" s="185">
        <f t="shared" si="28"/>
        <v>30000</v>
      </c>
      <c r="L112" s="185">
        <f t="shared" si="29"/>
        <v>10000</v>
      </c>
      <c r="M112" s="185">
        <f t="shared" si="30"/>
        <v>0</v>
      </c>
      <c r="N112" s="185">
        <f t="shared" si="31"/>
        <v>0</v>
      </c>
      <c r="O112" s="194">
        <f t="shared" si="25"/>
        <v>390000</v>
      </c>
      <c r="P112" s="186" t="str">
        <f ca="1">IF(D112=0,'Виды прицепов'!$M$7,IF(D112=30,'Виды прицепов'!$M$8,'Виды прицепов'!$M$9))</f>
        <v>3650*1700*1070</v>
      </c>
      <c r="Q112" s="186" t="str">
        <f ca="1">IF(D112=0,'Виды прицепов'!$N$7,IF(D112=30,'Виды прицепов'!$N$8,'Виды прицепов'!$N$9))</f>
        <v>2500*1250*500</v>
      </c>
      <c r="R112" s="187"/>
      <c r="S112" s="187"/>
      <c r="T112" s="187"/>
      <c r="U112" s="187"/>
      <c r="V112" s="187"/>
      <c r="W112" s="187"/>
      <c r="X112" s="187"/>
      <c r="Y112" s="187"/>
      <c r="Z112" s="187"/>
    </row>
    <row r="113" spans="1:26" ht="57.6" outlineLevel="2">
      <c r="A113" s="180" t="s">
        <v>5613</v>
      </c>
      <c r="B113" s="181" t="s">
        <v>5614</v>
      </c>
      <c r="C113" s="182" t="s">
        <v>287</v>
      </c>
      <c r="D113" s="184">
        <v>0</v>
      </c>
      <c r="E113" s="184">
        <v>0</v>
      </c>
      <c r="F113" s="184" t="s">
        <v>5371</v>
      </c>
      <c r="G113" s="184">
        <v>0</v>
      </c>
      <c r="H113" s="184">
        <v>15</v>
      </c>
      <c r="I113" s="185">
        <f t="shared" si="26"/>
        <v>300000</v>
      </c>
      <c r="J113" s="185">
        <f t="shared" si="27"/>
        <v>0</v>
      </c>
      <c r="K113" s="185">
        <f t="shared" si="28"/>
        <v>0</v>
      </c>
      <c r="L113" s="185">
        <f t="shared" si="29"/>
        <v>10000</v>
      </c>
      <c r="M113" s="185">
        <f t="shared" si="30"/>
        <v>0</v>
      </c>
      <c r="N113" s="185">
        <f t="shared" si="31"/>
        <v>30000</v>
      </c>
      <c r="O113" s="194">
        <f t="shared" si="25"/>
        <v>310000</v>
      </c>
      <c r="P113" s="186" t="str">
        <f ca="1">IF(D113=0,'Виды прицепов'!$M$7,IF(D113=30,'Виды прицепов'!$M$8,'Виды прицепов'!$M$9))</f>
        <v>4000*1700*650</v>
      </c>
      <c r="Q113" s="186" t="str">
        <f ca="1">IF(D113=0,'Виды прицепов'!$N$7,IF(D113=30,'Виды прицепов'!$N$8,'Виды прицепов'!$N$9))</f>
        <v>2500*1250*0</v>
      </c>
      <c r="R113" s="187"/>
      <c r="S113" s="187"/>
      <c r="T113" s="187"/>
      <c r="U113" s="187"/>
      <c r="V113" s="187"/>
      <c r="W113" s="187"/>
      <c r="X113" s="187"/>
      <c r="Y113" s="187"/>
      <c r="Z113" s="187"/>
    </row>
    <row r="114" spans="1:26" ht="57.6" outlineLevel="2">
      <c r="A114" s="180" t="s">
        <v>5615</v>
      </c>
      <c r="B114" s="181" t="s">
        <v>5616</v>
      </c>
      <c r="C114" s="182" t="s">
        <v>287</v>
      </c>
      <c r="D114" s="184">
        <v>50</v>
      </c>
      <c r="E114" s="184">
        <v>0</v>
      </c>
      <c r="F114" s="184">
        <v>0</v>
      </c>
      <c r="G114" s="184">
        <v>0</v>
      </c>
      <c r="H114" s="184">
        <v>15</v>
      </c>
      <c r="I114" s="185">
        <f t="shared" si="26"/>
        <v>300000</v>
      </c>
      <c r="J114" s="185">
        <f t="shared" si="27"/>
        <v>50000</v>
      </c>
      <c r="K114" s="185">
        <f t="shared" si="28"/>
        <v>0</v>
      </c>
      <c r="L114" s="185">
        <f t="shared" si="29"/>
        <v>0</v>
      </c>
      <c r="M114" s="185">
        <f t="shared" si="30"/>
        <v>0</v>
      </c>
      <c r="N114" s="185">
        <f t="shared" si="31"/>
        <v>30000</v>
      </c>
      <c r="O114" s="194">
        <f t="shared" si="25"/>
        <v>350000</v>
      </c>
      <c r="P114" s="186" t="str">
        <f ca="1">IF(D114=0,'Виды прицепов'!$M$7,IF(D114=30,'Виды прицепов'!$M$8,'Виды прицепов'!$M$9))</f>
        <v>3650*1700*1070</v>
      </c>
      <c r="Q114" s="186" t="str">
        <f ca="1">IF(D114=0,'Виды прицепов'!$N$7,IF(D114=30,'Виды прицепов'!$N$8,'Виды прицепов'!$N$9))</f>
        <v>2500*1250*500</v>
      </c>
      <c r="R114" s="187"/>
      <c r="S114" s="187"/>
      <c r="T114" s="187"/>
      <c r="U114" s="187"/>
      <c r="V114" s="187"/>
      <c r="W114" s="187"/>
      <c r="X114" s="187"/>
      <c r="Y114" s="187"/>
      <c r="Z114" s="187"/>
    </row>
    <row r="115" spans="1:26" ht="57.6" outlineLevel="2">
      <c r="A115" s="180" t="s">
        <v>5617</v>
      </c>
      <c r="B115" s="181" t="s">
        <v>5618</v>
      </c>
      <c r="C115" s="182" t="s">
        <v>287</v>
      </c>
      <c r="D115" s="184">
        <v>50</v>
      </c>
      <c r="E115" s="184">
        <v>0</v>
      </c>
      <c r="F115" s="184" t="s">
        <v>5371</v>
      </c>
      <c r="G115" s="184">
        <v>0</v>
      </c>
      <c r="H115" s="184">
        <v>15</v>
      </c>
      <c r="I115" s="185">
        <f t="shared" si="26"/>
        <v>300000</v>
      </c>
      <c r="J115" s="185">
        <f t="shared" si="27"/>
        <v>50000</v>
      </c>
      <c r="K115" s="185">
        <f t="shared" si="28"/>
        <v>0</v>
      </c>
      <c r="L115" s="185">
        <f t="shared" si="29"/>
        <v>10000</v>
      </c>
      <c r="M115" s="185">
        <f t="shared" si="30"/>
        <v>0</v>
      </c>
      <c r="N115" s="185">
        <f t="shared" si="31"/>
        <v>30000</v>
      </c>
      <c r="O115" s="194">
        <f t="shared" si="25"/>
        <v>360000</v>
      </c>
      <c r="P115" s="186" t="str">
        <f ca="1">IF(D115=0,'Виды прицепов'!$M$7,IF(D115=30,'Виды прицепов'!$M$8,'Виды прицепов'!$M$9))</f>
        <v>3650*1700*1070</v>
      </c>
      <c r="Q115" s="186" t="str">
        <f ca="1">IF(D115=0,'Виды прицепов'!$N$7,IF(D115=30,'Виды прицепов'!$N$8,'Виды прицепов'!$N$9))</f>
        <v>2500*1250*500</v>
      </c>
      <c r="R115" s="187"/>
      <c r="S115" s="187"/>
      <c r="T115" s="187"/>
      <c r="U115" s="187"/>
      <c r="V115" s="187"/>
      <c r="W115" s="187"/>
      <c r="X115" s="187"/>
      <c r="Y115" s="187"/>
      <c r="Z115" s="187"/>
    </row>
    <row r="116" spans="1:26" ht="72" outlineLevel="2">
      <c r="A116" s="180" t="s">
        <v>5619</v>
      </c>
      <c r="B116" s="181" t="s">
        <v>5620</v>
      </c>
      <c r="C116" s="182" t="s">
        <v>287</v>
      </c>
      <c r="D116" s="184">
        <v>50</v>
      </c>
      <c r="E116" s="184">
        <v>0</v>
      </c>
      <c r="F116" s="184">
        <v>0</v>
      </c>
      <c r="G116" s="184">
        <v>60</v>
      </c>
      <c r="H116" s="184">
        <v>15</v>
      </c>
      <c r="I116" s="185">
        <f t="shared" si="26"/>
        <v>300000</v>
      </c>
      <c r="J116" s="185">
        <f t="shared" si="27"/>
        <v>50000</v>
      </c>
      <c r="K116" s="185">
        <f t="shared" si="28"/>
        <v>0</v>
      </c>
      <c r="L116" s="185">
        <f t="shared" si="29"/>
        <v>0</v>
      </c>
      <c r="M116" s="185">
        <f t="shared" si="30"/>
        <v>70000</v>
      </c>
      <c r="N116" s="185">
        <f t="shared" si="31"/>
        <v>30000</v>
      </c>
      <c r="O116" s="194">
        <f t="shared" si="25"/>
        <v>420000</v>
      </c>
      <c r="P116" s="186" t="str">
        <f ca="1">IF(D116=0,'Виды прицепов'!$M$7,IF(D116=30,'Виды прицепов'!$M$8,'Виды прицепов'!$M$9))</f>
        <v>3650*1700*1070</v>
      </c>
      <c r="Q116" s="186" t="str">
        <f ca="1">IF(D116=0,'Виды прицепов'!$N$7,IF(D116=30,'Виды прицепов'!$N$8,'Виды прицепов'!$N$9))</f>
        <v>2500*1250*500</v>
      </c>
      <c r="R116" s="187"/>
      <c r="S116" s="187"/>
      <c r="T116" s="187"/>
      <c r="U116" s="187"/>
      <c r="V116" s="187"/>
      <c r="W116" s="187"/>
      <c r="X116" s="187"/>
      <c r="Y116" s="187"/>
      <c r="Z116" s="187"/>
    </row>
    <row r="117" spans="1:26" ht="72" outlineLevel="2">
      <c r="A117" s="188" t="s">
        <v>5621</v>
      </c>
      <c r="B117" s="189" t="s">
        <v>5622</v>
      </c>
      <c r="C117" s="182" t="s">
        <v>287</v>
      </c>
      <c r="D117" s="184">
        <v>50</v>
      </c>
      <c r="E117" s="184">
        <v>0</v>
      </c>
      <c r="F117" s="184">
        <v>0</v>
      </c>
      <c r="G117" s="183">
        <v>30</v>
      </c>
      <c r="H117" s="184">
        <v>15</v>
      </c>
      <c r="I117" s="185">
        <f t="shared" si="26"/>
        <v>300000</v>
      </c>
      <c r="J117" s="185">
        <f t="shared" si="27"/>
        <v>50000</v>
      </c>
      <c r="K117" s="185">
        <f t="shared" si="28"/>
        <v>0</v>
      </c>
      <c r="L117" s="185">
        <f t="shared" si="29"/>
        <v>0</v>
      </c>
      <c r="M117" s="185">
        <f t="shared" si="30"/>
        <v>35000</v>
      </c>
      <c r="N117" s="185">
        <f t="shared" si="31"/>
        <v>30000</v>
      </c>
      <c r="O117" s="194">
        <f t="shared" si="25"/>
        <v>385000</v>
      </c>
      <c r="P117" s="186" t="str">
        <f ca="1">IF(D117=0,'Виды прицепов'!$M$7,IF(D117=30,'Виды прицепов'!$M$8,'Виды прицепов'!$M$9))</f>
        <v>3650*1700*1070</v>
      </c>
      <c r="Q117" s="186" t="str">
        <f ca="1">IF(D117=0,'Виды прицепов'!$N$7,IF(D117=30,'Виды прицепов'!$N$8,'Виды прицепов'!$N$9))</f>
        <v>2500*1250*500</v>
      </c>
      <c r="R117" s="187"/>
      <c r="S117" s="187"/>
      <c r="T117" s="187"/>
      <c r="U117" s="187"/>
      <c r="V117" s="187"/>
      <c r="W117" s="187"/>
      <c r="X117" s="187"/>
      <c r="Y117" s="187"/>
      <c r="Z117" s="187"/>
    </row>
    <row r="118" spans="1:26" ht="72" outlineLevel="2">
      <c r="A118" s="180" t="s">
        <v>5623</v>
      </c>
      <c r="B118" s="181" t="s">
        <v>5624</v>
      </c>
      <c r="C118" s="182" t="s">
        <v>287</v>
      </c>
      <c r="D118" s="184">
        <v>50</v>
      </c>
      <c r="E118" s="184">
        <v>0</v>
      </c>
      <c r="F118" s="184" t="s">
        <v>5371</v>
      </c>
      <c r="G118" s="184">
        <v>60</v>
      </c>
      <c r="H118" s="184">
        <v>15</v>
      </c>
      <c r="I118" s="185">
        <f t="shared" si="26"/>
        <v>300000</v>
      </c>
      <c r="J118" s="185">
        <f t="shared" si="27"/>
        <v>50000</v>
      </c>
      <c r="K118" s="185">
        <f t="shared" si="28"/>
        <v>0</v>
      </c>
      <c r="L118" s="185">
        <f t="shared" si="29"/>
        <v>10000</v>
      </c>
      <c r="M118" s="185">
        <f t="shared" si="30"/>
        <v>70000</v>
      </c>
      <c r="N118" s="185">
        <f t="shared" si="31"/>
        <v>30000</v>
      </c>
      <c r="O118" s="194">
        <f t="shared" si="25"/>
        <v>430000</v>
      </c>
      <c r="P118" s="186" t="str">
        <f ca="1">IF(D118=0,'Виды прицепов'!$M$7,IF(D118=30,'Виды прицепов'!$M$8,'Виды прицепов'!$M$9))</f>
        <v>3650*1700*1070</v>
      </c>
      <c r="Q118" s="186" t="str">
        <f ca="1">IF(D118=0,'Виды прицепов'!$N$7,IF(D118=30,'Виды прицепов'!$N$8,'Виды прицепов'!$N$9))</f>
        <v>2500*1250*500</v>
      </c>
      <c r="R118" s="187"/>
      <c r="S118" s="187"/>
      <c r="T118" s="187"/>
      <c r="U118" s="187"/>
      <c r="V118" s="187"/>
      <c r="W118" s="187"/>
      <c r="X118" s="187"/>
      <c r="Y118" s="187"/>
      <c r="Z118" s="187"/>
    </row>
    <row r="119" spans="1:26" ht="72" outlineLevel="2">
      <c r="A119" s="188" t="s">
        <v>5625</v>
      </c>
      <c r="B119" s="189" t="s">
        <v>5626</v>
      </c>
      <c r="C119" s="182" t="s">
        <v>287</v>
      </c>
      <c r="D119" s="184">
        <v>50</v>
      </c>
      <c r="E119" s="184">
        <v>0</v>
      </c>
      <c r="F119" s="184" t="s">
        <v>5371</v>
      </c>
      <c r="G119" s="183">
        <v>30</v>
      </c>
      <c r="H119" s="184">
        <v>15</v>
      </c>
      <c r="I119" s="185">
        <f t="shared" si="26"/>
        <v>300000</v>
      </c>
      <c r="J119" s="185">
        <f t="shared" si="27"/>
        <v>50000</v>
      </c>
      <c r="K119" s="185">
        <f t="shared" si="28"/>
        <v>0</v>
      </c>
      <c r="L119" s="185">
        <f t="shared" si="29"/>
        <v>10000</v>
      </c>
      <c r="M119" s="185">
        <f t="shared" si="30"/>
        <v>35000</v>
      </c>
      <c r="N119" s="185">
        <f t="shared" si="31"/>
        <v>30000</v>
      </c>
      <c r="O119" s="194">
        <f t="shared" si="25"/>
        <v>395000</v>
      </c>
      <c r="P119" s="186" t="str">
        <f ca="1">IF(D119=0,'Виды прицепов'!$M$7,IF(D119=30,'Виды прицепов'!$M$8,'Виды прицепов'!$M$9))</f>
        <v>3650*1700*1070</v>
      </c>
      <c r="Q119" s="186" t="str">
        <f ca="1">IF(D119=0,'Виды прицепов'!$N$7,IF(D119=30,'Виды прицепов'!$N$8,'Виды прицепов'!$N$9))</f>
        <v>2500*1250*500</v>
      </c>
      <c r="R119" s="187"/>
      <c r="S119" s="187"/>
      <c r="T119" s="187"/>
      <c r="U119" s="187"/>
      <c r="V119" s="187"/>
      <c r="W119" s="187"/>
      <c r="X119" s="187"/>
      <c r="Y119" s="187"/>
      <c r="Z119" s="187"/>
    </row>
    <row r="120" spans="1:26" ht="72" outlineLevel="2">
      <c r="A120" s="180" t="s">
        <v>5627</v>
      </c>
      <c r="B120" s="181" t="s">
        <v>5628</v>
      </c>
      <c r="C120" s="182" t="s">
        <v>287</v>
      </c>
      <c r="D120" s="184">
        <v>50</v>
      </c>
      <c r="E120" s="184">
        <v>0</v>
      </c>
      <c r="F120" s="184">
        <v>0</v>
      </c>
      <c r="G120" s="184">
        <v>90</v>
      </c>
      <c r="H120" s="184">
        <v>15</v>
      </c>
      <c r="I120" s="185">
        <f t="shared" si="26"/>
        <v>300000</v>
      </c>
      <c r="J120" s="185">
        <f t="shared" si="27"/>
        <v>50000</v>
      </c>
      <c r="K120" s="185">
        <f t="shared" si="28"/>
        <v>0</v>
      </c>
      <c r="L120" s="185">
        <f t="shared" si="29"/>
        <v>0</v>
      </c>
      <c r="M120" s="185">
        <f t="shared" si="30"/>
        <v>90000</v>
      </c>
      <c r="N120" s="185">
        <f t="shared" si="31"/>
        <v>30000</v>
      </c>
      <c r="O120" s="194">
        <f t="shared" si="25"/>
        <v>440000</v>
      </c>
      <c r="P120" s="186" t="str">
        <f ca="1">IF(D120=0,'Виды прицепов'!$M$7,IF(D120=30,'Виды прицепов'!$M$8,'Виды прицепов'!$M$9))</f>
        <v>3650*1700*1070</v>
      </c>
      <c r="Q120" s="186" t="str">
        <f ca="1">IF(D120=0,'Виды прицепов'!$N$7,IF(D120=30,'Виды прицепов'!$N$8,'Виды прицепов'!$N$9))</f>
        <v>2500*1250*500</v>
      </c>
      <c r="R120" s="187"/>
      <c r="S120" s="187"/>
      <c r="T120" s="187"/>
      <c r="U120" s="187"/>
      <c r="V120" s="187"/>
      <c r="W120" s="187"/>
      <c r="X120" s="187"/>
      <c r="Y120" s="187"/>
      <c r="Z120" s="187"/>
    </row>
    <row r="121" spans="1:26" ht="72" outlineLevel="2">
      <c r="A121" s="180" t="s">
        <v>5629</v>
      </c>
      <c r="B121" s="181" t="s">
        <v>5630</v>
      </c>
      <c r="C121" s="182" t="s">
        <v>287</v>
      </c>
      <c r="D121" s="184">
        <v>50</v>
      </c>
      <c r="E121" s="184">
        <v>0</v>
      </c>
      <c r="F121" s="184" t="s">
        <v>5371</v>
      </c>
      <c r="G121" s="184">
        <v>90</v>
      </c>
      <c r="H121" s="184">
        <v>15</v>
      </c>
      <c r="I121" s="185">
        <f t="shared" si="26"/>
        <v>300000</v>
      </c>
      <c r="J121" s="185">
        <f t="shared" si="27"/>
        <v>50000</v>
      </c>
      <c r="K121" s="185">
        <f t="shared" si="28"/>
        <v>0</v>
      </c>
      <c r="L121" s="185">
        <f t="shared" si="29"/>
        <v>10000</v>
      </c>
      <c r="M121" s="185">
        <f t="shared" si="30"/>
        <v>90000</v>
      </c>
      <c r="N121" s="185">
        <f t="shared" si="31"/>
        <v>30000</v>
      </c>
      <c r="O121" s="194">
        <f t="shared" si="25"/>
        <v>450000</v>
      </c>
      <c r="P121" s="186" t="str">
        <f ca="1">IF(D121=0,'Виды прицепов'!$M$7,IF(D121=30,'Виды прицепов'!$M$8,'Виды прицепов'!$M$9))</f>
        <v>3650*1700*1070</v>
      </c>
      <c r="Q121" s="186" t="str">
        <f ca="1">IF(D121=0,'Виды прицепов'!$N$7,IF(D121=30,'Виды прицепов'!$N$8,'Виды прицепов'!$N$9))</f>
        <v>2500*1250*500</v>
      </c>
      <c r="R121" s="187"/>
      <c r="S121" s="187"/>
      <c r="T121" s="187"/>
      <c r="U121" s="187"/>
      <c r="V121" s="187"/>
      <c r="W121" s="187"/>
      <c r="X121" s="187"/>
      <c r="Y121" s="187"/>
      <c r="Z121" s="187"/>
    </row>
    <row r="122" spans="1:26" ht="57.6" outlineLevel="2">
      <c r="A122" s="180" t="s">
        <v>5631</v>
      </c>
      <c r="B122" s="181" t="s">
        <v>5632</v>
      </c>
      <c r="C122" s="182" t="s">
        <v>287</v>
      </c>
      <c r="D122" s="184">
        <v>0</v>
      </c>
      <c r="E122" s="184">
        <v>15</v>
      </c>
      <c r="F122" s="184" t="s">
        <v>5371</v>
      </c>
      <c r="G122" s="184">
        <v>0</v>
      </c>
      <c r="H122" s="184">
        <v>15</v>
      </c>
      <c r="I122" s="185">
        <f t="shared" si="26"/>
        <v>300000</v>
      </c>
      <c r="J122" s="185">
        <f t="shared" si="27"/>
        <v>0</v>
      </c>
      <c r="K122" s="185">
        <f t="shared" si="28"/>
        <v>50000</v>
      </c>
      <c r="L122" s="185">
        <f t="shared" si="29"/>
        <v>10000</v>
      </c>
      <c r="M122" s="185">
        <f t="shared" si="30"/>
        <v>0</v>
      </c>
      <c r="N122" s="185">
        <f t="shared" si="31"/>
        <v>30000</v>
      </c>
      <c r="O122" s="194">
        <f t="shared" si="25"/>
        <v>360000</v>
      </c>
      <c r="P122" s="186" t="str">
        <f ca="1">IF(D122=0,'Виды прицепов'!$M$7,IF(D122=30,'Виды прицепов'!$M$8,'Виды прицепов'!$M$9))</f>
        <v>4000*1700*650</v>
      </c>
      <c r="Q122" s="186" t="str">
        <f ca="1">IF(D122=0,'Виды прицепов'!$N$7,IF(D122=30,'Виды прицепов'!$N$8,'Виды прицепов'!$N$9))</f>
        <v>2500*1250*0</v>
      </c>
      <c r="R122" s="187"/>
      <c r="S122" s="187"/>
      <c r="T122" s="187"/>
      <c r="U122" s="187"/>
      <c r="V122" s="187"/>
      <c r="W122" s="187"/>
      <c r="X122" s="187"/>
      <c r="Y122" s="187"/>
      <c r="Z122" s="187"/>
    </row>
    <row r="123" spans="1:26" ht="72" outlineLevel="2">
      <c r="A123" s="180" t="s">
        <v>5633</v>
      </c>
      <c r="B123" s="181" t="s">
        <v>5634</v>
      </c>
      <c r="C123" s="182" t="s">
        <v>287</v>
      </c>
      <c r="D123" s="184">
        <v>50</v>
      </c>
      <c r="E123" s="184">
        <v>15</v>
      </c>
      <c r="F123" s="184">
        <v>0</v>
      </c>
      <c r="G123" s="184">
        <v>0</v>
      </c>
      <c r="H123" s="184">
        <v>15</v>
      </c>
      <c r="I123" s="185">
        <f t="shared" si="26"/>
        <v>300000</v>
      </c>
      <c r="J123" s="185">
        <f t="shared" si="27"/>
        <v>50000</v>
      </c>
      <c r="K123" s="185">
        <f t="shared" si="28"/>
        <v>50000</v>
      </c>
      <c r="L123" s="185">
        <f t="shared" si="29"/>
        <v>0</v>
      </c>
      <c r="M123" s="185">
        <f t="shared" si="30"/>
        <v>0</v>
      </c>
      <c r="N123" s="185">
        <f t="shared" si="31"/>
        <v>30000</v>
      </c>
      <c r="O123" s="194">
        <f t="shared" si="25"/>
        <v>400000</v>
      </c>
      <c r="P123" s="186" t="str">
        <f ca="1">IF(D123=0,'Виды прицепов'!$M$7,IF(D123=30,'Виды прицепов'!$M$8,'Виды прицепов'!$M$9))</f>
        <v>3650*1700*1070</v>
      </c>
      <c r="Q123" s="186" t="str">
        <f ca="1">IF(D123=0,'Виды прицепов'!$N$7,IF(D123=30,'Виды прицепов'!$N$8,'Виды прицепов'!$N$9))</f>
        <v>2500*1250*500</v>
      </c>
      <c r="R123" s="187"/>
      <c r="S123" s="187"/>
      <c r="T123" s="187"/>
      <c r="U123" s="187"/>
      <c r="V123" s="187"/>
      <c r="W123" s="187"/>
      <c r="X123" s="187"/>
      <c r="Y123" s="187"/>
      <c r="Z123" s="187"/>
    </row>
    <row r="124" spans="1:26" ht="72" outlineLevel="2">
      <c r="A124" s="180" t="s">
        <v>5635</v>
      </c>
      <c r="B124" s="181" t="s">
        <v>5636</v>
      </c>
      <c r="C124" s="182" t="s">
        <v>287</v>
      </c>
      <c r="D124" s="184">
        <v>50</v>
      </c>
      <c r="E124" s="184">
        <v>15</v>
      </c>
      <c r="F124" s="184" t="s">
        <v>5371</v>
      </c>
      <c r="G124" s="184">
        <v>0</v>
      </c>
      <c r="H124" s="184">
        <v>15</v>
      </c>
      <c r="I124" s="185">
        <f t="shared" si="26"/>
        <v>300000</v>
      </c>
      <c r="J124" s="185">
        <f t="shared" si="27"/>
        <v>50000</v>
      </c>
      <c r="K124" s="185">
        <f t="shared" si="28"/>
        <v>50000</v>
      </c>
      <c r="L124" s="185">
        <f t="shared" si="29"/>
        <v>10000</v>
      </c>
      <c r="M124" s="185">
        <f t="shared" si="30"/>
        <v>0</v>
      </c>
      <c r="N124" s="185">
        <f t="shared" si="31"/>
        <v>30000</v>
      </c>
      <c r="O124" s="194">
        <f t="shared" si="25"/>
        <v>410000</v>
      </c>
      <c r="P124" s="186" t="str">
        <f ca="1">IF(D124=0,'Виды прицепов'!$M$7,IF(D124=30,'Виды прицепов'!$M$8,'Виды прицепов'!$M$9))</f>
        <v>3650*1700*1070</v>
      </c>
      <c r="Q124" s="186" t="str">
        <f ca="1">IF(D124=0,'Виды прицепов'!$N$7,IF(D124=30,'Виды прицепов'!$N$8,'Виды прицепов'!$N$9))</f>
        <v>2500*1250*500</v>
      </c>
      <c r="R124" s="187"/>
      <c r="S124" s="187"/>
      <c r="T124" s="187"/>
      <c r="U124" s="187"/>
      <c r="V124" s="187"/>
      <c r="W124" s="187"/>
      <c r="X124" s="187"/>
      <c r="Y124" s="187"/>
      <c r="Z124" s="187"/>
    </row>
    <row r="125" spans="1:26" ht="72" outlineLevel="2">
      <c r="A125" s="180" t="s">
        <v>5637</v>
      </c>
      <c r="B125" s="181" t="s">
        <v>5638</v>
      </c>
      <c r="C125" s="182" t="s">
        <v>287</v>
      </c>
      <c r="D125" s="184">
        <v>30</v>
      </c>
      <c r="E125" s="184">
        <v>13</v>
      </c>
      <c r="F125" s="184">
        <v>0</v>
      </c>
      <c r="G125" s="184">
        <v>60</v>
      </c>
      <c r="H125" s="184">
        <v>13</v>
      </c>
      <c r="I125" s="185">
        <f t="shared" si="26"/>
        <v>300000</v>
      </c>
      <c r="J125" s="185">
        <f t="shared" si="27"/>
        <v>40000</v>
      </c>
      <c r="K125" s="185">
        <f t="shared" si="28"/>
        <v>30000</v>
      </c>
      <c r="L125" s="185">
        <f t="shared" si="29"/>
        <v>0</v>
      </c>
      <c r="M125" s="185">
        <f t="shared" si="30"/>
        <v>70000</v>
      </c>
      <c r="N125" s="185">
        <f t="shared" si="31"/>
        <v>0</v>
      </c>
      <c r="O125" s="194">
        <f t="shared" si="25"/>
        <v>440000</v>
      </c>
      <c r="P125" s="186" t="str">
        <f ca="1">IF(D125=0,'Виды прицепов'!$M$7,IF(D125=30,'Виды прицепов'!$M$8,'Виды прицепов'!$M$9))</f>
        <v>3650*1700*900</v>
      </c>
      <c r="Q125" s="186" t="str">
        <f ca="1">IF(D125=0,'Виды прицепов'!$N$7,IF(D125=30,'Виды прицепов'!$N$8,'Виды прицепов'!$N$9))</f>
        <v>2500*1250*300</v>
      </c>
      <c r="R125" s="187"/>
      <c r="S125" s="187"/>
      <c r="T125" s="187"/>
      <c r="U125" s="187"/>
      <c r="V125" s="187"/>
      <c r="W125" s="187"/>
      <c r="X125" s="187"/>
      <c r="Y125" s="187"/>
      <c r="Z125" s="187"/>
    </row>
    <row r="126" spans="1:26" ht="72" outlineLevel="2">
      <c r="A126" s="188" t="s">
        <v>5639</v>
      </c>
      <c r="B126" s="189" t="s">
        <v>5640</v>
      </c>
      <c r="C126" s="182" t="s">
        <v>287</v>
      </c>
      <c r="D126" s="184">
        <v>30</v>
      </c>
      <c r="E126" s="184">
        <v>13</v>
      </c>
      <c r="F126" s="184">
        <v>0</v>
      </c>
      <c r="G126" s="183">
        <v>30</v>
      </c>
      <c r="H126" s="184">
        <v>13</v>
      </c>
      <c r="I126" s="185">
        <f t="shared" si="26"/>
        <v>300000</v>
      </c>
      <c r="J126" s="185">
        <f t="shared" si="27"/>
        <v>40000</v>
      </c>
      <c r="K126" s="185">
        <f t="shared" si="28"/>
        <v>30000</v>
      </c>
      <c r="L126" s="185">
        <f t="shared" si="29"/>
        <v>0</v>
      </c>
      <c r="M126" s="185">
        <f t="shared" si="30"/>
        <v>35000</v>
      </c>
      <c r="N126" s="185">
        <f t="shared" si="31"/>
        <v>0</v>
      </c>
      <c r="O126" s="194">
        <f t="shared" si="25"/>
        <v>405000</v>
      </c>
      <c r="P126" s="186" t="str">
        <f ca="1">IF(D126=0,'Виды прицепов'!$M$7,IF(D126=30,'Виды прицепов'!$M$8,'Виды прицепов'!$M$9))</f>
        <v>3650*1700*900</v>
      </c>
      <c r="Q126" s="186" t="str">
        <f ca="1">IF(D126=0,'Виды прицепов'!$N$7,IF(D126=30,'Виды прицепов'!$N$8,'Виды прицепов'!$N$9))</f>
        <v>2500*1250*300</v>
      </c>
      <c r="R126" s="187"/>
      <c r="S126" s="187"/>
      <c r="T126" s="187"/>
      <c r="U126" s="187"/>
      <c r="V126" s="187"/>
      <c r="W126" s="187"/>
      <c r="X126" s="187"/>
      <c r="Y126" s="187"/>
      <c r="Z126" s="187"/>
    </row>
    <row r="127" spans="1:26" ht="72" outlineLevel="2">
      <c r="A127" s="180" t="s">
        <v>5641</v>
      </c>
      <c r="B127" s="181" t="s">
        <v>5642</v>
      </c>
      <c r="C127" s="182" t="s">
        <v>287</v>
      </c>
      <c r="D127" s="184">
        <v>30</v>
      </c>
      <c r="E127" s="184">
        <v>13</v>
      </c>
      <c r="F127" s="184" t="s">
        <v>5371</v>
      </c>
      <c r="G127" s="184">
        <v>60</v>
      </c>
      <c r="H127" s="184">
        <v>13</v>
      </c>
      <c r="I127" s="185">
        <f t="shared" si="26"/>
        <v>300000</v>
      </c>
      <c r="J127" s="185">
        <f t="shared" si="27"/>
        <v>40000</v>
      </c>
      <c r="K127" s="185">
        <f t="shared" si="28"/>
        <v>30000</v>
      </c>
      <c r="L127" s="185">
        <f t="shared" si="29"/>
        <v>10000</v>
      </c>
      <c r="M127" s="185">
        <f t="shared" si="30"/>
        <v>70000</v>
      </c>
      <c r="N127" s="185">
        <f t="shared" si="31"/>
        <v>0</v>
      </c>
      <c r="O127" s="194">
        <f t="shared" si="25"/>
        <v>450000</v>
      </c>
      <c r="P127" s="186" t="str">
        <f ca="1">IF(D127=0,'Виды прицепов'!$M$7,IF(D127=30,'Виды прицепов'!$M$8,'Виды прицепов'!$M$9))</f>
        <v>3650*1700*900</v>
      </c>
      <c r="Q127" s="186" t="str">
        <f ca="1">IF(D127=0,'Виды прицепов'!$N$7,IF(D127=30,'Виды прицепов'!$N$8,'Виды прицепов'!$N$9))</f>
        <v>2500*1250*300</v>
      </c>
      <c r="R127" s="187"/>
      <c r="S127" s="187"/>
      <c r="T127" s="187"/>
      <c r="U127" s="187"/>
      <c r="V127" s="187"/>
      <c r="W127" s="187"/>
      <c r="X127" s="187"/>
      <c r="Y127" s="187"/>
      <c r="Z127" s="187"/>
    </row>
    <row r="128" spans="1:26" ht="72" outlineLevel="2">
      <c r="A128" s="188" t="s">
        <v>5643</v>
      </c>
      <c r="B128" s="189" t="s">
        <v>5644</v>
      </c>
      <c r="C128" s="182" t="s">
        <v>287</v>
      </c>
      <c r="D128" s="184">
        <v>30</v>
      </c>
      <c r="E128" s="184">
        <v>13</v>
      </c>
      <c r="F128" s="184" t="s">
        <v>5371</v>
      </c>
      <c r="G128" s="183">
        <v>30</v>
      </c>
      <c r="H128" s="184">
        <v>13</v>
      </c>
      <c r="I128" s="185">
        <f t="shared" si="26"/>
        <v>300000</v>
      </c>
      <c r="J128" s="185">
        <f t="shared" si="27"/>
        <v>40000</v>
      </c>
      <c r="K128" s="185">
        <f t="shared" si="28"/>
        <v>30000</v>
      </c>
      <c r="L128" s="185">
        <f t="shared" si="29"/>
        <v>10000</v>
      </c>
      <c r="M128" s="185">
        <f t="shared" si="30"/>
        <v>35000</v>
      </c>
      <c r="N128" s="185">
        <f t="shared" si="31"/>
        <v>0</v>
      </c>
      <c r="O128" s="194">
        <f t="shared" si="25"/>
        <v>415000</v>
      </c>
      <c r="P128" s="186" t="str">
        <f ca="1">IF(D128=0,'Виды прицепов'!$M$7,IF(D128=30,'Виды прицепов'!$M$8,'Виды прицепов'!$M$9))</f>
        <v>3650*1700*900</v>
      </c>
      <c r="Q128" s="186" t="str">
        <f ca="1">IF(D128=0,'Виды прицепов'!$N$7,IF(D128=30,'Виды прицепов'!$N$8,'Виды прицепов'!$N$9))</f>
        <v>2500*1250*300</v>
      </c>
      <c r="R128" s="187"/>
      <c r="S128" s="187"/>
      <c r="T128" s="187"/>
      <c r="U128" s="187"/>
      <c r="V128" s="187"/>
      <c r="W128" s="187"/>
      <c r="X128" s="187"/>
      <c r="Y128" s="187"/>
      <c r="Z128" s="187"/>
    </row>
    <row r="129" spans="1:26" ht="72" outlineLevel="2">
      <c r="A129" s="180" t="s">
        <v>5645</v>
      </c>
      <c r="B129" s="181" t="s">
        <v>5646</v>
      </c>
      <c r="C129" s="182" t="s">
        <v>287</v>
      </c>
      <c r="D129" s="184">
        <v>30</v>
      </c>
      <c r="E129" s="184">
        <v>15</v>
      </c>
      <c r="F129" s="184">
        <v>0</v>
      </c>
      <c r="G129" s="184">
        <v>60</v>
      </c>
      <c r="H129" s="184">
        <v>15</v>
      </c>
      <c r="I129" s="185">
        <f t="shared" si="26"/>
        <v>300000</v>
      </c>
      <c r="J129" s="185">
        <f t="shared" si="27"/>
        <v>40000</v>
      </c>
      <c r="K129" s="185">
        <f t="shared" si="28"/>
        <v>50000</v>
      </c>
      <c r="L129" s="185">
        <f t="shared" si="29"/>
        <v>0</v>
      </c>
      <c r="M129" s="185">
        <f t="shared" si="30"/>
        <v>70000</v>
      </c>
      <c r="N129" s="185">
        <f t="shared" si="31"/>
        <v>30000</v>
      </c>
      <c r="O129" s="194">
        <f t="shared" si="25"/>
        <v>460000</v>
      </c>
      <c r="P129" s="186" t="str">
        <f ca="1">IF(D129=0,'Виды прицепов'!$M$7,IF(D129=30,'Виды прицепов'!$M$8,'Виды прицепов'!$M$9))</f>
        <v>3650*1700*900</v>
      </c>
      <c r="Q129" s="186" t="str">
        <f ca="1">IF(D129=0,'Виды прицепов'!$N$7,IF(D129=30,'Виды прицепов'!$N$8,'Виды прицепов'!$N$9))</f>
        <v>2500*1250*300</v>
      </c>
      <c r="R129" s="187"/>
      <c r="S129" s="187"/>
      <c r="T129" s="187"/>
      <c r="U129" s="187"/>
      <c r="V129" s="187"/>
      <c r="W129" s="187"/>
      <c r="X129" s="187"/>
      <c r="Y129" s="187"/>
      <c r="Z129" s="187"/>
    </row>
    <row r="130" spans="1:26" ht="72" outlineLevel="2">
      <c r="A130" s="188" t="s">
        <v>5647</v>
      </c>
      <c r="B130" s="189" t="s">
        <v>5648</v>
      </c>
      <c r="C130" s="182" t="s">
        <v>287</v>
      </c>
      <c r="D130" s="184">
        <v>30</v>
      </c>
      <c r="E130" s="184">
        <v>15</v>
      </c>
      <c r="F130" s="184">
        <v>0</v>
      </c>
      <c r="G130" s="183">
        <v>30</v>
      </c>
      <c r="H130" s="184">
        <v>15</v>
      </c>
      <c r="I130" s="185">
        <f t="shared" si="26"/>
        <v>300000</v>
      </c>
      <c r="J130" s="185">
        <f t="shared" si="27"/>
        <v>40000</v>
      </c>
      <c r="K130" s="185">
        <f t="shared" si="28"/>
        <v>50000</v>
      </c>
      <c r="L130" s="185">
        <f t="shared" si="29"/>
        <v>0</v>
      </c>
      <c r="M130" s="185">
        <f t="shared" si="30"/>
        <v>35000</v>
      </c>
      <c r="N130" s="185">
        <f t="shared" si="31"/>
        <v>30000</v>
      </c>
      <c r="O130" s="194">
        <f t="shared" si="25"/>
        <v>425000</v>
      </c>
      <c r="P130" s="186" t="str">
        <f ca="1">IF(D130=0,'Виды прицепов'!$M$7,IF(D130=30,'Виды прицепов'!$M$8,'Виды прицепов'!$M$9))</f>
        <v>3650*1700*900</v>
      </c>
      <c r="Q130" s="186" t="str">
        <f ca="1">IF(D130=0,'Виды прицепов'!$N$7,IF(D130=30,'Виды прицепов'!$N$8,'Виды прицепов'!$N$9))</f>
        <v>2500*1250*300</v>
      </c>
      <c r="R130" s="187"/>
      <c r="S130" s="187"/>
      <c r="T130" s="187"/>
      <c r="U130" s="187"/>
      <c r="V130" s="187"/>
      <c r="W130" s="187"/>
      <c r="X130" s="187"/>
      <c r="Y130" s="187"/>
      <c r="Z130" s="187"/>
    </row>
    <row r="131" spans="1:26" ht="72" outlineLevel="2">
      <c r="A131" s="180" t="s">
        <v>5649</v>
      </c>
      <c r="B131" s="181" t="s">
        <v>5650</v>
      </c>
      <c r="C131" s="182" t="s">
        <v>287</v>
      </c>
      <c r="D131" s="184">
        <v>30</v>
      </c>
      <c r="E131" s="184">
        <v>15</v>
      </c>
      <c r="F131" s="184" t="s">
        <v>5371</v>
      </c>
      <c r="G131" s="184">
        <v>60</v>
      </c>
      <c r="H131" s="184">
        <v>15</v>
      </c>
      <c r="I131" s="185">
        <f t="shared" si="26"/>
        <v>300000</v>
      </c>
      <c r="J131" s="185">
        <f t="shared" si="27"/>
        <v>40000</v>
      </c>
      <c r="K131" s="185">
        <f t="shared" si="28"/>
        <v>50000</v>
      </c>
      <c r="L131" s="185">
        <f t="shared" si="29"/>
        <v>10000</v>
      </c>
      <c r="M131" s="185">
        <f t="shared" si="30"/>
        <v>70000</v>
      </c>
      <c r="N131" s="185">
        <f t="shared" si="31"/>
        <v>30000</v>
      </c>
      <c r="O131" s="194">
        <f t="shared" si="25"/>
        <v>470000</v>
      </c>
      <c r="P131" s="186" t="str">
        <f ca="1">IF(D131=0,'Виды прицепов'!$M$7,IF(D131=30,'Виды прицепов'!$M$8,'Виды прицепов'!$M$9))</f>
        <v>3650*1700*900</v>
      </c>
      <c r="Q131" s="186" t="str">
        <f ca="1">IF(D131=0,'Виды прицепов'!$N$7,IF(D131=30,'Виды прицепов'!$N$8,'Виды прицепов'!$N$9))</f>
        <v>2500*1250*300</v>
      </c>
      <c r="R131" s="187"/>
      <c r="S131" s="187"/>
      <c r="T131" s="187"/>
      <c r="U131" s="187"/>
      <c r="V131" s="187"/>
      <c r="W131" s="187"/>
      <c r="X131" s="187"/>
      <c r="Y131" s="187"/>
      <c r="Z131" s="187"/>
    </row>
    <row r="132" spans="1:26" ht="72" outlineLevel="2">
      <c r="A132" s="188" t="s">
        <v>5651</v>
      </c>
      <c r="B132" s="189" t="s">
        <v>5652</v>
      </c>
      <c r="C132" s="182" t="s">
        <v>287</v>
      </c>
      <c r="D132" s="184">
        <v>30</v>
      </c>
      <c r="E132" s="184">
        <v>15</v>
      </c>
      <c r="F132" s="184" t="s">
        <v>5371</v>
      </c>
      <c r="G132" s="183">
        <v>30</v>
      </c>
      <c r="H132" s="184">
        <v>15</v>
      </c>
      <c r="I132" s="185">
        <f t="shared" si="26"/>
        <v>300000</v>
      </c>
      <c r="J132" s="185">
        <f t="shared" si="27"/>
        <v>40000</v>
      </c>
      <c r="K132" s="185">
        <f t="shared" si="28"/>
        <v>50000</v>
      </c>
      <c r="L132" s="185">
        <f t="shared" si="29"/>
        <v>10000</v>
      </c>
      <c r="M132" s="185">
        <f t="shared" si="30"/>
        <v>35000</v>
      </c>
      <c r="N132" s="185">
        <f t="shared" si="31"/>
        <v>30000</v>
      </c>
      <c r="O132" s="194">
        <f t="shared" si="25"/>
        <v>435000</v>
      </c>
      <c r="P132" s="186" t="str">
        <f ca="1">IF(D132=0,'Виды прицепов'!$M$7,IF(D132=30,'Виды прицепов'!$M$8,'Виды прицепов'!$M$9))</f>
        <v>3650*1700*900</v>
      </c>
      <c r="Q132" s="186" t="str">
        <f ca="1">IF(D132=0,'Виды прицепов'!$N$7,IF(D132=30,'Виды прицепов'!$N$8,'Виды прицепов'!$N$9))</f>
        <v>2500*1250*300</v>
      </c>
      <c r="R132" s="187"/>
      <c r="S132" s="187"/>
      <c r="T132" s="187"/>
      <c r="U132" s="187"/>
      <c r="V132" s="187"/>
      <c r="W132" s="187"/>
      <c r="X132" s="187"/>
      <c r="Y132" s="187"/>
      <c r="Z132" s="187"/>
    </row>
    <row r="133" spans="1:26" ht="72" outlineLevel="2">
      <c r="A133" s="180" t="s">
        <v>5653</v>
      </c>
      <c r="B133" s="181" t="s">
        <v>5654</v>
      </c>
      <c r="C133" s="182" t="s">
        <v>287</v>
      </c>
      <c r="D133" s="184">
        <v>50</v>
      </c>
      <c r="E133" s="184">
        <v>13</v>
      </c>
      <c r="F133" s="184">
        <v>0</v>
      </c>
      <c r="G133" s="184">
        <v>60</v>
      </c>
      <c r="H133" s="184">
        <v>13</v>
      </c>
      <c r="I133" s="185">
        <f t="shared" si="26"/>
        <v>300000</v>
      </c>
      <c r="J133" s="185">
        <f t="shared" si="27"/>
        <v>50000</v>
      </c>
      <c r="K133" s="185">
        <f t="shared" si="28"/>
        <v>30000</v>
      </c>
      <c r="L133" s="185">
        <f t="shared" si="29"/>
        <v>0</v>
      </c>
      <c r="M133" s="185">
        <f t="shared" si="30"/>
        <v>70000</v>
      </c>
      <c r="N133" s="185">
        <f t="shared" si="31"/>
        <v>0</v>
      </c>
      <c r="O133" s="194">
        <f t="shared" si="25"/>
        <v>450000</v>
      </c>
      <c r="P133" s="186" t="str">
        <f ca="1">IF(D133=0,'Виды прицепов'!$M$7,IF(D133=30,'Виды прицепов'!$M$8,'Виды прицепов'!$M$9))</f>
        <v>3650*1700*1070</v>
      </c>
      <c r="Q133" s="186" t="str">
        <f ca="1">IF(D133=0,'Виды прицепов'!$N$7,IF(D133=30,'Виды прицепов'!$N$8,'Виды прицепов'!$N$9))</f>
        <v>2500*1250*500</v>
      </c>
      <c r="R133" s="187"/>
      <c r="S133" s="187"/>
      <c r="T133" s="187"/>
      <c r="U133" s="187"/>
      <c r="V133" s="187"/>
      <c r="W133" s="187"/>
      <c r="X133" s="187"/>
      <c r="Y133" s="187"/>
      <c r="Z133" s="187"/>
    </row>
    <row r="134" spans="1:26" ht="72" outlineLevel="2">
      <c r="A134" s="188" t="s">
        <v>5655</v>
      </c>
      <c r="B134" s="189" t="s">
        <v>5656</v>
      </c>
      <c r="C134" s="182" t="s">
        <v>287</v>
      </c>
      <c r="D134" s="184">
        <v>50</v>
      </c>
      <c r="E134" s="184">
        <v>13</v>
      </c>
      <c r="F134" s="184">
        <v>0</v>
      </c>
      <c r="G134" s="183">
        <v>30</v>
      </c>
      <c r="H134" s="184">
        <v>13</v>
      </c>
      <c r="I134" s="185">
        <f t="shared" si="26"/>
        <v>300000</v>
      </c>
      <c r="J134" s="185">
        <f t="shared" si="27"/>
        <v>50000</v>
      </c>
      <c r="K134" s="185">
        <f t="shared" si="28"/>
        <v>30000</v>
      </c>
      <c r="L134" s="185">
        <f t="shared" si="29"/>
        <v>0</v>
      </c>
      <c r="M134" s="185">
        <f t="shared" si="30"/>
        <v>35000</v>
      </c>
      <c r="N134" s="185">
        <f t="shared" si="31"/>
        <v>0</v>
      </c>
      <c r="O134" s="194">
        <f t="shared" si="25"/>
        <v>415000</v>
      </c>
      <c r="P134" s="186" t="str">
        <f ca="1">IF(D134=0,'Виды прицепов'!$M$7,IF(D134=30,'Виды прицепов'!$M$8,'Виды прицепов'!$M$9))</f>
        <v>3650*1700*1070</v>
      </c>
      <c r="Q134" s="186" t="str">
        <f ca="1">IF(D134=0,'Виды прицепов'!$N$7,IF(D134=30,'Виды прицепов'!$N$8,'Виды прицепов'!$N$9))</f>
        <v>2500*1250*500</v>
      </c>
      <c r="R134" s="187"/>
      <c r="S134" s="187"/>
      <c r="T134" s="187"/>
      <c r="U134" s="187"/>
      <c r="V134" s="187"/>
      <c r="W134" s="187"/>
      <c r="X134" s="187"/>
      <c r="Y134" s="187"/>
      <c r="Z134" s="187"/>
    </row>
    <row r="135" spans="1:26" ht="72" outlineLevel="2">
      <c r="A135" s="180" t="s">
        <v>5657</v>
      </c>
      <c r="B135" s="181" t="s">
        <v>5658</v>
      </c>
      <c r="C135" s="182" t="s">
        <v>287</v>
      </c>
      <c r="D135" s="184">
        <v>50</v>
      </c>
      <c r="E135" s="184">
        <v>13</v>
      </c>
      <c r="F135" s="184" t="s">
        <v>5371</v>
      </c>
      <c r="G135" s="184">
        <v>60</v>
      </c>
      <c r="H135" s="184">
        <v>13</v>
      </c>
      <c r="I135" s="185">
        <f t="shared" si="26"/>
        <v>300000</v>
      </c>
      <c r="J135" s="185">
        <f t="shared" si="27"/>
        <v>50000</v>
      </c>
      <c r="K135" s="185">
        <f t="shared" si="28"/>
        <v>30000</v>
      </c>
      <c r="L135" s="185">
        <f t="shared" si="29"/>
        <v>10000</v>
      </c>
      <c r="M135" s="185">
        <f t="shared" si="30"/>
        <v>70000</v>
      </c>
      <c r="N135" s="185">
        <f t="shared" si="31"/>
        <v>0</v>
      </c>
      <c r="O135" s="194">
        <f t="shared" si="25"/>
        <v>460000</v>
      </c>
      <c r="P135" s="186" t="str">
        <f ca="1">IF(D135=0,'Виды прицепов'!$M$7,IF(D135=30,'Виды прицепов'!$M$8,'Виды прицепов'!$M$9))</f>
        <v>3650*1700*1070</v>
      </c>
      <c r="Q135" s="186" t="str">
        <f ca="1">IF(D135=0,'Виды прицепов'!$N$7,IF(D135=30,'Виды прицепов'!$N$8,'Виды прицепов'!$N$9))</f>
        <v>2500*1250*500</v>
      </c>
      <c r="R135" s="187"/>
      <c r="S135" s="187"/>
      <c r="T135" s="187"/>
      <c r="U135" s="187"/>
      <c r="V135" s="187"/>
      <c r="W135" s="187"/>
      <c r="X135" s="187"/>
      <c r="Y135" s="187"/>
      <c r="Z135" s="187"/>
    </row>
    <row r="136" spans="1:26" ht="72" outlineLevel="2">
      <c r="A136" s="188" t="s">
        <v>5659</v>
      </c>
      <c r="B136" s="189" t="s">
        <v>5660</v>
      </c>
      <c r="C136" s="182" t="s">
        <v>287</v>
      </c>
      <c r="D136" s="184">
        <v>50</v>
      </c>
      <c r="E136" s="184">
        <v>13</v>
      </c>
      <c r="F136" s="184" t="s">
        <v>5371</v>
      </c>
      <c r="G136" s="183">
        <v>30</v>
      </c>
      <c r="H136" s="184">
        <v>13</v>
      </c>
      <c r="I136" s="185">
        <f t="shared" si="26"/>
        <v>300000</v>
      </c>
      <c r="J136" s="185">
        <f t="shared" si="27"/>
        <v>50000</v>
      </c>
      <c r="K136" s="185">
        <f t="shared" si="28"/>
        <v>30000</v>
      </c>
      <c r="L136" s="185">
        <f t="shared" si="29"/>
        <v>10000</v>
      </c>
      <c r="M136" s="185">
        <f t="shared" si="30"/>
        <v>35000</v>
      </c>
      <c r="N136" s="185">
        <f t="shared" si="31"/>
        <v>0</v>
      </c>
      <c r="O136" s="194">
        <f t="shared" si="25"/>
        <v>425000</v>
      </c>
      <c r="P136" s="186" t="str">
        <f ca="1">IF(D136=0,'Виды прицепов'!$M$7,IF(D136=30,'Виды прицепов'!$M$8,'Виды прицепов'!$M$9))</f>
        <v>3650*1700*1070</v>
      </c>
      <c r="Q136" s="186" t="str">
        <f ca="1">IF(D136=0,'Виды прицепов'!$N$7,IF(D136=30,'Виды прицепов'!$N$8,'Виды прицепов'!$N$9))</f>
        <v>2500*1250*500</v>
      </c>
      <c r="R136" s="187"/>
      <c r="S136" s="187"/>
      <c r="T136" s="187"/>
      <c r="U136" s="187"/>
      <c r="V136" s="187"/>
      <c r="W136" s="187"/>
      <c r="X136" s="187"/>
      <c r="Y136" s="187"/>
      <c r="Z136" s="187"/>
    </row>
    <row r="137" spans="1:26" ht="72" outlineLevel="2">
      <c r="A137" s="180" t="s">
        <v>5661</v>
      </c>
      <c r="B137" s="181" t="s">
        <v>5662</v>
      </c>
      <c r="C137" s="182" t="s">
        <v>287</v>
      </c>
      <c r="D137" s="184">
        <v>50</v>
      </c>
      <c r="E137" s="184">
        <v>15</v>
      </c>
      <c r="F137" s="184">
        <v>0</v>
      </c>
      <c r="G137" s="184">
        <v>60</v>
      </c>
      <c r="H137" s="184">
        <v>15</v>
      </c>
      <c r="I137" s="185">
        <f t="shared" si="26"/>
        <v>300000</v>
      </c>
      <c r="J137" s="185">
        <f t="shared" si="27"/>
        <v>50000</v>
      </c>
      <c r="K137" s="185">
        <f t="shared" si="28"/>
        <v>50000</v>
      </c>
      <c r="L137" s="185">
        <f t="shared" si="29"/>
        <v>0</v>
      </c>
      <c r="M137" s="185">
        <f t="shared" si="30"/>
        <v>70000</v>
      </c>
      <c r="N137" s="185">
        <f t="shared" si="31"/>
        <v>30000</v>
      </c>
      <c r="O137" s="194">
        <f t="shared" si="25"/>
        <v>470000</v>
      </c>
      <c r="P137" s="186" t="str">
        <f ca="1">IF(D137=0,'Виды прицепов'!$M$7,IF(D137=30,'Виды прицепов'!$M$8,'Виды прицепов'!$M$9))</f>
        <v>3650*1700*1070</v>
      </c>
      <c r="Q137" s="186" t="str">
        <f ca="1">IF(D137=0,'Виды прицепов'!$N$7,IF(D137=30,'Виды прицепов'!$N$8,'Виды прицепов'!$N$9))</f>
        <v>2500*1250*500</v>
      </c>
      <c r="R137" s="187"/>
      <c r="S137" s="187"/>
      <c r="T137" s="187"/>
      <c r="U137" s="187"/>
      <c r="V137" s="187"/>
      <c r="W137" s="187"/>
      <c r="X137" s="187"/>
      <c r="Y137" s="187"/>
      <c r="Z137" s="187"/>
    </row>
    <row r="138" spans="1:26" ht="72" outlineLevel="2">
      <c r="A138" s="188" t="s">
        <v>5663</v>
      </c>
      <c r="B138" s="189" t="s">
        <v>5664</v>
      </c>
      <c r="C138" s="182" t="s">
        <v>287</v>
      </c>
      <c r="D138" s="184">
        <v>50</v>
      </c>
      <c r="E138" s="184">
        <v>15</v>
      </c>
      <c r="F138" s="184">
        <v>0</v>
      </c>
      <c r="G138" s="183">
        <v>30</v>
      </c>
      <c r="H138" s="184">
        <v>15</v>
      </c>
      <c r="I138" s="185">
        <f t="shared" si="26"/>
        <v>300000</v>
      </c>
      <c r="J138" s="185">
        <f t="shared" si="27"/>
        <v>50000</v>
      </c>
      <c r="K138" s="185">
        <f t="shared" si="28"/>
        <v>50000</v>
      </c>
      <c r="L138" s="185">
        <f t="shared" si="29"/>
        <v>0</v>
      </c>
      <c r="M138" s="185">
        <f t="shared" si="30"/>
        <v>35000</v>
      </c>
      <c r="N138" s="185">
        <f t="shared" si="31"/>
        <v>30000</v>
      </c>
      <c r="O138" s="194">
        <f t="shared" si="25"/>
        <v>435000</v>
      </c>
      <c r="P138" s="186" t="str">
        <f ca="1">IF(D138=0,'Виды прицепов'!$M$7,IF(D138=30,'Виды прицепов'!$M$8,'Виды прицепов'!$M$9))</f>
        <v>3650*1700*1070</v>
      </c>
      <c r="Q138" s="186" t="str">
        <f ca="1">IF(D138=0,'Виды прицепов'!$N$7,IF(D138=30,'Виды прицепов'!$N$8,'Виды прицепов'!$N$9))</f>
        <v>2500*1250*500</v>
      </c>
      <c r="R138" s="187"/>
      <c r="S138" s="187"/>
      <c r="T138" s="187"/>
      <c r="U138" s="187"/>
      <c r="V138" s="187"/>
      <c r="W138" s="187"/>
      <c r="X138" s="187"/>
      <c r="Y138" s="187"/>
      <c r="Z138" s="187"/>
    </row>
    <row r="139" spans="1:26" ht="72" outlineLevel="2">
      <c r="A139" s="180" t="s">
        <v>5665</v>
      </c>
      <c r="B139" s="181" t="s">
        <v>5666</v>
      </c>
      <c r="C139" s="182" t="s">
        <v>287</v>
      </c>
      <c r="D139" s="184">
        <v>50</v>
      </c>
      <c r="E139" s="184">
        <v>15</v>
      </c>
      <c r="F139" s="184" t="s">
        <v>5371</v>
      </c>
      <c r="G139" s="184">
        <v>60</v>
      </c>
      <c r="H139" s="184">
        <v>15</v>
      </c>
      <c r="I139" s="185">
        <f t="shared" si="26"/>
        <v>300000</v>
      </c>
      <c r="J139" s="185">
        <f t="shared" si="27"/>
        <v>50000</v>
      </c>
      <c r="K139" s="185">
        <f t="shared" si="28"/>
        <v>50000</v>
      </c>
      <c r="L139" s="185">
        <f t="shared" si="29"/>
        <v>10000</v>
      </c>
      <c r="M139" s="185">
        <f t="shared" si="30"/>
        <v>70000</v>
      </c>
      <c r="N139" s="185">
        <f t="shared" si="31"/>
        <v>30000</v>
      </c>
      <c r="O139" s="194">
        <f t="shared" si="25"/>
        <v>480000</v>
      </c>
      <c r="P139" s="186" t="str">
        <f ca="1">IF(D139=0,'Виды прицепов'!$M$7,IF(D139=30,'Виды прицепов'!$M$8,'Виды прицепов'!$M$9))</f>
        <v>3650*1700*1070</v>
      </c>
      <c r="Q139" s="186" t="str">
        <f ca="1">IF(D139=0,'Виды прицепов'!$N$7,IF(D139=30,'Виды прицепов'!$N$8,'Виды прицепов'!$N$9))</f>
        <v>2500*1250*500</v>
      </c>
      <c r="R139" s="187"/>
      <c r="S139" s="187"/>
      <c r="T139" s="187"/>
      <c r="U139" s="187"/>
      <c r="V139" s="187"/>
      <c r="W139" s="187"/>
      <c r="X139" s="187"/>
      <c r="Y139" s="187"/>
      <c r="Z139" s="187"/>
    </row>
    <row r="140" spans="1:26" ht="72" outlineLevel="2">
      <c r="A140" s="188" t="s">
        <v>5667</v>
      </c>
      <c r="B140" s="189" t="s">
        <v>5668</v>
      </c>
      <c r="C140" s="182" t="s">
        <v>287</v>
      </c>
      <c r="D140" s="184">
        <v>50</v>
      </c>
      <c r="E140" s="184">
        <v>15</v>
      </c>
      <c r="F140" s="184" t="s">
        <v>5371</v>
      </c>
      <c r="G140" s="183">
        <v>30</v>
      </c>
      <c r="H140" s="184">
        <v>15</v>
      </c>
      <c r="I140" s="185">
        <f t="shared" si="26"/>
        <v>300000</v>
      </c>
      <c r="J140" s="185">
        <f t="shared" si="27"/>
        <v>50000</v>
      </c>
      <c r="K140" s="185">
        <f t="shared" si="28"/>
        <v>50000</v>
      </c>
      <c r="L140" s="185">
        <f t="shared" si="29"/>
        <v>10000</v>
      </c>
      <c r="M140" s="185">
        <f t="shared" si="30"/>
        <v>35000</v>
      </c>
      <c r="N140" s="185">
        <f t="shared" si="31"/>
        <v>30000</v>
      </c>
      <c r="O140" s="194">
        <f t="shared" si="25"/>
        <v>445000</v>
      </c>
      <c r="P140" s="186" t="str">
        <f ca="1">IF(D140=0,'Виды прицепов'!$M$7,IF(D140=30,'Виды прицепов'!$M$8,'Виды прицепов'!$M$9))</f>
        <v>3650*1700*1070</v>
      </c>
      <c r="Q140" s="186" t="str">
        <f ca="1">IF(D140=0,'Виды прицепов'!$N$7,IF(D140=30,'Виды прицепов'!$N$8,'Виды прицепов'!$N$9))</f>
        <v>2500*1250*500</v>
      </c>
      <c r="R140" s="187"/>
      <c r="S140" s="187"/>
      <c r="T140" s="187"/>
      <c r="U140" s="187"/>
      <c r="V140" s="187"/>
      <c r="W140" s="187"/>
      <c r="X140" s="187"/>
      <c r="Y140" s="187"/>
      <c r="Z140" s="187"/>
    </row>
    <row r="141" spans="1:26" ht="72" outlineLevel="2">
      <c r="A141" s="180" t="s">
        <v>5669</v>
      </c>
      <c r="B141" s="181" t="s">
        <v>5670</v>
      </c>
      <c r="C141" s="182" t="s">
        <v>287</v>
      </c>
      <c r="D141" s="184">
        <v>30</v>
      </c>
      <c r="E141" s="184">
        <v>13</v>
      </c>
      <c r="F141" s="184">
        <v>0</v>
      </c>
      <c r="G141" s="184">
        <v>90</v>
      </c>
      <c r="H141" s="184">
        <v>13</v>
      </c>
      <c r="I141" s="185">
        <f t="shared" ref="I141:I148" si="32">VLOOKUP(C141,Платформа,2,0)</f>
        <v>300000</v>
      </c>
      <c r="J141" s="185">
        <f t="shared" ref="J141:J148" si="33">VLOOKUP(D141,борт_2513,2)</f>
        <v>40000</v>
      </c>
      <c r="K141" s="185">
        <f t="shared" ref="K141:K148" si="34">VLOOKUP(E141,колесо,2,0)</f>
        <v>30000</v>
      </c>
      <c r="L141" s="185">
        <f t="shared" ref="L141:L148" si="35">VLOOKUP(F141,опорное_колесо,2,0)</f>
        <v>0</v>
      </c>
      <c r="M141" s="185">
        <f t="shared" ref="M141:M148" si="36">VLOOKUP(G141,тент_2513,2,0)</f>
        <v>90000</v>
      </c>
      <c r="N141" s="185">
        <f t="shared" ref="N141:N148" si="37">VLOOKUP(H141,ступица,2,0)</f>
        <v>0</v>
      </c>
      <c r="O141" s="194">
        <f t="shared" si="25"/>
        <v>460000</v>
      </c>
      <c r="P141" s="186" t="str">
        <f ca="1">IF(D141=0,'Виды прицепов'!$M$7,IF(D141=30,'Виды прицепов'!$M$8,'Виды прицепов'!$M$9))</f>
        <v>3650*1700*900</v>
      </c>
      <c r="Q141" s="186" t="str">
        <f ca="1">IF(D141=0,'Виды прицепов'!$N$7,IF(D141=30,'Виды прицепов'!$N$8,'Виды прицепов'!$N$9))</f>
        <v>2500*1250*300</v>
      </c>
      <c r="R141" s="187"/>
      <c r="S141" s="187"/>
      <c r="T141" s="187"/>
      <c r="U141" s="187"/>
      <c r="V141" s="187"/>
      <c r="W141" s="187"/>
      <c r="X141" s="187"/>
      <c r="Y141" s="187"/>
      <c r="Z141" s="187"/>
    </row>
    <row r="142" spans="1:26" ht="72" outlineLevel="2">
      <c r="A142" s="180" t="s">
        <v>5671</v>
      </c>
      <c r="B142" s="181" t="s">
        <v>5672</v>
      </c>
      <c r="C142" s="182" t="s">
        <v>287</v>
      </c>
      <c r="D142" s="184">
        <v>30</v>
      </c>
      <c r="E142" s="184">
        <v>13</v>
      </c>
      <c r="F142" s="184" t="s">
        <v>5371</v>
      </c>
      <c r="G142" s="184">
        <v>90</v>
      </c>
      <c r="H142" s="184">
        <v>13</v>
      </c>
      <c r="I142" s="185">
        <f t="shared" si="32"/>
        <v>300000</v>
      </c>
      <c r="J142" s="185">
        <f t="shared" si="33"/>
        <v>40000</v>
      </c>
      <c r="K142" s="185">
        <f t="shared" si="34"/>
        <v>30000</v>
      </c>
      <c r="L142" s="185">
        <f t="shared" si="35"/>
        <v>10000</v>
      </c>
      <c r="M142" s="185">
        <f t="shared" si="36"/>
        <v>90000</v>
      </c>
      <c r="N142" s="185">
        <f t="shared" si="37"/>
        <v>0</v>
      </c>
      <c r="O142" s="194">
        <f t="shared" si="25"/>
        <v>470000</v>
      </c>
      <c r="P142" s="186" t="str">
        <f ca="1">IF(D142=0,'Виды прицепов'!$M$7,IF(D142=30,'Виды прицепов'!$M$8,'Виды прицепов'!$M$9))</f>
        <v>3650*1700*900</v>
      </c>
      <c r="Q142" s="186" t="str">
        <f ca="1">IF(D142=0,'Виды прицепов'!$N$7,IF(D142=30,'Виды прицепов'!$N$8,'Виды прицепов'!$N$9))</f>
        <v>2500*1250*300</v>
      </c>
      <c r="R142" s="187"/>
      <c r="S142" s="187"/>
      <c r="T142" s="187"/>
      <c r="U142" s="187"/>
      <c r="V142" s="187"/>
      <c r="W142" s="187"/>
      <c r="X142" s="187"/>
      <c r="Y142" s="187"/>
      <c r="Z142" s="187"/>
    </row>
    <row r="143" spans="1:26" ht="72" outlineLevel="2">
      <c r="A143" s="180" t="s">
        <v>5673</v>
      </c>
      <c r="B143" s="181" t="s">
        <v>5674</v>
      </c>
      <c r="C143" s="182" t="s">
        <v>287</v>
      </c>
      <c r="D143" s="184">
        <v>30</v>
      </c>
      <c r="E143" s="184">
        <v>15</v>
      </c>
      <c r="F143" s="184">
        <v>0</v>
      </c>
      <c r="G143" s="184">
        <v>90</v>
      </c>
      <c r="H143" s="184">
        <v>15</v>
      </c>
      <c r="I143" s="185">
        <f t="shared" si="32"/>
        <v>300000</v>
      </c>
      <c r="J143" s="185">
        <f t="shared" si="33"/>
        <v>40000</v>
      </c>
      <c r="K143" s="185">
        <f t="shared" si="34"/>
        <v>50000</v>
      </c>
      <c r="L143" s="185">
        <f t="shared" si="35"/>
        <v>0</v>
      </c>
      <c r="M143" s="185">
        <f t="shared" si="36"/>
        <v>90000</v>
      </c>
      <c r="N143" s="185">
        <f t="shared" si="37"/>
        <v>30000</v>
      </c>
      <c r="O143" s="194">
        <f t="shared" si="25"/>
        <v>480000</v>
      </c>
      <c r="P143" s="186" t="str">
        <f ca="1">IF(D143=0,'Виды прицепов'!$M$7,IF(D143=30,'Виды прицепов'!$M$8,'Виды прицепов'!$M$9))</f>
        <v>3650*1700*900</v>
      </c>
      <c r="Q143" s="186" t="str">
        <f ca="1">IF(D143=0,'Виды прицепов'!$N$7,IF(D143=30,'Виды прицепов'!$N$8,'Виды прицепов'!$N$9))</f>
        <v>2500*1250*300</v>
      </c>
      <c r="R143" s="187"/>
      <c r="S143" s="187"/>
      <c r="T143" s="187"/>
      <c r="U143" s="187"/>
      <c r="V143" s="187"/>
      <c r="W143" s="187"/>
      <c r="X143" s="187"/>
      <c r="Y143" s="187"/>
      <c r="Z143" s="187"/>
    </row>
    <row r="144" spans="1:26" ht="72" outlineLevel="2">
      <c r="A144" s="180" t="s">
        <v>5675</v>
      </c>
      <c r="B144" s="181" t="s">
        <v>5676</v>
      </c>
      <c r="C144" s="182" t="s">
        <v>287</v>
      </c>
      <c r="D144" s="184">
        <v>30</v>
      </c>
      <c r="E144" s="184">
        <v>15</v>
      </c>
      <c r="F144" s="184" t="s">
        <v>5371</v>
      </c>
      <c r="G144" s="184">
        <v>90</v>
      </c>
      <c r="H144" s="184">
        <v>15</v>
      </c>
      <c r="I144" s="185">
        <f t="shared" si="32"/>
        <v>300000</v>
      </c>
      <c r="J144" s="185">
        <f t="shared" si="33"/>
        <v>40000</v>
      </c>
      <c r="K144" s="185">
        <f t="shared" si="34"/>
        <v>50000</v>
      </c>
      <c r="L144" s="185">
        <f t="shared" si="35"/>
        <v>10000</v>
      </c>
      <c r="M144" s="185">
        <f t="shared" si="36"/>
        <v>90000</v>
      </c>
      <c r="N144" s="185">
        <f t="shared" si="37"/>
        <v>30000</v>
      </c>
      <c r="O144" s="194">
        <f t="shared" si="25"/>
        <v>490000</v>
      </c>
      <c r="P144" s="186" t="str">
        <f ca="1">IF(D144=0,'Виды прицепов'!$M$7,IF(D144=30,'Виды прицепов'!$M$8,'Виды прицепов'!$M$9))</f>
        <v>3650*1700*900</v>
      </c>
      <c r="Q144" s="186" t="str">
        <f ca="1">IF(D144=0,'Виды прицепов'!$N$7,IF(D144=30,'Виды прицепов'!$N$8,'Виды прицепов'!$N$9))</f>
        <v>2500*1250*300</v>
      </c>
      <c r="R144" s="187"/>
      <c r="S144" s="187"/>
      <c r="T144" s="187"/>
      <c r="U144" s="187"/>
      <c r="V144" s="187"/>
      <c r="W144" s="187"/>
      <c r="X144" s="187"/>
      <c r="Y144" s="187"/>
      <c r="Z144" s="187"/>
    </row>
    <row r="145" spans="1:26" ht="72" outlineLevel="2">
      <c r="A145" s="180" t="s">
        <v>5677</v>
      </c>
      <c r="B145" s="181" t="s">
        <v>5678</v>
      </c>
      <c r="C145" s="182" t="s">
        <v>287</v>
      </c>
      <c r="D145" s="184">
        <v>50</v>
      </c>
      <c r="E145" s="184">
        <v>13</v>
      </c>
      <c r="F145" s="184">
        <v>0</v>
      </c>
      <c r="G145" s="184">
        <v>90</v>
      </c>
      <c r="H145" s="184">
        <v>13</v>
      </c>
      <c r="I145" s="185">
        <f t="shared" si="32"/>
        <v>300000</v>
      </c>
      <c r="J145" s="185">
        <f t="shared" si="33"/>
        <v>50000</v>
      </c>
      <c r="K145" s="185">
        <f t="shared" si="34"/>
        <v>30000</v>
      </c>
      <c r="L145" s="185">
        <f t="shared" si="35"/>
        <v>0</v>
      </c>
      <c r="M145" s="185">
        <f t="shared" si="36"/>
        <v>90000</v>
      </c>
      <c r="N145" s="185">
        <f t="shared" si="37"/>
        <v>0</v>
      </c>
      <c r="O145" s="194">
        <f t="shared" si="25"/>
        <v>470000</v>
      </c>
      <c r="P145" s="186" t="str">
        <f ca="1">IF(D145=0,'Виды прицепов'!$M$7,IF(D145=30,'Виды прицепов'!$M$8,'Виды прицепов'!$M$9))</f>
        <v>3650*1700*1070</v>
      </c>
      <c r="Q145" s="186" t="str">
        <f ca="1">IF(D145=0,'Виды прицепов'!$N$7,IF(D145=30,'Виды прицепов'!$N$8,'Виды прицепов'!$N$9))</f>
        <v>2500*1250*500</v>
      </c>
      <c r="R145" s="187"/>
      <c r="S145" s="187"/>
      <c r="T145" s="187"/>
      <c r="U145" s="187"/>
      <c r="V145" s="187"/>
      <c r="W145" s="187"/>
      <c r="X145" s="187"/>
      <c r="Y145" s="187"/>
      <c r="Z145" s="187"/>
    </row>
    <row r="146" spans="1:26" ht="72" outlineLevel="2">
      <c r="A146" s="180" t="s">
        <v>5679</v>
      </c>
      <c r="B146" s="181" t="s">
        <v>5680</v>
      </c>
      <c r="C146" s="182" t="s">
        <v>287</v>
      </c>
      <c r="D146" s="184">
        <v>50</v>
      </c>
      <c r="E146" s="184">
        <v>13</v>
      </c>
      <c r="F146" s="184" t="s">
        <v>5371</v>
      </c>
      <c r="G146" s="184">
        <v>90</v>
      </c>
      <c r="H146" s="184">
        <v>13</v>
      </c>
      <c r="I146" s="185">
        <f t="shared" si="32"/>
        <v>300000</v>
      </c>
      <c r="J146" s="185">
        <f t="shared" si="33"/>
        <v>50000</v>
      </c>
      <c r="K146" s="185">
        <f t="shared" si="34"/>
        <v>30000</v>
      </c>
      <c r="L146" s="185">
        <f t="shared" si="35"/>
        <v>10000</v>
      </c>
      <c r="M146" s="185">
        <f t="shared" si="36"/>
        <v>90000</v>
      </c>
      <c r="N146" s="185">
        <f t="shared" si="37"/>
        <v>0</v>
      </c>
      <c r="O146" s="194">
        <f t="shared" si="25"/>
        <v>480000</v>
      </c>
      <c r="P146" s="186" t="str">
        <f ca="1">IF(D146=0,'Виды прицепов'!$M$7,IF(D146=30,'Виды прицепов'!$M$8,'Виды прицепов'!$M$9))</f>
        <v>3650*1700*1070</v>
      </c>
      <c r="Q146" s="186" t="str">
        <f ca="1">IF(D146=0,'Виды прицепов'!$N$7,IF(D146=30,'Виды прицепов'!$N$8,'Виды прицепов'!$N$9))</f>
        <v>2500*1250*500</v>
      </c>
      <c r="R146" s="187"/>
      <c r="S146" s="187"/>
      <c r="T146" s="187"/>
      <c r="U146" s="187"/>
      <c r="V146" s="187"/>
      <c r="W146" s="187"/>
      <c r="X146" s="187"/>
      <c r="Y146" s="187"/>
      <c r="Z146" s="187"/>
    </row>
    <row r="147" spans="1:26" ht="72" outlineLevel="2">
      <c r="A147" s="180" t="s">
        <v>5681</v>
      </c>
      <c r="B147" s="181" t="s">
        <v>5682</v>
      </c>
      <c r="C147" s="182" t="s">
        <v>287</v>
      </c>
      <c r="D147" s="184">
        <v>50</v>
      </c>
      <c r="E147" s="184">
        <v>15</v>
      </c>
      <c r="F147" s="184">
        <v>0</v>
      </c>
      <c r="G147" s="184">
        <v>90</v>
      </c>
      <c r="H147" s="184">
        <v>15</v>
      </c>
      <c r="I147" s="185">
        <f t="shared" si="32"/>
        <v>300000</v>
      </c>
      <c r="J147" s="185">
        <f t="shared" si="33"/>
        <v>50000</v>
      </c>
      <c r="K147" s="185">
        <f t="shared" si="34"/>
        <v>50000</v>
      </c>
      <c r="L147" s="185">
        <f t="shared" si="35"/>
        <v>0</v>
      </c>
      <c r="M147" s="185">
        <f t="shared" si="36"/>
        <v>90000</v>
      </c>
      <c r="N147" s="185">
        <f t="shared" si="37"/>
        <v>30000</v>
      </c>
      <c r="O147" s="194">
        <f t="shared" si="25"/>
        <v>490000</v>
      </c>
      <c r="P147" s="186" t="str">
        <f ca="1">IF(D147=0,'Виды прицепов'!$M$7,IF(D147=30,'Виды прицепов'!$M$8,'Виды прицепов'!$M$9))</f>
        <v>3650*1700*1070</v>
      </c>
      <c r="Q147" s="186" t="str">
        <f ca="1">IF(D147=0,'Виды прицепов'!$N$7,IF(D147=30,'Виды прицепов'!$N$8,'Виды прицепов'!$N$9))</f>
        <v>2500*1250*500</v>
      </c>
      <c r="R147" s="187"/>
      <c r="S147" s="187"/>
      <c r="T147" s="187"/>
      <c r="U147" s="187"/>
      <c r="V147" s="187"/>
      <c r="W147" s="187"/>
      <c r="X147" s="187"/>
      <c r="Y147" s="187"/>
      <c r="Z147" s="187"/>
    </row>
    <row r="148" spans="1:26" ht="72" outlineLevel="2">
      <c r="A148" s="180" t="s">
        <v>5683</v>
      </c>
      <c r="B148" s="181" t="s">
        <v>5684</v>
      </c>
      <c r="C148" s="182" t="s">
        <v>287</v>
      </c>
      <c r="D148" s="184">
        <v>50</v>
      </c>
      <c r="E148" s="184">
        <v>15</v>
      </c>
      <c r="F148" s="184" t="s">
        <v>5371</v>
      </c>
      <c r="G148" s="184">
        <v>90</v>
      </c>
      <c r="H148" s="184">
        <v>15</v>
      </c>
      <c r="I148" s="185">
        <f t="shared" si="32"/>
        <v>300000</v>
      </c>
      <c r="J148" s="185">
        <f t="shared" si="33"/>
        <v>50000</v>
      </c>
      <c r="K148" s="185">
        <f t="shared" si="34"/>
        <v>50000</v>
      </c>
      <c r="L148" s="185">
        <f t="shared" si="35"/>
        <v>10000</v>
      </c>
      <c r="M148" s="185">
        <f t="shared" si="36"/>
        <v>90000</v>
      </c>
      <c r="N148" s="185">
        <f t="shared" si="37"/>
        <v>30000</v>
      </c>
      <c r="O148" s="194">
        <f t="shared" si="25"/>
        <v>500000</v>
      </c>
      <c r="P148" s="186" t="str">
        <f ca="1">IF(D148=0,'Виды прицепов'!$M$7,IF(D148=30,'Виды прицепов'!$M$8,'Виды прицепов'!$M$9))</f>
        <v>3650*1700*1070</v>
      </c>
      <c r="Q148" s="186" t="str">
        <f ca="1">IF(D148=0,'Виды прицепов'!$N$7,IF(D148=30,'Виды прицепов'!$N$8,'Виды прицепов'!$N$9))</f>
        <v>2500*1250*500</v>
      </c>
      <c r="R148" s="187"/>
      <c r="S148" s="187"/>
      <c r="T148" s="187"/>
      <c r="U148" s="187"/>
      <c r="V148" s="187"/>
      <c r="W148" s="187"/>
      <c r="X148" s="187"/>
      <c r="Y148" s="187"/>
      <c r="Z148" s="187"/>
    </row>
    <row r="149" spans="1:26" ht="14.4" outlineLevel="1">
      <c r="A149" s="175" t="s">
        <v>347</v>
      </c>
      <c r="B149" s="176"/>
      <c r="C149" s="177"/>
      <c r="D149" s="178"/>
      <c r="E149" s="178"/>
      <c r="F149" s="178"/>
      <c r="G149" s="178"/>
      <c r="H149" s="178"/>
      <c r="I149" s="179"/>
      <c r="J149" s="179"/>
      <c r="K149" s="179"/>
      <c r="L149" s="179"/>
      <c r="M149" s="179"/>
      <c r="N149" s="179"/>
      <c r="O149" s="193"/>
      <c r="P149" s="173"/>
      <c r="Q149" s="173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spans="1:26" ht="57.6" outlineLevel="2">
      <c r="A150" s="195" t="s">
        <v>5685</v>
      </c>
      <c r="B150" s="196" t="s">
        <v>5686</v>
      </c>
      <c r="C150" s="197" t="s">
        <v>347</v>
      </c>
      <c r="D150" s="198">
        <v>0</v>
      </c>
      <c r="E150" s="198">
        <v>0</v>
      </c>
      <c r="F150" s="198">
        <v>0</v>
      </c>
      <c r="G150" s="198">
        <v>0</v>
      </c>
      <c r="H150" s="198">
        <v>13</v>
      </c>
      <c r="I150" s="199">
        <f t="shared" ref="I150:I181" si="38">VLOOKUP(C150,Платформа,2,0)</f>
        <v>360000</v>
      </c>
      <c r="J150" s="199">
        <f t="shared" ref="J150:J181" si="39">VLOOKUP(D150,борт_2515,2)</f>
        <v>0</v>
      </c>
      <c r="K150" s="199">
        <f t="shared" ref="K150:K181" si="40">VLOOKUP(E150,колесо,2,0)</f>
        <v>0</v>
      </c>
      <c r="L150" s="199">
        <f t="shared" ref="L150:L181" si="41">VLOOKUP(F150,опорное_колесо,2,0)</f>
        <v>0</v>
      </c>
      <c r="M150" s="199">
        <f t="shared" ref="M150:M181" si="42">VLOOKUP(G150,тент_2515,2,0)</f>
        <v>0</v>
      </c>
      <c r="N150" s="199">
        <f t="shared" ref="N150:N181" si="43">VLOOKUP(H150,ступица,2,0)</f>
        <v>0</v>
      </c>
      <c r="O150" s="200">
        <f t="shared" ref="O150:O205" si="44">SUM(I150:M150)</f>
        <v>360000</v>
      </c>
      <c r="P150" s="186" t="str">
        <f ca="1">IF(D150=0,'Виды прицепов'!$M$10,IF(D150=30,'Виды прицепов'!$M$11,'Виды прицепов'!$M$12))</f>
        <v>4000*1950*650</v>
      </c>
      <c r="Q150" s="186" t="str">
        <f ca="1">IF(D150=0,'Виды прицепов'!$N$10,IF(D150=30,'Виды прицепов'!$N$11,'Виды прицепов'!$N$12))</f>
        <v>2500*1500*0</v>
      </c>
      <c r="R150" s="201"/>
      <c r="S150" s="201"/>
      <c r="T150" s="201"/>
      <c r="U150" s="201"/>
      <c r="V150" s="201"/>
      <c r="W150" s="201"/>
      <c r="X150" s="201"/>
      <c r="Y150" s="201"/>
      <c r="Z150" s="201"/>
    </row>
    <row r="151" spans="1:26" ht="57.6" outlineLevel="2">
      <c r="A151" s="195" t="s">
        <v>5687</v>
      </c>
      <c r="B151" s="196" t="s">
        <v>5688</v>
      </c>
      <c r="C151" s="197" t="s">
        <v>347</v>
      </c>
      <c r="D151" s="198">
        <v>30</v>
      </c>
      <c r="E151" s="198">
        <v>0</v>
      </c>
      <c r="F151" s="198">
        <v>0</v>
      </c>
      <c r="G151" s="198">
        <v>0</v>
      </c>
      <c r="H151" s="198">
        <v>13</v>
      </c>
      <c r="I151" s="199">
        <f t="shared" si="38"/>
        <v>360000</v>
      </c>
      <c r="J151" s="199">
        <f t="shared" si="39"/>
        <v>40000</v>
      </c>
      <c r="K151" s="199">
        <f t="shared" si="40"/>
        <v>0</v>
      </c>
      <c r="L151" s="199">
        <f t="shared" si="41"/>
        <v>0</v>
      </c>
      <c r="M151" s="199">
        <f t="shared" si="42"/>
        <v>0</v>
      </c>
      <c r="N151" s="199">
        <f t="shared" si="43"/>
        <v>0</v>
      </c>
      <c r="O151" s="200">
        <f t="shared" si="44"/>
        <v>400000</v>
      </c>
      <c r="P151" s="186" t="str">
        <f ca="1">IF(D151=0,'Виды прицепов'!$M$10,IF(D151=30,'Виды прицепов'!$M$11,'Виды прицепов'!$M$12))</f>
        <v>3650*1950*900</v>
      </c>
      <c r="Q151" s="186" t="str">
        <f ca="1">IF(D151=0,'Виды прицепов'!$N$10,IF(D151=30,'Виды прицепов'!$N$11,'Виды прицепов'!$N$12))</f>
        <v>2500*1500*300</v>
      </c>
      <c r="R151" s="201"/>
      <c r="S151" s="201"/>
      <c r="T151" s="201"/>
      <c r="U151" s="201"/>
      <c r="V151" s="201"/>
      <c r="W151" s="201"/>
      <c r="X151" s="201"/>
      <c r="Y151" s="201"/>
      <c r="Z151" s="201"/>
    </row>
    <row r="152" spans="1:26" ht="57.6" outlineLevel="2">
      <c r="A152" s="195" t="s">
        <v>5689</v>
      </c>
      <c r="B152" s="196" t="s">
        <v>5690</v>
      </c>
      <c r="C152" s="197" t="s">
        <v>347</v>
      </c>
      <c r="D152" s="198">
        <v>50</v>
      </c>
      <c r="E152" s="198">
        <v>0</v>
      </c>
      <c r="F152" s="198">
        <v>0</v>
      </c>
      <c r="G152" s="198">
        <v>0</v>
      </c>
      <c r="H152" s="198">
        <v>13</v>
      </c>
      <c r="I152" s="199">
        <f t="shared" si="38"/>
        <v>360000</v>
      </c>
      <c r="J152" s="199">
        <f t="shared" si="39"/>
        <v>50000</v>
      </c>
      <c r="K152" s="199">
        <f t="shared" si="40"/>
        <v>0</v>
      </c>
      <c r="L152" s="199">
        <f t="shared" si="41"/>
        <v>0</v>
      </c>
      <c r="M152" s="199">
        <f t="shared" si="42"/>
        <v>0</v>
      </c>
      <c r="N152" s="199">
        <f t="shared" si="43"/>
        <v>0</v>
      </c>
      <c r="O152" s="200">
        <f t="shared" si="44"/>
        <v>410000</v>
      </c>
      <c r="P152" s="186" t="str">
        <f ca="1">IF(D152=0,'Виды прицепов'!$M$10,IF(D152=30,'Виды прицепов'!$M$11,'Виды прицепов'!$M$12))</f>
        <v>3650*1950*1070</v>
      </c>
      <c r="Q152" s="186" t="str">
        <f ca="1">IF(D152=0,'Виды прицепов'!$N$10,IF(D152=30,'Виды прицепов'!$N$11,'Виды прицепов'!$N$12))</f>
        <v>2500*1500*500</v>
      </c>
      <c r="R152" s="201"/>
      <c r="S152" s="201"/>
      <c r="T152" s="201"/>
      <c r="U152" s="201"/>
      <c r="V152" s="201"/>
      <c r="W152" s="201"/>
      <c r="X152" s="201"/>
      <c r="Y152" s="201"/>
      <c r="Z152" s="201"/>
    </row>
    <row r="153" spans="1:26" ht="72" outlineLevel="2">
      <c r="A153" s="195" t="s">
        <v>5691</v>
      </c>
      <c r="B153" s="196" t="s">
        <v>5692</v>
      </c>
      <c r="C153" s="197" t="s">
        <v>347</v>
      </c>
      <c r="D153" s="198">
        <v>30</v>
      </c>
      <c r="E153" s="198">
        <v>0</v>
      </c>
      <c r="F153" s="198">
        <v>0</v>
      </c>
      <c r="G153" s="202">
        <v>90</v>
      </c>
      <c r="H153" s="198">
        <v>13</v>
      </c>
      <c r="I153" s="199">
        <f t="shared" si="38"/>
        <v>360000</v>
      </c>
      <c r="J153" s="199">
        <f t="shared" si="39"/>
        <v>40000</v>
      </c>
      <c r="K153" s="199">
        <f t="shared" si="40"/>
        <v>0</v>
      </c>
      <c r="L153" s="199">
        <f t="shared" si="41"/>
        <v>0</v>
      </c>
      <c r="M153" s="199">
        <f t="shared" si="42"/>
        <v>100000</v>
      </c>
      <c r="N153" s="199">
        <f t="shared" si="43"/>
        <v>0</v>
      </c>
      <c r="O153" s="200">
        <f t="shared" si="44"/>
        <v>500000</v>
      </c>
      <c r="P153" s="186" t="str">
        <f ca="1">IF(D153=0,'Виды прицепов'!$M$10,IF(D153=30,'Виды прицепов'!$M$11,'Виды прицепов'!$M$12))</f>
        <v>3650*1950*900</v>
      </c>
      <c r="Q153" s="186" t="str">
        <f ca="1">IF(D153=0,'Виды прицепов'!$N$10,IF(D153=30,'Виды прицепов'!$N$11,'Виды прицепов'!$N$12))</f>
        <v>2500*1500*300</v>
      </c>
      <c r="R153" s="201"/>
      <c r="S153" s="201"/>
      <c r="T153" s="201"/>
      <c r="U153" s="201"/>
      <c r="V153" s="201"/>
      <c r="W153" s="201"/>
      <c r="X153" s="201"/>
      <c r="Y153" s="201"/>
      <c r="Z153" s="201"/>
    </row>
    <row r="154" spans="1:26" ht="72" outlineLevel="2">
      <c r="A154" s="195" t="s">
        <v>5693</v>
      </c>
      <c r="B154" s="196" t="s">
        <v>5694</v>
      </c>
      <c r="C154" s="197" t="s">
        <v>347</v>
      </c>
      <c r="D154" s="198">
        <v>50</v>
      </c>
      <c r="E154" s="198">
        <v>0</v>
      </c>
      <c r="F154" s="198">
        <v>0</v>
      </c>
      <c r="G154" s="202">
        <v>90</v>
      </c>
      <c r="H154" s="198">
        <v>13</v>
      </c>
      <c r="I154" s="199">
        <f t="shared" si="38"/>
        <v>360000</v>
      </c>
      <c r="J154" s="199">
        <f t="shared" si="39"/>
        <v>50000</v>
      </c>
      <c r="K154" s="199">
        <f t="shared" si="40"/>
        <v>0</v>
      </c>
      <c r="L154" s="199">
        <f t="shared" si="41"/>
        <v>0</v>
      </c>
      <c r="M154" s="199">
        <f t="shared" si="42"/>
        <v>100000</v>
      </c>
      <c r="N154" s="199">
        <f t="shared" si="43"/>
        <v>0</v>
      </c>
      <c r="O154" s="200">
        <f t="shared" si="44"/>
        <v>510000</v>
      </c>
      <c r="P154" s="186" t="str">
        <f ca="1">IF(D154=0,'Виды прицепов'!$M$10,IF(D154=30,'Виды прицепов'!$M$11,'Виды прицепов'!$M$12))</f>
        <v>3650*1950*1070</v>
      </c>
      <c r="Q154" s="186" t="str">
        <f ca="1">IF(D154=0,'Виды прицепов'!$N$10,IF(D154=30,'Виды прицепов'!$N$11,'Виды прицепов'!$N$12))</f>
        <v>2500*1500*500</v>
      </c>
      <c r="R154" s="201"/>
      <c r="S154" s="201"/>
      <c r="T154" s="201"/>
      <c r="U154" s="201"/>
      <c r="V154" s="201"/>
      <c r="W154" s="201"/>
      <c r="X154" s="201"/>
      <c r="Y154" s="201"/>
      <c r="Z154" s="201"/>
    </row>
    <row r="155" spans="1:26" ht="72" outlineLevel="2">
      <c r="A155" s="195" t="s">
        <v>5695</v>
      </c>
      <c r="B155" s="196" t="s">
        <v>5696</v>
      </c>
      <c r="C155" s="197" t="s">
        <v>347</v>
      </c>
      <c r="D155" s="198">
        <v>30</v>
      </c>
      <c r="E155" s="198">
        <v>0</v>
      </c>
      <c r="F155" s="198">
        <v>0</v>
      </c>
      <c r="G155" s="198">
        <v>120</v>
      </c>
      <c r="H155" s="198">
        <v>13</v>
      </c>
      <c r="I155" s="199">
        <f t="shared" si="38"/>
        <v>360000</v>
      </c>
      <c r="J155" s="199">
        <f t="shared" si="39"/>
        <v>40000</v>
      </c>
      <c r="K155" s="199">
        <f t="shared" si="40"/>
        <v>0</v>
      </c>
      <c r="L155" s="199">
        <f t="shared" si="41"/>
        <v>0</v>
      </c>
      <c r="M155" s="199">
        <f t="shared" si="42"/>
        <v>110000</v>
      </c>
      <c r="N155" s="199">
        <f t="shared" si="43"/>
        <v>0</v>
      </c>
      <c r="O155" s="200">
        <f t="shared" si="44"/>
        <v>510000</v>
      </c>
      <c r="P155" s="186" t="str">
        <f ca="1">IF(D155=0,'Виды прицепов'!$M$10,IF(D155=30,'Виды прицепов'!$M$11,'Виды прицепов'!$M$12))</f>
        <v>3650*1950*900</v>
      </c>
      <c r="Q155" s="186" t="str">
        <f ca="1">IF(D155=0,'Виды прицепов'!$N$10,IF(D155=30,'Виды прицепов'!$N$11,'Виды прицепов'!$N$12))</f>
        <v>2500*1500*300</v>
      </c>
      <c r="R155" s="201"/>
      <c r="S155" s="201"/>
      <c r="T155" s="201"/>
      <c r="U155" s="201"/>
      <c r="V155" s="201"/>
      <c r="W155" s="201"/>
      <c r="X155" s="201"/>
      <c r="Y155" s="201"/>
      <c r="Z155" s="201"/>
    </row>
    <row r="156" spans="1:26" ht="72" outlineLevel="2">
      <c r="A156" s="195" t="s">
        <v>5697</v>
      </c>
      <c r="B156" s="196" t="s">
        <v>5698</v>
      </c>
      <c r="C156" s="197" t="s">
        <v>347</v>
      </c>
      <c r="D156" s="198">
        <v>50</v>
      </c>
      <c r="E156" s="198">
        <v>0</v>
      </c>
      <c r="F156" s="198">
        <v>0</v>
      </c>
      <c r="G156" s="198">
        <v>120</v>
      </c>
      <c r="H156" s="198">
        <v>13</v>
      </c>
      <c r="I156" s="199">
        <f t="shared" si="38"/>
        <v>360000</v>
      </c>
      <c r="J156" s="199">
        <f t="shared" si="39"/>
        <v>50000</v>
      </c>
      <c r="K156" s="199">
        <f t="shared" si="40"/>
        <v>0</v>
      </c>
      <c r="L156" s="199">
        <f t="shared" si="41"/>
        <v>0</v>
      </c>
      <c r="M156" s="199">
        <f t="shared" si="42"/>
        <v>110000</v>
      </c>
      <c r="N156" s="199">
        <f t="shared" si="43"/>
        <v>0</v>
      </c>
      <c r="O156" s="200">
        <f t="shared" si="44"/>
        <v>520000</v>
      </c>
      <c r="P156" s="186" t="str">
        <f ca="1">IF(D156=0,'Виды прицепов'!$M$10,IF(D156=30,'Виды прицепов'!$M$11,'Виды прицепов'!$M$12))</f>
        <v>3650*1950*1070</v>
      </c>
      <c r="Q156" s="186" t="str">
        <f ca="1">IF(D156=0,'Виды прицепов'!$N$10,IF(D156=30,'Виды прицепов'!$N$11,'Виды прицепов'!$N$12))</f>
        <v>2500*1500*500</v>
      </c>
      <c r="R156" s="201"/>
      <c r="S156" s="201"/>
      <c r="T156" s="201"/>
      <c r="U156" s="201"/>
      <c r="V156" s="201"/>
      <c r="W156" s="201"/>
      <c r="X156" s="201"/>
      <c r="Y156" s="201"/>
      <c r="Z156" s="201"/>
    </row>
    <row r="157" spans="1:26" ht="57.6" outlineLevel="2">
      <c r="A157" s="195" t="s">
        <v>5699</v>
      </c>
      <c r="B157" s="196" t="s">
        <v>5700</v>
      </c>
      <c r="C157" s="197" t="s">
        <v>347</v>
      </c>
      <c r="D157" s="198">
        <v>0</v>
      </c>
      <c r="E157" s="198">
        <v>13</v>
      </c>
      <c r="F157" s="198">
        <v>0</v>
      </c>
      <c r="G157" s="198">
        <v>0</v>
      </c>
      <c r="H157" s="198">
        <v>13</v>
      </c>
      <c r="I157" s="199">
        <f t="shared" si="38"/>
        <v>360000</v>
      </c>
      <c r="J157" s="199">
        <f t="shared" si="39"/>
        <v>0</v>
      </c>
      <c r="K157" s="199">
        <f t="shared" si="40"/>
        <v>30000</v>
      </c>
      <c r="L157" s="199">
        <f t="shared" si="41"/>
        <v>0</v>
      </c>
      <c r="M157" s="199">
        <f t="shared" si="42"/>
        <v>0</v>
      </c>
      <c r="N157" s="199">
        <f t="shared" si="43"/>
        <v>0</v>
      </c>
      <c r="O157" s="200">
        <f t="shared" si="44"/>
        <v>390000</v>
      </c>
      <c r="P157" s="186" t="str">
        <f ca="1">IF(D157=0,'Виды прицепов'!$M$10,IF(D157=30,'Виды прицепов'!$M$11,'Виды прицепов'!$M$12))</f>
        <v>4000*1950*650</v>
      </c>
      <c r="Q157" s="186" t="str">
        <f ca="1">IF(D157=0,'Виды прицепов'!$N$10,IF(D157=30,'Виды прицепов'!$N$11,'Виды прицепов'!$N$12))</f>
        <v>2500*1500*0</v>
      </c>
      <c r="R157" s="201"/>
      <c r="S157" s="201"/>
      <c r="T157" s="201"/>
      <c r="U157" s="201"/>
      <c r="V157" s="201"/>
      <c r="W157" s="201"/>
      <c r="X157" s="201"/>
      <c r="Y157" s="201"/>
      <c r="Z157" s="201"/>
    </row>
    <row r="158" spans="1:26" ht="72" outlineLevel="2">
      <c r="A158" s="195" t="s">
        <v>5701</v>
      </c>
      <c r="B158" s="196" t="s">
        <v>5702</v>
      </c>
      <c r="C158" s="197" t="s">
        <v>347</v>
      </c>
      <c r="D158" s="198">
        <v>30</v>
      </c>
      <c r="E158" s="198">
        <v>13</v>
      </c>
      <c r="F158" s="198">
        <v>0</v>
      </c>
      <c r="G158" s="198">
        <v>0</v>
      </c>
      <c r="H158" s="198">
        <v>13</v>
      </c>
      <c r="I158" s="199">
        <f t="shared" si="38"/>
        <v>360000</v>
      </c>
      <c r="J158" s="199">
        <f t="shared" si="39"/>
        <v>40000</v>
      </c>
      <c r="K158" s="199">
        <f t="shared" si="40"/>
        <v>30000</v>
      </c>
      <c r="L158" s="199">
        <f t="shared" si="41"/>
        <v>0</v>
      </c>
      <c r="M158" s="199">
        <f t="shared" si="42"/>
        <v>0</v>
      </c>
      <c r="N158" s="199">
        <f t="shared" si="43"/>
        <v>0</v>
      </c>
      <c r="O158" s="200">
        <f t="shared" si="44"/>
        <v>430000</v>
      </c>
      <c r="P158" s="186" t="str">
        <f ca="1">IF(D158=0,'Виды прицепов'!$M$10,IF(D158=30,'Виды прицепов'!$M$11,'Виды прицепов'!$M$12))</f>
        <v>3650*1950*900</v>
      </c>
      <c r="Q158" s="186" t="str">
        <f ca="1">IF(D158=0,'Виды прицепов'!$N$10,IF(D158=30,'Виды прицепов'!$N$11,'Виды прицепов'!$N$12))</f>
        <v>2500*1500*300</v>
      </c>
      <c r="R158" s="201"/>
      <c r="S158" s="201"/>
      <c r="T158" s="201"/>
      <c r="U158" s="201"/>
      <c r="V158" s="201"/>
      <c r="W158" s="201"/>
      <c r="X158" s="201"/>
      <c r="Y158" s="201"/>
      <c r="Z158" s="201"/>
    </row>
    <row r="159" spans="1:26" ht="72" outlineLevel="2">
      <c r="A159" s="195" t="s">
        <v>5703</v>
      </c>
      <c r="B159" s="196" t="s">
        <v>5704</v>
      </c>
      <c r="C159" s="197" t="s">
        <v>347</v>
      </c>
      <c r="D159" s="198">
        <v>50</v>
      </c>
      <c r="E159" s="198">
        <v>13</v>
      </c>
      <c r="F159" s="198">
        <v>0</v>
      </c>
      <c r="G159" s="198">
        <v>0</v>
      </c>
      <c r="H159" s="198">
        <v>13</v>
      </c>
      <c r="I159" s="199">
        <f t="shared" si="38"/>
        <v>360000</v>
      </c>
      <c r="J159" s="199">
        <f t="shared" si="39"/>
        <v>50000</v>
      </c>
      <c r="K159" s="199">
        <f t="shared" si="40"/>
        <v>30000</v>
      </c>
      <c r="L159" s="199">
        <f t="shared" si="41"/>
        <v>0</v>
      </c>
      <c r="M159" s="199">
        <f t="shared" si="42"/>
        <v>0</v>
      </c>
      <c r="N159" s="199">
        <f t="shared" si="43"/>
        <v>0</v>
      </c>
      <c r="O159" s="200">
        <f t="shared" si="44"/>
        <v>440000</v>
      </c>
      <c r="P159" s="186" t="str">
        <f ca="1">IF(D159=0,'Виды прицепов'!$M$10,IF(D159=30,'Виды прицепов'!$M$11,'Виды прицепов'!$M$12))</f>
        <v>3650*1950*1070</v>
      </c>
      <c r="Q159" s="186" t="str">
        <f ca="1">IF(D159=0,'Виды прицепов'!$N$10,IF(D159=30,'Виды прицепов'!$N$11,'Виды прицепов'!$N$12))</f>
        <v>2500*1500*500</v>
      </c>
      <c r="R159" s="201"/>
      <c r="S159" s="201"/>
      <c r="T159" s="201"/>
      <c r="U159" s="201"/>
      <c r="V159" s="201"/>
      <c r="W159" s="201"/>
      <c r="X159" s="201"/>
      <c r="Y159" s="201"/>
      <c r="Z159" s="201"/>
    </row>
    <row r="160" spans="1:26" ht="57.6" outlineLevel="2">
      <c r="A160" s="195" t="s">
        <v>5705</v>
      </c>
      <c r="B160" s="196" t="s">
        <v>5706</v>
      </c>
      <c r="C160" s="197" t="s">
        <v>347</v>
      </c>
      <c r="D160" s="198">
        <v>0</v>
      </c>
      <c r="E160" s="198">
        <v>0</v>
      </c>
      <c r="F160" s="198">
        <v>0</v>
      </c>
      <c r="G160" s="198">
        <v>0</v>
      </c>
      <c r="H160" s="198">
        <v>15</v>
      </c>
      <c r="I160" s="199">
        <f t="shared" si="38"/>
        <v>360000</v>
      </c>
      <c r="J160" s="199">
        <f t="shared" si="39"/>
        <v>0</v>
      </c>
      <c r="K160" s="199">
        <f t="shared" si="40"/>
        <v>0</v>
      </c>
      <c r="L160" s="199">
        <f t="shared" si="41"/>
        <v>0</v>
      </c>
      <c r="M160" s="199">
        <f t="shared" si="42"/>
        <v>0</v>
      </c>
      <c r="N160" s="199">
        <f t="shared" si="43"/>
        <v>30000</v>
      </c>
      <c r="O160" s="200">
        <f t="shared" si="44"/>
        <v>360000</v>
      </c>
      <c r="P160" s="186" t="str">
        <f ca="1">IF(D160=0,'Виды прицепов'!$M$10,IF(D160=30,'Виды прицепов'!$M$11,'Виды прицепов'!$M$12))</f>
        <v>4000*1950*650</v>
      </c>
      <c r="Q160" s="186" t="str">
        <f ca="1">IF(D160=0,'Виды прицепов'!$N$10,IF(D160=30,'Виды прицепов'!$N$11,'Виды прицепов'!$N$12))</f>
        <v>2500*1500*0</v>
      </c>
      <c r="R160" s="201"/>
      <c r="S160" s="201"/>
      <c r="T160" s="201"/>
      <c r="U160" s="201"/>
      <c r="V160" s="201"/>
      <c r="W160" s="201"/>
      <c r="X160" s="201"/>
      <c r="Y160" s="201"/>
      <c r="Z160" s="201"/>
    </row>
    <row r="161" spans="1:26" ht="57.6" outlineLevel="2">
      <c r="A161" s="195" t="s">
        <v>5707</v>
      </c>
      <c r="B161" s="196" t="s">
        <v>5708</v>
      </c>
      <c r="C161" s="197" t="s">
        <v>347</v>
      </c>
      <c r="D161" s="198">
        <v>30</v>
      </c>
      <c r="E161" s="198">
        <v>0</v>
      </c>
      <c r="F161" s="198">
        <v>0</v>
      </c>
      <c r="G161" s="198">
        <v>0</v>
      </c>
      <c r="H161" s="198">
        <v>15</v>
      </c>
      <c r="I161" s="199">
        <f t="shared" si="38"/>
        <v>360000</v>
      </c>
      <c r="J161" s="199">
        <f t="shared" si="39"/>
        <v>40000</v>
      </c>
      <c r="K161" s="199">
        <f t="shared" si="40"/>
        <v>0</v>
      </c>
      <c r="L161" s="199">
        <f t="shared" si="41"/>
        <v>0</v>
      </c>
      <c r="M161" s="199">
        <f t="shared" si="42"/>
        <v>0</v>
      </c>
      <c r="N161" s="199">
        <f t="shared" si="43"/>
        <v>30000</v>
      </c>
      <c r="O161" s="200">
        <f t="shared" si="44"/>
        <v>400000</v>
      </c>
      <c r="P161" s="186" t="str">
        <f ca="1">IF(D161=0,'Виды прицепов'!$M$10,IF(D161=30,'Виды прицепов'!$M$11,'Виды прицепов'!$M$12))</f>
        <v>3650*1950*900</v>
      </c>
      <c r="Q161" s="186" t="str">
        <f ca="1">IF(D161=0,'Виды прицепов'!$N$10,IF(D161=30,'Виды прицепов'!$N$11,'Виды прицепов'!$N$12))</f>
        <v>2500*1500*300</v>
      </c>
      <c r="R161" s="201"/>
      <c r="S161" s="201"/>
      <c r="T161" s="201"/>
      <c r="U161" s="201"/>
      <c r="V161" s="201"/>
      <c r="W161" s="201"/>
      <c r="X161" s="201"/>
      <c r="Y161" s="201"/>
      <c r="Z161" s="201"/>
    </row>
    <row r="162" spans="1:26" ht="57.6" outlineLevel="2">
      <c r="A162" s="195" t="s">
        <v>5709</v>
      </c>
      <c r="B162" s="196" t="s">
        <v>5710</v>
      </c>
      <c r="C162" s="197" t="s">
        <v>347</v>
      </c>
      <c r="D162" s="198">
        <v>50</v>
      </c>
      <c r="E162" s="198">
        <v>0</v>
      </c>
      <c r="F162" s="198">
        <v>0</v>
      </c>
      <c r="G162" s="198">
        <v>0</v>
      </c>
      <c r="H162" s="198">
        <v>15</v>
      </c>
      <c r="I162" s="199">
        <f t="shared" si="38"/>
        <v>360000</v>
      </c>
      <c r="J162" s="199">
        <f t="shared" si="39"/>
        <v>50000</v>
      </c>
      <c r="K162" s="199">
        <f t="shared" si="40"/>
        <v>0</v>
      </c>
      <c r="L162" s="199">
        <f t="shared" si="41"/>
        <v>0</v>
      </c>
      <c r="M162" s="199">
        <f t="shared" si="42"/>
        <v>0</v>
      </c>
      <c r="N162" s="199">
        <f t="shared" si="43"/>
        <v>30000</v>
      </c>
      <c r="O162" s="200">
        <f t="shared" si="44"/>
        <v>410000</v>
      </c>
      <c r="P162" s="186" t="str">
        <f ca="1">IF(D162=0,'Виды прицепов'!$M$10,IF(D162=30,'Виды прицепов'!$M$11,'Виды прицепов'!$M$12))</f>
        <v>3650*1950*1070</v>
      </c>
      <c r="Q162" s="186" t="str">
        <f ca="1">IF(D162=0,'Виды прицепов'!$N$10,IF(D162=30,'Виды прицепов'!$N$11,'Виды прицепов'!$N$12))</f>
        <v>2500*1500*500</v>
      </c>
      <c r="R162" s="201"/>
      <c r="S162" s="201"/>
      <c r="T162" s="201"/>
      <c r="U162" s="201"/>
      <c r="V162" s="201"/>
      <c r="W162" s="201"/>
      <c r="X162" s="201"/>
      <c r="Y162" s="201"/>
      <c r="Z162" s="201"/>
    </row>
    <row r="163" spans="1:26" ht="72" outlineLevel="2">
      <c r="A163" s="195" t="s">
        <v>5711</v>
      </c>
      <c r="B163" s="196" t="s">
        <v>5712</v>
      </c>
      <c r="C163" s="197" t="s">
        <v>347</v>
      </c>
      <c r="D163" s="198">
        <v>30</v>
      </c>
      <c r="E163" s="198">
        <v>0</v>
      </c>
      <c r="F163" s="198">
        <v>0</v>
      </c>
      <c r="G163" s="202">
        <v>90</v>
      </c>
      <c r="H163" s="198">
        <v>15</v>
      </c>
      <c r="I163" s="199">
        <f t="shared" si="38"/>
        <v>360000</v>
      </c>
      <c r="J163" s="199">
        <f t="shared" si="39"/>
        <v>40000</v>
      </c>
      <c r="K163" s="199">
        <f t="shared" si="40"/>
        <v>0</v>
      </c>
      <c r="L163" s="199">
        <f t="shared" si="41"/>
        <v>0</v>
      </c>
      <c r="M163" s="199">
        <f t="shared" si="42"/>
        <v>100000</v>
      </c>
      <c r="N163" s="199">
        <f t="shared" si="43"/>
        <v>30000</v>
      </c>
      <c r="O163" s="200">
        <f t="shared" si="44"/>
        <v>500000</v>
      </c>
      <c r="P163" s="186" t="str">
        <f ca="1">IF(D163=0,'Виды прицепов'!$M$10,IF(D163=30,'Виды прицепов'!$M$11,'Виды прицепов'!$M$12))</f>
        <v>3650*1950*900</v>
      </c>
      <c r="Q163" s="186" t="str">
        <f ca="1">IF(D163=0,'Виды прицепов'!$N$10,IF(D163=30,'Виды прицепов'!$N$11,'Виды прицепов'!$N$12))</f>
        <v>2500*1500*300</v>
      </c>
      <c r="R163" s="201"/>
      <c r="S163" s="201"/>
      <c r="T163" s="201"/>
      <c r="U163" s="201"/>
      <c r="V163" s="201"/>
      <c r="W163" s="201"/>
      <c r="X163" s="201"/>
      <c r="Y163" s="201"/>
      <c r="Z163" s="201"/>
    </row>
    <row r="164" spans="1:26" ht="72" outlineLevel="2">
      <c r="A164" s="195" t="s">
        <v>5713</v>
      </c>
      <c r="B164" s="196" t="s">
        <v>5714</v>
      </c>
      <c r="C164" s="197" t="s">
        <v>347</v>
      </c>
      <c r="D164" s="198">
        <v>50</v>
      </c>
      <c r="E164" s="198">
        <v>0</v>
      </c>
      <c r="F164" s="198">
        <v>0</v>
      </c>
      <c r="G164" s="202">
        <v>90</v>
      </c>
      <c r="H164" s="198">
        <v>15</v>
      </c>
      <c r="I164" s="199">
        <f t="shared" si="38"/>
        <v>360000</v>
      </c>
      <c r="J164" s="199">
        <f t="shared" si="39"/>
        <v>50000</v>
      </c>
      <c r="K164" s="199">
        <f t="shared" si="40"/>
        <v>0</v>
      </c>
      <c r="L164" s="199">
        <f t="shared" si="41"/>
        <v>0</v>
      </c>
      <c r="M164" s="199">
        <f t="shared" si="42"/>
        <v>100000</v>
      </c>
      <c r="N164" s="199">
        <f t="shared" si="43"/>
        <v>30000</v>
      </c>
      <c r="O164" s="200">
        <f t="shared" si="44"/>
        <v>510000</v>
      </c>
      <c r="P164" s="186" t="str">
        <f ca="1">IF(D164=0,'Виды прицепов'!$M$10,IF(D164=30,'Виды прицепов'!$M$11,'Виды прицепов'!$M$12))</f>
        <v>3650*1950*1070</v>
      </c>
      <c r="Q164" s="186" t="str">
        <f ca="1">IF(D164=0,'Виды прицепов'!$N$10,IF(D164=30,'Виды прицепов'!$N$11,'Виды прицепов'!$N$12))</f>
        <v>2500*1500*500</v>
      </c>
      <c r="R164" s="201"/>
      <c r="S164" s="201"/>
      <c r="T164" s="201"/>
      <c r="U164" s="201"/>
      <c r="V164" s="201"/>
      <c r="W164" s="201"/>
      <c r="X164" s="201"/>
      <c r="Y164" s="201"/>
      <c r="Z164" s="201"/>
    </row>
    <row r="165" spans="1:26" ht="72" outlineLevel="2">
      <c r="A165" s="195" t="s">
        <v>5715</v>
      </c>
      <c r="B165" s="196" t="s">
        <v>5716</v>
      </c>
      <c r="C165" s="197" t="s">
        <v>347</v>
      </c>
      <c r="D165" s="198">
        <v>30</v>
      </c>
      <c r="E165" s="198">
        <v>0</v>
      </c>
      <c r="F165" s="198">
        <v>0</v>
      </c>
      <c r="G165" s="198">
        <v>120</v>
      </c>
      <c r="H165" s="198">
        <v>15</v>
      </c>
      <c r="I165" s="199">
        <f t="shared" si="38"/>
        <v>360000</v>
      </c>
      <c r="J165" s="199">
        <f t="shared" si="39"/>
        <v>40000</v>
      </c>
      <c r="K165" s="199">
        <f t="shared" si="40"/>
        <v>0</v>
      </c>
      <c r="L165" s="199">
        <f t="shared" si="41"/>
        <v>0</v>
      </c>
      <c r="M165" s="199">
        <f t="shared" si="42"/>
        <v>110000</v>
      </c>
      <c r="N165" s="199">
        <f t="shared" si="43"/>
        <v>30000</v>
      </c>
      <c r="O165" s="200">
        <f t="shared" si="44"/>
        <v>510000</v>
      </c>
      <c r="P165" s="186" t="str">
        <f ca="1">IF(D165=0,'Виды прицепов'!$M$10,IF(D165=30,'Виды прицепов'!$M$11,'Виды прицепов'!$M$12))</f>
        <v>3650*1950*900</v>
      </c>
      <c r="Q165" s="186" t="str">
        <f ca="1">IF(D165=0,'Виды прицепов'!$N$10,IF(D165=30,'Виды прицепов'!$N$11,'Виды прицепов'!$N$12))</f>
        <v>2500*1500*300</v>
      </c>
      <c r="R165" s="201"/>
      <c r="S165" s="201"/>
      <c r="T165" s="201"/>
      <c r="U165" s="201"/>
      <c r="V165" s="201"/>
      <c r="W165" s="201"/>
      <c r="X165" s="201"/>
      <c r="Y165" s="201"/>
      <c r="Z165" s="201"/>
    </row>
    <row r="166" spans="1:26" ht="72" outlineLevel="2">
      <c r="A166" s="195" t="s">
        <v>5717</v>
      </c>
      <c r="B166" s="196" t="s">
        <v>5718</v>
      </c>
      <c r="C166" s="197" t="s">
        <v>347</v>
      </c>
      <c r="D166" s="198">
        <v>50</v>
      </c>
      <c r="E166" s="198">
        <v>0</v>
      </c>
      <c r="F166" s="198">
        <v>0</v>
      </c>
      <c r="G166" s="198">
        <v>120</v>
      </c>
      <c r="H166" s="198">
        <v>15</v>
      </c>
      <c r="I166" s="199">
        <f t="shared" si="38"/>
        <v>360000</v>
      </c>
      <c r="J166" s="199">
        <f t="shared" si="39"/>
        <v>50000</v>
      </c>
      <c r="K166" s="199">
        <f t="shared" si="40"/>
        <v>0</v>
      </c>
      <c r="L166" s="199">
        <f t="shared" si="41"/>
        <v>0</v>
      </c>
      <c r="M166" s="199">
        <f t="shared" si="42"/>
        <v>110000</v>
      </c>
      <c r="N166" s="199">
        <f t="shared" si="43"/>
        <v>30000</v>
      </c>
      <c r="O166" s="200">
        <f t="shared" si="44"/>
        <v>520000</v>
      </c>
      <c r="P166" s="186" t="str">
        <f ca="1">IF(D166=0,'Виды прицепов'!$M$10,IF(D166=30,'Виды прицепов'!$M$11,'Виды прицепов'!$M$12))</f>
        <v>3650*1950*1070</v>
      </c>
      <c r="Q166" s="186" t="str">
        <f ca="1">IF(D166=0,'Виды прицепов'!$N$10,IF(D166=30,'Виды прицепов'!$N$11,'Виды прицепов'!$N$12))</f>
        <v>2500*1500*500</v>
      </c>
      <c r="R166" s="201"/>
      <c r="S166" s="201"/>
      <c r="T166" s="201"/>
      <c r="U166" s="201"/>
      <c r="V166" s="201"/>
      <c r="W166" s="201"/>
      <c r="X166" s="201"/>
      <c r="Y166" s="201"/>
      <c r="Z166" s="201"/>
    </row>
    <row r="167" spans="1:26" ht="57.6" outlineLevel="2">
      <c r="A167" s="195" t="s">
        <v>5719</v>
      </c>
      <c r="B167" s="196" t="s">
        <v>5720</v>
      </c>
      <c r="C167" s="197" t="s">
        <v>347</v>
      </c>
      <c r="D167" s="198">
        <v>0</v>
      </c>
      <c r="E167" s="198">
        <v>15</v>
      </c>
      <c r="F167" s="198">
        <v>0</v>
      </c>
      <c r="G167" s="198">
        <v>0</v>
      </c>
      <c r="H167" s="198">
        <v>15</v>
      </c>
      <c r="I167" s="199">
        <f t="shared" si="38"/>
        <v>360000</v>
      </c>
      <c r="J167" s="199">
        <f t="shared" si="39"/>
        <v>0</v>
      </c>
      <c r="K167" s="199">
        <f t="shared" si="40"/>
        <v>50000</v>
      </c>
      <c r="L167" s="199">
        <f t="shared" si="41"/>
        <v>0</v>
      </c>
      <c r="M167" s="199">
        <f t="shared" si="42"/>
        <v>0</v>
      </c>
      <c r="N167" s="199">
        <f t="shared" si="43"/>
        <v>30000</v>
      </c>
      <c r="O167" s="200">
        <f t="shared" si="44"/>
        <v>410000</v>
      </c>
      <c r="P167" s="186" t="str">
        <f ca="1">IF(D167=0,'Виды прицепов'!$M$10,IF(D167=30,'Виды прицепов'!$M$11,'Виды прицепов'!$M$12))</f>
        <v>4000*1950*650</v>
      </c>
      <c r="Q167" s="186" t="str">
        <f ca="1">IF(D167=0,'Виды прицепов'!$N$10,IF(D167=30,'Виды прицепов'!$N$11,'Виды прицепов'!$N$12))</f>
        <v>2500*1500*0</v>
      </c>
      <c r="R167" s="201"/>
      <c r="S167" s="201"/>
      <c r="T167" s="201"/>
      <c r="U167" s="201"/>
      <c r="V167" s="201"/>
      <c r="W167" s="201"/>
      <c r="X167" s="201"/>
      <c r="Y167" s="201"/>
      <c r="Z167" s="201"/>
    </row>
    <row r="168" spans="1:26" ht="72" outlineLevel="2">
      <c r="A168" s="195" t="s">
        <v>5721</v>
      </c>
      <c r="B168" s="196" t="s">
        <v>5722</v>
      </c>
      <c r="C168" s="197" t="s">
        <v>347</v>
      </c>
      <c r="D168" s="198">
        <v>30</v>
      </c>
      <c r="E168" s="198">
        <v>15</v>
      </c>
      <c r="F168" s="198">
        <v>0</v>
      </c>
      <c r="G168" s="198">
        <v>0</v>
      </c>
      <c r="H168" s="198">
        <v>15</v>
      </c>
      <c r="I168" s="199">
        <f t="shared" si="38"/>
        <v>360000</v>
      </c>
      <c r="J168" s="199">
        <f t="shared" si="39"/>
        <v>40000</v>
      </c>
      <c r="K168" s="199">
        <f t="shared" si="40"/>
        <v>50000</v>
      </c>
      <c r="L168" s="199">
        <f t="shared" si="41"/>
        <v>0</v>
      </c>
      <c r="M168" s="199">
        <f t="shared" si="42"/>
        <v>0</v>
      </c>
      <c r="N168" s="199">
        <f t="shared" si="43"/>
        <v>30000</v>
      </c>
      <c r="O168" s="200">
        <f t="shared" si="44"/>
        <v>450000</v>
      </c>
      <c r="P168" s="186" t="str">
        <f ca="1">IF(D168=0,'Виды прицепов'!$M$10,IF(D168=30,'Виды прицепов'!$M$11,'Виды прицепов'!$M$12))</f>
        <v>3650*1950*900</v>
      </c>
      <c r="Q168" s="186" t="str">
        <f ca="1">IF(D168=0,'Виды прицепов'!$N$10,IF(D168=30,'Виды прицепов'!$N$11,'Виды прицепов'!$N$12))</f>
        <v>2500*1500*300</v>
      </c>
      <c r="R168" s="201"/>
      <c r="S168" s="201"/>
      <c r="T168" s="201"/>
      <c r="U168" s="201"/>
      <c r="V168" s="201"/>
      <c r="W168" s="201"/>
      <c r="X168" s="201"/>
      <c r="Y168" s="201"/>
      <c r="Z168" s="201"/>
    </row>
    <row r="169" spans="1:26" ht="72" outlineLevel="2">
      <c r="A169" s="195" t="s">
        <v>5723</v>
      </c>
      <c r="B169" s="196" t="s">
        <v>5724</v>
      </c>
      <c r="C169" s="197" t="s">
        <v>347</v>
      </c>
      <c r="D169" s="198">
        <v>50</v>
      </c>
      <c r="E169" s="198">
        <v>15</v>
      </c>
      <c r="F169" s="198">
        <v>0</v>
      </c>
      <c r="G169" s="198">
        <v>0</v>
      </c>
      <c r="H169" s="198">
        <v>15</v>
      </c>
      <c r="I169" s="199">
        <f t="shared" si="38"/>
        <v>360000</v>
      </c>
      <c r="J169" s="199">
        <f t="shared" si="39"/>
        <v>50000</v>
      </c>
      <c r="K169" s="199">
        <f t="shared" si="40"/>
        <v>50000</v>
      </c>
      <c r="L169" s="199">
        <f t="shared" si="41"/>
        <v>0</v>
      </c>
      <c r="M169" s="199">
        <f t="shared" si="42"/>
        <v>0</v>
      </c>
      <c r="N169" s="199">
        <f t="shared" si="43"/>
        <v>30000</v>
      </c>
      <c r="O169" s="200">
        <f t="shared" si="44"/>
        <v>460000</v>
      </c>
      <c r="P169" s="186" t="str">
        <f ca="1">IF(D169=0,'Виды прицепов'!$M$10,IF(D169=30,'Виды прицепов'!$M$11,'Виды прицепов'!$M$12))</f>
        <v>3650*1950*1070</v>
      </c>
      <c r="Q169" s="186" t="str">
        <f ca="1">IF(D169=0,'Виды прицепов'!$N$10,IF(D169=30,'Виды прицепов'!$N$11,'Виды прицепов'!$N$12))</f>
        <v>2500*1500*500</v>
      </c>
      <c r="R169" s="201"/>
      <c r="S169" s="201"/>
      <c r="T169" s="201"/>
      <c r="U169" s="201"/>
      <c r="V169" s="201"/>
      <c r="W169" s="201"/>
      <c r="X169" s="201"/>
      <c r="Y169" s="201"/>
      <c r="Z169" s="201"/>
    </row>
    <row r="170" spans="1:26" ht="57.6" outlineLevel="2">
      <c r="A170" s="195" t="s">
        <v>5725</v>
      </c>
      <c r="B170" s="196" t="s">
        <v>5726</v>
      </c>
      <c r="C170" s="197" t="s">
        <v>347</v>
      </c>
      <c r="D170" s="198">
        <v>0</v>
      </c>
      <c r="E170" s="198">
        <v>0</v>
      </c>
      <c r="F170" s="198" t="s">
        <v>5371</v>
      </c>
      <c r="G170" s="198">
        <v>0</v>
      </c>
      <c r="H170" s="198">
        <v>13</v>
      </c>
      <c r="I170" s="199">
        <f t="shared" si="38"/>
        <v>360000</v>
      </c>
      <c r="J170" s="199">
        <f t="shared" si="39"/>
        <v>0</v>
      </c>
      <c r="K170" s="199">
        <f t="shared" si="40"/>
        <v>0</v>
      </c>
      <c r="L170" s="199">
        <f t="shared" si="41"/>
        <v>10000</v>
      </c>
      <c r="M170" s="199">
        <f t="shared" si="42"/>
        <v>0</v>
      </c>
      <c r="N170" s="199">
        <f t="shared" si="43"/>
        <v>0</v>
      </c>
      <c r="O170" s="200">
        <f t="shared" si="44"/>
        <v>370000</v>
      </c>
      <c r="P170" s="186" t="str">
        <f ca="1">IF(D170=0,'Виды прицепов'!$M$10,IF(D170=30,'Виды прицепов'!$M$11,'Виды прицепов'!$M$12))</f>
        <v>4000*1950*650</v>
      </c>
      <c r="Q170" s="186" t="str">
        <f ca="1">IF(D170=0,'Виды прицепов'!$N$10,IF(D170=30,'Виды прицепов'!$N$11,'Виды прицепов'!$N$12))</f>
        <v>2500*1500*0</v>
      </c>
      <c r="R170" s="201"/>
      <c r="S170" s="201"/>
      <c r="T170" s="201"/>
      <c r="U170" s="201"/>
      <c r="V170" s="201"/>
      <c r="W170" s="201"/>
      <c r="X170" s="201"/>
      <c r="Y170" s="201"/>
      <c r="Z170" s="201"/>
    </row>
    <row r="171" spans="1:26" ht="57.6" outlineLevel="2">
      <c r="A171" s="195" t="s">
        <v>5727</v>
      </c>
      <c r="B171" s="196" t="s">
        <v>5728</v>
      </c>
      <c r="C171" s="197" t="s">
        <v>347</v>
      </c>
      <c r="D171" s="198">
        <v>30</v>
      </c>
      <c r="E171" s="198">
        <v>0</v>
      </c>
      <c r="F171" s="198" t="s">
        <v>5371</v>
      </c>
      <c r="G171" s="198">
        <v>0</v>
      </c>
      <c r="H171" s="198">
        <v>13</v>
      </c>
      <c r="I171" s="199">
        <f t="shared" si="38"/>
        <v>360000</v>
      </c>
      <c r="J171" s="199">
        <f t="shared" si="39"/>
        <v>40000</v>
      </c>
      <c r="K171" s="199">
        <f t="shared" si="40"/>
        <v>0</v>
      </c>
      <c r="L171" s="199">
        <f t="shared" si="41"/>
        <v>10000</v>
      </c>
      <c r="M171" s="199">
        <f t="shared" si="42"/>
        <v>0</v>
      </c>
      <c r="N171" s="199">
        <f t="shared" si="43"/>
        <v>0</v>
      </c>
      <c r="O171" s="200">
        <f t="shared" si="44"/>
        <v>410000</v>
      </c>
      <c r="P171" s="186" t="str">
        <f ca="1">IF(D171=0,'Виды прицепов'!$M$10,IF(D171=30,'Виды прицепов'!$M$11,'Виды прицепов'!$M$12))</f>
        <v>3650*1950*900</v>
      </c>
      <c r="Q171" s="186" t="str">
        <f ca="1">IF(D171=0,'Виды прицепов'!$N$10,IF(D171=30,'Виды прицепов'!$N$11,'Виды прицепов'!$N$12))</f>
        <v>2500*1500*300</v>
      </c>
      <c r="R171" s="201"/>
      <c r="S171" s="201"/>
      <c r="T171" s="201"/>
      <c r="U171" s="201"/>
      <c r="V171" s="201"/>
      <c r="W171" s="201"/>
      <c r="X171" s="201"/>
      <c r="Y171" s="201"/>
      <c r="Z171" s="201"/>
    </row>
    <row r="172" spans="1:26" ht="57.6" outlineLevel="2">
      <c r="A172" s="195" t="s">
        <v>5729</v>
      </c>
      <c r="B172" s="196" t="s">
        <v>5730</v>
      </c>
      <c r="C172" s="197" t="s">
        <v>347</v>
      </c>
      <c r="D172" s="198">
        <v>50</v>
      </c>
      <c r="E172" s="198">
        <v>0</v>
      </c>
      <c r="F172" s="198" t="s">
        <v>5371</v>
      </c>
      <c r="G172" s="198">
        <v>0</v>
      </c>
      <c r="H172" s="198">
        <v>13</v>
      </c>
      <c r="I172" s="199">
        <f t="shared" si="38"/>
        <v>360000</v>
      </c>
      <c r="J172" s="199">
        <f t="shared" si="39"/>
        <v>50000</v>
      </c>
      <c r="K172" s="199">
        <f t="shared" si="40"/>
        <v>0</v>
      </c>
      <c r="L172" s="199">
        <f t="shared" si="41"/>
        <v>10000</v>
      </c>
      <c r="M172" s="199">
        <f t="shared" si="42"/>
        <v>0</v>
      </c>
      <c r="N172" s="199">
        <f t="shared" si="43"/>
        <v>0</v>
      </c>
      <c r="O172" s="200">
        <f t="shared" si="44"/>
        <v>420000</v>
      </c>
      <c r="P172" s="186" t="str">
        <f ca="1">IF(D172=0,'Виды прицепов'!$M$10,IF(D172=30,'Виды прицепов'!$M$11,'Виды прицепов'!$M$12))</f>
        <v>3650*1950*1070</v>
      </c>
      <c r="Q172" s="186" t="str">
        <f ca="1">IF(D172=0,'Виды прицепов'!$N$10,IF(D172=30,'Виды прицепов'!$N$11,'Виды прицепов'!$N$12))</f>
        <v>2500*1500*500</v>
      </c>
      <c r="R172" s="201"/>
      <c r="S172" s="201"/>
      <c r="T172" s="201"/>
      <c r="U172" s="201"/>
      <c r="V172" s="201"/>
      <c r="W172" s="201"/>
      <c r="X172" s="201"/>
      <c r="Y172" s="201"/>
      <c r="Z172" s="201"/>
    </row>
    <row r="173" spans="1:26" ht="72" outlineLevel="2">
      <c r="A173" s="195" t="s">
        <v>5731</v>
      </c>
      <c r="B173" s="196" t="s">
        <v>5732</v>
      </c>
      <c r="C173" s="197" t="s">
        <v>347</v>
      </c>
      <c r="D173" s="198">
        <v>30</v>
      </c>
      <c r="E173" s="198">
        <v>0</v>
      </c>
      <c r="F173" s="198" t="s">
        <v>5371</v>
      </c>
      <c r="G173" s="202">
        <v>90</v>
      </c>
      <c r="H173" s="198">
        <v>13</v>
      </c>
      <c r="I173" s="199">
        <f t="shared" si="38"/>
        <v>360000</v>
      </c>
      <c r="J173" s="199">
        <f t="shared" si="39"/>
        <v>40000</v>
      </c>
      <c r="K173" s="199">
        <f t="shared" si="40"/>
        <v>0</v>
      </c>
      <c r="L173" s="199">
        <f t="shared" si="41"/>
        <v>10000</v>
      </c>
      <c r="M173" s="199">
        <f t="shared" si="42"/>
        <v>100000</v>
      </c>
      <c r="N173" s="199">
        <f t="shared" si="43"/>
        <v>0</v>
      </c>
      <c r="O173" s="200">
        <f t="shared" si="44"/>
        <v>510000</v>
      </c>
      <c r="P173" s="186" t="str">
        <f ca="1">IF(D173=0,'Виды прицепов'!$M$10,IF(D173=30,'Виды прицепов'!$M$11,'Виды прицепов'!$M$12))</f>
        <v>3650*1950*900</v>
      </c>
      <c r="Q173" s="186" t="str">
        <f ca="1">IF(D173=0,'Виды прицепов'!$N$10,IF(D173=30,'Виды прицепов'!$N$11,'Виды прицепов'!$N$12))</f>
        <v>2500*1500*300</v>
      </c>
      <c r="R173" s="201"/>
      <c r="S173" s="201"/>
      <c r="T173" s="201"/>
      <c r="U173" s="201"/>
      <c r="V173" s="201"/>
      <c r="W173" s="201"/>
      <c r="X173" s="201"/>
      <c r="Y173" s="201"/>
      <c r="Z173" s="201"/>
    </row>
    <row r="174" spans="1:26" ht="72" outlineLevel="2">
      <c r="A174" s="195" t="s">
        <v>5733</v>
      </c>
      <c r="B174" s="196" t="s">
        <v>5734</v>
      </c>
      <c r="C174" s="197" t="s">
        <v>347</v>
      </c>
      <c r="D174" s="198">
        <v>50</v>
      </c>
      <c r="E174" s="198">
        <v>0</v>
      </c>
      <c r="F174" s="198" t="s">
        <v>5371</v>
      </c>
      <c r="G174" s="202">
        <v>90</v>
      </c>
      <c r="H174" s="198">
        <v>13</v>
      </c>
      <c r="I174" s="199">
        <f t="shared" si="38"/>
        <v>360000</v>
      </c>
      <c r="J174" s="199">
        <f t="shared" si="39"/>
        <v>50000</v>
      </c>
      <c r="K174" s="199">
        <f t="shared" si="40"/>
        <v>0</v>
      </c>
      <c r="L174" s="199">
        <f t="shared" si="41"/>
        <v>10000</v>
      </c>
      <c r="M174" s="199">
        <f t="shared" si="42"/>
        <v>100000</v>
      </c>
      <c r="N174" s="199">
        <f t="shared" si="43"/>
        <v>0</v>
      </c>
      <c r="O174" s="200">
        <f t="shared" si="44"/>
        <v>520000</v>
      </c>
      <c r="P174" s="186" t="str">
        <f ca="1">IF(D174=0,'Виды прицепов'!$M$10,IF(D174=30,'Виды прицепов'!$M$11,'Виды прицепов'!$M$12))</f>
        <v>3650*1950*1070</v>
      </c>
      <c r="Q174" s="186" t="str">
        <f ca="1">IF(D174=0,'Виды прицепов'!$N$10,IF(D174=30,'Виды прицепов'!$N$11,'Виды прицепов'!$N$12))</f>
        <v>2500*1500*500</v>
      </c>
      <c r="R174" s="201"/>
      <c r="S174" s="201"/>
      <c r="T174" s="201"/>
      <c r="U174" s="201"/>
      <c r="V174" s="201"/>
      <c r="W174" s="201"/>
      <c r="X174" s="201"/>
      <c r="Y174" s="201"/>
      <c r="Z174" s="201"/>
    </row>
    <row r="175" spans="1:26" ht="72" outlineLevel="2">
      <c r="A175" s="195" t="s">
        <v>5735</v>
      </c>
      <c r="B175" s="196" t="s">
        <v>5736</v>
      </c>
      <c r="C175" s="197" t="s">
        <v>347</v>
      </c>
      <c r="D175" s="198">
        <v>30</v>
      </c>
      <c r="E175" s="198">
        <v>0</v>
      </c>
      <c r="F175" s="198" t="s">
        <v>5371</v>
      </c>
      <c r="G175" s="198">
        <v>120</v>
      </c>
      <c r="H175" s="198">
        <v>13</v>
      </c>
      <c r="I175" s="199">
        <f t="shared" si="38"/>
        <v>360000</v>
      </c>
      <c r="J175" s="199">
        <f t="shared" si="39"/>
        <v>40000</v>
      </c>
      <c r="K175" s="199">
        <f t="shared" si="40"/>
        <v>0</v>
      </c>
      <c r="L175" s="199">
        <f t="shared" si="41"/>
        <v>10000</v>
      </c>
      <c r="M175" s="199">
        <f t="shared" si="42"/>
        <v>110000</v>
      </c>
      <c r="N175" s="199">
        <f t="shared" si="43"/>
        <v>0</v>
      </c>
      <c r="O175" s="200">
        <f t="shared" si="44"/>
        <v>520000</v>
      </c>
      <c r="P175" s="186" t="str">
        <f ca="1">IF(D175=0,'Виды прицепов'!$M$10,IF(D175=30,'Виды прицепов'!$M$11,'Виды прицепов'!$M$12))</f>
        <v>3650*1950*900</v>
      </c>
      <c r="Q175" s="186" t="str">
        <f ca="1">IF(D175=0,'Виды прицепов'!$N$10,IF(D175=30,'Виды прицепов'!$N$11,'Виды прицепов'!$N$12))</f>
        <v>2500*1500*300</v>
      </c>
      <c r="R175" s="201"/>
      <c r="S175" s="201"/>
      <c r="T175" s="201"/>
      <c r="U175" s="201"/>
      <c r="V175" s="201"/>
      <c r="W175" s="201"/>
      <c r="X175" s="201"/>
      <c r="Y175" s="201"/>
      <c r="Z175" s="201"/>
    </row>
    <row r="176" spans="1:26" ht="72" outlineLevel="2">
      <c r="A176" s="195" t="s">
        <v>5737</v>
      </c>
      <c r="B176" s="196" t="s">
        <v>5738</v>
      </c>
      <c r="C176" s="197" t="s">
        <v>347</v>
      </c>
      <c r="D176" s="198">
        <v>50</v>
      </c>
      <c r="E176" s="198">
        <v>0</v>
      </c>
      <c r="F176" s="198" t="s">
        <v>5371</v>
      </c>
      <c r="G176" s="198">
        <v>120</v>
      </c>
      <c r="H176" s="198">
        <v>13</v>
      </c>
      <c r="I176" s="199">
        <f t="shared" si="38"/>
        <v>360000</v>
      </c>
      <c r="J176" s="199">
        <f t="shared" si="39"/>
        <v>50000</v>
      </c>
      <c r="K176" s="199">
        <f t="shared" si="40"/>
        <v>0</v>
      </c>
      <c r="L176" s="199">
        <f t="shared" si="41"/>
        <v>10000</v>
      </c>
      <c r="M176" s="199">
        <f t="shared" si="42"/>
        <v>110000</v>
      </c>
      <c r="N176" s="199">
        <f t="shared" si="43"/>
        <v>0</v>
      </c>
      <c r="O176" s="200">
        <f t="shared" si="44"/>
        <v>530000</v>
      </c>
      <c r="P176" s="186" t="str">
        <f ca="1">IF(D176=0,'Виды прицепов'!$M$10,IF(D176=30,'Виды прицепов'!$M$11,'Виды прицепов'!$M$12))</f>
        <v>3650*1950*1070</v>
      </c>
      <c r="Q176" s="186" t="str">
        <f ca="1">IF(D176=0,'Виды прицепов'!$N$10,IF(D176=30,'Виды прицепов'!$N$11,'Виды прицепов'!$N$12))</f>
        <v>2500*1500*500</v>
      </c>
      <c r="R176" s="201"/>
      <c r="S176" s="201"/>
      <c r="T176" s="201"/>
      <c r="U176" s="201"/>
      <c r="V176" s="201"/>
      <c r="W176" s="201"/>
      <c r="X176" s="201"/>
      <c r="Y176" s="201"/>
      <c r="Z176" s="201"/>
    </row>
    <row r="177" spans="1:26" ht="57.6" outlineLevel="2">
      <c r="A177" s="195" t="s">
        <v>5739</v>
      </c>
      <c r="B177" s="196" t="s">
        <v>5740</v>
      </c>
      <c r="C177" s="197" t="s">
        <v>347</v>
      </c>
      <c r="D177" s="198">
        <v>0</v>
      </c>
      <c r="E177" s="198">
        <v>13</v>
      </c>
      <c r="F177" s="198" t="s">
        <v>5371</v>
      </c>
      <c r="G177" s="198">
        <v>0</v>
      </c>
      <c r="H177" s="198">
        <v>13</v>
      </c>
      <c r="I177" s="199">
        <f t="shared" si="38"/>
        <v>360000</v>
      </c>
      <c r="J177" s="199">
        <f t="shared" si="39"/>
        <v>0</v>
      </c>
      <c r="K177" s="199">
        <f t="shared" si="40"/>
        <v>30000</v>
      </c>
      <c r="L177" s="199">
        <f t="shared" si="41"/>
        <v>10000</v>
      </c>
      <c r="M177" s="199">
        <f t="shared" si="42"/>
        <v>0</v>
      </c>
      <c r="N177" s="199">
        <f t="shared" si="43"/>
        <v>0</v>
      </c>
      <c r="O177" s="200">
        <f t="shared" si="44"/>
        <v>400000</v>
      </c>
      <c r="P177" s="186" t="str">
        <f ca="1">IF(D177=0,'Виды прицепов'!$M$10,IF(D177=30,'Виды прицепов'!$M$11,'Виды прицепов'!$M$12))</f>
        <v>4000*1950*650</v>
      </c>
      <c r="Q177" s="186" t="str">
        <f ca="1">IF(D177=0,'Виды прицепов'!$N$10,IF(D177=30,'Виды прицепов'!$N$11,'Виды прицепов'!$N$12))</f>
        <v>2500*1500*0</v>
      </c>
      <c r="R177" s="201"/>
      <c r="S177" s="201"/>
      <c r="T177" s="201"/>
      <c r="U177" s="201"/>
      <c r="V177" s="201"/>
      <c r="W177" s="201"/>
      <c r="X177" s="201"/>
      <c r="Y177" s="201"/>
      <c r="Z177" s="201"/>
    </row>
    <row r="178" spans="1:26" ht="72" outlineLevel="2">
      <c r="A178" s="195" t="s">
        <v>5391</v>
      </c>
      <c r="B178" s="196" t="s">
        <v>5741</v>
      </c>
      <c r="C178" s="197" t="s">
        <v>347</v>
      </c>
      <c r="D178" s="198">
        <v>30</v>
      </c>
      <c r="E178" s="198">
        <v>13</v>
      </c>
      <c r="F178" s="198" t="s">
        <v>5371</v>
      </c>
      <c r="G178" s="198">
        <v>0</v>
      </c>
      <c r="H178" s="198">
        <v>13</v>
      </c>
      <c r="I178" s="199">
        <f t="shared" si="38"/>
        <v>360000</v>
      </c>
      <c r="J178" s="199">
        <f t="shared" si="39"/>
        <v>40000</v>
      </c>
      <c r="K178" s="199">
        <f t="shared" si="40"/>
        <v>30000</v>
      </c>
      <c r="L178" s="199">
        <f t="shared" si="41"/>
        <v>10000</v>
      </c>
      <c r="M178" s="199">
        <f t="shared" si="42"/>
        <v>0</v>
      </c>
      <c r="N178" s="199">
        <f t="shared" si="43"/>
        <v>0</v>
      </c>
      <c r="O178" s="200">
        <f t="shared" si="44"/>
        <v>440000</v>
      </c>
      <c r="P178" s="186" t="str">
        <f ca="1">IF(D178=0,'Виды прицепов'!$M$10,IF(D178=30,'Виды прицепов'!$M$11,'Виды прицепов'!$M$12))</f>
        <v>3650*1950*900</v>
      </c>
      <c r="Q178" s="186" t="str">
        <f ca="1">IF(D178=0,'Виды прицепов'!$N$10,IF(D178=30,'Виды прицепов'!$N$11,'Виды прицепов'!$N$12))</f>
        <v>2500*1500*300</v>
      </c>
      <c r="R178" s="201"/>
      <c r="S178" s="201"/>
      <c r="T178" s="201"/>
      <c r="U178" s="201"/>
      <c r="V178" s="201"/>
      <c r="W178" s="201"/>
      <c r="X178" s="201"/>
      <c r="Y178" s="201"/>
      <c r="Z178" s="201"/>
    </row>
    <row r="179" spans="1:26" ht="72" outlineLevel="2">
      <c r="A179" s="195" t="s">
        <v>5392</v>
      </c>
      <c r="B179" s="196" t="s">
        <v>5742</v>
      </c>
      <c r="C179" s="197" t="s">
        <v>347</v>
      </c>
      <c r="D179" s="198">
        <v>50</v>
      </c>
      <c r="E179" s="198">
        <v>13</v>
      </c>
      <c r="F179" s="198" t="s">
        <v>5371</v>
      </c>
      <c r="G179" s="198">
        <v>0</v>
      </c>
      <c r="H179" s="198">
        <v>13</v>
      </c>
      <c r="I179" s="199">
        <f t="shared" si="38"/>
        <v>360000</v>
      </c>
      <c r="J179" s="199">
        <f t="shared" si="39"/>
        <v>50000</v>
      </c>
      <c r="K179" s="199">
        <f t="shared" si="40"/>
        <v>30000</v>
      </c>
      <c r="L179" s="199">
        <f t="shared" si="41"/>
        <v>10000</v>
      </c>
      <c r="M179" s="199">
        <f t="shared" si="42"/>
        <v>0</v>
      </c>
      <c r="N179" s="199">
        <f t="shared" si="43"/>
        <v>0</v>
      </c>
      <c r="O179" s="200">
        <f t="shared" si="44"/>
        <v>450000</v>
      </c>
      <c r="P179" s="186" t="str">
        <f ca="1">IF(D179=0,'Виды прицепов'!$M$10,IF(D179=30,'Виды прицепов'!$M$11,'Виды прицепов'!$M$12))</f>
        <v>3650*1950*1070</v>
      </c>
      <c r="Q179" s="186" t="str">
        <f ca="1">IF(D179=0,'Виды прицепов'!$N$10,IF(D179=30,'Виды прицепов'!$N$11,'Виды прицепов'!$N$12))</f>
        <v>2500*1500*500</v>
      </c>
      <c r="R179" s="201"/>
      <c r="S179" s="201"/>
      <c r="T179" s="201"/>
      <c r="U179" s="201"/>
      <c r="V179" s="201"/>
      <c r="W179" s="201"/>
      <c r="X179" s="201"/>
      <c r="Y179" s="201"/>
      <c r="Z179" s="201"/>
    </row>
    <row r="180" spans="1:26" ht="57.6" outlineLevel="2">
      <c r="A180" s="195" t="s">
        <v>5743</v>
      </c>
      <c r="B180" s="196" t="s">
        <v>5744</v>
      </c>
      <c r="C180" s="197" t="s">
        <v>347</v>
      </c>
      <c r="D180" s="198">
        <v>0</v>
      </c>
      <c r="E180" s="198">
        <v>0</v>
      </c>
      <c r="F180" s="198" t="s">
        <v>5371</v>
      </c>
      <c r="G180" s="198">
        <v>0</v>
      </c>
      <c r="H180" s="198">
        <v>15</v>
      </c>
      <c r="I180" s="199">
        <f t="shared" si="38"/>
        <v>360000</v>
      </c>
      <c r="J180" s="199">
        <f t="shared" si="39"/>
        <v>0</v>
      </c>
      <c r="K180" s="199">
        <f t="shared" si="40"/>
        <v>0</v>
      </c>
      <c r="L180" s="199">
        <f t="shared" si="41"/>
        <v>10000</v>
      </c>
      <c r="M180" s="199">
        <f t="shared" si="42"/>
        <v>0</v>
      </c>
      <c r="N180" s="199">
        <f t="shared" si="43"/>
        <v>30000</v>
      </c>
      <c r="O180" s="200">
        <f t="shared" si="44"/>
        <v>370000</v>
      </c>
      <c r="P180" s="186" t="str">
        <f ca="1">IF(D180=0,'Виды прицепов'!$M$10,IF(D180=30,'Виды прицепов'!$M$11,'Виды прицепов'!$M$12))</f>
        <v>4000*1950*650</v>
      </c>
      <c r="Q180" s="186" t="str">
        <f ca="1">IF(D180=0,'Виды прицепов'!$N$10,IF(D180=30,'Виды прицепов'!$N$11,'Виды прицепов'!$N$12))</f>
        <v>2500*1500*0</v>
      </c>
      <c r="R180" s="201"/>
      <c r="S180" s="201"/>
      <c r="T180" s="201"/>
      <c r="U180" s="201"/>
      <c r="V180" s="201"/>
      <c r="W180" s="201"/>
      <c r="X180" s="201"/>
      <c r="Y180" s="201"/>
      <c r="Z180" s="201"/>
    </row>
    <row r="181" spans="1:26" ht="57.6" outlineLevel="2">
      <c r="A181" s="195" t="s">
        <v>5745</v>
      </c>
      <c r="B181" s="196" t="s">
        <v>5746</v>
      </c>
      <c r="C181" s="197" t="s">
        <v>347</v>
      </c>
      <c r="D181" s="198">
        <v>30</v>
      </c>
      <c r="E181" s="198">
        <v>0</v>
      </c>
      <c r="F181" s="198" t="s">
        <v>5371</v>
      </c>
      <c r="G181" s="198">
        <v>0</v>
      </c>
      <c r="H181" s="198">
        <v>15</v>
      </c>
      <c r="I181" s="199">
        <f t="shared" si="38"/>
        <v>360000</v>
      </c>
      <c r="J181" s="199">
        <f t="shared" si="39"/>
        <v>40000</v>
      </c>
      <c r="K181" s="199">
        <f t="shared" si="40"/>
        <v>0</v>
      </c>
      <c r="L181" s="199">
        <f t="shared" si="41"/>
        <v>10000</v>
      </c>
      <c r="M181" s="199">
        <f t="shared" si="42"/>
        <v>0</v>
      </c>
      <c r="N181" s="199">
        <f t="shared" si="43"/>
        <v>30000</v>
      </c>
      <c r="O181" s="200">
        <f t="shared" si="44"/>
        <v>410000</v>
      </c>
      <c r="P181" s="186" t="str">
        <f ca="1">IF(D181=0,'Виды прицепов'!$M$10,IF(D181=30,'Виды прицепов'!$M$11,'Виды прицепов'!$M$12))</f>
        <v>3650*1950*900</v>
      </c>
      <c r="Q181" s="186" t="str">
        <f ca="1">IF(D181=0,'Виды прицепов'!$N$10,IF(D181=30,'Виды прицепов'!$N$11,'Виды прицепов'!$N$12))</f>
        <v>2500*1500*300</v>
      </c>
      <c r="R181" s="201"/>
      <c r="S181" s="201"/>
      <c r="T181" s="201"/>
      <c r="U181" s="201"/>
      <c r="V181" s="201"/>
      <c r="W181" s="201"/>
      <c r="X181" s="201"/>
      <c r="Y181" s="201"/>
      <c r="Z181" s="201"/>
    </row>
    <row r="182" spans="1:26" ht="57.6" outlineLevel="2">
      <c r="A182" s="195" t="s">
        <v>5747</v>
      </c>
      <c r="B182" s="196" t="s">
        <v>5748</v>
      </c>
      <c r="C182" s="197" t="s">
        <v>347</v>
      </c>
      <c r="D182" s="198">
        <v>50</v>
      </c>
      <c r="E182" s="198">
        <v>0</v>
      </c>
      <c r="F182" s="198" t="s">
        <v>5371</v>
      </c>
      <c r="G182" s="198">
        <v>0</v>
      </c>
      <c r="H182" s="198">
        <v>15</v>
      </c>
      <c r="I182" s="199">
        <f t="shared" ref="I182:I205" si="45">VLOOKUP(C182,Платформа,2,0)</f>
        <v>360000</v>
      </c>
      <c r="J182" s="199">
        <f t="shared" ref="J182:J205" si="46">VLOOKUP(D182,борт_2515,2)</f>
        <v>50000</v>
      </c>
      <c r="K182" s="199">
        <f t="shared" ref="K182:K205" si="47">VLOOKUP(E182,колесо,2,0)</f>
        <v>0</v>
      </c>
      <c r="L182" s="199">
        <f t="shared" ref="L182:L205" si="48">VLOOKUP(F182,опорное_колесо,2,0)</f>
        <v>10000</v>
      </c>
      <c r="M182" s="199">
        <f t="shared" ref="M182:M205" si="49">VLOOKUP(G182,тент_2515,2,0)</f>
        <v>0</v>
      </c>
      <c r="N182" s="199">
        <f t="shared" ref="N182:N205" si="50">VLOOKUP(H182,ступица,2,0)</f>
        <v>30000</v>
      </c>
      <c r="O182" s="200">
        <f t="shared" si="44"/>
        <v>420000</v>
      </c>
      <c r="P182" s="186" t="str">
        <f ca="1">IF(D182=0,'Виды прицепов'!$M$10,IF(D182=30,'Виды прицепов'!$M$11,'Виды прицепов'!$M$12))</f>
        <v>3650*1950*1070</v>
      </c>
      <c r="Q182" s="186" t="str">
        <f ca="1">IF(D182=0,'Виды прицепов'!$N$10,IF(D182=30,'Виды прицепов'!$N$11,'Виды прицепов'!$N$12))</f>
        <v>2500*1500*500</v>
      </c>
      <c r="R182" s="201"/>
      <c r="S182" s="201"/>
      <c r="T182" s="201"/>
      <c r="U182" s="201"/>
      <c r="V182" s="201"/>
      <c r="W182" s="201"/>
      <c r="X182" s="201"/>
      <c r="Y182" s="201"/>
      <c r="Z182" s="201"/>
    </row>
    <row r="183" spans="1:26" ht="72" outlineLevel="2">
      <c r="A183" s="195" t="s">
        <v>5749</v>
      </c>
      <c r="B183" s="196" t="s">
        <v>5750</v>
      </c>
      <c r="C183" s="197" t="s">
        <v>347</v>
      </c>
      <c r="D183" s="198">
        <v>30</v>
      </c>
      <c r="E183" s="198">
        <v>0</v>
      </c>
      <c r="F183" s="198" t="s">
        <v>5371</v>
      </c>
      <c r="G183" s="202">
        <v>90</v>
      </c>
      <c r="H183" s="198">
        <v>15</v>
      </c>
      <c r="I183" s="199">
        <f t="shared" si="45"/>
        <v>360000</v>
      </c>
      <c r="J183" s="199">
        <f t="shared" si="46"/>
        <v>40000</v>
      </c>
      <c r="K183" s="199">
        <f t="shared" si="47"/>
        <v>0</v>
      </c>
      <c r="L183" s="199">
        <f t="shared" si="48"/>
        <v>10000</v>
      </c>
      <c r="M183" s="199">
        <f t="shared" si="49"/>
        <v>100000</v>
      </c>
      <c r="N183" s="199">
        <f t="shared" si="50"/>
        <v>30000</v>
      </c>
      <c r="O183" s="200">
        <f t="shared" si="44"/>
        <v>510000</v>
      </c>
      <c r="P183" s="186" t="str">
        <f ca="1">IF(D183=0,'Виды прицепов'!$M$10,IF(D183=30,'Виды прицепов'!$M$11,'Виды прицепов'!$M$12))</f>
        <v>3650*1950*900</v>
      </c>
      <c r="Q183" s="186" t="str">
        <f ca="1">IF(D183=0,'Виды прицепов'!$N$10,IF(D183=30,'Виды прицепов'!$N$11,'Виды прицепов'!$N$12))</f>
        <v>2500*1500*300</v>
      </c>
      <c r="R183" s="201"/>
      <c r="S183" s="201"/>
      <c r="T183" s="201"/>
      <c r="U183" s="201"/>
      <c r="V183" s="201"/>
      <c r="W183" s="201"/>
      <c r="X183" s="201"/>
      <c r="Y183" s="201"/>
      <c r="Z183" s="201"/>
    </row>
    <row r="184" spans="1:26" ht="72" outlineLevel="2">
      <c r="A184" s="195" t="s">
        <v>5751</v>
      </c>
      <c r="B184" s="196" t="s">
        <v>5752</v>
      </c>
      <c r="C184" s="197" t="s">
        <v>347</v>
      </c>
      <c r="D184" s="198">
        <v>50</v>
      </c>
      <c r="E184" s="198">
        <v>0</v>
      </c>
      <c r="F184" s="198" t="s">
        <v>5371</v>
      </c>
      <c r="G184" s="202">
        <v>90</v>
      </c>
      <c r="H184" s="198">
        <v>15</v>
      </c>
      <c r="I184" s="199">
        <f t="shared" si="45"/>
        <v>360000</v>
      </c>
      <c r="J184" s="199">
        <f t="shared" si="46"/>
        <v>50000</v>
      </c>
      <c r="K184" s="199">
        <f t="shared" si="47"/>
        <v>0</v>
      </c>
      <c r="L184" s="199">
        <f t="shared" si="48"/>
        <v>10000</v>
      </c>
      <c r="M184" s="199">
        <f t="shared" si="49"/>
        <v>100000</v>
      </c>
      <c r="N184" s="199">
        <f t="shared" si="50"/>
        <v>30000</v>
      </c>
      <c r="O184" s="200">
        <f t="shared" si="44"/>
        <v>520000</v>
      </c>
      <c r="P184" s="186" t="str">
        <f ca="1">IF(D184=0,'Виды прицепов'!$M$10,IF(D184=30,'Виды прицепов'!$M$11,'Виды прицепов'!$M$12))</f>
        <v>3650*1950*1070</v>
      </c>
      <c r="Q184" s="186" t="str">
        <f ca="1">IF(D184=0,'Виды прицепов'!$N$10,IF(D184=30,'Виды прицепов'!$N$11,'Виды прицепов'!$N$12))</f>
        <v>2500*1500*500</v>
      </c>
      <c r="R184" s="201"/>
      <c r="S184" s="201"/>
      <c r="T184" s="201"/>
      <c r="U184" s="201"/>
      <c r="V184" s="201"/>
      <c r="W184" s="201"/>
      <c r="X184" s="201"/>
      <c r="Y184" s="201"/>
      <c r="Z184" s="201"/>
    </row>
    <row r="185" spans="1:26" ht="72" outlineLevel="2">
      <c r="A185" s="195" t="s">
        <v>5753</v>
      </c>
      <c r="B185" s="196" t="s">
        <v>5754</v>
      </c>
      <c r="C185" s="197" t="s">
        <v>347</v>
      </c>
      <c r="D185" s="198">
        <v>30</v>
      </c>
      <c r="E185" s="198">
        <v>0</v>
      </c>
      <c r="F185" s="198" t="s">
        <v>5371</v>
      </c>
      <c r="G185" s="198">
        <v>120</v>
      </c>
      <c r="H185" s="198">
        <v>15</v>
      </c>
      <c r="I185" s="199">
        <f t="shared" si="45"/>
        <v>360000</v>
      </c>
      <c r="J185" s="199">
        <f t="shared" si="46"/>
        <v>40000</v>
      </c>
      <c r="K185" s="199">
        <f t="shared" si="47"/>
        <v>0</v>
      </c>
      <c r="L185" s="199">
        <f t="shared" si="48"/>
        <v>10000</v>
      </c>
      <c r="M185" s="199">
        <f t="shared" si="49"/>
        <v>110000</v>
      </c>
      <c r="N185" s="199">
        <f t="shared" si="50"/>
        <v>30000</v>
      </c>
      <c r="O185" s="200">
        <f t="shared" si="44"/>
        <v>520000</v>
      </c>
      <c r="P185" s="186" t="str">
        <f ca="1">IF(D185=0,'Виды прицепов'!$M$10,IF(D185=30,'Виды прицепов'!$M$11,'Виды прицепов'!$M$12))</f>
        <v>3650*1950*900</v>
      </c>
      <c r="Q185" s="186" t="str">
        <f ca="1">IF(D185=0,'Виды прицепов'!$N$10,IF(D185=30,'Виды прицепов'!$N$11,'Виды прицепов'!$N$12))</f>
        <v>2500*1500*300</v>
      </c>
      <c r="R185" s="201"/>
      <c r="S185" s="201"/>
      <c r="T185" s="201"/>
      <c r="U185" s="201"/>
      <c r="V185" s="201"/>
      <c r="W185" s="201"/>
      <c r="X185" s="201"/>
      <c r="Y185" s="201"/>
      <c r="Z185" s="201"/>
    </row>
    <row r="186" spans="1:26" ht="72" outlineLevel="2">
      <c r="A186" s="195" t="s">
        <v>5755</v>
      </c>
      <c r="B186" s="196" t="s">
        <v>5756</v>
      </c>
      <c r="C186" s="197" t="s">
        <v>347</v>
      </c>
      <c r="D186" s="198">
        <v>50</v>
      </c>
      <c r="E186" s="198">
        <v>0</v>
      </c>
      <c r="F186" s="198" t="s">
        <v>5371</v>
      </c>
      <c r="G186" s="198">
        <v>120</v>
      </c>
      <c r="H186" s="198">
        <v>15</v>
      </c>
      <c r="I186" s="199">
        <f t="shared" si="45"/>
        <v>360000</v>
      </c>
      <c r="J186" s="199">
        <f t="shared" si="46"/>
        <v>50000</v>
      </c>
      <c r="K186" s="199">
        <f t="shared" si="47"/>
        <v>0</v>
      </c>
      <c r="L186" s="199">
        <f t="shared" si="48"/>
        <v>10000</v>
      </c>
      <c r="M186" s="199">
        <f t="shared" si="49"/>
        <v>110000</v>
      </c>
      <c r="N186" s="199">
        <f t="shared" si="50"/>
        <v>30000</v>
      </c>
      <c r="O186" s="200">
        <f t="shared" si="44"/>
        <v>530000</v>
      </c>
      <c r="P186" s="186" t="str">
        <f ca="1">IF(D186=0,'Виды прицепов'!$M$10,IF(D186=30,'Виды прицепов'!$M$11,'Виды прицепов'!$M$12))</f>
        <v>3650*1950*1070</v>
      </c>
      <c r="Q186" s="186" t="str">
        <f ca="1">IF(D186=0,'Виды прицепов'!$N$10,IF(D186=30,'Виды прицепов'!$N$11,'Виды прицепов'!$N$12))</f>
        <v>2500*1500*500</v>
      </c>
      <c r="R186" s="201"/>
      <c r="S186" s="201"/>
      <c r="T186" s="201"/>
      <c r="U186" s="201"/>
      <c r="V186" s="201"/>
      <c r="W186" s="201"/>
      <c r="X186" s="201"/>
      <c r="Y186" s="201"/>
      <c r="Z186" s="201"/>
    </row>
    <row r="187" spans="1:26" ht="57.6" outlineLevel="2">
      <c r="A187" s="195" t="s">
        <v>5757</v>
      </c>
      <c r="B187" s="196" t="s">
        <v>5758</v>
      </c>
      <c r="C187" s="197" t="s">
        <v>347</v>
      </c>
      <c r="D187" s="198">
        <v>0</v>
      </c>
      <c r="E187" s="198">
        <v>15</v>
      </c>
      <c r="F187" s="198" t="s">
        <v>5371</v>
      </c>
      <c r="G187" s="198">
        <v>0</v>
      </c>
      <c r="H187" s="198">
        <v>15</v>
      </c>
      <c r="I187" s="199">
        <f t="shared" si="45"/>
        <v>360000</v>
      </c>
      <c r="J187" s="199">
        <f t="shared" si="46"/>
        <v>0</v>
      </c>
      <c r="K187" s="199">
        <f t="shared" si="47"/>
        <v>50000</v>
      </c>
      <c r="L187" s="199">
        <f t="shared" si="48"/>
        <v>10000</v>
      </c>
      <c r="M187" s="199">
        <f t="shared" si="49"/>
        <v>0</v>
      </c>
      <c r="N187" s="199">
        <f t="shared" si="50"/>
        <v>30000</v>
      </c>
      <c r="O187" s="200">
        <f t="shared" si="44"/>
        <v>420000</v>
      </c>
      <c r="P187" s="186" t="str">
        <f ca="1">IF(D187=0,'Виды прицепов'!$M$10,IF(D187=30,'Виды прицепов'!$M$11,'Виды прицепов'!$M$12))</f>
        <v>4000*1950*650</v>
      </c>
      <c r="Q187" s="186" t="str">
        <f ca="1">IF(D187=0,'Виды прицепов'!$N$10,IF(D187=30,'Виды прицепов'!$N$11,'Виды прицепов'!$N$12))</f>
        <v>2500*1500*0</v>
      </c>
      <c r="R187" s="201"/>
      <c r="S187" s="201"/>
      <c r="T187" s="201"/>
      <c r="U187" s="201"/>
      <c r="V187" s="201"/>
      <c r="W187" s="201"/>
      <c r="X187" s="201"/>
      <c r="Y187" s="201"/>
      <c r="Z187" s="201"/>
    </row>
    <row r="188" spans="1:26" ht="72" outlineLevel="2">
      <c r="A188" s="195" t="s">
        <v>5759</v>
      </c>
      <c r="B188" s="196" t="s">
        <v>5760</v>
      </c>
      <c r="C188" s="197" t="s">
        <v>347</v>
      </c>
      <c r="D188" s="198">
        <v>30</v>
      </c>
      <c r="E188" s="198">
        <v>15</v>
      </c>
      <c r="F188" s="198" t="s">
        <v>5371</v>
      </c>
      <c r="G188" s="198">
        <v>0</v>
      </c>
      <c r="H188" s="198">
        <v>15</v>
      </c>
      <c r="I188" s="199">
        <f t="shared" si="45"/>
        <v>360000</v>
      </c>
      <c r="J188" s="199">
        <f t="shared" si="46"/>
        <v>40000</v>
      </c>
      <c r="K188" s="199">
        <f t="shared" si="47"/>
        <v>50000</v>
      </c>
      <c r="L188" s="199">
        <f t="shared" si="48"/>
        <v>10000</v>
      </c>
      <c r="M188" s="199">
        <f t="shared" si="49"/>
        <v>0</v>
      </c>
      <c r="N188" s="199">
        <f t="shared" si="50"/>
        <v>30000</v>
      </c>
      <c r="O188" s="200">
        <f t="shared" si="44"/>
        <v>460000</v>
      </c>
      <c r="P188" s="186" t="str">
        <f ca="1">IF(D188=0,'Виды прицепов'!$M$10,IF(D188=30,'Виды прицепов'!$M$11,'Виды прицепов'!$M$12))</f>
        <v>3650*1950*900</v>
      </c>
      <c r="Q188" s="186" t="str">
        <f ca="1">IF(D188=0,'Виды прицепов'!$N$10,IF(D188=30,'Виды прицепов'!$N$11,'Виды прицепов'!$N$12))</f>
        <v>2500*1500*300</v>
      </c>
      <c r="R188" s="201"/>
      <c r="S188" s="201"/>
      <c r="T188" s="201"/>
      <c r="U188" s="201"/>
      <c r="V188" s="201"/>
      <c r="W188" s="201"/>
      <c r="X188" s="201"/>
      <c r="Y188" s="201"/>
      <c r="Z188" s="201"/>
    </row>
    <row r="189" spans="1:26" ht="72" outlineLevel="2">
      <c r="A189" s="195" t="s">
        <v>5761</v>
      </c>
      <c r="B189" s="196" t="s">
        <v>5762</v>
      </c>
      <c r="C189" s="197" t="s">
        <v>347</v>
      </c>
      <c r="D189" s="198">
        <v>50</v>
      </c>
      <c r="E189" s="198">
        <v>15</v>
      </c>
      <c r="F189" s="198" t="s">
        <v>5371</v>
      </c>
      <c r="G189" s="198">
        <v>0</v>
      </c>
      <c r="H189" s="198">
        <v>15</v>
      </c>
      <c r="I189" s="199">
        <f t="shared" si="45"/>
        <v>360000</v>
      </c>
      <c r="J189" s="199">
        <f t="shared" si="46"/>
        <v>50000</v>
      </c>
      <c r="K189" s="199">
        <f t="shared" si="47"/>
        <v>50000</v>
      </c>
      <c r="L189" s="199">
        <f t="shared" si="48"/>
        <v>10000</v>
      </c>
      <c r="M189" s="199">
        <f t="shared" si="49"/>
        <v>0</v>
      </c>
      <c r="N189" s="199">
        <f t="shared" si="50"/>
        <v>30000</v>
      </c>
      <c r="O189" s="200">
        <f t="shared" si="44"/>
        <v>470000</v>
      </c>
      <c r="P189" s="186" t="str">
        <f ca="1">IF(D189=0,'Виды прицепов'!$M$10,IF(D189=30,'Виды прицепов'!$M$11,'Виды прицепов'!$M$12))</f>
        <v>3650*1950*1070</v>
      </c>
      <c r="Q189" s="186" t="str">
        <f ca="1">IF(D189=0,'Виды прицепов'!$N$10,IF(D189=30,'Виды прицепов'!$N$11,'Виды прицепов'!$N$12))</f>
        <v>2500*1500*500</v>
      </c>
      <c r="R189" s="201"/>
      <c r="S189" s="201"/>
      <c r="T189" s="201"/>
      <c r="U189" s="201"/>
      <c r="V189" s="201"/>
      <c r="W189" s="201"/>
      <c r="X189" s="201"/>
      <c r="Y189" s="201"/>
      <c r="Z189" s="201"/>
    </row>
    <row r="190" spans="1:26" ht="72" outlineLevel="2">
      <c r="A190" s="195" t="s">
        <v>5763</v>
      </c>
      <c r="B190" s="196" t="s">
        <v>5764</v>
      </c>
      <c r="C190" s="197" t="s">
        <v>347</v>
      </c>
      <c r="D190" s="198">
        <v>30</v>
      </c>
      <c r="E190" s="198">
        <v>13</v>
      </c>
      <c r="F190" s="198">
        <v>0</v>
      </c>
      <c r="G190" s="202">
        <v>90</v>
      </c>
      <c r="H190" s="198">
        <v>13</v>
      </c>
      <c r="I190" s="199">
        <f t="shared" si="45"/>
        <v>360000</v>
      </c>
      <c r="J190" s="199">
        <f t="shared" si="46"/>
        <v>40000</v>
      </c>
      <c r="K190" s="199">
        <f t="shared" si="47"/>
        <v>30000</v>
      </c>
      <c r="L190" s="199">
        <f t="shared" si="48"/>
        <v>0</v>
      </c>
      <c r="M190" s="199">
        <f t="shared" si="49"/>
        <v>100000</v>
      </c>
      <c r="N190" s="199">
        <f t="shared" si="50"/>
        <v>0</v>
      </c>
      <c r="O190" s="200">
        <f t="shared" si="44"/>
        <v>530000</v>
      </c>
      <c r="P190" s="186" t="str">
        <f ca="1">IF(D190=0,'Виды прицепов'!$M$10,IF(D190=30,'Виды прицепов'!$M$11,'Виды прицепов'!$M$12))</f>
        <v>3650*1950*900</v>
      </c>
      <c r="Q190" s="186" t="str">
        <f ca="1">IF(D190=0,'Виды прицепов'!$N$10,IF(D190=30,'Виды прицепов'!$N$11,'Виды прицепов'!$N$12))</f>
        <v>2500*1500*300</v>
      </c>
      <c r="R190" s="201"/>
      <c r="S190" s="201"/>
      <c r="T190" s="201"/>
      <c r="U190" s="201"/>
      <c r="V190" s="201"/>
      <c r="W190" s="201"/>
      <c r="X190" s="201"/>
      <c r="Y190" s="201"/>
      <c r="Z190" s="201"/>
    </row>
    <row r="191" spans="1:26" ht="72" outlineLevel="2">
      <c r="A191" s="195" t="s">
        <v>5765</v>
      </c>
      <c r="B191" s="196" t="s">
        <v>5766</v>
      </c>
      <c r="C191" s="197" t="s">
        <v>347</v>
      </c>
      <c r="D191" s="198">
        <v>50</v>
      </c>
      <c r="E191" s="198">
        <v>13</v>
      </c>
      <c r="F191" s="198">
        <v>0</v>
      </c>
      <c r="G191" s="202">
        <v>90</v>
      </c>
      <c r="H191" s="198">
        <v>13</v>
      </c>
      <c r="I191" s="199">
        <f t="shared" si="45"/>
        <v>360000</v>
      </c>
      <c r="J191" s="199">
        <f t="shared" si="46"/>
        <v>50000</v>
      </c>
      <c r="K191" s="199">
        <f t="shared" si="47"/>
        <v>30000</v>
      </c>
      <c r="L191" s="199">
        <f t="shared" si="48"/>
        <v>0</v>
      </c>
      <c r="M191" s="199">
        <f t="shared" si="49"/>
        <v>100000</v>
      </c>
      <c r="N191" s="199">
        <f t="shared" si="50"/>
        <v>0</v>
      </c>
      <c r="O191" s="200">
        <f t="shared" si="44"/>
        <v>540000</v>
      </c>
      <c r="P191" s="186" t="str">
        <f ca="1">IF(D191=0,'Виды прицепов'!$M$10,IF(D191=30,'Виды прицепов'!$M$11,'Виды прицепов'!$M$12))</f>
        <v>3650*1950*1070</v>
      </c>
      <c r="Q191" s="186" t="str">
        <f ca="1">IF(D191=0,'Виды прицепов'!$N$10,IF(D191=30,'Виды прицепов'!$N$11,'Виды прицепов'!$N$12))</f>
        <v>2500*1500*500</v>
      </c>
      <c r="R191" s="201"/>
      <c r="S191" s="201"/>
      <c r="T191" s="201"/>
      <c r="U191" s="201"/>
      <c r="V191" s="201"/>
      <c r="W191" s="201"/>
      <c r="X191" s="201"/>
      <c r="Y191" s="201"/>
      <c r="Z191" s="201"/>
    </row>
    <row r="192" spans="1:26" ht="72" outlineLevel="2">
      <c r="A192" s="195" t="s">
        <v>5767</v>
      </c>
      <c r="B192" s="196" t="s">
        <v>5768</v>
      </c>
      <c r="C192" s="197" t="s">
        <v>347</v>
      </c>
      <c r="D192" s="198">
        <v>30</v>
      </c>
      <c r="E192" s="198">
        <v>15</v>
      </c>
      <c r="F192" s="198">
        <v>0</v>
      </c>
      <c r="G192" s="202">
        <v>90</v>
      </c>
      <c r="H192" s="198">
        <v>15</v>
      </c>
      <c r="I192" s="199">
        <f t="shared" si="45"/>
        <v>360000</v>
      </c>
      <c r="J192" s="199">
        <f t="shared" si="46"/>
        <v>40000</v>
      </c>
      <c r="K192" s="199">
        <f t="shared" si="47"/>
        <v>50000</v>
      </c>
      <c r="L192" s="199">
        <f t="shared" si="48"/>
        <v>0</v>
      </c>
      <c r="M192" s="199">
        <f t="shared" si="49"/>
        <v>100000</v>
      </c>
      <c r="N192" s="199">
        <f t="shared" si="50"/>
        <v>30000</v>
      </c>
      <c r="O192" s="200">
        <f t="shared" si="44"/>
        <v>550000</v>
      </c>
      <c r="P192" s="186" t="str">
        <f ca="1">IF(D192=0,'Виды прицепов'!$M$10,IF(D192=30,'Виды прицепов'!$M$11,'Виды прицепов'!$M$12))</f>
        <v>3650*1950*900</v>
      </c>
      <c r="Q192" s="186" t="str">
        <f ca="1">IF(D192=0,'Виды прицепов'!$N$10,IF(D192=30,'Виды прицепов'!$N$11,'Виды прицепов'!$N$12))</f>
        <v>2500*1500*300</v>
      </c>
      <c r="R192" s="201"/>
      <c r="S192" s="201"/>
      <c r="T192" s="201"/>
      <c r="U192" s="201"/>
      <c r="V192" s="201"/>
      <c r="W192" s="201"/>
      <c r="X192" s="201"/>
      <c r="Y192" s="201"/>
      <c r="Z192" s="201"/>
    </row>
    <row r="193" spans="1:26" ht="72" outlineLevel="2">
      <c r="A193" s="195" t="s">
        <v>5769</v>
      </c>
      <c r="B193" s="196" t="s">
        <v>5770</v>
      </c>
      <c r="C193" s="197" t="s">
        <v>347</v>
      </c>
      <c r="D193" s="198">
        <v>50</v>
      </c>
      <c r="E193" s="198">
        <v>15</v>
      </c>
      <c r="F193" s="198">
        <v>0</v>
      </c>
      <c r="G193" s="202">
        <v>90</v>
      </c>
      <c r="H193" s="198">
        <v>15</v>
      </c>
      <c r="I193" s="199">
        <f t="shared" si="45"/>
        <v>360000</v>
      </c>
      <c r="J193" s="199">
        <f t="shared" si="46"/>
        <v>50000</v>
      </c>
      <c r="K193" s="199">
        <f t="shared" si="47"/>
        <v>50000</v>
      </c>
      <c r="L193" s="199">
        <f t="shared" si="48"/>
        <v>0</v>
      </c>
      <c r="M193" s="199">
        <f t="shared" si="49"/>
        <v>100000</v>
      </c>
      <c r="N193" s="199">
        <f t="shared" si="50"/>
        <v>30000</v>
      </c>
      <c r="O193" s="200">
        <f t="shared" si="44"/>
        <v>560000</v>
      </c>
      <c r="P193" s="186" t="str">
        <f ca="1">IF(D193=0,'Виды прицепов'!$M$10,IF(D193=30,'Виды прицепов'!$M$11,'Виды прицепов'!$M$12))</f>
        <v>3650*1950*1070</v>
      </c>
      <c r="Q193" s="186" t="str">
        <f ca="1">IF(D193=0,'Виды прицепов'!$N$10,IF(D193=30,'Виды прицепов'!$N$11,'Виды прицепов'!$N$12))</f>
        <v>2500*1500*500</v>
      </c>
      <c r="R193" s="201"/>
      <c r="S193" s="201"/>
      <c r="T193" s="201"/>
      <c r="U193" s="201"/>
      <c r="V193" s="201"/>
      <c r="W193" s="201"/>
      <c r="X193" s="201"/>
      <c r="Y193" s="201"/>
      <c r="Z193" s="201"/>
    </row>
    <row r="194" spans="1:26" ht="72" outlineLevel="2">
      <c r="A194" s="195" t="s">
        <v>5771</v>
      </c>
      <c r="B194" s="196" t="s">
        <v>5772</v>
      </c>
      <c r="C194" s="197" t="s">
        <v>347</v>
      </c>
      <c r="D194" s="198">
        <v>30</v>
      </c>
      <c r="E194" s="198">
        <v>13</v>
      </c>
      <c r="F194" s="198" t="s">
        <v>5371</v>
      </c>
      <c r="G194" s="202">
        <v>90</v>
      </c>
      <c r="H194" s="198">
        <v>13</v>
      </c>
      <c r="I194" s="199">
        <f t="shared" si="45"/>
        <v>360000</v>
      </c>
      <c r="J194" s="199">
        <f t="shared" si="46"/>
        <v>40000</v>
      </c>
      <c r="K194" s="199">
        <f t="shared" si="47"/>
        <v>30000</v>
      </c>
      <c r="L194" s="199">
        <f t="shared" si="48"/>
        <v>10000</v>
      </c>
      <c r="M194" s="199">
        <f t="shared" si="49"/>
        <v>100000</v>
      </c>
      <c r="N194" s="199">
        <f t="shared" si="50"/>
        <v>0</v>
      </c>
      <c r="O194" s="200">
        <f t="shared" si="44"/>
        <v>540000</v>
      </c>
      <c r="P194" s="186" t="str">
        <f ca="1">IF(D194=0,'Виды прицепов'!$M$10,IF(D194=30,'Виды прицепов'!$M$11,'Виды прицепов'!$M$12))</f>
        <v>3650*1950*900</v>
      </c>
      <c r="Q194" s="186" t="str">
        <f ca="1">IF(D194=0,'Виды прицепов'!$N$10,IF(D194=30,'Виды прицепов'!$N$11,'Виды прицепов'!$N$12))</f>
        <v>2500*1500*300</v>
      </c>
      <c r="R194" s="201"/>
      <c r="S194" s="201"/>
      <c r="T194" s="201"/>
      <c r="U194" s="201"/>
      <c r="V194" s="201"/>
      <c r="W194" s="201"/>
      <c r="X194" s="201"/>
      <c r="Y194" s="201"/>
      <c r="Z194" s="201"/>
    </row>
    <row r="195" spans="1:26" ht="72" outlineLevel="2">
      <c r="A195" s="195" t="s">
        <v>5773</v>
      </c>
      <c r="B195" s="196" t="s">
        <v>5774</v>
      </c>
      <c r="C195" s="197" t="s">
        <v>347</v>
      </c>
      <c r="D195" s="198">
        <v>50</v>
      </c>
      <c r="E195" s="198">
        <v>13</v>
      </c>
      <c r="F195" s="198" t="s">
        <v>5371</v>
      </c>
      <c r="G195" s="202">
        <v>90</v>
      </c>
      <c r="H195" s="198">
        <v>13</v>
      </c>
      <c r="I195" s="199">
        <f t="shared" si="45"/>
        <v>360000</v>
      </c>
      <c r="J195" s="199">
        <f t="shared" si="46"/>
        <v>50000</v>
      </c>
      <c r="K195" s="199">
        <f t="shared" si="47"/>
        <v>30000</v>
      </c>
      <c r="L195" s="199">
        <f t="shared" si="48"/>
        <v>10000</v>
      </c>
      <c r="M195" s="199">
        <f t="shared" si="49"/>
        <v>100000</v>
      </c>
      <c r="N195" s="199">
        <f t="shared" si="50"/>
        <v>0</v>
      </c>
      <c r="O195" s="200">
        <f t="shared" si="44"/>
        <v>550000</v>
      </c>
      <c r="P195" s="186" t="str">
        <f ca="1">IF(D195=0,'Виды прицепов'!$M$10,IF(D195=30,'Виды прицепов'!$M$11,'Виды прицепов'!$M$12))</f>
        <v>3650*1950*1070</v>
      </c>
      <c r="Q195" s="186" t="str">
        <f ca="1">IF(D195=0,'Виды прицепов'!$N$10,IF(D195=30,'Виды прицепов'!$N$11,'Виды прицепов'!$N$12))</f>
        <v>2500*1500*500</v>
      </c>
      <c r="R195" s="201"/>
      <c r="S195" s="201"/>
      <c r="T195" s="201"/>
      <c r="U195" s="201"/>
      <c r="V195" s="201"/>
      <c r="W195" s="201"/>
      <c r="X195" s="201"/>
      <c r="Y195" s="201"/>
      <c r="Z195" s="201"/>
    </row>
    <row r="196" spans="1:26" ht="72" outlineLevel="2">
      <c r="A196" s="195" t="s">
        <v>5775</v>
      </c>
      <c r="B196" s="196" t="s">
        <v>5776</v>
      </c>
      <c r="C196" s="197" t="s">
        <v>347</v>
      </c>
      <c r="D196" s="198">
        <v>30</v>
      </c>
      <c r="E196" s="198">
        <v>15</v>
      </c>
      <c r="F196" s="198" t="s">
        <v>5371</v>
      </c>
      <c r="G196" s="202">
        <v>90</v>
      </c>
      <c r="H196" s="198">
        <v>15</v>
      </c>
      <c r="I196" s="199">
        <f t="shared" si="45"/>
        <v>360000</v>
      </c>
      <c r="J196" s="199">
        <f t="shared" si="46"/>
        <v>40000</v>
      </c>
      <c r="K196" s="199">
        <f t="shared" si="47"/>
        <v>50000</v>
      </c>
      <c r="L196" s="199">
        <f t="shared" si="48"/>
        <v>10000</v>
      </c>
      <c r="M196" s="199">
        <f t="shared" si="49"/>
        <v>100000</v>
      </c>
      <c r="N196" s="199">
        <f t="shared" si="50"/>
        <v>30000</v>
      </c>
      <c r="O196" s="200">
        <f t="shared" si="44"/>
        <v>560000</v>
      </c>
      <c r="P196" s="186" t="str">
        <f ca="1">IF(D196=0,'Виды прицепов'!$M$10,IF(D196=30,'Виды прицепов'!$M$11,'Виды прицепов'!$M$12))</f>
        <v>3650*1950*900</v>
      </c>
      <c r="Q196" s="186" t="str">
        <f ca="1">IF(D196=0,'Виды прицепов'!$N$10,IF(D196=30,'Виды прицепов'!$N$11,'Виды прицепов'!$N$12))</f>
        <v>2500*1500*300</v>
      </c>
      <c r="R196" s="201"/>
      <c r="S196" s="201"/>
      <c r="T196" s="201"/>
      <c r="U196" s="201"/>
      <c r="V196" s="201"/>
      <c r="W196" s="201"/>
      <c r="X196" s="201"/>
      <c r="Y196" s="201"/>
      <c r="Z196" s="201"/>
    </row>
    <row r="197" spans="1:26" ht="72" outlineLevel="2">
      <c r="A197" s="195" t="s">
        <v>5777</v>
      </c>
      <c r="B197" s="196" t="s">
        <v>5778</v>
      </c>
      <c r="C197" s="197" t="s">
        <v>347</v>
      </c>
      <c r="D197" s="198">
        <v>50</v>
      </c>
      <c r="E197" s="198">
        <v>15</v>
      </c>
      <c r="F197" s="198" t="s">
        <v>5371</v>
      </c>
      <c r="G197" s="202">
        <v>90</v>
      </c>
      <c r="H197" s="198">
        <v>15</v>
      </c>
      <c r="I197" s="199">
        <f t="shared" si="45"/>
        <v>360000</v>
      </c>
      <c r="J197" s="199">
        <f t="shared" si="46"/>
        <v>50000</v>
      </c>
      <c r="K197" s="199">
        <f t="shared" si="47"/>
        <v>50000</v>
      </c>
      <c r="L197" s="199">
        <f t="shared" si="48"/>
        <v>10000</v>
      </c>
      <c r="M197" s="199">
        <f t="shared" si="49"/>
        <v>100000</v>
      </c>
      <c r="N197" s="199">
        <f t="shared" si="50"/>
        <v>30000</v>
      </c>
      <c r="O197" s="200">
        <f t="shared" si="44"/>
        <v>570000</v>
      </c>
      <c r="P197" s="186" t="str">
        <f ca="1">IF(D197=0,'Виды прицепов'!$M$10,IF(D197=30,'Виды прицепов'!$M$11,'Виды прицепов'!$M$12))</f>
        <v>3650*1950*1070</v>
      </c>
      <c r="Q197" s="186" t="str">
        <f ca="1">IF(D197=0,'Виды прицепов'!$N$10,IF(D197=30,'Виды прицепов'!$N$11,'Виды прицепов'!$N$12))</f>
        <v>2500*1500*500</v>
      </c>
      <c r="R197" s="201"/>
      <c r="S197" s="201"/>
      <c r="T197" s="201"/>
      <c r="U197" s="201"/>
      <c r="V197" s="201"/>
      <c r="W197" s="201"/>
      <c r="X197" s="201"/>
      <c r="Y197" s="201"/>
      <c r="Z197" s="201"/>
    </row>
    <row r="198" spans="1:26" ht="72" outlineLevel="2">
      <c r="A198" s="195" t="s">
        <v>5779</v>
      </c>
      <c r="B198" s="196" t="s">
        <v>5780</v>
      </c>
      <c r="C198" s="197" t="s">
        <v>347</v>
      </c>
      <c r="D198" s="198">
        <v>30</v>
      </c>
      <c r="E198" s="198">
        <v>13</v>
      </c>
      <c r="F198" s="198">
        <v>0</v>
      </c>
      <c r="G198" s="198">
        <v>120</v>
      </c>
      <c r="H198" s="198">
        <v>13</v>
      </c>
      <c r="I198" s="199">
        <f t="shared" si="45"/>
        <v>360000</v>
      </c>
      <c r="J198" s="199">
        <f t="shared" si="46"/>
        <v>40000</v>
      </c>
      <c r="K198" s="199">
        <f t="shared" si="47"/>
        <v>30000</v>
      </c>
      <c r="L198" s="199">
        <f t="shared" si="48"/>
        <v>0</v>
      </c>
      <c r="M198" s="199">
        <f t="shared" si="49"/>
        <v>110000</v>
      </c>
      <c r="N198" s="199">
        <f t="shared" si="50"/>
        <v>0</v>
      </c>
      <c r="O198" s="200">
        <f t="shared" si="44"/>
        <v>540000</v>
      </c>
      <c r="P198" s="186" t="str">
        <f ca="1">IF(D198=0,'Виды прицепов'!$M$10,IF(D198=30,'Виды прицепов'!$M$11,'Виды прицепов'!$M$12))</f>
        <v>3650*1950*900</v>
      </c>
      <c r="Q198" s="186" t="str">
        <f ca="1">IF(D198=0,'Виды прицепов'!$N$10,IF(D198=30,'Виды прицепов'!$N$11,'Виды прицепов'!$N$12))</f>
        <v>2500*1500*300</v>
      </c>
      <c r="R198" s="201"/>
      <c r="S198" s="201"/>
      <c r="T198" s="201"/>
      <c r="U198" s="201"/>
      <c r="V198" s="201"/>
      <c r="W198" s="201"/>
      <c r="X198" s="201"/>
      <c r="Y198" s="201"/>
      <c r="Z198" s="201"/>
    </row>
    <row r="199" spans="1:26" ht="72" outlineLevel="2">
      <c r="A199" s="195" t="s">
        <v>5781</v>
      </c>
      <c r="B199" s="196" t="s">
        <v>5782</v>
      </c>
      <c r="C199" s="197" t="s">
        <v>347</v>
      </c>
      <c r="D199" s="198">
        <v>50</v>
      </c>
      <c r="E199" s="198">
        <v>13</v>
      </c>
      <c r="F199" s="198">
        <v>0</v>
      </c>
      <c r="G199" s="198">
        <v>120</v>
      </c>
      <c r="H199" s="198">
        <v>13</v>
      </c>
      <c r="I199" s="199">
        <f t="shared" si="45"/>
        <v>360000</v>
      </c>
      <c r="J199" s="199">
        <f t="shared" si="46"/>
        <v>50000</v>
      </c>
      <c r="K199" s="199">
        <f t="shared" si="47"/>
        <v>30000</v>
      </c>
      <c r="L199" s="199">
        <f t="shared" si="48"/>
        <v>0</v>
      </c>
      <c r="M199" s="199">
        <f t="shared" si="49"/>
        <v>110000</v>
      </c>
      <c r="N199" s="199">
        <f t="shared" si="50"/>
        <v>0</v>
      </c>
      <c r="O199" s="200">
        <f t="shared" si="44"/>
        <v>550000</v>
      </c>
      <c r="P199" s="186" t="str">
        <f ca="1">IF(D199=0,'Виды прицепов'!$M$10,IF(D199=30,'Виды прицепов'!$M$11,'Виды прицепов'!$M$12))</f>
        <v>3650*1950*1070</v>
      </c>
      <c r="Q199" s="186" t="str">
        <f ca="1">IF(D199=0,'Виды прицепов'!$N$10,IF(D199=30,'Виды прицепов'!$N$11,'Виды прицепов'!$N$12))</f>
        <v>2500*1500*500</v>
      </c>
      <c r="R199" s="201"/>
      <c r="S199" s="201"/>
      <c r="T199" s="201"/>
      <c r="U199" s="201"/>
      <c r="V199" s="201"/>
      <c r="W199" s="201"/>
      <c r="X199" s="201"/>
      <c r="Y199" s="201"/>
      <c r="Z199" s="201"/>
    </row>
    <row r="200" spans="1:26" ht="72" outlineLevel="2">
      <c r="A200" s="195" t="s">
        <v>5783</v>
      </c>
      <c r="B200" s="196" t="s">
        <v>5784</v>
      </c>
      <c r="C200" s="197" t="s">
        <v>347</v>
      </c>
      <c r="D200" s="198">
        <v>30</v>
      </c>
      <c r="E200" s="198">
        <v>15</v>
      </c>
      <c r="F200" s="198">
        <v>0</v>
      </c>
      <c r="G200" s="198">
        <v>120</v>
      </c>
      <c r="H200" s="198">
        <v>15</v>
      </c>
      <c r="I200" s="199">
        <f t="shared" si="45"/>
        <v>360000</v>
      </c>
      <c r="J200" s="199">
        <f t="shared" si="46"/>
        <v>40000</v>
      </c>
      <c r="K200" s="199">
        <f t="shared" si="47"/>
        <v>50000</v>
      </c>
      <c r="L200" s="199">
        <f t="shared" si="48"/>
        <v>0</v>
      </c>
      <c r="M200" s="199">
        <f t="shared" si="49"/>
        <v>110000</v>
      </c>
      <c r="N200" s="199">
        <f t="shared" si="50"/>
        <v>30000</v>
      </c>
      <c r="O200" s="200">
        <f t="shared" si="44"/>
        <v>560000</v>
      </c>
      <c r="P200" s="186" t="str">
        <f ca="1">IF(D200=0,'Виды прицепов'!$M$10,IF(D200=30,'Виды прицепов'!$M$11,'Виды прицепов'!$M$12))</f>
        <v>3650*1950*900</v>
      </c>
      <c r="Q200" s="186" t="str">
        <f ca="1">IF(D200=0,'Виды прицепов'!$N$10,IF(D200=30,'Виды прицепов'!$N$11,'Виды прицепов'!$N$12))</f>
        <v>2500*1500*300</v>
      </c>
      <c r="R200" s="201"/>
      <c r="S200" s="201"/>
      <c r="T200" s="201"/>
      <c r="U200" s="201"/>
      <c r="V200" s="201"/>
      <c r="W200" s="201"/>
      <c r="X200" s="201"/>
      <c r="Y200" s="201"/>
      <c r="Z200" s="201"/>
    </row>
    <row r="201" spans="1:26" ht="72" outlineLevel="2">
      <c r="A201" s="195" t="s">
        <v>5785</v>
      </c>
      <c r="B201" s="196" t="s">
        <v>5786</v>
      </c>
      <c r="C201" s="197" t="s">
        <v>347</v>
      </c>
      <c r="D201" s="198">
        <v>50</v>
      </c>
      <c r="E201" s="198">
        <v>15</v>
      </c>
      <c r="F201" s="198">
        <v>0</v>
      </c>
      <c r="G201" s="198">
        <v>120</v>
      </c>
      <c r="H201" s="198">
        <v>15</v>
      </c>
      <c r="I201" s="199">
        <f t="shared" si="45"/>
        <v>360000</v>
      </c>
      <c r="J201" s="199">
        <f t="shared" si="46"/>
        <v>50000</v>
      </c>
      <c r="K201" s="199">
        <f t="shared" si="47"/>
        <v>50000</v>
      </c>
      <c r="L201" s="199">
        <f t="shared" si="48"/>
        <v>0</v>
      </c>
      <c r="M201" s="199">
        <f t="shared" si="49"/>
        <v>110000</v>
      </c>
      <c r="N201" s="199">
        <f t="shared" si="50"/>
        <v>30000</v>
      </c>
      <c r="O201" s="200">
        <f t="shared" si="44"/>
        <v>570000</v>
      </c>
      <c r="P201" s="186" t="str">
        <f ca="1">IF(D201=0,'Виды прицепов'!$M$10,IF(D201=30,'Виды прицепов'!$M$11,'Виды прицепов'!$M$12))</f>
        <v>3650*1950*1070</v>
      </c>
      <c r="Q201" s="186" t="str">
        <f ca="1">IF(D201=0,'Виды прицепов'!$N$10,IF(D201=30,'Виды прицепов'!$N$11,'Виды прицепов'!$N$12))</f>
        <v>2500*1500*500</v>
      </c>
      <c r="R201" s="201"/>
      <c r="S201" s="201"/>
      <c r="T201" s="201"/>
      <c r="U201" s="201"/>
      <c r="V201" s="201"/>
      <c r="W201" s="201"/>
      <c r="X201" s="201"/>
      <c r="Y201" s="201"/>
      <c r="Z201" s="201"/>
    </row>
    <row r="202" spans="1:26" ht="72" outlineLevel="2">
      <c r="A202" s="195" t="s">
        <v>5334</v>
      </c>
      <c r="B202" s="196" t="s">
        <v>5787</v>
      </c>
      <c r="C202" s="197" t="s">
        <v>347</v>
      </c>
      <c r="D202" s="198">
        <v>30</v>
      </c>
      <c r="E202" s="198">
        <v>13</v>
      </c>
      <c r="F202" s="198" t="s">
        <v>5371</v>
      </c>
      <c r="G202" s="198">
        <v>120</v>
      </c>
      <c r="H202" s="198">
        <v>13</v>
      </c>
      <c r="I202" s="199">
        <f t="shared" si="45"/>
        <v>360000</v>
      </c>
      <c r="J202" s="199">
        <f t="shared" si="46"/>
        <v>40000</v>
      </c>
      <c r="K202" s="199">
        <f t="shared" si="47"/>
        <v>30000</v>
      </c>
      <c r="L202" s="199">
        <f t="shared" si="48"/>
        <v>10000</v>
      </c>
      <c r="M202" s="199">
        <f t="shared" si="49"/>
        <v>110000</v>
      </c>
      <c r="N202" s="199">
        <f t="shared" si="50"/>
        <v>0</v>
      </c>
      <c r="O202" s="200">
        <f t="shared" si="44"/>
        <v>550000</v>
      </c>
      <c r="P202" s="186" t="str">
        <f ca="1">IF(D202=0,'Виды прицепов'!$M$10,IF(D202=30,'Виды прицепов'!$M$11,'Виды прицепов'!$M$12))</f>
        <v>3650*1950*900</v>
      </c>
      <c r="Q202" s="186" t="str">
        <f ca="1">IF(D202=0,'Виды прицепов'!$N$10,IF(D202=30,'Виды прицепов'!$N$11,'Виды прицепов'!$N$12))</f>
        <v>2500*1500*300</v>
      </c>
      <c r="R202" s="201"/>
      <c r="S202" s="201"/>
      <c r="T202" s="201"/>
      <c r="U202" s="201"/>
      <c r="V202" s="201"/>
      <c r="W202" s="201"/>
      <c r="X202" s="201"/>
      <c r="Y202" s="201"/>
      <c r="Z202" s="201"/>
    </row>
    <row r="203" spans="1:26" ht="72" outlineLevel="2">
      <c r="A203" s="195" t="s">
        <v>5788</v>
      </c>
      <c r="B203" s="196" t="s">
        <v>5789</v>
      </c>
      <c r="C203" s="197" t="s">
        <v>347</v>
      </c>
      <c r="D203" s="198">
        <v>50</v>
      </c>
      <c r="E203" s="198">
        <v>13</v>
      </c>
      <c r="F203" s="198" t="s">
        <v>5371</v>
      </c>
      <c r="G203" s="198">
        <v>120</v>
      </c>
      <c r="H203" s="198">
        <v>13</v>
      </c>
      <c r="I203" s="199">
        <f t="shared" si="45"/>
        <v>360000</v>
      </c>
      <c r="J203" s="199">
        <f t="shared" si="46"/>
        <v>50000</v>
      </c>
      <c r="K203" s="199">
        <f t="shared" si="47"/>
        <v>30000</v>
      </c>
      <c r="L203" s="199">
        <f t="shared" si="48"/>
        <v>10000</v>
      </c>
      <c r="M203" s="199">
        <f t="shared" si="49"/>
        <v>110000</v>
      </c>
      <c r="N203" s="199">
        <f t="shared" si="50"/>
        <v>0</v>
      </c>
      <c r="O203" s="200">
        <f t="shared" si="44"/>
        <v>560000</v>
      </c>
      <c r="P203" s="186" t="str">
        <f ca="1">IF(D203=0,'Виды прицепов'!$M$10,IF(D203=30,'Виды прицепов'!$M$11,'Виды прицепов'!$M$12))</f>
        <v>3650*1950*1070</v>
      </c>
      <c r="Q203" s="186" t="str">
        <f ca="1">IF(D203=0,'Виды прицепов'!$N$10,IF(D203=30,'Виды прицепов'!$N$11,'Виды прицепов'!$N$12))</f>
        <v>2500*1500*500</v>
      </c>
      <c r="R203" s="201"/>
      <c r="S203" s="201"/>
      <c r="T203" s="201"/>
      <c r="U203" s="201"/>
      <c r="V203" s="201"/>
      <c r="W203" s="201"/>
      <c r="X203" s="201"/>
      <c r="Y203" s="201"/>
      <c r="Z203" s="201"/>
    </row>
    <row r="204" spans="1:26" ht="72" outlineLevel="2">
      <c r="A204" s="195" t="s">
        <v>5790</v>
      </c>
      <c r="B204" s="196" t="s">
        <v>5791</v>
      </c>
      <c r="C204" s="197" t="s">
        <v>347</v>
      </c>
      <c r="D204" s="198">
        <v>30</v>
      </c>
      <c r="E204" s="198">
        <v>15</v>
      </c>
      <c r="F204" s="198" t="s">
        <v>5371</v>
      </c>
      <c r="G204" s="198">
        <v>120</v>
      </c>
      <c r="H204" s="198">
        <v>15</v>
      </c>
      <c r="I204" s="199">
        <f t="shared" si="45"/>
        <v>360000</v>
      </c>
      <c r="J204" s="199">
        <f t="shared" si="46"/>
        <v>40000</v>
      </c>
      <c r="K204" s="199">
        <f t="shared" si="47"/>
        <v>50000</v>
      </c>
      <c r="L204" s="199">
        <f t="shared" si="48"/>
        <v>10000</v>
      </c>
      <c r="M204" s="199">
        <f t="shared" si="49"/>
        <v>110000</v>
      </c>
      <c r="N204" s="199">
        <f t="shared" si="50"/>
        <v>30000</v>
      </c>
      <c r="O204" s="200">
        <f t="shared" si="44"/>
        <v>570000</v>
      </c>
      <c r="P204" s="186" t="str">
        <f ca="1">IF(D204=0,'Виды прицепов'!$M$10,IF(D204=30,'Виды прицепов'!$M$11,'Виды прицепов'!$M$12))</f>
        <v>3650*1950*900</v>
      </c>
      <c r="Q204" s="186" t="str">
        <f ca="1">IF(D204=0,'Виды прицепов'!$N$10,IF(D204=30,'Виды прицепов'!$N$11,'Виды прицепов'!$N$12))</f>
        <v>2500*1500*300</v>
      </c>
      <c r="R204" s="201"/>
      <c r="S204" s="201"/>
      <c r="T204" s="201"/>
      <c r="U204" s="201"/>
      <c r="V204" s="201"/>
      <c r="W204" s="201"/>
      <c r="X204" s="201"/>
      <c r="Y204" s="201"/>
      <c r="Z204" s="201"/>
    </row>
    <row r="205" spans="1:26" ht="72" outlineLevel="2">
      <c r="A205" s="195" t="s">
        <v>5792</v>
      </c>
      <c r="B205" s="196" t="s">
        <v>5793</v>
      </c>
      <c r="C205" s="197" t="s">
        <v>347</v>
      </c>
      <c r="D205" s="198">
        <v>50</v>
      </c>
      <c r="E205" s="198">
        <v>15</v>
      </c>
      <c r="F205" s="198" t="s">
        <v>5371</v>
      </c>
      <c r="G205" s="198">
        <v>120</v>
      </c>
      <c r="H205" s="198">
        <v>15</v>
      </c>
      <c r="I205" s="199">
        <f t="shared" si="45"/>
        <v>360000</v>
      </c>
      <c r="J205" s="199">
        <f t="shared" si="46"/>
        <v>50000</v>
      </c>
      <c r="K205" s="199">
        <f t="shared" si="47"/>
        <v>50000</v>
      </c>
      <c r="L205" s="199">
        <f t="shared" si="48"/>
        <v>10000</v>
      </c>
      <c r="M205" s="199">
        <f t="shared" si="49"/>
        <v>110000</v>
      </c>
      <c r="N205" s="199">
        <f t="shared" si="50"/>
        <v>30000</v>
      </c>
      <c r="O205" s="200">
        <f t="shared" si="44"/>
        <v>580000</v>
      </c>
      <c r="P205" s="186" t="str">
        <f ca="1">IF(D205=0,'Виды прицепов'!$M$10,IF(D205=30,'Виды прицепов'!$M$11,'Виды прицепов'!$M$12))</f>
        <v>3650*1950*1070</v>
      </c>
      <c r="Q205" s="186" t="str">
        <f ca="1">IF(D205=0,'Виды прицепов'!$N$10,IF(D205=30,'Виды прицепов'!$N$11,'Виды прицепов'!$N$12))</f>
        <v>2500*1500*500</v>
      </c>
      <c r="R205" s="201"/>
      <c r="S205" s="201"/>
      <c r="T205" s="201"/>
      <c r="U205" s="201"/>
      <c r="V205" s="201"/>
      <c r="W205" s="201"/>
      <c r="X205" s="201"/>
      <c r="Y205" s="201"/>
      <c r="Z205" s="201"/>
    </row>
    <row r="206" spans="1:26" ht="14.4" outlineLevel="1">
      <c r="A206" s="175" t="s">
        <v>5794</v>
      </c>
      <c r="B206" s="176"/>
      <c r="C206" s="177"/>
      <c r="D206" s="178"/>
      <c r="E206" s="178"/>
      <c r="F206" s="178"/>
      <c r="G206" s="178"/>
      <c r="H206" s="178"/>
      <c r="I206" s="179"/>
      <c r="J206" s="179"/>
      <c r="K206" s="179"/>
      <c r="L206" s="179"/>
      <c r="M206" s="179"/>
      <c r="N206" s="179"/>
      <c r="O206" s="193"/>
      <c r="P206" s="173"/>
      <c r="Q206" s="173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 spans="1:26" ht="57.6" outlineLevel="2">
      <c r="A207" s="195" t="s">
        <v>5795</v>
      </c>
      <c r="B207" s="196" t="s">
        <v>5796</v>
      </c>
      <c r="C207" s="197" t="s">
        <v>5794</v>
      </c>
      <c r="D207" s="198">
        <v>0</v>
      </c>
      <c r="E207" s="198">
        <v>0</v>
      </c>
      <c r="F207" s="198">
        <v>0</v>
      </c>
      <c r="G207" s="198">
        <v>0</v>
      </c>
      <c r="H207" s="198">
        <v>13</v>
      </c>
      <c r="I207" s="199">
        <f t="shared" ref="I207:I238" si="51">VLOOKUP(C207,Платформа,2,0)</f>
        <v>410000</v>
      </c>
      <c r="J207" s="199">
        <f t="shared" ref="J207:J238" si="52">VLOOKUP(D207,борт_3015,2)</f>
        <v>0</v>
      </c>
      <c r="K207" s="199">
        <f t="shared" ref="K207:K238" si="53">VLOOKUP(E207,колесо,2,0)</f>
        <v>0</v>
      </c>
      <c r="L207" s="199">
        <f t="shared" ref="L207:L238" si="54">VLOOKUP(F207,опорное_колесо,2,0)</f>
        <v>0</v>
      </c>
      <c r="M207" s="199">
        <f t="shared" ref="M207:M238" si="55">VLOOKUP(G207,тент_3015,2,0)</f>
        <v>0</v>
      </c>
      <c r="N207" s="199">
        <f t="shared" ref="N207:N238" si="56">VLOOKUP(H207,ступица,2,0)</f>
        <v>0</v>
      </c>
      <c r="O207" s="200">
        <f t="shared" ref="O207:O262" si="57">SUM(I207:M207)</f>
        <v>410000</v>
      </c>
      <c r="P207" s="186" t="str">
        <f ca="1">IF(D207=0,'Виды прицепов'!$M$13,IF(D207=30,'Виды прицепов'!$M$14,'Виды прицепов'!$M$15))</f>
        <v>4150*1950*650</v>
      </c>
      <c r="Q207" s="186" t="str">
        <f ca="1">IF(D207=0,'Виды прицепов'!$N$13,IF(D207=30,'Виды прицепов'!$N$14,'Виды прицепов'!$N$15))</f>
        <v>3000*1500*0</v>
      </c>
      <c r="R207" s="201"/>
      <c r="S207" s="201"/>
      <c r="T207" s="201"/>
      <c r="U207" s="201"/>
      <c r="V207" s="201"/>
      <c r="W207" s="201"/>
      <c r="X207" s="201"/>
      <c r="Y207" s="201"/>
      <c r="Z207" s="201"/>
    </row>
    <row r="208" spans="1:26" ht="57.6" outlineLevel="2">
      <c r="A208" s="195" t="s">
        <v>5797</v>
      </c>
      <c r="B208" s="196" t="s">
        <v>5798</v>
      </c>
      <c r="C208" s="197" t="s">
        <v>5794</v>
      </c>
      <c r="D208" s="198">
        <v>30</v>
      </c>
      <c r="E208" s="198">
        <v>0</v>
      </c>
      <c r="F208" s="198">
        <v>0</v>
      </c>
      <c r="G208" s="198">
        <v>0</v>
      </c>
      <c r="H208" s="198">
        <v>13</v>
      </c>
      <c r="I208" s="199">
        <f t="shared" si="51"/>
        <v>410000</v>
      </c>
      <c r="J208" s="199">
        <f t="shared" si="52"/>
        <v>50000</v>
      </c>
      <c r="K208" s="199">
        <f t="shared" si="53"/>
        <v>0</v>
      </c>
      <c r="L208" s="199">
        <f t="shared" si="54"/>
        <v>0</v>
      </c>
      <c r="M208" s="199">
        <f t="shared" si="55"/>
        <v>0</v>
      </c>
      <c r="N208" s="199">
        <f t="shared" si="56"/>
        <v>0</v>
      </c>
      <c r="O208" s="200">
        <f t="shared" si="57"/>
        <v>460000</v>
      </c>
      <c r="P208" s="186" t="str">
        <f ca="1">IF(D208=0,'Виды прицепов'!$M$13,IF(D208=30,'Виды прицепов'!$M$14,'Виды прицепов'!$M$15))</f>
        <v>3800*1950*900</v>
      </c>
      <c r="Q208" s="186" t="str">
        <f ca="1">IF(D208=0,'Виды прицепов'!$N$13,IF(D208=30,'Виды прицепов'!$N$14,'Виды прицепов'!$N$15))</f>
        <v>3000*1500*300</v>
      </c>
      <c r="R208" s="201"/>
      <c r="S208" s="201"/>
      <c r="T208" s="201"/>
      <c r="U208" s="201"/>
      <c r="V208" s="201"/>
      <c r="W208" s="201"/>
      <c r="X208" s="201"/>
      <c r="Y208" s="201"/>
      <c r="Z208" s="201"/>
    </row>
    <row r="209" spans="1:26" ht="57.6" outlineLevel="2">
      <c r="A209" s="195" t="s">
        <v>5799</v>
      </c>
      <c r="B209" s="196" t="s">
        <v>5800</v>
      </c>
      <c r="C209" s="197" t="s">
        <v>5794</v>
      </c>
      <c r="D209" s="198">
        <v>50</v>
      </c>
      <c r="E209" s="198">
        <v>0</v>
      </c>
      <c r="F209" s="198">
        <v>0</v>
      </c>
      <c r="G209" s="198">
        <v>0</v>
      </c>
      <c r="H209" s="198">
        <v>13</v>
      </c>
      <c r="I209" s="199">
        <f t="shared" si="51"/>
        <v>410000</v>
      </c>
      <c r="J209" s="199">
        <f t="shared" si="52"/>
        <v>60000</v>
      </c>
      <c r="K209" s="199">
        <f t="shared" si="53"/>
        <v>0</v>
      </c>
      <c r="L209" s="199">
        <f t="shared" si="54"/>
        <v>0</v>
      </c>
      <c r="M209" s="199">
        <f t="shared" si="55"/>
        <v>0</v>
      </c>
      <c r="N209" s="199">
        <f t="shared" si="56"/>
        <v>0</v>
      </c>
      <c r="O209" s="200">
        <f t="shared" si="57"/>
        <v>470000</v>
      </c>
      <c r="P209" s="186" t="str">
        <f ca="1">IF(D209=0,'Виды прицепов'!$M$13,IF(D209=30,'Виды прицепов'!$M$14,'Виды прицепов'!$M$15))</f>
        <v>3800*1950*1200</v>
      </c>
      <c r="Q209" s="186" t="str">
        <f ca="1">IF(D209=0,'Виды прицепов'!$N$13,IF(D209=30,'Виды прицепов'!$N$14,'Виды прицепов'!$N$15))</f>
        <v>3000*1500*500</v>
      </c>
      <c r="R209" s="201"/>
      <c r="S209" s="201"/>
      <c r="T209" s="201"/>
      <c r="U209" s="201"/>
      <c r="V209" s="201"/>
      <c r="W209" s="201"/>
      <c r="X209" s="201"/>
      <c r="Y209" s="201"/>
      <c r="Z209" s="201"/>
    </row>
    <row r="210" spans="1:26" ht="72" outlineLevel="2">
      <c r="A210" s="195" t="s">
        <v>5801</v>
      </c>
      <c r="B210" s="196" t="s">
        <v>5802</v>
      </c>
      <c r="C210" s="197" t="s">
        <v>5794</v>
      </c>
      <c r="D210" s="198">
        <v>30</v>
      </c>
      <c r="E210" s="198">
        <v>0</v>
      </c>
      <c r="F210" s="198">
        <v>0</v>
      </c>
      <c r="G210" s="202">
        <v>90</v>
      </c>
      <c r="H210" s="198">
        <v>13</v>
      </c>
      <c r="I210" s="199">
        <f t="shared" si="51"/>
        <v>410000</v>
      </c>
      <c r="J210" s="199">
        <f t="shared" si="52"/>
        <v>50000</v>
      </c>
      <c r="K210" s="199">
        <f t="shared" si="53"/>
        <v>0</v>
      </c>
      <c r="L210" s="199">
        <f t="shared" si="54"/>
        <v>0</v>
      </c>
      <c r="M210" s="199">
        <f t="shared" si="55"/>
        <v>110000</v>
      </c>
      <c r="N210" s="199">
        <f t="shared" si="56"/>
        <v>0</v>
      </c>
      <c r="O210" s="200">
        <f t="shared" si="57"/>
        <v>570000</v>
      </c>
      <c r="P210" s="186" t="str">
        <f ca="1">IF(D210=0,'Виды прицепов'!$M$13,IF(D210=30,'Виды прицепов'!$M$14,'Виды прицепов'!$M$15))</f>
        <v>3800*1950*900</v>
      </c>
      <c r="Q210" s="186" t="str">
        <f ca="1">IF(D210=0,'Виды прицепов'!$N$13,IF(D210=30,'Виды прицепов'!$N$14,'Виды прицепов'!$N$15))</f>
        <v>3000*1500*300</v>
      </c>
      <c r="R210" s="201"/>
      <c r="S210" s="201"/>
      <c r="T210" s="201"/>
      <c r="U210" s="201"/>
      <c r="V210" s="201"/>
      <c r="W210" s="201"/>
      <c r="X210" s="201"/>
      <c r="Y210" s="201"/>
      <c r="Z210" s="201"/>
    </row>
    <row r="211" spans="1:26" ht="72" outlineLevel="2">
      <c r="A211" s="195" t="s">
        <v>5803</v>
      </c>
      <c r="B211" s="196" t="s">
        <v>5804</v>
      </c>
      <c r="C211" s="197" t="s">
        <v>5794</v>
      </c>
      <c r="D211" s="198">
        <v>50</v>
      </c>
      <c r="E211" s="198">
        <v>0</v>
      </c>
      <c r="F211" s="198">
        <v>0</v>
      </c>
      <c r="G211" s="202">
        <v>90</v>
      </c>
      <c r="H211" s="198">
        <v>13</v>
      </c>
      <c r="I211" s="199">
        <f t="shared" si="51"/>
        <v>410000</v>
      </c>
      <c r="J211" s="199">
        <f t="shared" si="52"/>
        <v>60000</v>
      </c>
      <c r="K211" s="199">
        <f t="shared" si="53"/>
        <v>0</v>
      </c>
      <c r="L211" s="199">
        <f t="shared" si="54"/>
        <v>0</v>
      </c>
      <c r="M211" s="199">
        <f t="shared" si="55"/>
        <v>110000</v>
      </c>
      <c r="N211" s="199">
        <f t="shared" si="56"/>
        <v>0</v>
      </c>
      <c r="O211" s="200">
        <f t="shared" si="57"/>
        <v>580000</v>
      </c>
      <c r="P211" s="186" t="str">
        <f ca="1">IF(D211=0,'Виды прицепов'!$M$13,IF(D211=30,'Виды прицепов'!$M$14,'Виды прицепов'!$M$15))</f>
        <v>3800*1950*1200</v>
      </c>
      <c r="Q211" s="186" t="str">
        <f ca="1">IF(D211=0,'Виды прицепов'!$N$13,IF(D211=30,'Виды прицепов'!$N$14,'Виды прицепов'!$N$15))</f>
        <v>3000*1500*500</v>
      </c>
      <c r="R211" s="201"/>
      <c r="S211" s="201"/>
      <c r="T211" s="201"/>
      <c r="U211" s="201"/>
      <c r="V211" s="201"/>
      <c r="W211" s="201"/>
      <c r="X211" s="201"/>
      <c r="Y211" s="201"/>
      <c r="Z211" s="201"/>
    </row>
    <row r="212" spans="1:26" ht="72" outlineLevel="2">
      <c r="A212" s="195" t="s">
        <v>5805</v>
      </c>
      <c r="B212" s="196" t="s">
        <v>5806</v>
      </c>
      <c r="C212" s="197" t="s">
        <v>5794</v>
      </c>
      <c r="D212" s="198">
        <v>30</v>
      </c>
      <c r="E212" s="198">
        <v>0</v>
      </c>
      <c r="F212" s="198">
        <v>0</v>
      </c>
      <c r="G212" s="198">
        <v>120</v>
      </c>
      <c r="H212" s="198">
        <v>13</v>
      </c>
      <c r="I212" s="199">
        <f t="shared" si="51"/>
        <v>410000</v>
      </c>
      <c r="J212" s="199">
        <f t="shared" si="52"/>
        <v>50000</v>
      </c>
      <c r="K212" s="199">
        <f t="shared" si="53"/>
        <v>0</v>
      </c>
      <c r="L212" s="199">
        <f t="shared" si="54"/>
        <v>0</v>
      </c>
      <c r="M212" s="199">
        <f t="shared" si="55"/>
        <v>140000</v>
      </c>
      <c r="N212" s="199">
        <f t="shared" si="56"/>
        <v>0</v>
      </c>
      <c r="O212" s="200">
        <f t="shared" si="57"/>
        <v>600000</v>
      </c>
      <c r="P212" s="186" t="str">
        <f ca="1">IF(D212=0,'Виды прицепов'!$M$13,IF(D212=30,'Виды прицепов'!$M$14,'Виды прицепов'!$M$15))</f>
        <v>3800*1950*900</v>
      </c>
      <c r="Q212" s="186" t="str">
        <f ca="1">IF(D212=0,'Виды прицепов'!$N$13,IF(D212=30,'Виды прицепов'!$N$14,'Виды прицепов'!$N$15))</f>
        <v>3000*1500*300</v>
      </c>
      <c r="R212" s="201"/>
      <c r="S212" s="201"/>
      <c r="T212" s="201"/>
      <c r="U212" s="201"/>
      <c r="V212" s="201"/>
      <c r="W212" s="201"/>
      <c r="X212" s="201"/>
      <c r="Y212" s="201"/>
      <c r="Z212" s="201"/>
    </row>
    <row r="213" spans="1:26" ht="72" outlineLevel="2">
      <c r="A213" s="195" t="s">
        <v>5807</v>
      </c>
      <c r="B213" s="196" t="s">
        <v>5808</v>
      </c>
      <c r="C213" s="197" t="s">
        <v>5794</v>
      </c>
      <c r="D213" s="198">
        <v>50</v>
      </c>
      <c r="E213" s="198">
        <v>0</v>
      </c>
      <c r="F213" s="198">
        <v>0</v>
      </c>
      <c r="G213" s="198">
        <v>120</v>
      </c>
      <c r="H213" s="198">
        <v>13</v>
      </c>
      <c r="I213" s="199">
        <f t="shared" si="51"/>
        <v>410000</v>
      </c>
      <c r="J213" s="199">
        <f t="shared" si="52"/>
        <v>60000</v>
      </c>
      <c r="K213" s="199">
        <f t="shared" si="53"/>
        <v>0</v>
      </c>
      <c r="L213" s="199">
        <f t="shared" si="54"/>
        <v>0</v>
      </c>
      <c r="M213" s="199">
        <f t="shared" si="55"/>
        <v>140000</v>
      </c>
      <c r="N213" s="199">
        <f t="shared" si="56"/>
        <v>0</v>
      </c>
      <c r="O213" s="200">
        <f t="shared" si="57"/>
        <v>610000</v>
      </c>
      <c r="P213" s="186" t="str">
        <f ca="1">IF(D213=0,'Виды прицепов'!$M$13,IF(D213=30,'Виды прицепов'!$M$14,'Виды прицепов'!$M$15))</f>
        <v>3800*1950*1200</v>
      </c>
      <c r="Q213" s="186" t="str">
        <f ca="1">IF(D213=0,'Виды прицепов'!$N$13,IF(D213=30,'Виды прицепов'!$N$14,'Виды прицепов'!$N$15))</f>
        <v>3000*1500*500</v>
      </c>
      <c r="R213" s="201"/>
      <c r="S213" s="201"/>
      <c r="T213" s="201"/>
      <c r="U213" s="201"/>
      <c r="V213" s="201"/>
      <c r="W213" s="201"/>
      <c r="X213" s="201"/>
      <c r="Y213" s="201"/>
      <c r="Z213" s="201"/>
    </row>
    <row r="214" spans="1:26" ht="57.6" outlineLevel="2">
      <c r="A214" s="195" t="s">
        <v>5809</v>
      </c>
      <c r="B214" s="196" t="s">
        <v>5810</v>
      </c>
      <c r="C214" s="197" t="s">
        <v>5794</v>
      </c>
      <c r="D214" s="198">
        <v>0</v>
      </c>
      <c r="E214" s="198">
        <v>13</v>
      </c>
      <c r="F214" s="198">
        <v>0</v>
      </c>
      <c r="G214" s="198">
        <v>0</v>
      </c>
      <c r="H214" s="198">
        <v>13</v>
      </c>
      <c r="I214" s="199">
        <f t="shared" si="51"/>
        <v>410000</v>
      </c>
      <c r="J214" s="199">
        <f t="shared" si="52"/>
        <v>0</v>
      </c>
      <c r="K214" s="199">
        <f t="shared" si="53"/>
        <v>30000</v>
      </c>
      <c r="L214" s="199">
        <f t="shared" si="54"/>
        <v>0</v>
      </c>
      <c r="M214" s="199">
        <f t="shared" si="55"/>
        <v>0</v>
      </c>
      <c r="N214" s="199">
        <f t="shared" si="56"/>
        <v>0</v>
      </c>
      <c r="O214" s="200">
        <f t="shared" si="57"/>
        <v>440000</v>
      </c>
      <c r="P214" s="186" t="str">
        <f ca="1">IF(D214=0,'Виды прицепов'!$M$13,IF(D214=30,'Виды прицепов'!$M$14,'Виды прицепов'!$M$15))</f>
        <v>4150*1950*650</v>
      </c>
      <c r="Q214" s="186" t="str">
        <f ca="1">IF(D214=0,'Виды прицепов'!$N$13,IF(D214=30,'Виды прицепов'!$N$14,'Виды прицепов'!$N$15))</f>
        <v>3000*1500*0</v>
      </c>
      <c r="R214" s="201"/>
      <c r="S214" s="201"/>
      <c r="T214" s="201"/>
      <c r="U214" s="201"/>
      <c r="V214" s="201"/>
      <c r="W214" s="201"/>
      <c r="X214" s="201"/>
      <c r="Y214" s="201"/>
      <c r="Z214" s="201"/>
    </row>
    <row r="215" spans="1:26" ht="57.6" outlineLevel="2">
      <c r="A215" s="195" t="s">
        <v>5811</v>
      </c>
      <c r="B215" s="196" t="s">
        <v>5812</v>
      </c>
      <c r="C215" s="197" t="s">
        <v>5794</v>
      </c>
      <c r="D215" s="198">
        <v>30</v>
      </c>
      <c r="E215" s="198">
        <v>13</v>
      </c>
      <c r="F215" s="198">
        <v>0</v>
      </c>
      <c r="G215" s="198">
        <v>0</v>
      </c>
      <c r="H215" s="198">
        <v>13</v>
      </c>
      <c r="I215" s="199">
        <f t="shared" si="51"/>
        <v>410000</v>
      </c>
      <c r="J215" s="199">
        <f t="shared" si="52"/>
        <v>50000</v>
      </c>
      <c r="K215" s="199">
        <f t="shared" si="53"/>
        <v>30000</v>
      </c>
      <c r="L215" s="199">
        <f t="shared" si="54"/>
        <v>0</v>
      </c>
      <c r="M215" s="199">
        <f t="shared" si="55"/>
        <v>0</v>
      </c>
      <c r="N215" s="199">
        <f t="shared" si="56"/>
        <v>0</v>
      </c>
      <c r="O215" s="200">
        <f t="shared" si="57"/>
        <v>490000</v>
      </c>
      <c r="P215" s="186" t="str">
        <f ca="1">IF(D215=0,'Виды прицепов'!$M$13,IF(D215=30,'Виды прицепов'!$M$14,'Виды прицепов'!$M$15))</f>
        <v>3800*1950*900</v>
      </c>
      <c r="Q215" s="186" t="str">
        <f ca="1">IF(D215=0,'Виды прицепов'!$N$13,IF(D215=30,'Виды прицепов'!$N$14,'Виды прицепов'!$N$15))</f>
        <v>3000*1500*300</v>
      </c>
      <c r="R215" s="201"/>
      <c r="S215" s="201"/>
      <c r="T215" s="201"/>
      <c r="U215" s="201"/>
      <c r="V215" s="201"/>
      <c r="W215" s="201"/>
      <c r="X215" s="201"/>
      <c r="Y215" s="201"/>
      <c r="Z215" s="201"/>
    </row>
    <row r="216" spans="1:26" ht="57.6" outlineLevel="2">
      <c r="A216" s="195" t="s">
        <v>5813</v>
      </c>
      <c r="B216" s="196" t="s">
        <v>5814</v>
      </c>
      <c r="C216" s="197" t="s">
        <v>5794</v>
      </c>
      <c r="D216" s="198">
        <v>50</v>
      </c>
      <c r="E216" s="198">
        <v>13</v>
      </c>
      <c r="F216" s="198">
        <v>0</v>
      </c>
      <c r="G216" s="198">
        <v>0</v>
      </c>
      <c r="H216" s="198">
        <v>13</v>
      </c>
      <c r="I216" s="199">
        <f t="shared" si="51"/>
        <v>410000</v>
      </c>
      <c r="J216" s="199">
        <f t="shared" si="52"/>
        <v>60000</v>
      </c>
      <c r="K216" s="199">
        <f t="shared" si="53"/>
        <v>30000</v>
      </c>
      <c r="L216" s="199">
        <f t="shared" si="54"/>
        <v>0</v>
      </c>
      <c r="M216" s="199">
        <f t="shared" si="55"/>
        <v>0</v>
      </c>
      <c r="N216" s="199">
        <f t="shared" si="56"/>
        <v>0</v>
      </c>
      <c r="O216" s="200">
        <f t="shared" si="57"/>
        <v>500000</v>
      </c>
      <c r="P216" s="186" t="str">
        <f ca="1">IF(D216=0,'Виды прицепов'!$M$13,IF(D216=30,'Виды прицепов'!$M$14,'Виды прицепов'!$M$15))</f>
        <v>3800*1950*1200</v>
      </c>
      <c r="Q216" s="186" t="str">
        <f ca="1">IF(D216=0,'Виды прицепов'!$N$13,IF(D216=30,'Виды прицепов'!$N$14,'Виды прицепов'!$N$15))</f>
        <v>3000*1500*500</v>
      </c>
      <c r="R216" s="201"/>
      <c r="S216" s="201"/>
      <c r="T216" s="201"/>
      <c r="U216" s="201"/>
      <c r="V216" s="201"/>
      <c r="W216" s="201"/>
      <c r="X216" s="201"/>
      <c r="Y216" s="201"/>
      <c r="Z216" s="201"/>
    </row>
    <row r="217" spans="1:26" ht="43.2" outlineLevel="2">
      <c r="A217" s="195" t="s">
        <v>5815</v>
      </c>
      <c r="B217" s="196" t="s">
        <v>5816</v>
      </c>
      <c r="C217" s="197" t="s">
        <v>5794</v>
      </c>
      <c r="D217" s="198">
        <v>0</v>
      </c>
      <c r="E217" s="198">
        <v>0</v>
      </c>
      <c r="F217" s="198">
        <v>0</v>
      </c>
      <c r="G217" s="198">
        <v>0</v>
      </c>
      <c r="H217" s="198">
        <v>15</v>
      </c>
      <c r="I217" s="199">
        <f t="shared" si="51"/>
        <v>410000</v>
      </c>
      <c r="J217" s="199">
        <f t="shared" si="52"/>
        <v>0</v>
      </c>
      <c r="K217" s="199">
        <f t="shared" si="53"/>
        <v>0</v>
      </c>
      <c r="L217" s="199">
        <f t="shared" si="54"/>
        <v>0</v>
      </c>
      <c r="M217" s="199">
        <f t="shared" si="55"/>
        <v>0</v>
      </c>
      <c r="N217" s="199">
        <f t="shared" si="56"/>
        <v>30000</v>
      </c>
      <c r="O217" s="200">
        <f t="shared" si="57"/>
        <v>410000</v>
      </c>
      <c r="P217" s="186" t="str">
        <f ca="1">IF(D217=0,'Виды прицепов'!$M$13,IF(D217=30,'Виды прицепов'!$M$14,'Виды прицепов'!$M$15))</f>
        <v>4150*1950*650</v>
      </c>
      <c r="Q217" s="186" t="str">
        <f ca="1">IF(D217=0,'Виды прицепов'!$N$13,IF(D217=30,'Виды прицепов'!$N$14,'Виды прицепов'!$N$15))</f>
        <v>3000*1500*0</v>
      </c>
      <c r="R217" s="201"/>
      <c r="S217" s="201"/>
      <c r="T217" s="201"/>
      <c r="U217" s="201"/>
      <c r="V217" s="201"/>
      <c r="W217" s="201"/>
      <c r="X217" s="201"/>
      <c r="Y217" s="201"/>
      <c r="Z217" s="201"/>
    </row>
    <row r="218" spans="1:26" ht="57.6" outlineLevel="2">
      <c r="A218" s="195" t="s">
        <v>5817</v>
      </c>
      <c r="B218" s="196" t="s">
        <v>5818</v>
      </c>
      <c r="C218" s="197" t="s">
        <v>5794</v>
      </c>
      <c r="D218" s="198">
        <v>30</v>
      </c>
      <c r="E218" s="198">
        <v>0</v>
      </c>
      <c r="F218" s="198">
        <v>0</v>
      </c>
      <c r="G218" s="198">
        <v>0</v>
      </c>
      <c r="H218" s="198">
        <v>15</v>
      </c>
      <c r="I218" s="199">
        <f t="shared" si="51"/>
        <v>410000</v>
      </c>
      <c r="J218" s="199">
        <f t="shared" si="52"/>
        <v>50000</v>
      </c>
      <c r="K218" s="199">
        <f t="shared" si="53"/>
        <v>0</v>
      </c>
      <c r="L218" s="199">
        <f t="shared" si="54"/>
        <v>0</v>
      </c>
      <c r="M218" s="199">
        <f t="shared" si="55"/>
        <v>0</v>
      </c>
      <c r="N218" s="199">
        <f t="shared" si="56"/>
        <v>30000</v>
      </c>
      <c r="O218" s="200">
        <f t="shared" si="57"/>
        <v>460000</v>
      </c>
      <c r="P218" s="186" t="str">
        <f ca="1">IF(D218=0,'Виды прицепов'!$M$13,IF(D218=30,'Виды прицепов'!$M$14,'Виды прицепов'!$M$15))</f>
        <v>3800*1950*900</v>
      </c>
      <c r="Q218" s="186" t="str">
        <f ca="1">IF(D218=0,'Виды прицепов'!$N$13,IF(D218=30,'Виды прицепов'!$N$14,'Виды прицепов'!$N$15))</f>
        <v>3000*1500*300</v>
      </c>
      <c r="R218" s="201"/>
      <c r="S218" s="201"/>
      <c r="T218" s="201"/>
      <c r="U218" s="201"/>
      <c r="V218" s="201"/>
      <c r="W218" s="201"/>
      <c r="X218" s="201"/>
      <c r="Y218" s="201"/>
      <c r="Z218" s="201"/>
    </row>
    <row r="219" spans="1:26" ht="57.6" outlineLevel="2">
      <c r="A219" s="195" t="s">
        <v>5819</v>
      </c>
      <c r="B219" s="196" t="s">
        <v>5820</v>
      </c>
      <c r="C219" s="197" t="s">
        <v>5794</v>
      </c>
      <c r="D219" s="198">
        <v>50</v>
      </c>
      <c r="E219" s="198">
        <v>0</v>
      </c>
      <c r="F219" s="198">
        <v>0</v>
      </c>
      <c r="G219" s="198">
        <v>0</v>
      </c>
      <c r="H219" s="198">
        <v>15</v>
      </c>
      <c r="I219" s="199">
        <f t="shared" si="51"/>
        <v>410000</v>
      </c>
      <c r="J219" s="199">
        <f t="shared" si="52"/>
        <v>60000</v>
      </c>
      <c r="K219" s="199">
        <f t="shared" si="53"/>
        <v>0</v>
      </c>
      <c r="L219" s="199">
        <f t="shared" si="54"/>
        <v>0</v>
      </c>
      <c r="M219" s="199">
        <f t="shared" si="55"/>
        <v>0</v>
      </c>
      <c r="N219" s="199">
        <f t="shared" si="56"/>
        <v>30000</v>
      </c>
      <c r="O219" s="200">
        <f t="shared" si="57"/>
        <v>470000</v>
      </c>
      <c r="P219" s="186" t="str">
        <f ca="1">IF(D219=0,'Виды прицепов'!$M$13,IF(D219=30,'Виды прицепов'!$M$14,'Виды прицепов'!$M$15))</f>
        <v>3800*1950*1200</v>
      </c>
      <c r="Q219" s="186" t="str">
        <f ca="1">IF(D219=0,'Виды прицепов'!$N$13,IF(D219=30,'Виды прицепов'!$N$14,'Виды прицепов'!$N$15))</f>
        <v>3000*1500*500</v>
      </c>
      <c r="R219" s="201"/>
      <c r="S219" s="201"/>
      <c r="T219" s="201"/>
      <c r="U219" s="201"/>
      <c r="V219" s="201"/>
      <c r="W219" s="201"/>
      <c r="X219" s="201"/>
      <c r="Y219" s="201"/>
      <c r="Z219" s="201"/>
    </row>
    <row r="220" spans="1:26" ht="72" outlineLevel="2">
      <c r="A220" s="195" t="s">
        <v>5821</v>
      </c>
      <c r="B220" s="196" t="s">
        <v>5822</v>
      </c>
      <c r="C220" s="197" t="s">
        <v>5794</v>
      </c>
      <c r="D220" s="198">
        <v>30</v>
      </c>
      <c r="E220" s="198">
        <v>0</v>
      </c>
      <c r="F220" s="198">
        <v>0</v>
      </c>
      <c r="G220" s="202">
        <v>90</v>
      </c>
      <c r="H220" s="198">
        <v>15</v>
      </c>
      <c r="I220" s="199">
        <f t="shared" si="51"/>
        <v>410000</v>
      </c>
      <c r="J220" s="199">
        <f t="shared" si="52"/>
        <v>50000</v>
      </c>
      <c r="K220" s="199">
        <f t="shared" si="53"/>
        <v>0</v>
      </c>
      <c r="L220" s="199">
        <f t="shared" si="54"/>
        <v>0</v>
      </c>
      <c r="M220" s="199">
        <f t="shared" si="55"/>
        <v>110000</v>
      </c>
      <c r="N220" s="199">
        <f t="shared" si="56"/>
        <v>30000</v>
      </c>
      <c r="O220" s="200">
        <f t="shared" si="57"/>
        <v>570000</v>
      </c>
      <c r="P220" s="186" t="str">
        <f ca="1">IF(D220=0,'Виды прицепов'!$M$13,IF(D220=30,'Виды прицепов'!$M$14,'Виды прицепов'!$M$15))</f>
        <v>3800*1950*900</v>
      </c>
      <c r="Q220" s="186" t="str">
        <f ca="1">IF(D220=0,'Виды прицепов'!$N$13,IF(D220=30,'Виды прицепов'!$N$14,'Виды прицепов'!$N$15))</f>
        <v>3000*1500*300</v>
      </c>
      <c r="R220" s="201"/>
      <c r="S220" s="201"/>
      <c r="T220" s="201"/>
      <c r="U220" s="201"/>
      <c r="V220" s="201"/>
      <c r="W220" s="201"/>
      <c r="X220" s="201"/>
      <c r="Y220" s="201"/>
      <c r="Z220" s="201"/>
    </row>
    <row r="221" spans="1:26" ht="72" outlineLevel="2">
      <c r="A221" s="195" t="s">
        <v>5823</v>
      </c>
      <c r="B221" s="196" t="s">
        <v>5824</v>
      </c>
      <c r="C221" s="197" t="s">
        <v>5794</v>
      </c>
      <c r="D221" s="198">
        <v>50</v>
      </c>
      <c r="E221" s="198">
        <v>0</v>
      </c>
      <c r="F221" s="198">
        <v>0</v>
      </c>
      <c r="G221" s="202">
        <v>90</v>
      </c>
      <c r="H221" s="198">
        <v>15</v>
      </c>
      <c r="I221" s="199">
        <f t="shared" si="51"/>
        <v>410000</v>
      </c>
      <c r="J221" s="199">
        <f t="shared" si="52"/>
        <v>60000</v>
      </c>
      <c r="K221" s="199">
        <f t="shared" si="53"/>
        <v>0</v>
      </c>
      <c r="L221" s="199">
        <f t="shared" si="54"/>
        <v>0</v>
      </c>
      <c r="M221" s="199">
        <f t="shared" si="55"/>
        <v>110000</v>
      </c>
      <c r="N221" s="199">
        <f t="shared" si="56"/>
        <v>30000</v>
      </c>
      <c r="O221" s="200">
        <f t="shared" si="57"/>
        <v>580000</v>
      </c>
      <c r="P221" s="186" t="str">
        <f ca="1">IF(D221=0,'Виды прицепов'!$M$13,IF(D221=30,'Виды прицепов'!$M$14,'Виды прицепов'!$M$15))</f>
        <v>3800*1950*1200</v>
      </c>
      <c r="Q221" s="186" t="str">
        <f ca="1">IF(D221=0,'Виды прицепов'!$N$13,IF(D221=30,'Виды прицепов'!$N$14,'Виды прицепов'!$N$15))</f>
        <v>3000*1500*500</v>
      </c>
      <c r="R221" s="201"/>
      <c r="S221" s="201"/>
      <c r="T221" s="201"/>
      <c r="U221" s="201"/>
      <c r="V221" s="201"/>
      <c r="W221" s="201"/>
      <c r="X221" s="201"/>
      <c r="Y221" s="201"/>
      <c r="Z221" s="201"/>
    </row>
    <row r="222" spans="1:26" ht="72" outlineLevel="2">
      <c r="A222" s="195" t="s">
        <v>5825</v>
      </c>
      <c r="B222" s="196" t="s">
        <v>5826</v>
      </c>
      <c r="C222" s="197" t="s">
        <v>5794</v>
      </c>
      <c r="D222" s="198">
        <v>30</v>
      </c>
      <c r="E222" s="198">
        <v>0</v>
      </c>
      <c r="F222" s="198">
        <v>0</v>
      </c>
      <c r="G222" s="198">
        <v>120</v>
      </c>
      <c r="H222" s="198">
        <v>15</v>
      </c>
      <c r="I222" s="199">
        <f t="shared" si="51"/>
        <v>410000</v>
      </c>
      <c r="J222" s="199">
        <f t="shared" si="52"/>
        <v>50000</v>
      </c>
      <c r="K222" s="199">
        <f t="shared" si="53"/>
        <v>0</v>
      </c>
      <c r="L222" s="199">
        <f t="shared" si="54"/>
        <v>0</v>
      </c>
      <c r="M222" s="199">
        <f t="shared" si="55"/>
        <v>140000</v>
      </c>
      <c r="N222" s="199">
        <f t="shared" si="56"/>
        <v>30000</v>
      </c>
      <c r="O222" s="200">
        <f t="shared" si="57"/>
        <v>600000</v>
      </c>
      <c r="P222" s="186" t="str">
        <f ca="1">IF(D222=0,'Виды прицепов'!$M$13,IF(D222=30,'Виды прицепов'!$M$14,'Виды прицепов'!$M$15))</f>
        <v>3800*1950*900</v>
      </c>
      <c r="Q222" s="186" t="str">
        <f ca="1">IF(D222=0,'Виды прицепов'!$N$13,IF(D222=30,'Виды прицепов'!$N$14,'Виды прицепов'!$N$15))</f>
        <v>3000*1500*300</v>
      </c>
      <c r="R222" s="201"/>
      <c r="S222" s="201"/>
      <c r="T222" s="201"/>
      <c r="U222" s="201"/>
      <c r="V222" s="201"/>
      <c r="W222" s="201"/>
      <c r="X222" s="201"/>
      <c r="Y222" s="201"/>
      <c r="Z222" s="201"/>
    </row>
    <row r="223" spans="1:26" ht="72" outlineLevel="2">
      <c r="A223" s="195" t="s">
        <v>5827</v>
      </c>
      <c r="B223" s="196" t="s">
        <v>5828</v>
      </c>
      <c r="C223" s="197" t="s">
        <v>5794</v>
      </c>
      <c r="D223" s="198">
        <v>50</v>
      </c>
      <c r="E223" s="198">
        <v>0</v>
      </c>
      <c r="F223" s="198">
        <v>0</v>
      </c>
      <c r="G223" s="198">
        <v>120</v>
      </c>
      <c r="H223" s="198">
        <v>15</v>
      </c>
      <c r="I223" s="199">
        <f t="shared" si="51"/>
        <v>410000</v>
      </c>
      <c r="J223" s="199">
        <f t="shared" si="52"/>
        <v>60000</v>
      </c>
      <c r="K223" s="199">
        <f t="shared" si="53"/>
        <v>0</v>
      </c>
      <c r="L223" s="199">
        <f t="shared" si="54"/>
        <v>0</v>
      </c>
      <c r="M223" s="199">
        <f t="shared" si="55"/>
        <v>140000</v>
      </c>
      <c r="N223" s="199">
        <f t="shared" si="56"/>
        <v>30000</v>
      </c>
      <c r="O223" s="200">
        <f t="shared" si="57"/>
        <v>610000</v>
      </c>
      <c r="P223" s="186" t="str">
        <f ca="1">IF(D223=0,'Виды прицепов'!$M$13,IF(D223=30,'Виды прицепов'!$M$14,'Виды прицепов'!$M$15))</f>
        <v>3800*1950*1200</v>
      </c>
      <c r="Q223" s="186" t="str">
        <f ca="1">IF(D223=0,'Виды прицепов'!$N$13,IF(D223=30,'Виды прицепов'!$N$14,'Виды прицепов'!$N$15))</f>
        <v>3000*1500*500</v>
      </c>
      <c r="R223" s="201"/>
      <c r="S223" s="201"/>
      <c r="T223" s="201"/>
      <c r="U223" s="201"/>
      <c r="V223" s="201"/>
      <c r="W223" s="201"/>
      <c r="X223" s="201"/>
      <c r="Y223" s="201"/>
      <c r="Z223" s="201"/>
    </row>
    <row r="224" spans="1:26" ht="57.6" outlineLevel="2">
      <c r="A224" s="195" t="s">
        <v>5829</v>
      </c>
      <c r="B224" s="196" t="s">
        <v>5830</v>
      </c>
      <c r="C224" s="197" t="s">
        <v>5794</v>
      </c>
      <c r="D224" s="198">
        <v>0</v>
      </c>
      <c r="E224" s="198">
        <v>15</v>
      </c>
      <c r="F224" s="198">
        <v>0</v>
      </c>
      <c r="G224" s="198">
        <v>0</v>
      </c>
      <c r="H224" s="198">
        <v>15</v>
      </c>
      <c r="I224" s="199">
        <f t="shared" si="51"/>
        <v>410000</v>
      </c>
      <c r="J224" s="199">
        <f t="shared" si="52"/>
        <v>0</v>
      </c>
      <c r="K224" s="199">
        <f t="shared" si="53"/>
        <v>50000</v>
      </c>
      <c r="L224" s="199">
        <f t="shared" si="54"/>
        <v>0</v>
      </c>
      <c r="M224" s="199">
        <f t="shared" si="55"/>
        <v>0</v>
      </c>
      <c r="N224" s="199">
        <f t="shared" si="56"/>
        <v>30000</v>
      </c>
      <c r="O224" s="200">
        <f t="shared" si="57"/>
        <v>460000</v>
      </c>
      <c r="P224" s="186" t="str">
        <f ca="1">IF(D224=0,'Виды прицепов'!$M$13,IF(D224=30,'Виды прицепов'!$M$14,'Виды прицепов'!$M$15))</f>
        <v>4150*1950*650</v>
      </c>
      <c r="Q224" s="186" t="str">
        <f ca="1">IF(D224=0,'Виды прицепов'!$N$13,IF(D224=30,'Виды прицепов'!$N$14,'Виды прицепов'!$N$15))</f>
        <v>3000*1500*0</v>
      </c>
      <c r="R224" s="201"/>
      <c r="S224" s="201"/>
      <c r="T224" s="201"/>
      <c r="U224" s="201"/>
      <c r="V224" s="201"/>
      <c r="W224" s="201"/>
      <c r="X224" s="201"/>
      <c r="Y224" s="201"/>
      <c r="Z224" s="201"/>
    </row>
    <row r="225" spans="1:26" ht="57.6" outlineLevel="2">
      <c r="A225" s="195" t="s">
        <v>5831</v>
      </c>
      <c r="B225" s="196" t="s">
        <v>5832</v>
      </c>
      <c r="C225" s="197" t="s">
        <v>5794</v>
      </c>
      <c r="D225" s="198">
        <v>30</v>
      </c>
      <c r="E225" s="198">
        <v>15</v>
      </c>
      <c r="F225" s="198">
        <v>0</v>
      </c>
      <c r="G225" s="198">
        <v>0</v>
      </c>
      <c r="H225" s="198">
        <v>15</v>
      </c>
      <c r="I225" s="199">
        <f t="shared" si="51"/>
        <v>410000</v>
      </c>
      <c r="J225" s="199">
        <f t="shared" si="52"/>
        <v>50000</v>
      </c>
      <c r="K225" s="199">
        <f t="shared" si="53"/>
        <v>50000</v>
      </c>
      <c r="L225" s="199">
        <f t="shared" si="54"/>
        <v>0</v>
      </c>
      <c r="M225" s="199">
        <f t="shared" si="55"/>
        <v>0</v>
      </c>
      <c r="N225" s="199">
        <f t="shared" si="56"/>
        <v>30000</v>
      </c>
      <c r="O225" s="200">
        <f t="shared" si="57"/>
        <v>510000</v>
      </c>
      <c r="P225" s="186" t="str">
        <f ca="1">IF(D225=0,'Виды прицепов'!$M$13,IF(D225=30,'Виды прицепов'!$M$14,'Виды прицепов'!$M$15))</f>
        <v>3800*1950*900</v>
      </c>
      <c r="Q225" s="186" t="str">
        <f ca="1">IF(D225=0,'Виды прицепов'!$N$13,IF(D225=30,'Виды прицепов'!$N$14,'Виды прицепов'!$N$15))</f>
        <v>3000*1500*300</v>
      </c>
      <c r="R225" s="201"/>
      <c r="S225" s="201"/>
      <c r="T225" s="201"/>
      <c r="U225" s="201"/>
      <c r="V225" s="201"/>
      <c r="W225" s="201"/>
      <c r="X225" s="201"/>
      <c r="Y225" s="201"/>
      <c r="Z225" s="201"/>
    </row>
    <row r="226" spans="1:26" ht="57.6" outlineLevel="2">
      <c r="A226" s="195" t="s">
        <v>5833</v>
      </c>
      <c r="B226" s="196" t="s">
        <v>5834</v>
      </c>
      <c r="C226" s="197" t="s">
        <v>5794</v>
      </c>
      <c r="D226" s="198">
        <v>50</v>
      </c>
      <c r="E226" s="198">
        <v>15</v>
      </c>
      <c r="F226" s="198">
        <v>0</v>
      </c>
      <c r="G226" s="198">
        <v>0</v>
      </c>
      <c r="H226" s="198">
        <v>15</v>
      </c>
      <c r="I226" s="199">
        <f t="shared" si="51"/>
        <v>410000</v>
      </c>
      <c r="J226" s="199">
        <f t="shared" si="52"/>
        <v>60000</v>
      </c>
      <c r="K226" s="199">
        <f t="shared" si="53"/>
        <v>50000</v>
      </c>
      <c r="L226" s="199">
        <f t="shared" si="54"/>
        <v>0</v>
      </c>
      <c r="M226" s="199">
        <f t="shared" si="55"/>
        <v>0</v>
      </c>
      <c r="N226" s="199">
        <f t="shared" si="56"/>
        <v>30000</v>
      </c>
      <c r="O226" s="200">
        <f t="shared" si="57"/>
        <v>520000</v>
      </c>
      <c r="P226" s="186" t="str">
        <f ca="1">IF(D226=0,'Виды прицепов'!$M$13,IF(D226=30,'Виды прицепов'!$M$14,'Виды прицепов'!$M$15))</f>
        <v>3800*1950*1200</v>
      </c>
      <c r="Q226" s="186" t="str">
        <f ca="1">IF(D226=0,'Виды прицепов'!$N$13,IF(D226=30,'Виды прицепов'!$N$14,'Виды прицепов'!$N$15))</f>
        <v>3000*1500*500</v>
      </c>
      <c r="R226" s="201"/>
      <c r="S226" s="201"/>
      <c r="T226" s="201"/>
      <c r="U226" s="201"/>
      <c r="V226" s="201"/>
      <c r="W226" s="201"/>
      <c r="X226" s="201"/>
      <c r="Y226" s="201"/>
      <c r="Z226" s="201"/>
    </row>
    <row r="227" spans="1:26" ht="57.6" outlineLevel="2">
      <c r="A227" s="195" t="s">
        <v>5835</v>
      </c>
      <c r="B227" s="196" t="s">
        <v>5836</v>
      </c>
      <c r="C227" s="197" t="s">
        <v>5794</v>
      </c>
      <c r="D227" s="198">
        <v>0</v>
      </c>
      <c r="E227" s="198">
        <v>0</v>
      </c>
      <c r="F227" s="198" t="s">
        <v>5371</v>
      </c>
      <c r="G227" s="198">
        <v>0</v>
      </c>
      <c r="H227" s="198">
        <v>13</v>
      </c>
      <c r="I227" s="199">
        <f t="shared" si="51"/>
        <v>410000</v>
      </c>
      <c r="J227" s="199">
        <f t="shared" si="52"/>
        <v>0</v>
      </c>
      <c r="K227" s="199">
        <f t="shared" si="53"/>
        <v>0</v>
      </c>
      <c r="L227" s="199">
        <f t="shared" si="54"/>
        <v>10000</v>
      </c>
      <c r="M227" s="199">
        <f t="shared" si="55"/>
        <v>0</v>
      </c>
      <c r="N227" s="199">
        <f t="shared" si="56"/>
        <v>0</v>
      </c>
      <c r="O227" s="200">
        <f t="shared" si="57"/>
        <v>420000</v>
      </c>
      <c r="P227" s="186" t="str">
        <f ca="1">IF(D227=0,'Виды прицепов'!$M$13,IF(D227=30,'Виды прицепов'!$M$14,'Виды прицепов'!$M$15))</f>
        <v>4150*1950*650</v>
      </c>
      <c r="Q227" s="186" t="str">
        <f ca="1">IF(D227=0,'Виды прицепов'!$N$13,IF(D227=30,'Виды прицепов'!$N$14,'Виды прицепов'!$N$15))</f>
        <v>3000*1500*0</v>
      </c>
      <c r="R227" s="201"/>
      <c r="S227" s="201"/>
      <c r="T227" s="201"/>
      <c r="U227" s="201"/>
      <c r="V227" s="201"/>
      <c r="W227" s="201"/>
      <c r="X227" s="201"/>
      <c r="Y227" s="201"/>
      <c r="Z227" s="201"/>
    </row>
    <row r="228" spans="1:26" ht="57.6" outlineLevel="2">
      <c r="A228" s="195" t="s">
        <v>5837</v>
      </c>
      <c r="B228" s="196" t="s">
        <v>5838</v>
      </c>
      <c r="C228" s="197" t="s">
        <v>5794</v>
      </c>
      <c r="D228" s="198">
        <v>30</v>
      </c>
      <c r="E228" s="198">
        <v>0</v>
      </c>
      <c r="F228" s="198" t="s">
        <v>5371</v>
      </c>
      <c r="G228" s="198">
        <v>0</v>
      </c>
      <c r="H228" s="198">
        <v>13</v>
      </c>
      <c r="I228" s="199">
        <f t="shared" si="51"/>
        <v>410000</v>
      </c>
      <c r="J228" s="199">
        <f t="shared" si="52"/>
        <v>50000</v>
      </c>
      <c r="K228" s="199">
        <f t="shared" si="53"/>
        <v>0</v>
      </c>
      <c r="L228" s="199">
        <f t="shared" si="54"/>
        <v>10000</v>
      </c>
      <c r="M228" s="199">
        <f t="shared" si="55"/>
        <v>0</v>
      </c>
      <c r="N228" s="199">
        <f t="shared" si="56"/>
        <v>0</v>
      </c>
      <c r="O228" s="200">
        <f t="shared" si="57"/>
        <v>470000</v>
      </c>
      <c r="P228" s="186" t="str">
        <f ca="1">IF(D228=0,'Виды прицепов'!$M$13,IF(D228=30,'Виды прицепов'!$M$14,'Виды прицепов'!$M$15))</f>
        <v>3800*1950*900</v>
      </c>
      <c r="Q228" s="186" t="str">
        <f ca="1">IF(D228=0,'Виды прицепов'!$N$13,IF(D228=30,'Виды прицепов'!$N$14,'Виды прицепов'!$N$15))</f>
        <v>3000*1500*300</v>
      </c>
      <c r="R228" s="201"/>
      <c r="S228" s="201"/>
      <c r="T228" s="201"/>
      <c r="U228" s="201"/>
      <c r="V228" s="201"/>
      <c r="W228" s="201"/>
      <c r="X228" s="201"/>
      <c r="Y228" s="201"/>
      <c r="Z228" s="201"/>
    </row>
    <row r="229" spans="1:26" ht="57.6" outlineLevel="2">
      <c r="A229" s="195" t="s">
        <v>5839</v>
      </c>
      <c r="B229" s="196" t="s">
        <v>5840</v>
      </c>
      <c r="C229" s="197" t="s">
        <v>5794</v>
      </c>
      <c r="D229" s="198">
        <v>50</v>
      </c>
      <c r="E229" s="198">
        <v>0</v>
      </c>
      <c r="F229" s="198" t="s">
        <v>5371</v>
      </c>
      <c r="G229" s="198">
        <v>0</v>
      </c>
      <c r="H229" s="198">
        <v>13</v>
      </c>
      <c r="I229" s="199">
        <f t="shared" si="51"/>
        <v>410000</v>
      </c>
      <c r="J229" s="199">
        <f t="shared" si="52"/>
        <v>60000</v>
      </c>
      <c r="K229" s="199">
        <f t="shared" si="53"/>
        <v>0</v>
      </c>
      <c r="L229" s="199">
        <f t="shared" si="54"/>
        <v>10000</v>
      </c>
      <c r="M229" s="199">
        <f t="shared" si="55"/>
        <v>0</v>
      </c>
      <c r="N229" s="199">
        <f t="shared" si="56"/>
        <v>0</v>
      </c>
      <c r="O229" s="200">
        <f t="shared" si="57"/>
        <v>480000</v>
      </c>
      <c r="P229" s="186" t="str">
        <f ca="1">IF(D229=0,'Виды прицепов'!$M$13,IF(D229=30,'Виды прицепов'!$M$14,'Виды прицепов'!$M$15))</f>
        <v>3800*1950*1200</v>
      </c>
      <c r="Q229" s="186" t="str">
        <f ca="1">IF(D229=0,'Виды прицепов'!$N$13,IF(D229=30,'Виды прицепов'!$N$14,'Виды прицепов'!$N$15))</f>
        <v>3000*1500*500</v>
      </c>
      <c r="R229" s="201"/>
      <c r="S229" s="201"/>
      <c r="T229" s="201"/>
      <c r="U229" s="201"/>
      <c r="V229" s="201"/>
      <c r="W229" s="201"/>
      <c r="X229" s="201"/>
      <c r="Y229" s="201"/>
      <c r="Z229" s="201"/>
    </row>
    <row r="230" spans="1:26" ht="72" outlineLevel="2">
      <c r="A230" s="195" t="s">
        <v>5841</v>
      </c>
      <c r="B230" s="196" t="s">
        <v>5842</v>
      </c>
      <c r="C230" s="197" t="s">
        <v>5794</v>
      </c>
      <c r="D230" s="198">
        <v>30</v>
      </c>
      <c r="E230" s="198">
        <v>0</v>
      </c>
      <c r="F230" s="198" t="s">
        <v>5371</v>
      </c>
      <c r="G230" s="202">
        <v>90</v>
      </c>
      <c r="H230" s="198">
        <v>13</v>
      </c>
      <c r="I230" s="199">
        <f t="shared" si="51"/>
        <v>410000</v>
      </c>
      <c r="J230" s="199">
        <f t="shared" si="52"/>
        <v>50000</v>
      </c>
      <c r="K230" s="199">
        <f t="shared" si="53"/>
        <v>0</v>
      </c>
      <c r="L230" s="199">
        <f t="shared" si="54"/>
        <v>10000</v>
      </c>
      <c r="M230" s="199">
        <f t="shared" si="55"/>
        <v>110000</v>
      </c>
      <c r="N230" s="199">
        <f t="shared" si="56"/>
        <v>0</v>
      </c>
      <c r="O230" s="200">
        <f t="shared" si="57"/>
        <v>580000</v>
      </c>
      <c r="P230" s="186" t="str">
        <f ca="1">IF(D230=0,'Виды прицепов'!$M$13,IF(D230=30,'Виды прицепов'!$M$14,'Виды прицепов'!$M$15))</f>
        <v>3800*1950*900</v>
      </c>
      <c r="Q230" s="186" t="str">
        <f ca="1">IF(D230=0,'Виды прицепов'!$N$13,IF(D230=30,'Виды прицепов'!$N$14,'Виды прицепов'!$N$15))</f>
        <v>3000*1500*300</v>
      </c>
      <c r="R230" s="201"/>
      <c r="S230" s="201"/>
      <c r="T230" s="201"/>
      <c r="U230" s="201"/>
      <c r="V230" s="201"/>
      <c r="W230" s="201"/>
      <c r="X230" s="201"/>
      <c r="Y230" s="201"/>
      <c r="Z230" s="201"/>
    </row>
    <row r="231" spans="1:26" ht="72" outlineLevel="2">
      <c r="A231" s="195" t="s">
        <v>5843</v>
      </c>
      <c r="B231" s="196" t="s">
        <v>5844</v>
      </c>
      <c r="C231" s="197" t="s">
        <v>5794</v>
      </c>
      <c r="D231" s="198">
        <v>50</v>
      </c>
      <c r="E231" s="198">
        <v>0</v>
      </c>
      <c r="F231" s="198" t="s">
        <v>5371</v>
      </c>
      <c r="G231" s="202">
        <v>90</v>
      </c>
      <c r="H231" s="198">
        <v>13</v>
      </c>
      <c r="I231" s="199">
        <f t="shared" si="51"/>
        <v>410000</v>
      </c>
      <c r="J231" s="199">
        <f t="shared" si="52"/>
        <v>60000</v>
      </c>
      <c r="K231" s="199">
        <f t="shared" si="53"/>
        <v>0</v>
      </c>
      <c r="L231" s="199">
        <f t="shared" si="54"/>
        <v>10000</v>
      </c>
      <c r="M231" s="199">
        <f t="shared" si="55"/>
        <v>110000</v>
      </c>
      <c r="N231" s="199">
        <f t="shared" si="56"/>
        <v>0</v>
      </c>
      <c r="O231" s="200">
        <f t="shared" si="57"/>
        <v>590000</v>
      </c>
      <c r="P231" s="186" t="str">
        <f ca="1">IF(D231=0,'Виды прицепов'!$M$13,IF(D231=30,'Виды прицепов'!$M$14,'Виды прицепов'!$M$15))</f>
        <v>3800*1950*1200</v>
      </c>
      <c r="Q231" s="186" t="str">
        <f ca="1">IF(D231=0,'Виды прицепов'!$N$13,IF(D231=30,'Виды прицепов'!$N$14,'Виды прицепов'!$N$15))</f>
        <v>3000*1500*500</v>
      </c>
      <c r="R231" s="201"/>
      <c r="S231" s="201"/>
      <c r="T231" s="201"/>
      <c r="U231" s="201"/>
      <c r="V231" s="201"/>
      <c r="W231" s="201"/>
      <c r="X231" s="201"/>
      <c r="Y231" s="201"/>
      <c r="Z231" s="201"/>
    </row>
    <row r="232" spans="1:26" ht="72" outlineLevel="2">
      <c r="A232" s="195" t="s">
        <v>5845</v>
      </c>
      <c r="B232" s="196" t="s">
        <v>5846</v>
      </c>
      <c r="C232" s="197" t="s">
        <v>5794</v>
      </c>
      <c r="D232" s="198">
        <v>30</v>
      </c>
      <c r="E232" s="198">
        <v>0</v>
      </c>
      <c r="F232" s="198" t="s">
        <v>5371</v>
      </c>
      <c r="G232" s="198">
        <v>120</v>
      </c>
      <c r="H232" s="198">
        <v>13</v>
      </c>
      <c r="I232" s="199">
        <f t="shared" si="51"/>
        <v>410000</v>
      </c>
      <c r="J232" s="199">
        <f t="shared" si="52"/>
        <v>50000</v>
      </c>
      <c r="K232" s="199">
        <f t="shared" si="53"/>
        <v>0</v>
      </c>
      <c r="L232" s="199">
        <f t="shared" si="54"/>
        <v>10000</v>
      </c>
      <c r="M232" s="199">
        <f t="shared" si="55"/>
        <v>140000</v>
      </c>
      <c r="N232" s="199">
        <f t="shared" si="56"/>
        <v>0</v>
      </c>
      <c r="O232" s="200">
        <f t="shared" si="57"/>
        <v>610000</v>
      </c>
      <c r="P232" s="186" t="str">
        <f ca="1">IF(D232=0,'Виды прицепов'!$M$13,IF(D232=30,'Виды прицепов'!$M$14,'Виды прицепов'!$M$15))</f>
        <v>3800*1950*900</v>
      </c>
      <c r="Q232" s="186" t="str">
        <f ca="1">IF(D232=0,'Виды прицепов'!$N$13,IF(D232=30,'Виды прицепов'!$N$14,'Виды прицепов'!$N$15))</f>
        <v>3000*1500*300</v>
      </c>
      <c r="R232" s="201"/>
      <c r="S232" s="201"/>
      <c r="T232" s="201"/>
      <c r="U232" s="201"/>
      <c r="V232" s="201"/>
      <c r="W232" s="201"/>
      <c r="X232" s="201"/>
      <c r="Y232" s="201"/>
      <c r="Z232" s="201"/>
    </row>
    <row r="233" spans="1:26" ht="72" outlineLevel="2">
      <c r="A233" s="195" t="s">
        <v>5847</v>
      </c>
      <c r="B233" s="196" t="s">
        <v>5848</v>
      </c>
      <c r="C233" s="197" t="s">
        <v>5794</v>
      </c>
      <c r="D233" s="198">
        <v>50</v>
      </c>
      <c r="E233" s="198">
        <v>0</v>
      </c>
      <c r="F233" s="198" t="s">
        <v>5371</v>
      </c>
      <c r="G233" s="198">
        <v>120</v>
      </c>
      <c r="H233" s="198">
        <v>13</v>
      </c>
      <c r="I233" s="199">
        <f t="shared" si="51"/>
        <v>410000</v>
      </c>
      <c r="J233" s="199">
        <f t="shared" si="52"/>
        <v>60000</v>
      </c>
      <c r="K233" s="199">
        <f t="shared" si="53"/>
        <v>0</v>
      </c>
      <c r="L233" s="199">
        <f t="shared" si="54"/>
        <v>10000</v>
      </c>
      <c r="M233" s="199">
        <f t="shared" si="55"/>
        <v>140000</v>
      </c>
      <c r="N233" s="199">
        <f t="shared" si="56"/>
        <v>0</v>
      </c>
      <c r="O233" s="200">
        <f t="shared" si="57"/>
        <v>620000</v>
      </c>
      <c r="P233" s="186" t="str">
        <f ca="1">IF(D233=0,'Виды прицепов'!$M$13,IF(D233=30,'Виды прицепов'!$M$14,'Виды прицепов'!$M$15))</f>
        <v>3800*1950*1200</v>
      </c>
      <c r="Q233" s="186" t="str">
        <f ca="1">IF(D233=0,'Виды прицепов'!$N$13,IF(D233=30,'Виды прицепов'!$N$14,'Виды прицепов'!$N$15))</f>
        <v>3000*1500*500</v>
      </c>
      <c r="R233" s="201"/>
      <c r="S233" s="201"/>
      <c r="T233" s="201"/>
      <c r="U233" s="201"/>
      <c r="V233" s="201"/>
      <c r="W233" s="201"/>
      <c r="X233" s="201"/>
      <c r="Y233" s="201"/>
      <c r="Z233" s="201"/>
    </row>
    <row r="234" spans="1:26" ht="57.6" outlineLevel="2">
      <c r="A234" s="195" t="s">
        <v>5849</v>
      </c>
      <c r="B234" s="196" t="s">
        <v>5850</v>
      </c>
      <c r="C234" s="197" t="s">
        <v>5794</v>
      </c>
      <c r="D234" s="198">
        <v>0</v>
      </c>
      <c r="E234" s="198">
        <v>13</v>
      </c>
      <c r="F234" s="198" t="s">
        <v>5371</v>
      </c>
      <c r="G234" s="198">
        <v>0</v>
      </c>
      <c r="H234" s="198">
        <v>13</v>
      </c>
      <c r="I234" s="199">
        <f t="shared" si="51"/>
        <v>410000</v>
      </c>
      <c r="J234" s="199">
        <f t="shared" si="52"/>
        <v>0</v>
      </c>
      <c r="K234" s="199">
        <f t="shared" si="53"/>
        <v>30000</v>
      </c>
      <c r="L234" s="199">
        <f t="shared" si="54"/>
        <v>10000</v>
      </c>
      <c r="M234" s="199">
        <f t="shared" si="55"/>
        <v>0</v>
      </c>
      <c r="N234" s="199">
        <f t="shared" si="56"/>
        <v>0</v>
      </c>
      <c r="O234" s="200">
        <f t="shared" si="57"/>
        <v>450000</v>
      </c>
      <c r="P234" s="186" t="str">
        <f ca="1">IF(D234=0,'Виды прицепов'!$M$13,IF(D234=30,'Виды прицепов'!$M$14,'Виды прицепов'!$M$15))</f>
        <v>4150*1950*650</v>
      </c>
      <c r="Q234" s="186" t="str">
        <f ca="1">IF(D234=0,'Виды прицепов'!$N$13,IF(D234=30,'Виды прицепов'!$N$14,'Виды прицепов'!$N$15))</f>
        <v>3000*1500*0</v>
      </c>
      <c r="R234" s="201"/>
      <c r="S234" s="201"/>
      <c r="T234" s="201"/>
      <c r="U234" s="201"/>
      <c r="V234" s="201"/>
      <c r="W234" s="201"/>
      <c r="X234" s="201"/>
      <c r="Y234" s="201"/>
      <c r="Z234" s="201"/>
    </row>
    <row r="235" spans="1:26" ht="57.6" outlineLevel="2">
      <c r="A235" s="195" t="s">
        <v>5387</v>
      </c>
      <c r="B235" s="196" t="s">
        <v>5851</v>
      </c>
      <c r="C235" s="197" t="s">
        <v>5794</v>
      </c>
      <c r="D235" s="198">
        <v>30</v>
      </c>
      <c r="E235" s="198">
        <v>13</v>
      </c>
      <c r="F235" s="198" t="s">
        <v>5371</v>
      </c>
      <c r="G235" s="198">
        <v>0</v>
      </c>
      <c r="H235" s="198">
        <v>13</v>
      </c>
      <c r="I235" s="199">
        <f t="shared" si="51"/>
        <v>410000</v>
      </c>
      <c r="J235" s="199">
        <f t="shared" si="52"/>
        <v>50000</v>
      </c>
      <c r="K235" s="199">
        <f t="shared" si="53"/>
        <v>30000</v>
      </c>
      <c r="L235" s="199">
        <f t="shared" si="54"/>
        <v>10000</v>
      </c>
      <c r="M235" s="199">
        <f t="shared" si="55"/>
        <v>0</v>
      </c>
      <c r="N235" s="199">
        <f t="shared" si="56"/>
        <v>0</v>
      </c>
      <c r="O235" s="200">
        <f t="shared" si="57"/>
        <v>500000</v>
      </c>
      <c r="P235" s="186" t="str">
        <f ca="1">IF(D235=0,'Виды прицепов'!$M$13,IF(D235=30,'Виды прицепов'!$M$14,'Виды прицепов'!$M$15))</f>
        <v>3800*1950*900</v>
      </c>
      <c r="Q235" s="186" t="str">
        <f ca="1">IF(D235=0,'Виды прицепов'!$N$13,IF(D235=30,'Виды прицепов'!$N$14,'Виды прицепов'!$N$15))</f>
        <v>3000*1500*300</v>
      </c>
      <c r="R235" s="201"/>
      <c r="S235" s="201"/>
      <c r="T235" s="201"/>
      <c r="U235" s="201"/>
      <c r="V235" s="201"/>
      <c r="W235" s="201"/>
      <c r="X235" s="201"/>
      <c r="Y235" s="201"/>
      <c r="Z235" s="201"/>
    </row>
    <row r="236" spans="1:26" ht="57.6" outlineLevel="2">
      <c r="A236" s="195" t="s">
        <v>5852</v>
      </c>
      <c r="B236" s="196" t="s">
        <v>5853</v>
      </c>
      <c r="C236" s="197" t="s">
        <v>5794</v>
      </c>
      <c r="D236" s="198">
        <v>50</v>
      </c>
      <c r="E236" s="198">
        <v>13</v>
      </c>
      <c r="F236" s="198" t="s">
        <v>5371</v>
      </c>
      <c r="G236" s="198">
        <v>0</v>
      </c>
      <c r="H236" s="198">
        <v>13</v>
      </c>
      <c r="I236" s="199">
        <f t="shared" si="51"/>
        <v>410000</v>
      </c>
      <c r="J236" s="199">
        <f t="shared" si="52"/>
        <v>60000</v>
      </c>
      <c r="K236" s="199">
        <f t="shared" si="53"/>
        <v>30000</v>
      </c>
      <c r="L236" s="199">
        <f t="shared" si="54"/>
        <v>10000</v>
      </c>
      <c r="M236" s="199">
        <f t="shared" si="55"/>
        <v>0</v>
      </c>
      <c r="N236" s="199">
        <f t="shared" si="56"/>
        <v>0</v>
      </c>
      <c r="O236" s="200">
        <f t="shared" si="57"/>
        <v>510000</v>
      </c>
      <c r="P236" s="186" t="str">
        <f ca="1">IF(D236=0,'Виды прицепов'!$M$13,IF(D236=30,'Виды прицепов'!$M$14,'Виды прицепов'!$M$15))</f>
        <v>3800*1950*1200</v>
      </c>
      <c r="Q236" s="186" t="str">
        <f ca="1">IF(D236=0,'Виды прицепов'!$N$13,IF(D236=30,'Виды прицепов'!$N$14,'Виды прицепов'!$N$15))</f>
        <v>3000*1500*500</v>
      </c>
      <c r="R236" s="201"/>
      <c r="S236" s="201"/>
      <c r="T236" s="201"/>
      <c r="U236" s="201"/>
      <c r="V236" s="201"/>
      <c r="W236" s="201"/>
      <c r="X236" s="201"/>
      <c r="Y236" s="201"/>
      <c r="Z236" s="201"/>
    </row>
    <row r="237" spans="1:26" ht="57.6" outlineLevel="2">
      <c r="A237" s="195" t="s">
        <v>5854</v>
      </c>
      <c r="B237" s="196" t="s">
        <v>5855</v>
      </c>
      <c r="C237" s="197" t="s">
        <v>5794</v>
      </c>
      <c r="D237" s="198">
        <v>0</v>
      </c>
      <c r="E237" s="198">
        <v>0</v>
      </c>
      <c r="F237" s="198" t="s">
        <v>5371</v>
      </c>
      <c r="G237" s="198">
        <v>0</v>
      </c>
      <c r="H237" s="198">
        <v>15</v>
      </c>
      <c r="I237" s="199">
        <f t="shared" si="51"/>
        <v>410000</v>
      </c>
      <c r="J237" s="199">
        <f t="shared" si="52"/>
        <v>0</v>
      </c>
      <c r="K237" s="199">
        <f t="shared" si="53"/>
        <v>0</v>
      </c>
      <c r="L237" s="199">
        <f t="shared" si="54"/>
        <v>10000</v>
      </c>
      <c r="M237" s="199">
        <f t="shared" si="55"/>
        <v>0</v>
      </c>
      <c r="N237" s="199">
        <f t="shared" si="56"/>
        <v>30000</v>
      </c>
      <c r="O237" s="200">
        <f t="shared" si="57"/>
        <v>420000</v>
      </c>
      <c r="P237" s="186" t="str">
        <f ca="1">IF(D237=0,'Виды прицепов'!$M$13,IF(D237=30,'Виды прицепов'!$M$14,'Виды прицепов'!$M$15))</f>
        <v>4150*1950*650</v>
      </c>
      <c r="Q237" s="186" t="str">
        <f ca="1">IF(D237=0,'Виды прицепов'!$N$13,IF(D237=30,'Виды прицепов'!$N$14,'Виды прицепов'!$N$15))</f>
        <v>3000*1500*0</v>
      </c>
      <c r="R237" s="201"/>
      <c r="S237" s="201"/>
      <c r="T237" s="201"/>
      <c r="U237" s="201"/>
      <c r="V237" s="201"/>
      <c r="W237" s="201"/>
      <c r="X237" s="201"/>
      <c r="Y237" s="201"/>
      <c r="Z237" s="201"/>
    </row>
    <row r="238" spans="1:26" ht="57.6" outlineLevel="2">
      <c r="A238" s="195" t="s">
        <v>5856</v>
      </c>
      <c r="B238" s="196" t="s">
        <v>5857</v>
      </c>
      <c r="C238" s="197" t="s">
        <v>5794</v>
      </c>
      <c r="D238" s="198">
        <v>30</v>
      </c>
      <c r="E238" s="198">
        <v>0</v>
      </c>
      <c r="F238" s="198" t="s">
        <v>5371</v>
      </c>
      <c r="G238" s="198">
        <v>0</v>
      </c>
      <c r="H238" s="198">
        <v>15</v>
      </c>
      <c r="I238" s="199">
        <f t="shared" si="51"/>
        <v>410000</v>
      </c>
      <c r="J238" s="199">
        <f t="shared" si="52"/>
        <v>50000</v>
      </c>
      <c r="K238" s="199">
        <f t="shared" si="53"/>
        <v>0</v>
      </c>
      <c r="L238" s="199">
        <f t="shared" si="54"/>
        <v>10000</v>
      </c>
      <c r="M238" s="199">
        <f t="shared" si="55"/>
        <v>0</v>
      </c>
      <c r="N238" s="199">
        <f t="shared" si="56"/>
        <v>30000</v>
      </c>
      <c r="O238" s="200">
        <f t="shared" si="57"/>
        <v>470000</v>
      </c>
      <c r="P238" s="186" t="str">
        <f ca="1">IF(D238=0,'Виды прицепов'!$M$13,IF(D238=30,'Виды прицепов'!$M$14,'Виды прицепов'!$M$15))</f>
        <v>3800*1950*900</v>
      </c>
      <c r="Q238" s="186" t="str">
        <f ca="1">IF(D238=0,'Виды прицепов'!$N$13,IF(D238=30,'Виды прицепов'!$N$14,'Виды прицепов'!$N$15))</f>
        <v>3000*1500*300</v>
      </c>
      <c r="R238" s="201"/>
      <c r="S238" s="201"/>
      <c r="T238" s="201"/>
      <c r="U238" s="201"/>
      <c r="V238" s="201"/>
      <c r="W238" s="201"/>
      <c r="X238" s="201"/>
      <c r="Y238" s="201"/>
      <c r="Z238" s="201"/>
    </row>
    <row r="239" spans="1:26" ht="57.6" outlineLevel="2">
      <c r="A239" s="195" t="s">
        <v>5858</v>
      </c>
      <c r="B239" s="196" t="s">
        <v>5859</v>
      </c>
      <c r="C239" s="197" t="s">
        <v>5794</v>
      </c>
      <c r="D239" s="198">
        <v>50</v>
      </c>
      <c r="E239" s="198">
        <v>0</v>
      </c>
      <c r="F239" s="198" t="s">
        <v>5371</v>
      </c>
      <c r="G239" s="198">
        <v>0</v>
      </c>
      <c r="H239" s="198">
        <v>15</v>
      </c>
      <c r="I239" s="199">
        <f t="shared" ref="I239:I262" si="58">VLOOKUP(C239,Платформа,2,0)</f>
        <v>410000</v>
      </c>
      <c r="J239" s="199">
        <f t="shared" ref="J239:J262" si="59">VLOOKUP(D239,борт_3015,2)</f>
        <v>60000</v>
      </c>
      <c r="K239" s="199">
        <f t="shared" ref="K239:K262" si="60">VLOOKUP(E239,колесо,2,0)</f>
        <v>0</v>
      </c>
      <c r="L239" s="199">
        <f t="shared" ref="L239:L262" si="61">VLOOKUP(F239,опорное_колесо,2,0)</f>
        <v>10000</v>
      </c>
      <c r="M239" s="199">
        <f t="shared" ref="M239:M262" si="62">VLOOKUP(G239,тент_3015,2,0)</f>
        <v>0</v>
      </c>
      <c r="N239" s="199">
        <f t="shared" ref="N239:N262" si="63">VLOOKUP(H239,ступица,2,0)</f>
        <v>30000</v>
      </c>
      <c r="O239" s="200">
        <f t="shared" si="57"/>
        <v>480000</v>
      </c>
      <c r="P239" s="186" t="str">
        <f ca="1">IF(D239=0,'Виды прицепов'!$M$13,IF(D239=30,'Виды прицепов'!$M$14,'Виды прицепов'!$M$15))</f>
        <v>3800*1950*1200</v>
      </c>
      <c r="Q239" s="186" t="str">
        <f ca="1">IF(D239=0,'Виды прицепов'!$N$13,IF(D239=30,'Виды прицепов'!$N$14,'Виды прицепов'!$N$15))</f>
        <v>3000*1500*500</v>
      </c>
      <c r="R239" s="201"/>
      <c r="S239" s="201"/>
      <c r="T239" s="201"/>
      <c r="U239" s="201"/>
      <c r="V239" s="201"/>
      <c r="W239" s="201"/>
      <c r="X239" s="201"/>
      <c r="Y239" s="201"/>
      <c r="Z239" s="201"/>
    </row>
    <row r="240" spans="1:26" ht="72" outlineLevel="2">
      <c r="A240" s="195" t="s">
        <v>5860</v>
      </c>
      <c r="B240" s="196" t="s">
        <v>5861</v>
      </c>
      <c r="C240" s="197" t="s">
        <v>5794</v>
      </c>
      <c r="D240" s="198">
        <v>30</v>
      </c>
      <c r="E240" s="198">
        <v>0</v>
      </c>
      <c r="F240" s="198" t="s">
        <v>5371</v>
      </c>
      <c r="G240" s="202">
        <v>90</v>
      </c>
      <c r="H240" s="198">
        <v>15</v>
      </c>
      <c r="I240" s="199">
        <f t="shared" si="58"/>
        <v>410000</v>
      </c>
      <c r="J240" s="199">
        <f t="shared" si="59"/>
        <v>50000</v>
      </c>
      <c r="K240" s="199">
        <f t="shared" si="60"/>
        <v>0</v>
      </c>
      <c r="L240" s="199">
        <f t="shared" si="61"/>
        <v>10000</v>
      </c>
      <c r="M240" s="199">
        <f t="shared" si="62"/>
        <v>110000</v>
      </c>
      <c r="N240" s="199">
        <f t="shared" si="63"/>
        <v>30000</v>
      </c>
      <c r="O240" s="200">
        <f t="shared" si="57"/>
        <v>580000</v>
      </c>
      <c r="P240" s="186" t="str">
        <f ca="1">IF(D240=0,'Виды прицепов'!$M$13,IF(D240=30,'Виды прицепов'!$M$14,'Виды прицепов'!$M$15))</f>
        <v>3800*1950*900</v>
      </c>
      <c r="Q240" s="186" t="str">
        <f ca="1">IF(D240=0,'Виды прицепов'!$N$13,IF(D240=30,'Виды прицепов'!$N$14,'Виды прицепов'!$N$15))</f>
        <v>3000*1500*300</v>
      </c>
      <c r="R240" s="201"/>
      <c r="S240" s="201"/>
      <c r="T240" s="201"/>
      <c r="U240" s="201"/>
      <c r="V240" s="201"/>
      <c r="W240" s="201"/>
      <c r="X240" s="201"/>
      <c r="Y240" s="201"/>
      <c r="Z240" s="201"/>
    </row>
    <row r="241" spans="1:26" ht="72" outlineLevel="2">
      <c r="A241" s="195" t="s">
        <v>5862</v>
      </c>
      <c r="B241" s="196" t="s">
        <v>5863</v>
      </c>
      <c r="C241" s="197" t="s">
        <v>5794</v>
      </c>
      <c r="D241" s="198">
        <v>50</v>
      </c>
      <c r="E241" s="198">
        <v>0</v>
      </c>
      <c r="F241" s="198" t="s">
        <v>5371</v>
      </c>
      <c r="G241" s="202">
        <v>90</v>
      </c>
      <c r="H241" s="198">
        <v>15</v>
      </c>
      <c r="I241" s="199">
        <f t="shared" si="58"/>
        <v>410000</v>
      </c>
      <c r="J241" s="199">
        <f t="shared" si="59"/>
        <v>60000</v>
      </c>
      <c r="K241" s="199">
        <f t="shared" si="60"/>
        <v>0</v>
      </c>
      <c r="L241" s="199">
        <f t="shared" si="61"/>
        <v>10000</v>
      </c>
      <c r="M241" s="199">
        <f t="shared" si="62"/>
        <v>110000</v>
      </c>
      <c r="N241" s="199">
        <f t="shared" si="63"/>
        <v>30000</v>
      </c>
      <c r="O241" s="200">
        <f t="shared" si="57"/>
        <v>590000</v>
      </c>
      <c r="P241" s="186" t="str">
        <f ca="1">IF(D241=0,'Виды прицепов'!$M$13,IF(D241=30,'Виды прицепов'!$M$14,'Виды прицепов'!$M$15))</f>
        <v>3800*1950*1200</v>
      </c>
      <c r="Q241" s="186" t="str">
        <f ca="1">IF(D241=0,'Виды прицепов'!$N$13,IF(D241=30,'Виды прицепов'!$N$14,'Виды прицепов'!$N$15))</f>
        <v>3000*1500*500</v>
      </c>
      <c r="R241" s="201"/>
      <c r="S241" s="201"/>
      <c r="T241" s="201"/>
      <c r="U241" s="201"/>
      <c r="V241" s="201"/>
      <c r="W241" s="201"/>
      <c r="X241" s="201"/>
      <c r="Y241" s="201"/>
      <c r="Z241" s="201"/>
    </row>
    <row r="242" spans="1:26" ht="72" outlineLevel="2">
      <c r="A242" s="195" t="s">
        <v>5864</v>
      </c>
      <c r="B242" s="196" t="s">
        <v>5865</v>
      </c>
      <c r="C242" s="197" t="s">
        <v>5794</v>
      </c>
      <c r="D242" s="198">
        <v>30</v>
      </c>
      <c r="E242" s="198">
        <v>0</v>
      </c>
      <c r="F242" s="198" t="s">
        <v>5371</v>
      </c>
      <c r="G242" s="198">
        <v>120</v>
      </c>
      <c r="H242" s="198">
        <v>15</v>
      </c>
      <c r="I242" s="199">
        <f t="shared" si="58"/>
        <v>410000</v>
      </c>
      <c r="J242" s="199">
        <f t="shared" si="59"/>
        <v>50000</v>
      </c>
      <c r="K242" s="199">
        <f t="shared" si="60"/>
        <v>0</v>
      </c>
      <c r="L242" s="199">
        <f t="shared" si="61"/>
        <v>10000</v>
      </c>
      <c r="M242" s="199">
        <f t="shared" si="62"/>
        <v>140000</v>
      </c>
      <c r="N242" s="199">
        <f t="shared" si="63"/>
        <v>30000</v>
      </c>
      <c r="O242" s="200">
        <f t="shared" si="57"/>
        <v>610000</v>
      </c>
      <c r="P242" s="186" t="str">
        <f ca="1">IF(D242=0,'Виды прицепов'!$M$13,IF(D242=30,'Виды прицепов'!$M$14,'Виды прицепов'!$M$15))</f>
        <v>3800*1950*900</v>
      </c>
      <c r="Q242" s="186" t="str">
        <f ca="1">IF(D242=0,'Виды прицепов'!$N$13,IF(D242=30,'Виды прицепов'!$N$14,'Виды прицепов'!$N$15))</f>
        <v>3000*1500*300</v>
      </c>
      <c r="R242" s="201"/>
      <c r="S242" s="201"/>
      <c r="T242" s="201"/>
      <c r="U242" s="201"/>
      <c r="V242" s="201"/>
      <c r="W242" s="201"/>
      <c r="X242" s="201"/>
      <c r="Y242" s="201"/>
      <c r="Z242" s="201"/>
    </row>
    <row r="243" spans="1:26" ht="72" outlineLevel="2">
      <c r="A243" s="195" t="s">
        <v>5866</v>
      </c>
      <c r="B243" s="196" t="s">
        <v>5867</v>
      </c>
      <c r="C243" s="197" t="s">
        <v>5794</v>
      </c>
      <c r="D243" s="198">
        <v>50</v>
      </c>
      <c r="E243" s="198">
        <v>0</v>
      </c>
      <c r="F243" s="198" t="s">
        <v>5371</v>
      </c>
      <c r="G243" s="198">
        <v>120</v>
      </c>
      <c r="H243" s="198">
        <v>15</v>
      </c>
      <c r="I243" s="199">
        <f t="shared" si="58"/>
        <v>410000</v>
      </c>
      <c r="J243" s="199">
        <f t="shared" si="59"/>
        <v>60000</v>
      </c>
      <c r="K243" s="199">
        <f t="shared" si="60"/>
        <v>0</v>
      </c>
      <c r="L243" s="199">
        <f t="shared" si="61"/>
        <v>10000</v>
      </c>
      <c r="M243" s="199">
        <f t="shared" si="62"/>
        <v>140000</v>
      </c>
      <c r="N243" s="199">
        <f t="shared" si="63"/>
        <v>30000</v>
      </c>
      <c r="O243" s="200">
        <f t="shared" si="57"/>
        <v>620000</v>
      </c>
      <c r="P243" s="186" t="str">
        <f ca="1">IF(D243=0,'Виды прицепов'!$M$13,IF(D243=30,'Виды прицепов'!$M$14,'Виды прицепов'!$M$15))</f>
        <v>3800*1950*1200</v>
      </c>
      <c r="Q243" s="186" t="str">
        <f ca="1">IF(D243=0,'Виды прицепов'!$N$13,IF(D243=30,'Виды прицепов'!$N$14,'Виды прицепов'!$N$15))</f>
        <v>3000*1500*500</v>
      </c>
      <c r="R243" s="201"/>
      <c r="S243" s="201"/>
      <c r="T243" s="201"/>
      <c r="U243" s="201"/>
      <c r="V243" s="201"/>
      <c r="W243" s="201"/>
      <c r="X243" s="201"/>
      <c r="Y243" s="201"/>
      <c r="Z243" s="201"/>
    </row>
    <row r="244" spans="1:26" ht="57.6" outlineLevel="2">
      <c r="A244" s="195" t="s">
        <v>5868</v>
      </c>
      <c r="B244" s="196" t="s">
        <v>5869</v>
      </c>
      <c r="C244" s="197" t="s">
        <v>5794</v>
      </c>
      <c r="D244" s="198">
        <v>0</v>
      </c>
      <c r="E244" s="198">
        <v>15</v>
      </c>
      <c r="F244" s="198" t="s">
        <v>5371</v>
      </c>
      <c r="G244" s="198">
        <v>0</v>
      </c>
      <c r="H244" s="198">
        <v>15</v>
      </c>
      <c r="I244" s="199">
        <f t="shared" si="58"/>
        <v>410000</v>
      </c>
      <c r="J244" s="199">
        <f t="shared" si="59"/>
        <v>0</v>
      </c>
      <c r="K244" s="199">
        <f t="shared" si="60"/>
        <v>50000</v>
      </c>
      <c r="L244" s="199">
        <f t="shared" si="61"/>
        <v>10000</v>
      </c>
      <c r="M244" s="199">
        <f t="shared" si="62"/>
        <v>0</v>
      </c>
      <c r="N244" s="199">
        <f t="shared" si="63"/>
        <v>30000</v>
      </c>
      <c r="O244" s="200">
        <f t="shared" si="57"/>
        <v>470000</v>
      </c>
      <c r="P244" s="186" t="str">
        <f ca="1">IF(D244=0,'Виды прицепов'!$M$13,IF(D244=30,'Виды прицепов'!$M$14,'Виды прицепов'!$M$15))</f>
        <v>4150*1950*650</v>
      </c>
      <c r="Q244" s="186" t="str">
        <f ca="1">IF(D244=0,'Виды прицепов'!$N$13,IF(D244=30,'Виды прицепов'!$N$14,'Виды прицепов'!$N$15))</f>
        <v>3000*1500*0</v>
      </c>
      <c r="R244" s="201"/>
      <c r="S244" s="201"/>
      <c r="T244" s="201"/>
      <c r="U244" s="201"/>
      <c r="V244" s="201"/>
      <c r="W244" s="201"/>
      <c r="X244" s="201"/>
      <c r="Y244" s="201"/>
      <c r="Z244" s="201"/>
    </row>
    <row r="245" spans="1:26" ht="57.6" outlineLevel="2">
      <c r="A245" s="195" t="s">
        <v>5870</v>
      </c>
      <c r="B245" s="196" t="s">
        <v>5871</v>
      </c>
      <c r="C245" s="197" t="s">
        <v>5794</v>
      </c>
      <c r="D245" s="198">
        <v>30</v>
      </c>
      <c r="E245" s="198">
        <v>15</v>
      </c>
      <c r="F245" s="198" t="s">
        <v>5371</v>
      </c>
      <c r="G245" s="198">
        <v>0</v>
      </c>
      <c r="H245" s="198">
        <v>15</v>
      </c>
      <c r="I245" s="199">
        <f t="shared" si="58"/>
        <v>410000</v>
      </c>
      <c r="J245" s="199">
        <f t="shared" si="59"/>
        <v>50000</v>
      </c>
      <c r="K245" s="199">
        <f t="shared" si="60"/>
        <v>50000</v>
      </c>
      <c r="L245" s="199">
        <f t="shared" si="61"/>
        <v>10000</v>
      </c>
      <c r="M245" s="199">
        <f t="shared" si="62"/>
        <v>0</v>
      </c>
      <c r="N245" s="199">
        <f t="shared" si="63"/>
        <v>30000</v>
      </c>
      <c r="O245" s="200">
        <f t="shared" si="57"/>
        <v>520000</v>
      </c>
      <c r="P245" s="186" t="str">
        <f ca="1">IF(D245=0,'Виды прицепов'!$M$13,IF(D245=30,'Виды прицепов'!$M$14,'Виды прицепов'!$M$15))</f>
        <v>3800*1950*900</v>
      </c>
      <c r="Q245" s="186" t="str">
        <f ca="1">IF(D245=0,'Виды прицепов'!$N$13,IF(D245=30,'Виды прицепов'!$N$14,'Виды прицепов'!$N$15))</f>
        <v>3000*1500*300</v>
      </c>
      <c r="R245" s="201"/>
      <c r="S245" s="201"/>
      <c r="T245" s="201"/>
      <c r="U245" s="201"/>
      <c r="V245" s="201"/>
      <c r="W245" s="201"/>
      <c r="X245" s="201"/>
      <c r="Y245" s="201"/>
      <c r="Z245" s="201"/>
    </row>
    <row r="246" spans="1:26" ht="57.6" outlineLevel="2">
      <c r="A246" s="195" t="s">
        <v>5872</v>
      </c>
      <c r="B246" s="196" t="s">
        <v>5873</v>
      </c>
      <c r="C246" s="197" t="s">
        <v>5794</v>
      </c>
      <c r="D246" s="198">
        <v>50</v>
      </c>
      <c r="E246" s="198">
        <v>15</v>
      </c>
      <c r="F246" s="198" t="s">
        <v>5371</v>
      </c>
      <c r="G246" s="198">
        <v>0</v>
      </c>
      <c r="H246" s="198">
        <v>15</v>
      </c>
      <c r="I246" s="199">
        <f t="shared" si="58"/>
        <v>410000</v>
      </c>
      <c r="J246" s="199">
        <f t="shared" si="59"/>
        <v>60000</v>
      </c>
      <c r="K246" s="199">
        <f t="shared" si="60"/>
        <v>50000</v>
      </c>
      <c r="L246" s="199">
        <f t="shared" si="61"/>
        <v>10000</v>
      </c>
      <c r="M246" s="199">
        <f t="shared" si="62"/>
        <v>0</v>
      </c>
      <c r="N246" s="199">
        <f t="shared" si="63"/>
        <v>30000</v>
      </c>
      <c r="O246" s="200">
        <f t="shared" si="57"/>
        <v>530000</v>
      </c>
      <c r="P246" s="186" t="str">
        <f ca="1">IF(D246=0,'Виды прицепов'!$M$13,IF(D246=30,'Виды прицепов'!$M$14,'Виды прицепов'!$M$15))</f>
        <v>3800*1950*1200</v>
      </c>
      <c r="Q246" s="186" t="str">
        <f ca="1">IF(D246=0,'Виды прицепов'!$N$13,IF(D246=30,'Виды прицепов'!$N$14,'Виды прицепов'!$N$15))</f>
        <v>3000*1500*500</v>
      </c>
      <c r="R246" s="201"/>
      <c r="S246" s="201"/>
      <c r="T246" s="201"/>
      <c r="U246" s="201"/>
      <c r="V246" s="201"/>
      <c r="W246" s="201"/>
      <c r="X246" s="201"/>
      <c r="Y246" s="201"/>
      <c r="Z246" s="201"/>
    </row>
    <row r="247" spans="1:26" ht="72" outlineLevel="2">
      <c r="A247" s="195" t="s">
        <v>5874</v>
      </c>
      <c r="B247" s="196" t="s">
        <v>5875</v>
      </c>
      <c r="C247" s="197" t="s">
        <v>5794</v>
      </c>
      <c r="D247" s="198">
        <v>30</v>
      </c>
      <c r="E247" s="198">
        <v>13</v>
      </c>
      <c r="F247" s="198">
        <v>0</v>
      </c>
      <c r="G247" s="202">
        <v>90</v>
      </c>
      <c r="H247" s="198">
        <v>13</v>
      </c>
      <c r="I247" s="199">
        <f t="shared" si="58"/>
        <v>410000</v>
      </c>
      <c r="J247" s="199">
        <f t="shared" si="59"/>
        <v>50000</v>
      </c>
      <c r="K247" s="199">
        <f t="shared" si="60"/>
        <v>30000</v>
      </c>
      <c r="L247" s="199">
        <f t="shared" si="61"/>
        <v>0</v>
      </c>
      <c r="M247" s="199">
        <f t="shared" si="62"/>
        <v>110000</v>
      </c>
      <c r="N247" s="199">
        <f t="shared" si="63"/>
        <v>0</v>
      </c>
      <c r="O247" s="200">
        <f t="shared" si="57"/>
        <v>600000</v>
      </c>
      <c r="P247" s="186" t="str">
        <f ca="1">IF(D247=0,'Виды прицепов'!$M$13,IF(D247=30,'Виды прицепов'!$M$14,'Виды прицепов'!$M$15))</f>
        <v>3800*1950*900</v>
      </c>
      <c r="Q247" s="186" t="str">
        <f ca="1">IF(D247=0,'Виды прицепов'!$N$13,IF(D247=30,'Виды прицепов'!$N$14,'Виды прицепов'!$N$15))</f>
        <v>3000*1500*300</v>
      </c>
      <c r="R247" s="201"/>
      <c r="S247" s="201"/>
      <c r="T247" s="201"/>
      <c r="U247" s="201"/>
      <c r="V247" s="201"/>
      <c r="W247" s="201"/>
      <c r="X247" s="201"/>
      <c r="Y247" s="201"/>
      <c r="Z247" s="201"/>
    </row>
    <row r="248" spans="1:26" ht="72" outlineLevel="2">
      <c r="A248" s="195" t="s">
        <v>5876</v>
      </c>
      <c r="B248" s="196" t="s">
        <v>5877</v>
      </c>
      <c r="C248" s="197" t="s">
        <v>5794</v>
      </c>
      <c r="D248" s="198">
        <v>50</v>
      </c>
      <c r="E248" s="198">
        <v>13</v>
      </c>
      <c r="F248" s="198">
        <v>0</v>
      </c>
      <c r="G248" s="202">
        <v>90</v>
      </c>
      <c r="H248" s="198">
        <v>13</v>
      </c>
      <c r="I248" s="199">
        <f t="shared" si="58"/>
        <v>410000</v>
      </c>
      <c r="J248" s="199">
        <f t="shared" si="59"/>
        <v>60000</v>
      </c>
      <c r="K248" s="199">
        <f t="shared" si="60"/>
        <v>30000</v>
      </c>
      <c r="L248" s="199">
        <f t="shared" si="61"/>
        <v>0</v>
      </c>
      <c r="M248" s="199">
        <f t="shared" si="62"/>
        <v>110000</v>
      </c>
      <c r="N248" s="199">
        <f t="shared" si="63"/>
        <v>0</v>
      </c>
      <c r="O248" s="200">
        <f t="shared" si="57"/>
        <v>610000</v>
      </c>
      <c r="P248" s="186" t="str">
        <f ca="1">IF(D248=0,'Виды прицепов'!$M$13,IF(D248=30,'Виды прицепов'!$M$14,'Виды прицепов'!$M$15))</f>
        <v>3800*1950*1200</v>
      </c>
      <c r="Q248" s="186" t="str">
        <f ca="1">IF(D248=0,'Виды прицепов'!$N$13,IF(D248=30,'Виды прицепов'!$N$14,'Виды прицепов'!$N$15))</f>
        <v>3000*1500*500</v>
      </c>
      <c r="R248" s="201"/>
      <c r="S248" s="201"/>
      <c r="T248" s="201"/>
      <c r="U248" s="201"/>
      <c r="V248" s="201"/>
      <c r="W248" s="201"/>
      <c r="X248" s="201"/>
      <c r="Y248" s="201"/>
      <c r="Z248" s="201"/>
    </row>
    <row r="249" spans="1:26" ht="72" outlineLevel="2">
      <c r="A249" s="195" t="s">
        <v>5878</v>
      </c>
      <c r="B249" s="196" t="s">
        <v>5879</v>
      </c>
      <c r="C249" s="197" t="s">
        <v>5794</v>
      </c>
      <c r="D249" s="198">
        <v>30</v>
      </c>
      <c r="E249" s="198">
        <v>15</v>
      </c>
      <c r="F249" s="198">
        <v>0</v>
      </c>
      <c r="G249" s="202">
        <v>90</v>
      </c>
      <c r="H249" s="198">
        <v>15</v>
      </c>
      <c r="I249" s="199">
        <f t="shared" si="58"/>
        <v>410000</v>
      </c>
      <c r="J249" s="199">
        <f t="shared" si="59"/>
        <v>50000</v>
      </c>
      <c r="K249" s="199">
        <f t="shared" si="60"/>
        <v>50000</v>
      </c>
      <c r="L249" s="199">
        <f t="shared" si="61"/>
        <v>0</v>
      </c>
      <c r="M249" s="199">
        <f t="shared" si="62"/>
        <v>110000</v>
      </c>
      <c r="N249" s="199">
        <f t="shared" si="63"/>
        <v>30000</v>
      </c>
      <c r="O249" s="200">
        <f t="shared" si="57"/>
        <v>620000</v>
      </c>
      <c r="P249" s="186" t="str">
        <f ca="1">IF(D249=0,'Виды прицепов'!$M$13,IF(D249=30,'Виды прицепов'!$M$14,'Виды прицепов'!$M$15))</f>
        <v>3800*1950*900</v>
      </c>
      <c r="Q249" s="186" t="str">
        <f ca="1">IF(D249=0,'Виды прицепов'!$N$13,IF(D249=30,'Виды прицепов'!$N$14,'Виды прицепов'!$N$15))</f>
        <v>3000*1500*300</v>
      </c>
      <c r="R249" s="201"/>
      <c r="S249" s="201"/>
      <c r="T249" s="201"/>
      <c r="U249" s="201"/>
      <c r="V249" s="201"/>
      <c r="W249" s="201"/>
      <c r="X249" s="201"/>
      <c r="Y249" s="201"/>
      <c r="Z249" s="201"/>
    </row>
    <row r="250" spans="1:26" ht="72" outlineLevel="2">
      <c r="A250" s="195" t="s">
        <v>5880</v>
      </c>
      <c r="B250" s="196" t="s">
        <v>5881</v>
      </c>
      <c r="C250" s="197" t="s">
        <v>5794</v>
      </c>
      <c r="D250" s="198">
        <v>50</v>
      </c>
      <c r="E250" s="198">
        <v>15</v>
      </c>
      <c r="F250" s="198">
        <v>0</v>
      </c>
      <c r="G250" s="202">
        <v>90</v>
      </c>
      <c r="H250" s="198">
        <v>15</v>
      </c>
      <c r="I250" s="199">
        <f t="shared" si="58"/>
        <v>410000</v>
      </c>
      <c r="J250" s="199">
        <f t="shared" si="59"/>
        <v>60000</v>
      </c>
      <c r="K250" s="199">
        <f t="shared" si="60"/>
        <v>50000</v>
      </c>
      <c r="L250" s="199">
        <f t="shared" si="61"/>
        <v>0</v>
      </c>
      <c r="M250" s="199">
        <f t="shared" si="62"/>
        <v>110000</v>
      </c>
      <c r="N250" s="199">
        <f t="shared" si="63"/>
        <v>30000</v>
      </c>
      <c r="O250" s="200">
        <f t="shared" si="57"/>
        <v>630000</v>
      </c>
      <c r="P250" s="186" t="str">
        <f ca="1">IF(D250=0,'Виды прицепов'!$M$13,IF(D250=30,'Виды прицепов'!$M$14,'Виды прицепов'!$M$15))</f>
        <v>3800*1950*1200</v>
      </c>
      <c r="Q250" s="186" t="str">
        <f ca="1">IF(D250=0,'Виды прицепов'!$N$13,IF(D250=30,'Виды прицепов'!$N$14,'Виды прицепов'!$N$15))</f>
        <v>3000*1500*500</v>
      </c>
      <c r="R250" s="201"/>
      <c r="S250" s="201"/>
      <c r="T250" s="201"/>
      <c r="U250" s="201"/>
      <c r="V250" s="201"/>
      <c r="W250" s="201"/>
      <c r="X250" s="201"/>
      <c r="Y250" s="201"/>
      <c r="Z250" s="201"/>
    </row>
    <row r="251" spans="1:26" ht="72" outlineLevel="2">
      <c r="A251" s="195" t="s">
        <v>5882</v>
      </c>
      <c r="B251" s="196" t="s">
        <v>5883</v>
      </c>
      <c r="C251" s="197" t="s">
        <v>5794</v>
      </c>
      <c r="D251" s="198">
        <v>30</v>
      </c>
      <c r="E251" s="198">
        <v>13</v>
      </c>
      <c r="F251" s="198" t="s">
        <v>5371</v>
      </c>
      <c r="G251" s="202">
        <v>90</v>
      </c>
      <c r="H251" s="198">
        <v>13</v>
      </c>
      <c r="I251" s="199">
        <f t="shared" si="58"/>
        <v>410000</v>
      </c>
      <c r="J251" s="199">
        <f t="shared" si="59"/>
        <v>50000</v>
      </c>
      <c r="K251" s="199">
        <f t="shared" si="60"/>
        <v>30000</v>
      </c>
      <c r="L251" s="199">
        <f t="shared" si="61"/>
        <v>10000</v>
      </c>
      <c r="M251" s="199">
        <f t="shared" si="62"/>
        <v>110000</v>
      </c>
      <c r="N251" s="199">
        <f t="shared" si="63"/>
        <v>0</v>
      </c>
      <c r="O251" s="200">
        <f t="shared" si="57"/>
        <v>610000</v>
      </c>
      <c r="P251" s="186" t="str">
        <f ca="1">IF(D251=0,'Виды прицепов'!$M$13,IF(D251=30,'Виды прицепов'!$M$14,'Виды прицепов'!$M$15))</f>
        <v>3800*1950*900</v>
      </c>
      <c r="Q251" s="186" t="str">
        <f ca="1">IF(D251=0,'Виды прицепов'!$N$13,IF(D251=30,'Виды прицепов'!$N$14,'Виды прицепов'!$N$15))</f>
        <v>3000*1500*300</v>
      </c>
      <c r="R251" s="201"/>
      <c r="S251" s="201"/>
      <c r="T251" s="201"/>
      <c r="U251" s="201"/>
      <c r="V251" s="201"/>
      <c r="W251" s="201"/>
      <c r="X251" s="201"/>
      <c r="Y251" s="201"/>
      <c r="Z251" s="201"/>
    </row>
    <row r="252" spans="1:26" ht="57.6" outlineLevel="2">
      <c r="A252" s="195" t="s">
        <v>5884</v>
      </c>
      <c r="B252" s="196" t="s">
        <v>5885</v>
      </c>
      <c r="C252" s="197" t="s">
        <v>5794</v>
      </c>
      <c r="D252" s="198">
        <v>50</v>
      </c>
      <c r="E252" s="198">
        <v>13</v>
      </c>
      <c r="F252" s="198" t="s">
        <v>5371</v>
      </c>
      <c r="G252" s="202">
        <v>90</v>
      </c>
      <c r="H252" s="198">
        <v>13</v>
      </c>
      <c r="I252" s="199">
        <f t="shared" si="58"/>
        <v>410000</v>
      </c>
      <c r="J252" s="199">
        <f t="shared" si="59"/>
        <v>60000</v>
      </c>
      <c r="K252" s="199">
        <f t="shared" si="60"/>
        <v>30000</v>
      </c>
      <c r="L252" s="199">
        <f t="shared" si="61"/>
        <v>10000</v>
      </c>
      <c r="M252" s="199">
        <f t="shared" si="62"/>
        <v>110000</v>
      </c>
      <c r="N252" s="199">
        <f t="shared" si="63"/>
        <v>0</v>
      </c>
      <c r="O252" s="200">
        <f t="shared" si="57"/>
        <v>620000</v>
      </c>
      <c r="P252" s="186" t="str">
        <f ca="1">IF(D252=0,'Виды прицепов'!$M$13,IF(D252=30,'Виды прицепов'!$M$14,'Виды прицепов'!$M$15))</f>
        <v>3800*1950*1200</v>
      </c>
      <c r="Q252" s="186" t="str">
        <f ca="1">IF(D252=0,'Виды прицепов'!$N$13,IF(D252=30,'Виды прицепов'!$N$14,'Виды прицепов'!$N$15))</f>
        <v>3000*1500*500</v>
      </c>
      <c r="R252" s="201"/>
      <c r="S252" s="201"/>
      <c r="T252" s="201"/>
      <c r="U252" s="201"/>
      <c r="V252" s="201"/>
      <c r="W252" s="201"/>
      <c r="X252" s="201"/>
      <c r="Y252" s="201"/>
      <c r="Z252" s="201"/>
    </row>
    <row r="253" spans="1:26" ht="57.6" outlineLevel="2">
      <c r="A253" s="195" t="s">
        <v>5886</v>
      </c>
      <c r="B253" s="196" t="s">
        <v>5887</v>
      </c>
      <c r="C253" s="197" t="s">
        <v>5794</v>
      </c>
      <c r="D253" s="198">
        <v>30</v>
      </c>
      <c r="E253" s="198">
        <v>15</v>
      </c>
      <c r="F253" s="198" t="s">
        <v>5371</v>
      </c>
      <c r="G253" s="202">
        <v>90</v>
      </c>
      <c r="H253" s="198">
        <v>15</v>
      </c>
      <c r="I253" s="199">
        <f t="shared" si="58"/>
        <v>410000</v>
      </c>
      <c r="J253" s="199">
        <f t="shared" si="59"/>
        <v>50000</v>
      </c>
      <c r="K253" s="199">
        <f t="shared" si="60"/>
        <v>50000</v>
      </c>
      <c r="L253" s="199">
        <f t="shared" si="61"/>
        <v>10000</v>
      </c>
      <c r="M253" s="199">
        <f t="shared" si="62"/>
        <v>110000</v>
      </c>
      <c r="N253" s="199">
        <f t="shared" si="63"/>
        <v>30000</v>
      </c>
      <c r="O253" s="200">
        <f t="shared" si="57"/>
        <v>630000</v>
      </c>
      <c r="P253" s="186" t="str">
        <f ca="1">IF(D253=0,'Виды прицепов'!$M$13,IF(D253=30,'Виды прицепов'!$M$14,'Виды прицепов'!$M$15))</f>
        <v>3800*1950*900</v>
      </c>
      <c r="Q253" s="186" t="str">
        <f ca="1">IF(D253=0,'Виды прицепов'!$N$13,IF(D253=30,'Виды прицепов'!$N$14,'Виды прицепов'!$N$15))</f>
        <v>3000*1500*300</v>
      </c>
      <c r="R253" s="201"/>
      <c r="S253" s="201"/>
      <c r="T253" s="201"/>
      <c r="U253" s="201"/>
      <c r="V253" s="201"/>
      <c r="W253" s="201"/>
      <c r="X253" s="201"/>
      <c r="Y253" s="201"/>
      <c r="Z253" s="201"/>
    </row>
    <row r="254" spans="1:26" ht="57.6" outlineLevel="2">
      <c r="A254" s="195" t="s">
        <v>5888</v>
      </c>
      <c r="B254" s="196" t="s">
        <v>5889</v>
      </c>
      <c r="C254" s="197" t="s">
        <v>5794</v>
      </c>
      <c r="D254" s="198">
        <v>50</v>
      </c>
      <c r="E254" s="198">
        <v>15</v>
      </c>
      <c r="F254" s="198" t="s">
        <v>5371</v>
      </c>
      <c r="G254" s="202">
        <v>90</v>
      </c>
      <c r="H254" s="198">
        <v>15</v>
      </c>
      <c r="I254" s="199">
        <f t="shared" si="58"/>
        <v>410000</v>
      </c>
      <c r="J254" s="199">
        <f t="shared" si="59"/>
        <v>60000</v>
      </c>
      <c r="K254" s="199">
        <f t="shared" si="60"/>
        <v>50000</v>
      </c>
      <c r="L254" s="199">
        <f t="shared" si="61"/>
        <v>10000</v>
      </c>
      <c r="M254" s="199">
        <f t="shared" si="62"/>
        <v>110000</v>
      </c>
      <c r="N254" s="199">
        <f t="shared" si="63"/>
        <v>30000</v>
      </c>
      <c r="O254" s="200">
        <f t="shared" si="57"/>
        <v>640000</v>
      </c>
      <c r="P254" s="186" t="str">
        <f ca="1">IF(D254=0,'Виды прицепов'!$M$13,IF(D254=30,'Виды прицепов'!$M$14,'Виды прицепов'!$M$15))</f>
        <v>3800*1950*1200</v>
      </c>
      <c r="Q254" s="186" t="str">
        <f ca="1">IF(D254=0,'Виды прицепов'!$N$13,IF(D254=30,'Виды прицепов'!$N$14,'Виды прицепов'!$N$15))</f>
        <v>3000*1500*500</v>
      </c>
      <c r="R254" s="201"/>
      <c r="S254" s="201"/>
      <c r="T254" s="201"/>
      <c r="U254" s="201"/>
      <c r="V254" s="201"/>
      <c r="W254" s="201"/>
      <c r="X254" s="201"/>
      <c r="Y254" s="201"/>
      <c r="Z254" s="201"/>
    </row>
    <row r="255" spans="1:26" ht="72" outlineLevel="2">
      <c r="A255" s="195" t="s">
        <v>5890</v>
      </c>
      <c r="B255" s="196" t="s">
        <v>5891</v>
      </c>
      <c r="C255" s="197" t="s">
        <v>5794</v>
      </c>
      <c r="D255" s="198">
        <v>30</v>
      </c>
      <c r="E255" s="198">
        <v>13</v>
      </c>
      <c r="F255" s="198">
        <v>0</v>
      </c>
      <c r="G255" s="198">
        <v>120</v>
      </c>
      <c r="H255" s="198">
        <v>13</v>
      </c>
      <c r="I255" s="199">
        <f t="shared" si="58"/>
        <v>410000</v>
      </c>
      <c r="J255" s="199">
        <f t="shared" si="59"/>
        <v>50000</v>
      </c>
      <c r="K255" s="199">
        <f t="shared" si="60"/>
        <v>30000</v>
      </c>
      <c r="L255" s="199">
        <f t="shared" si="61"/>
        <v>0</v>
      </c>
      <c r="M255" s="199">
        <f t="shared" si="62"/>
        <v>140000</v>
      </c>
      <c r="N255" s="199">
        <f t="shared" si="63"/>
        <v>0</v>
      </c>
      <c r="O255" s="200">
        <f t="shared" si="57"/>
        <v>630000</v>
      </c>
      <c r="P255" s="186" t="str">
        <f ca="1">IF(D255=0,'Виды прицепов'!$M$13,IF(D255=30,'Виды прицепов'!$M$14,'Виды прицепов'!$M$15))</f>
        <v>3800*1950*900</v>
      </c>
      <c r="Q255" s="186" t="str">
        <f ca="1">IF(D255=0,'Виды прицепов'!$N$13,IF(D255=30,'Виды прицепов'!$N$14,'Виды прицепов'!$N$15))</f>
        <v>3000*1500*300</v>
      </c>
      <c r="R255" s="201"/>
      <c r="S255" s="201"/>
      <c r="T255" s="201"/>
      <c r="U255" s="201"/>
      <c r="V255" s="201"/>
      <c r="W255" s="201"/>
      <c r="X255" s="201"/>
      <c r="Y255" s="201"/>
      <c r="Z255" s="201"/>
    </row>
    <row r="256" spans="1:26" ht="72" outlineLevel="2">
      <c r="A256" s="195" t="s">
        <v>5892</v>
      </c>
      <c r="B256" s="196" t="s">
        <v>5893</v>
      </c>
      <c r="C256" s="197" t="s">
        <v>5794</v>
      </c>
      <c r="D256" s="198">
        <v>50</v>
      </c>
      <c r="E256" s="198">
        <v>13</v>
      </c>
      <c r="F256" s="198">
        <v>0</v>
      </c>
      <c r="G256" s="198">
        <v>120</v>
      </c>
      <c r="H256" s="198">
        <v>13</v>
      </c>
      <c r="I256" s="199">
        <f t="shared" si="58"/>
        <v>410000</v>
      </c>
      <c r="J256" s="199">
        <f t="shared" si="59"/>
        <v>60000</v>
      </c>
      <c r="K256" s="199">
        <f t="shared" si="60"/>
        <v>30000</v>
      </c>
      <c r="L256" s="199">
        <f t="shared" si="61"/>
        <v>0</v>
      </c>
      <c r="M256" s="199">
        <f t="shared" si="62"/>
        <v>140000</v>
      </c>
      <c r="N256" s="199">
        <f t="shared" si="63"/>
        <v>0</v>
      </c>
      <c r="O256" s="200">
        <f t="shared" si="57"/>
        <v>640000</v>
      </c>
      <c r="P256" s="186" t="str">
        <f ca="1">IF(D256=0,'Виды прицепов'!$M$13,IF(D256=30,'Виды прицепов'!$M$14,'Виды прицепов'!$M$15))</f>
        <v>3800*1950*1200</v>
      </c>
      <c r="Q256" s="186" t="str">
        <f ca="1">IF(D256=0,'Виды прицепов'!$N$13,IF(D256=30,'Виды прицепов'!$N$14,'Виды прицепов'!$N$15))</f>
        <v>3000*1500*500</v>
      </c>
      <c r="R256" s="201"/>
      <c r="S256" s="201"/>
      <c r="T256" s="201"/>
      <c r="U256" s="201"/>
      <c r="V256" s="201"/>
      <c r="W256" s="201"/>
      <c r="X256" s="201"/>
      <c r="Y256" s="201"/>
      <c r="Z256" s="201"/>
    </row>
    <row r="257" spans="1:26" ht="72" outlineLevel="2">
      <c r="A257" s="195" t="s">
        <v>5894</v>
      </c>
      <c r="B257" s="196" t="s">
        <v>5895</v>
      </c>
      <c r="C257" s="197" t="s">
        <v>5794</v>
      </c>
      <c r="D257" s="198">
        <v>30</v>
      </c>
      <c r="E257" s="198">
        <v>15</v>
      </c>
      <c r="F257" s="198">
        <v>0</v>
      </c>
      <c r="G257" s="198">
        <v>120</v>
      </c>
      <c r="H257" s="198">
        <v>15</v>
      </c>
      <c r="I257" s="199">
        <f t="shared" si="58"/>
        <v>410000</v>
      </c>
      <c r="J257" s="199">
        <f t="shared" si="59"/>
        <v>50000</v>
      </c>
      <c r="K257" s="199">
        <f t="shared" si="60"/>
        <v>50000</v>
      </c>
      <c r="L257" s="199">
        <f t="shared" si="61"/>
        <v>0</v>
      </c>
      <c r="M257" s="199">
        <f t="shared" si="62"/>
        <v>140000</v>
      </c>
      <c r="N257" s="199">
        <f t="shared" si="63"/>
        <v>30000</v>
      </c>
      <c r="O257" s="200">
        <f t="shared" si="57"/>
        <v>650000</v>
      </c>
      <c r="P257" s="186" t="str">
        <f ca="1">IF(D257=0,'Виды прицепов'!$M$13,IF(D257=30,'Виды прицепов'!$M$14,'Виды прицепов'!$M$15))</f>
        <v>3800*1950*900</v>
      </c>
      <c r="Q257" s="186" t="str">
        <f ca="1">IF(D257=0,'Виды прицепов'!$N$13,IF(D257=30,'Виды прицепов'!$N$14,'Виды прицепов'!$N$15))</f>
        <v>3000*1500*300</v>
      </c>
      <c r="R257" s="201"/>
      <c r="S257" s="201"/>
      <c r="T257" s="201"/>
      <c r="U257" s="201"/>
      <c r="V257" s="201"/>
      <c r="W257" s="201"/>
      <c r="X257" s="201"/>
      <c r="Y257" s="201"/>
      <c r="Z257" s="201"/>
    </row>
    <row r="258" spans="1:26" ht="72" outlineLevel="2">
      <c r="A258" s="195" t="s">
        <v>5896</v>
      </c>
      <c r="B258" s="196" t="s">
        <v>5897</v>
      </c>
      <c r="C258" s="197" t="s">
        <v>5794</v>
      </c>
      <c r="D258" s="198">
        <v>50</v>
      </c>
      <c r="E258" s="198">
        <v>15</v>
      </c>
      <c r="F258" s="198">
        <v>0</v>
      </c>
      <c r="G258" s="198">
        <v>120</v>
      </c>
      <c r="H258" s="198">
        <v>15</v>
      </c>
      <c r="I258" s="199">
        <f t="shared" si="58"/>
        <v>410000</v>
      </c>
      <c r="J258" s="199">
        <f t="shared" si="59"/>
        <v>60000</v>
      </c>
      <c r="K258" s="199">
        <f t="shared" si="60"/>
        <v>50000</v>
      </c>
      <c r="L258" s="199">
        <f t="shared" si="61"/>
        <v>0</v>
      </c>
      <c r="M258" s="199">
        <f t="shared" si="62"/>
        <v>140000</v>
      </c>
      <c r="N258" s="199">
        <f t="shared" si="63"/>
        <v>30000</v>
      </c>
      <c r="O258" s="200">
        <f t="shared" si="57"/>
        <v>660000</v>
      </c>
      <c r="P258" s="186" t="str">
        <f ca="1">IF(D258=0,'Виды прицепов'!$M$13,IF(D258=30,'Виды прицепов'!$M$14,'Виды прицепов'!$M$15))</f>
        <v>3800*1950*1200</v>
      </c>
      <c r="Q258" s="186" t="str">
        <f ca="1">IF(D258=0,'Виды прицепов'!$N$13,IF(D258=30,'Виды прицепов'!$N$14,'Виды прицепов'!$N$15))</f>
        <v>3000*1500*500</v>
      </c>
      <c r="R258" s="201"/>
      <c r="S258" s="201"/>
      <c r="T258" s="201"/>
      <c r="U258" s="201"/>
      <c r="V258" s="201"/>
      <c r="W258" s="201"/>
      <c r="X258" s="201"/>
      <c r="Y258" s="201"/>
      <c r="Z258" s="201"/>
    </row>
    <row r="259" spans="1:26" ht="57.6" outlineLevel="2">
      <c r="A259" s="195" t="s">
        <v>5898</v>
      </c>
      <c r="B259" s="196" t="s">
        <v>5899</v>
      </c>
      <c r="C259" s="197" t="s">
        <v>5794</v>
      </c>
      <c r="D259" s="198">
        <v>30</v>
      </c>
      <c r="E259" s="198">
        <v>13</v>
      </c>
      <c r="F259" s="198" t="s">
        <v>5371</v>
      </c>
      <c r="G259" s="198">
        <v>120</v>
      </c>
      <c r="H259" s="198">
        <v>13</v>
      </c>
      <c r="I259" s="199">
        <f t="shared" si="58"/>
        <v>410000</v>
      </c>
      <c r="J259" s="199">
        <f t="shared" si="59"/>
        <v>50000</v>
      </c>
      <c r="K259" s="199">
        <f t="shared" si="60"/>
        <v>30000</v>
      </c>
      <c r="L259" s="199">
        <f t="shared" si="61"/>
        <v>10000</v>
      </c>
      <c r="M259" s="199">
        <f t="shared" si="62"/>
        <v>140000</v>
      </c>
      <c r="N259" s="199">
        <f t="shared" si="63"/>
        <v>0</v>
      </c>
      <c r="O259" s="200">
        <f t="shared" si="57"/>
        <v>640000</v>
      </c>
      <c r="P259" s="186" t="str">
        <f ca="1">IF(D259=0,'Виды прицепов'!$M$13,IF(D259=30,'Виды прицепов'!$M$14,'Виды прицепов'!$M$15))</f>
        <v>3800*1950*900</v>
      </c>
      <c r="Q259" s="186" t="str">
        <f ca="1">IF(D259=0,'Виды прицепов'!$N$13,IF(D259=30,'Виды прицепов'!$N$14,'Виды прицепов'!$N$15))</f>
        <v>3000*1500*300</v>
      </c>
      <c r="R259" s="201"/>
      <c r="S259" s="201"/>
      <c r="T259" s="201"/>
      <c r="U259" s="201"/>
      <c r="V259" s="201"/>
      <c r="W259" s="201"/>
      <c r="X259" s="201"/>
      <c r="Y259" s="201"/>
      <c r="Z259" s="201"/>
    </row>
    <row r="260" spans="1:26" ht="57.6" outlineLevel="2">
      <c r="A260" s="195" t="s">
        <v>5900</v>
      </c>
      <c r="B260" s="196" t="s">
        <v>5901</v>
      </c>
      <c r="C260" s="197" t="s">
        <v>5794</v>
      </c>
      <c r="D260" s="198">
        <v>50</v>
      </c>
      <c r="E260" s="198">
        <v>13</v>
      </c>
      <c r="F260" s="198" t="s">
        <v>5371</v>
      </c>
      <c r="G260" s="198">
        <v>120</v>
      </c>
      <c r="H260" s="198">
        <v>13</v>
      </c>
      <c r="I260" s="199">
        <f t="shared" si="58"/>
        <v>410000</v>
      </c>
      <c r="J260" s="199">
        <f t="shared" si="59"/>
        <v>60000</v>
      </c>
      <c r="K260" s="199">
        <f t="shared" si="60"/>
        <v>30000</v>
      </c>
      <c r="L260" s="199">
        <f t="shared" si="61"/>
        <v>10000</v>
      </c>
      <c r="M260" s="199">
        <f t="shared" si="62"/>
        <v>140000</v>
      </c>
      <c r="N260" s="199">
        <f t="shared" si="63"/>
        <v>0</v>
      </c>
      <c r="O260" s="200">
        <f t="shared" si="57"/>
        <v>650000</v>
      </c>
      <c r="P260" s="186" t="str">
        <f ca="1">IF(D260=0,'Виды прицепов'!$M$13,IF(D260=30,'Виды прицепов'!$M$14,'Виды прицепов'!$M$15))</f>
        <v>3800*1950*1200</v>
      </c>
      <c r="Q260" s="186" t="str">
        <f ca="1">IF(D260=0,'Виды прицепов'!$N$13,IF(D260=30,'Виды прицепов'!$N$14,'Виды прицепов'!$N$15))</f>
        <v>3000*1500*500</v>
      </c>
      <c r="R260" s="201"/>
      <c r="S260" s="201"/>
      <c r="T260" s="201"/>
      <c r="U260" s="201"/>
      <c r="V260" s="201"/>
      <c r="W260" s="201"/>
      <c r="X260" s="201"/>
      <c r="Y260" s="201"/>
      <c r="Z260" s="201"/>
    </row>
    <row r="261" spans="1:26" ht="57.6" outlineLevel="2">
      <c r="A261" s="195" t="s">
        <v>5902</v>
      </c>
      <c r="B261" s="196" t="s">
        <v>5903</v>
      </c>
      <c r="C261" s="197" t="s">
        <v>5794</v>
      </c>
      <c r="D261" s="198">
        <v>30</v>
      </c>
      <c r="E261" s="198">
        <v>15</v>
      </c>
      <c r="F261" s="198" t="s">
        <v>5371</v>
      </c>
      <c r="G261" s="198">
        <v>120</v>
      </c>
      <c r="H261" s="198">
        <v>15</v>
      </c>
      <c r="I261" s="199">
        <f t="shared" si="58"/>
        <v>410000</v>
      </c>
      <c r="J261" s="199">
        <f t="shared" si="59"/>
        <v>50000</v>
      </c>
      <c r="K261" s="199">
        <f t="shared" si="60"/>
        <v>50000</v>
      </c>
      <c r="L261" s="199">
        <f t="shared" si="61"/>
        <v>10000</v>
      </c>
      <c r="M261" s="199">
        <f t="shared" si="62"/>
        <v>140000</v>
      </c>
      <c r="N261" s="199">
        <f t="shared" si="63"/>
        <v>30000</v>
      </c>
      <c r="O261" s="200">
        <f t="shared" si="57"/>
        <v>660000</v>
      </c>
      <c r="P261" s="186" t="str">
        <f ca="1">IF(D261=0,'Виды прицепов'!$M$13,IF(D261=30,'Виды прицепов'!$M$14,'Виды прицепов'!$M$15))</f>
        <v>3800*1950*900</v>
      </c>
      <c r="Q261" s="186" t="str">
        <f ca="1">IF(D261=0,'Виды прицепов'!$N$13,IF(D261=30,'Виды прицепов'!$N$14,'Виды прицепов'!$N$15))</f>
        <v>3000*1500*300</v>
      </c>
      <c r="R261" s="201"/>
      <c r="S261" s="201"/>
      <c r="T261" s="201"/>
      <c r="U261" s="201"/>
      <c r="V261" s="201"/>
      <c r="W261" s="201"/>
      <c r="X261" s="201"/>
      <c r="Y261" s="201"/>
      <c r="Z261" s="201"/>
    </row>
    <row r="262" spans="1:26" ht="57.6" outlineLevel="2">
      <c r="A262" s="195" t="s">
        <v>5904</v>
      </c>
      <c r="B262" s="196" t="s">
        <v>5905</v>
      </c>
      <c r="C262" s="197" t="s">
        <v>5794</v>
      </c>
      <c r="D262" s="198">
        <v>50</v>
      </c>
      <c r="E262" s="198">
        <v>15</v>
      </c>
      <c r="F262" s="198" t="s">
        <v>5371</v>
      </c>
      <c r="G262" s="198">
        <v>120</v>
      </c>
      <c r="H262" s="198">
        <v>15</v>
      </c>
      <c r="I262" s="199">
        <f t="shared" si="58"/>
        <v>410000</v>
      </c>
      <c r="J262" s="199">
        <f t="shared" si="59"/>
        <v>60000</v>
      </c>
      <c r="K262" s="199">
        <f t="shared" si="60"/>
        <v>50000</v>
      </c>
      <c r="L262" s="199">
        <f t="shared" si="61"/>
        <v>10000</v>
      </c>
      <c r="M262" s="199">
        <f t="shared" si="62"/>
        <v>140000</v>
      </c>
      <c r="N262" s="199">
        <f t="shared" si="63"/>
        <v>30000</v>
      </c>
      <c r="O262" s="200">
        <f t="shared" si="57"/>
        <v>670000</v>
      </c>
      <c r="P262" s="186" t="str">
        <f ca="1">IF(D262=0,'Виды прицепов'!$M$13,IF(D262=30,'Виды прицепов'!$M$14,'Виды прицепов'!$M$15))</f>
        <v>3800*1950*1200</v>
      </c>
      <c r="Q262" s="186" t="str">
        <f ca="1">IF(D262=0,'Виды прицепов'!$N$13,IF(D262=30,'Виды прицепов'!$N$14,'Виды прицепов'!$N$15))</f>
        <v>3000*1500*500</v>
      </c>
      <c r="R262" s="201"/>
      <c r="S262" s="201"/>
      <c r="T262" s="201"/>
      <c r="U262" s="201"/>
      <c r="V262" s="201"/>
      <c r="W262" s="201"/>
      <c r="X262" s="201"/>
      <c r="Y262" s="201"/>
      <c r="Z262" s="201"/>
    </row>
    <row r="263" spans="1:26" ht="14.4" outlineLevel="1">
      <c r="A263" s="175" t="s">
        <v>375</v>
      </c>
      <c r="B263" s="176"/>
      <c r="C263" s="177"/>
      <c r="D263" s="178"/>
      <c r="E263" s="178"/>
      <c r="F263" s="178"/>
      <c r="G263" s="178"/>
      <c r="H263" s="178"/>
      <c r="I263" s="179"/>
      <c r="J263" s="179"/>
      <c r="K263" s="179"/>
      <c r="L263" s="179"/>
      <c r="M263" s="179"/>
      <c r="N263" s="179"/>
      <c r="O263" s="193"/>
      <c r="P263" s="173"/>
      <c r="Q263" s="173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 spans="1:26" ht="57.6" outlineLevel="2">
      <c r="A264" s="195" t="s">
        <v>5906</v>
      </c>
      <c r="B264" s="196" t="s">
        <v>5907</v>
      </c>
      <c r="C264" s="197" t="s">
        <v>375</v>
      </c>
      <c r="D264" s="198">
        <v>0</v>
      </c>
      <c r="E264" s="198">
        <v>0</v>
      </c>
      <c r="F264" s="198">
        <v>0</v>
      </c>
      <c r="G264" s="198">
        <v>0</v>
      </c>
      <c r="H264" s="198">
        <v>13</v>
      </c>
      <c r="I264" s="199">
        <f t="shared" ref="I264:I303" si="64">VLOOKUP(C264,Платформа,2,0)</f>
        <v>460000</v>
      </c>
      <c r="J264" s="199">
        <f t="shared" ref="J264:J303" si="65">VLOOKUP(D264,борт_3515,2)</f>
        <v>0</v>
      </c>
      <c r="K264" s="199">
        <f t="shared" ref="K264:K303" si="66">VLOOKUP(E264,колесо,2,0)</f>
        <v>0</v>
      </c>
      <c r="L264" s="199">
        <f t="shared" ref="L264:L303" si="67">VLOOKUP(F264,опорное_колесо,2,0)</f>
        <v>0</v>
      </c>
      <c r="M264" s="199">
        <f t="shared" ref="M264:M303" si="68">VLOOKUP(G264,тент_3515,2,0)</f>
        <v>0</v>
      </c>
      <c r="N264" s="199">
        <f t="shared" ref="N264:N303" si="69">VLOOKUP(H264,ступица,2,0)</f>
        <v>0</v>
      </c>
      <c r="O264" s="200">
        <f t="shared" ref="O264:O303" si="70">SUM(I264:M264)</f>
        <v>460000</v>
      </c>
      <c r="P264" s="186" t="str">
        <f ca="1">IF(D264=0,'Виды прицепов'!$M$16,IF(D264=30,'Виды прицепов'!$M$17,'Виды прицепов'!$M$18))</f>
        <v>4650*1950*650</v>
      </c>
      <c r="Q264" s="186" t="str">
        <f ca="1">IF(D264=0,'Виды прицепов'!$N$16,IF(D264=30,'Виды прицепов'!$N$17,'Виды прицепов'!$N$18))</f>
        <v>3500*1500*0</v>
      </c>
      <c r="R264" s="201"/>
      <c r="S264" s="201"/>
      <c r="T264" s="201"/>
      <c r="U264" s="201"/>
      <c r="V264" s="201"/>
      <c r="W264" s="201"/>
      <c r="X264" s="201"/>
      <c r="Y264" s="201"/>
      <c r="Z264" s="201"/>
    </row>
    <row r="265" spans="1:26" ht="57.6" outlineLevel="2">
      <c r="A265" s="195" t="s">
        <v>5908</v>
      </c>
      <c r="B265" s="196" t="s">
        <v>5909</v>
      </c>
      <c r="C265" s="197" t="s">
        <v>375</v>
      </c>
      <c r="D265" s="198">
        <v>30</v>
      </c>
      <c r="E265" s="198">
        <v>0</v>
      </c>
      <c r="F265" s="198">
        <v>0</v>
      </c>
      <c r="G265" s="198">
        <v>0</v>
      </c>
      <c r="H265" s="198">
        <v>13</v>
      </c>
      <c r="I265" s="199">
        <f t="shared" si="64"/>
        <v>460000</v>
      </c>
      <c r="J265" s="199">
        <f t="shared" si="65"/>
        <v>60000</v>
      </c>
      <c r="K265" s="199">
        <f t="shared" si="66"/>
        <v>0</v>
      </c>
      <c r="L265" s="199">
        <f t="shared" si="67"/>
        <v>0</v>
      </c>
      <c r="M265" s="199">
        <f t="shared" si="68"/>
        <v>0</v>
      </c>
      <c r="N265" s="199">
        <f t="shared" si="69"/>
        <v>0</v>
      </c>
      <c r="O265" s="200">
        <f t="shared" si="70"/>
        <v>520000</v>
      </c>
      <c r="P265" s="186" t="str">
        <f ca="1">IF(D265=0,'Виды прицепов'!$M$16,IF(D265=30,'Виды прицепов'!$M$17,'Виды прицепов'!$M$18))</f>
        <v>3800*1950*900</v>
      </c>
      <c r="Q265" s="186" t="str">
        <f ca="1">IF(D265=0,'Виды прицепов'!$N$16,IF(D265=30,'Виды прицепов'!$N$17,'Виды прицепов'!$N$18))</f>
        <v>3500*1500*300</v>
      </c>
      <c r="R265" s="201"/>
      <c r="S265" s="201"/>
      <c r="T265" s="201"/>
      <c r="U265" s="201"/>
      <c r="V265" s="201"/>
      <c r="W265" s="201"/>
      <c r="X265" s="201"/>
      <c r="Y265" s="201"/>
      <c r="Z265" s="201"/>
    </row>
    <row r="266" spans="1:26" ht="57.6" outlineLevel="2">
      <c r="A266" s="195" t="s">
        <v>5910</v>
      </c>
      <c r="B266" s="196" t="s">
        <v>5911</v>
      </c>
      <c r="C266" s="197" t="s">
        <v>375</v>
      </c>
      <c r="D266" s="198">
        <v>50</v>
      </c>
      <c r="E266" s="198">
        <v>0</v>
      </c>
      <c r="F266" s="198">
        <v>0</v>
      </c>
      <c r="G266" s="198">
        <v>0</v>
      </c>
      <c r="H266" s="198">
        <v>13</v>
      </c>
      <c r="I266" s="199">
        <f t="shared" si="64"/>
        <v>460000</v>
      </c>
      <c r="J266" s="199">
        <f t="shared" si="65"/>
        <v>70000</v>
      </c>
      <c r="K266" s="199">
        <f t="shared" si="66"/>
        <v>0</v>
      </c>
      <c r="L266" s="199">
        <f t="shared" si="67"/>
        <v>0</v>
      </c>
      <c r="M266" s="199">
        <f t="shared" si="68"/>
        <v>0</v>
      </c>
      <c r="N266" s="199">
        <f t="shared" si="69"/>
        <v>0</v>
      </c>
      <c r="O266" s="200">
        <f t="shared" si="70"/>
        <v>530000</v>
      </c>
      <c r="P266" s="186" t="str">
        <f ca="1">IF(D266=0,'Виды прицепов'!$M$16,IF(D266=30,'Виды прицепов'!$M$17,'Виды прицепов'!$M$18))</f>
        <v>3800*1950*1200</v>
      </c>
      <c r="Q266" s="186" t="str">
        <f ca="1">IF(D266=0,'Виды прицепов'!$N$16,IF(D266=30,'Виды прицепов'!$N$17,'Виды прицепов'!$N$18))</f>
        <v>3500*1500*500</v>
      </c>
      <c r="R266" s="201"/>
      <c r="S266" s="201"/>
      <c r="T266" s="201"/>
      <c r="U266" s="201"/>
      <c r="V266" s="201"/>
      <c r="W266" s="201"/>
      <c r="X266" s="201"/>
      <c r="Y266" s="201"/>
      <c r="Z266" s="201"/>
    </row>
    <row r="267" spans="1:26" ht="72" outlineLevel="2">
      <c r="A267" s="195" t="s">
        <v>5912</v>
      </c>
      <c r="B267" s="196" t="s">
        <v>5913</v>
      </c>
      <c r="C267" s="197" t="s">
        <v>375</v>
      </c>
      <c r="D267" s="198">
        <v>30</v>
      </c>
      <c r="E267" s="198">
        <v>0</v>
      </c>
      <c r="F267" s="198">
        <v>0</v>
      </c>
      <c r="G267" s="198">
        <v>120</v>
      </c>
      <c r="H267" s="198">
        <v>13</v>
      </c>
      <c r="I267" s="199">
        <f t="shared" si="64"/>
        <v>460000</v>
      </c>
      <c r="J267" s="199">
        <f t="shared" si="65"/>
        <v>60000</v>
      </c>
      <c r="K267" s="199">
        <f t="shared" si="66"/>
        <v>0</v>
      </c>
      <c r="L267" s="199">
        <f t="shared" si="67"/>
        <v>0</v>
      </c>
      <c r="M267" s="199">
        <f t="shared" si="68"/>
        <v>130000</v>
      </c>
      <c r="N267" s="199">
        <f t="shared" si="69"/>
        <v>0</v>
      </c>
      <c r="O267" s="200">
        <f t="shared" si="70"/>
        <v>650000</v>
      </c>
      <c r="P267" s="186" t="str">
        <f ca="1">IF(D267=0,'Виды прицепов'!$M$16,IF(D267=30,'Виды прицепов'!$M$17,'Виды прицепов'!$M$18))</f>
        <v>3800*1950*900</v>
      </c>
      <c r="Q267" s="186" t="str">
        <f ca="1">IF(D267=0,'Виды прицепов'!$N$16,IF(D267=30,'Виды прицепов'!$N$17,'Виды прицепов'!$N$18))</f>
        <v>3500*1500*300</v>
      </c>
      <c r="R267" s="201"/>
      <c r="S267" s="201"/>
      <c r="T267" s="201"/>
      <c r="U267" s="201"/>
      <c r="V267" s="201"/>
      <c r="W267" s="201"/>
      <c r="X267" s="201"/>
      <c r="Y267" s="201"/>
      <c r="Z267" s="201"/>
    </row>
    <row r="268" spans="1:26" ht="72" outlineLevel="2">
      <c r="A268" s="195" t="s">
        <v>5914</v>
      </c>
      <c r="B268" s="196" t="s">
        <v>5915</v>
      </c>
      <c r="C268" s="197" t="s">
        <v>375</v>
      </c>
      <c r="D268" s="198">
        <v>50</v>
      </c>
      <c r="E268" s="198">
        <v>0</v>
      </c>
      <c r="F268" s="198">
        <v>0</v>
      </c>
      <c r="G268" s="198">
        <v>120</v>
      </c>
      <c r="H268" s="198">
        <v>13</v>
      </c>
      <c r="I268" s="199">
        <f t="shared" si="64"/>
        <v>460000</v>
      </c>
      <c r="J268" s="199">
        <f t="shared" si="65"/>
        <v>70000</v>
      </c>
      <c r="K268" s="199">
        <f t="shared" si="66"/>
        <v>0</v>
      </c>
      <c r="L268" s="199">
        <f t="shared" si="67"/>
        <v>0</v>
      </c>
      <c r="M268" s="199">
        <f t="shared" si="68"/>
        <v>130000</v>
      </c>
      <c r="N268" s="199">
        <f t="shared" si="69"/>
        <v>0</v>
      </c>
      <c r="O268" s="200">
        <f t="shared" si="70"/>
        <v>660000</v>
      </c>
      <c r="P268" s="186" t="str">
        <f ca="1">IF(D268=0,'Виды прицепов'!$M$16,IF(D268=30,'Виды прицепов'!$M$17,'Виды прицепов'!$M$18))</f>
        <v>3800*1950*1200</v>
      </c>
      <c r="Q268" s="186" t="str">
        <f ca="1">IF(D268=0,'Виды прицепов'!$N$16,IF(D268=30,'Виды прицепов'!$N$17,'Виды прицепов'!$N$18))</f>
        <v>3500*1500*500</v>
      </c>
      <c r="R268" s="201"/>
      <c r="S268" s="201"/>
      <c r="T268" s="201"/>
      <c r="U268" s="201"/>
      <c r="V268" s="201"/>
      <c r="W268" s="201"/>
      <c r="X268" s="201"/>
      <c r="Y268" s="201"/>
      <c r="Z268" s="201"/>
    </row>
    <row r="269" spans="1:26" ht="57.6" outlineLevel="2">
      <c r="A269" s="195" t="s">
        <v>5916</v>
      </c>
      <c r="B269" s="196" t="s">
        <v>5917</v>
      </c>
      <c r="C269" s="197" t="s">
        <v>375</v>
      </c>
      <c r="D269" s="198">
        <v>0</v>
      </c>
      <c r="E269" s="198">
        <v>13</v>
      </c>
      <c r="F269" s="198">
        <v>0</v>
      </c>
      <c r="G269" s="198">
        <v>0</v>
      </c>
      <c r="H269" s="198">
        <v>13</v>
      </c>
      <c r="I269" s="199">
        <f t="shared" si="64"/>
        <v>460000</v>
      </c>
      <c r="J269" s="199">
        <f t="shared" si="65"/>
        <v>0</v>
      </c>
      <c r="K269" s="199">
        <f t="shared" si="66"/>
        <v>30000</v>
      </c>
      <c r="L269" s="199">
        <f t="shared" si="67"/>
        <v>0</v>
      </c>
      <c r="M269" s="199">
        <f t="shared" si="68"/>
        <v>0</v>
      </c>
      <c r="N269" s="199">
        <f t="shared" si="69"/>
        <v>0</v>
      </c>
      <c r="O269" s="200">
        <f t="shared" si="70"/>
        <v>490000</v>
      </c>
      <c r="P269" s="186" t="str">
        <f ca="1">IF(D269=0,'Виды прицепов'!$M$16,IF(D269=30,'Виды прицепов'!$M$17,'Виды прицепов'!$M$18))</f>
        <v>4650*1950*650</v>
      </c>
      <c r="Q269" s="186" t="str">
        <f ca="1">IF(D269=0,'Виды прицепов'!$N$16,IF(D269=30,'Виды прицепов'!$N$17,'Виды прицепов'!$N$18))</f>
        <v>3500*1500*0</v>
      </c>
      <c r="R269" s="201"/>
      <c r="S269" s="201"/>
      <c r="T269" s="201"/>
      <c r="U269" s="201"/>
      <c r="V269" s="201"/>
      <c r="W269" s="201"/>
      <c r="X269" s="201"/>
      <c r="Y269" s="201"/>
      <c r="Z269" s="201"/>
    </row>
    <row r="270" spans="1:26" ht="72" outlineLevel="2">
      <c r="A270" s="195" t="s">
        <v>5918</v>
      </c>
      <c r="B270" s="196" t="s">
        <v>5919</v>
      </c>
      <c r="C270" s="197" t="s">
        <v>375</v>
      </c>
      <c r="D270" s="198">
        <v>30</v>
      </c>
      <c r="E270" s="198">
        <v>13</v>
      </c>
      <c r="F270" s="198">
        <v>0</v>
      </c>
      <c r="G270" s="198">
        <v>0</v>
      </c>
      <c r="H270" s="198">
        <v>13</v>
      </c>
      <c r="I270" s="199">
        <f t="shared" si="64"/>
        <v>460000</v>
      </c>
      <c r="J270" s="199">
        <f t="shared" si="65"/>
        <v>60000</v>
      </c>
      <c r="K270" s="199">
        <f t="shared" si="66"/>
        <v>30000</v>
      </c>
      <c r="L270" s="199">
        <f t="shared" si="67"/>
        <v>0</v>
      </c>
      <c r="M270" s="199">
        <f t="shared" si="68"/>
        <v>0</v>
      </c>
      <c r="N270" s="199">
        <f t="shared" si="69"/>
        <v>0</v>
      </c>
      <c r="O270" s="200">
        <f t="shared" si="70"/>
        <v>550000</v>
      </c>
      <c r="P270" s="186" t="str">
        <f ca="1">IF(D270=0,'Виды прицепов'!$M$16,IF(D270=30,'Виды прицепов'!$M$17,'Виды прицепов'!$M$18))</f>
        <v>3800*1950*900</v>
      </c>
      <c r="Q270" s="186" t="str">
        <f ca="1">IF(D270=0,'Виды прицепов'!$N$16,IF(D270=30,'Виды прицепов'!$N$17,'Виды прицепов'!$N$18))</f>
        <v>3500*1500*300</v>
      </c>
      <c r="R270" s="201"/>
      <c r="S270" s="201"/>
      <c r="T270" s="201"/>
      <c r="U270" s="201"/>
      <c r="V270" s="201"/>
      <c r="W270" s="201"/>
      <c r="X270" s="201"/>
      <c r="Y270" s="201"/>
      <c r="Z270" s="201"/>
    </row>
    <row r="271" spans="1:26" ht="72" outlineLevel="2">
      <c r="A271" s="195" t="s">
        <v>5920</v>
      </c>
      <c r="B271" s="196" t="s">
        <v>5921</v>
      </c>
      <c r="C271" s="197" t="s">
        <v>375</v>
      </c>
      <c r="D271" s="198">
        <v>50</v>
      </c>
      <c r="E271" s="198">
        <v>13</v>
      </c>
      <c r="F271" s="198">
        <v>0</v>
      </c>
      <c r="G271" s="198">
        <v>0</v>
      </c>
      <c r="H271" s="198">
        <v>13</v>
      </c>
      <c r="I271" s="199">
        <f t="shared" si="64"/>
        <v>460000</v>
      </c>
      <c r="J271" s="199">
        <f t="shared" si="65"/>
        <v>70000</v>
      </c>
      <c r="K271" s="199">
        <f t="shared" si="66"/>
        <v>30000</v>
      </c>
      <c r="L271" s="199">
        <f t="shared" si="67"/>
        <v>0</v>
      </c>
      <c r="M271" s="199">
        <f t="shared" si="68"/>
        <v>0</v>
      </c>
      <c r="N271" s="199">
        <f t="shared" si="69"/>
        <v>0</v>
      </c>
      <c r="O271" s="200">
        <f t="shared" si="70"/>
        <v>560000</v>
      </c>
      <c r="P271" s="186" t="str">
        <f ca="1">IF(D271=0,'Виды прицепов'!$M$16,IF(D271=30,'Виды прицепов'!$M$17,'Виды прицепов'!$M$18))</f>
        <v>3800*1950*1200</v>
      </c>
      <c r="Q271" s="186" t="str">
        <f ca="1">IF(D271=0,'Виды прицепов'!$N$16,IF(D271=30,'Виды прицепов'!$N$17,'Виды прицепов'!$N$18))</f>
        <v>3500*1500*500</v>
      </c>
      <c r="R271" s="201"/>
      <c r="S271" s="201"/>
      <c r="T271" s="201"/>
      <c r="U271" s="201"/>
      <c r="V271" s="201"/>
      <c r="W271" s="201"/>
      <c r="X271" s="201"/>
      <c r="Y271" s="201"/>
      <c r="Z271" s="201"/>
    </row>
    <row r="272" spans="1:26" ht="57.6" outlineLevel="2">
      <c r="A272" s="195" t="s">
        <v>5922</v>
      </c>
      <c r="B272" s="196" t="s">
        <v>5923</v>
      </c>
      <c r="C272" s="197" t="s">
        <v>375</v>
      </c>
      <c r="D272" s="198">
        <v>0</v>
      </c>
      <c r="E272" s="198">
        <v>0</v>
      </c>
      <c r="F272" s="198">
        <v>0</v>
      </c>
      <c r="G272" s="198">
        <v>0</v>
      </c>
      <c r="H272" s="198">
        <v>15</v>
      </c>
      <c r="I272" s="199">
        <f t="shared" si="64"/>
        <v>460000</v>
      </c>
      <c r="J272" s="199">
        <f t="shared" si="65"/>
        <v>0</v>
      </c>
      <c r="K272" s="199">
        <f t="shared" si="66"/>
        <v>0</v>
      </c>
      <c r="L272" s="199">
        <f t="shared" si="67"/>
        <v>0</v>
      </c>
      <c r="M272" s="199">
        <f t="shared" si="68"/>
        <v>0</v>
      </c>
      <c r="N272" s="199">
        <f t="shared" si="69"/>
        <v>30000</v>
      </c>
      <c r="O272" s="200">
        <f t="shared" si="70"/>
        <v>460000</v>
      </c>
      <c r="P272" s="186" t="str">
        <f ca="1">IF(D272=0,'Виды прицепов'!$M$16,IF(D272=30,'Виды прицепов'!$M$17,'Виды прицепов'!$M$18))</f>
        <v>4650*1950*650</v>
      </c>
      <c r="Q272" s="186" t="str">
        <f ca="1">IF(D272=0,'Виды прицепов'!$N$16,IF(D272=30,'Виды прицепов'!$N$17,'Виды прицепов'!$N$18))</f>
        <v>3500*1500*0</v>
      </c>
      <c r="R272" s="201"/>
      <c r="S272" s="201"/>
      <c r="T272" s="201"/>
      <c r="U272" s="201"/>
      <c r="V272" s="201"/>
      <c r="W272" s="201"/>
      <c r="X272" s="201"/>
      <c r="Y272" s="201"/>
      <c r="Z272" s="201"/>
    </row>
    <row r="273" spans="1:26" ht="57.6" outlineLevel="2">
      <c r="A273" s="195" t="s">
        <v>5924</v>
      </c>
      <c r="B273" s="196" t="s">
        <v>5925</v>
      </c>
      <c r="C273" s="197" t="s">
        <v>375</v>
      </c>
      <c r="D273" s="198">
        <v>30</v>
      </c>
      <c r="E273" s="198">
        <v>0</v>
      </c>
      <c r="F273" s="198">
        <v>0</v>
      </c>
      <c r="G273" s="198">
        <v>0</v>
      </c>
      <c r="H273" s="198">
        <v>15</v>
      </c>
      <c r="I273" s="199">
        <f t="shared" si="64"/>
        <v>460000</v>
      </c>
      <c r="J273" s="199">
        <f t="shared" si="65"/>
        <v>60000</v>
      </c>
      <c r="K273" s="199">
        <f t="shared" si="66"/>
        <v>0</v>
      </c>
      <c r="L273" s="199">
        <f t="shared" si="67"/>
        <v>0</v>
      </c>
      <c r="M273" s="199">
        <f t="shared" si="68"/>
        <v>0</v>
      </c>
      <c r="N273" s="199">
        <f t="shared" si="69"/>
        <v>30000</v>
      </c>
      <c r="O273" s="200">
        <f t="shared" si="70"/>
        <v>520000</v>
      </c>
      <c r="P273" s="186" t="str">
        <f ca="1">IF(D273=0,'Виды прицепов'!$M$16,IF(D273=30,'Виды прицепов'!$M$17,'Виды прицепов'!$M$18))</f>
        <v>3800*1950*900</v>
      </c>
      <c r="Q273" s="186" t="str">
        <f ca="1">IF(D273=0,'Виды прицепов'!$N$16,IF(D273=30,'Виды прицепов'!$N$17,'Виды прицепов'!$N$18))</f>
        <v>3500*1500*300</v>
      </c>
      <c r="R273" s="201"/>
      <c r="S273" s="201"/>
      <c r="T273" s="201"/>
      <c r="U273" s="201"/>
      <c r="V273" s="201"/>
      <c r="W273" s="201"/>
      <c r="X273" s="201"/>
      <c r="Y273" s="201"/>
      <c r="Z273" s="201"/>
    </row>
    <row r="274" spans="1:26" ht="57.6" outlineLevel="2">
      <c r="A274" s="195" t="s">
        <v>5926</v>
      </c>
      <c r="B274" s="196" t="s">
        <v>5927</v>
      </c>
      <c r="C274" s="197" t="s">
        <v>375</v>
      </c>
      <c r="D274" s="198">
        <v>50</v>
      </c>
      <c r="E274" s="198">
        <v>0</v>
      </c>
      <c r="F274" s="198">
        <v>0</v>
      </c>
      <c r="G274" s="198">
        <v>0</v>
      </c>
      <c r="H274" s="198">
        <v>15</v>
      </c>
      <c r="I274" s="199">
        <f t="shared" si="64"/>
        <v>460000</v>
      </c>
      <c r="J274" s="199">
        <f t="shared" si="65"/>
        <v>70000</v>
      </c>
      <c r="K274" s="199">
        <f t="shared" si="66"/>
        <v>0</v>
      </c>
      <c r="L274" s="199">
        <f t="shared" si="67"/>
        <v>0</v>
      </c>
      <c r="M274" s="199">
        <f t="shared" si="68"/>
        <v>0</v>
      </c>
      <c r="N274" s="199">
        <f t="shared" si="69"/>
        <v>30000</v>
      </c>
      <c r="O274" s="200">
        <f t="shared" si="70"/>
        <v>530000</v>
      </c>
      <c r="P274" s="186" t="str">
        <f ca="1">IF(D274=0,'Виды прицепов'!$M$16,IF(D274=30,'Виды прицепов'!$M$17,'Виды прицепов'!$M$18))</f>
        <v>3800*1950*1200</v>
      </c>
      <c r="Q274" s="186" t="str">
        <f ca="1">IF(D274=0,'Виды прицепов'!$N$16,IF(D274=30,'Виды прицепов'!$N$17,'Виды прицепов'!$N$18))</f>
        <v>3500*1500*500</v>
      </c>
      <c r="R274" s="201"/>
      <c r="S274" s="201"/>
      <c r="T274" s="201"/>
      <c r="U274" s="201"/>
      <c r="V274" s="201"/>
      <c r="W274" s="201"/>
      <c r="X274" s="201"/>
      <c r="Y274" s="201"/>
      <c r="Z274" s="201"/>
    </row>
    <row r="275" spans="1:26" ht="72" outlineLevel="2">
      <c r="A275" s="195" t="s">
        <v>5928</v>
      </c>
      <c r="B275" s="196" t="s">
        <v>5929</v>
      </c>
      <c r="C275" s="197" t="s">
        <v>375</v>
      </c>
      <c r="D275" s="198">
        <v>30</v>
      </c>
      <c r="E275" s="198">
        <v>0</v>
      </c>
      <c r="F275" s="198">
        <v>0</v>
      </c>
      <c r="G275" s="198">
        <v>120</v>
      </c>
      <c r="H275" s="198">
        <v>15</v>
      </c>
      <c r="I275" s="199">
        <f t="shared" si="64"/>
        <v>460000</v>
      </c>
      <c r="J275" s="199">
        <f t="shared" si="65"/>
        <v>60000</v>
      </c>
      <c r="K275" s="199">
        <f t="shared" si="66"/>
        <v>0</v>
      </c>
      <c r="L275" s="199">
        <f t="shared" si="67"/>
        <v>0</v>
      </c>
      <c r="M275" s="199">
        <f t="shared" si="68"/>
        <v>130000</v>
      </c>
      <c r="N275" s="199">
        <f t="shared" si="69"/>
        <v>30000</v>
      </c>
      <c r="O275" s="200">
        <f t="shared" si="70"/>
        <v>650000</v>
      </c>
      <c r="P275" s="186" t="str">
        <f ca="1">IF(D275=0,'Виды прицепов'!$M$16,IF(D275=30,'Виды прицепов'!$M$17,'Виды прицепов'!$M$18))</f>
        <v>3800*1950*900</v>
      </c>
      <c r="Q275" s="186" t="str">
        <f ca="1">IF(D275=0,'Виды прицепов'!$N$16,IF(D275=30,'Виды прицепов'!$N$17,'Виды прицепов'!$N$18))</f>
        <v>3500*1500*300</v>
      </c>
      <c r="R275" s="201"/>
      <c r="S275" s="201"/>
      <c r="T275" s="201"/>
      <c r="U275" s="201"/>
      <c r="V275" s="201"/>
      <c r="W275" s="201"/>
      <c r="X275" s="201"/>
      <c r="Y275" s="201"/>
      <c r="Z275" s="201"/>
    </row>
    <row r="276" spans="1:26" ht="72" outlineLevel="2">
      <c r="A276" s="195" t="s">
        <v>5930</v>
      </c>
      <c r="B276" s="196" t="s">
        <v>5931</v>
      </c>
      <c r="C276" s="197" t="s">
        <v>375</v>
      </c>
      <c r="D276" s="198">
        <v>50</v>
      </c>
      <c r="E276" s="198">
        <v>0</v>
      </c>
      <c r="F276" s="198">
        <v>0</v>
      </c>
      <c r="G276" s="198">
        <v>120</v>
      </c>
      <c r="H276" s="198">
        <v>15</v>
      </c>
      <c r="I276" s="199">
        <f t="shared" si="64"/>
        <v>460000</v>
      </c>
      <c r="J276" s="199">
        <f t="shared" si="65"/>
        <v>70000</v>
      </c>
      <c r="K276" s="199">
        <f t="shared" si="66"/>
        <v>0</v>
      </c>
      <c r="L276" s="199">
        <f t="shared" si="67"/>
        <v>0</v>
      </c>
      <c r="M276" s="199">
        <f t="shared" si="68"/>
        <v>130000</v>
      </c>
      <c r="N276" s="199">
        <f t="shared" si="69"/>
        <v>30000</v>
      </c>
      <c r="O276" s="200">
        <f t="shared" si="70"/>
        <v>660000</v>
      </c>
      <c r="P276" s="186" t="str">
        <f ca="1">IF(D276=0,'Виды прицепов'!$M$16,IF(D276=30,'Виды прицепов'!$M$17,'Виды прицепов'!$M$18))</f>
        <v>3800*1950*1200</v>
      </c>
      <c r="Q276" s="186" t="str">
        <f ca="1">IF(D276=0,'Виды прицепов'!$N$16,IF(D276=30,'Виды прицепов'!$N$17,'Виды прицепов'!$N$18))</f>
        <v>3500*1500*500</v>
      </c>
      <c r="R276" s="201"/>
      <c r="S276" s="201"/>
      <c r="T276" s="201"/>
      <c r="U276" s="201"/>
      <c r="V276" s="201"/>
      <c r="W276" s="201"/>
      <c r="X276" s="201"/>
      <c r="Y276" s="201"/>
      <c r="Z276" s="201"/>
    </row>
    <row r="277" spans="1:26" ht="57.6" outlineLevel="2">
      <c r="A277" s="195" t="s">
        <v>5932</v>
      </c>
      <c r="B277" s="196" t="s">
        <v>5933</v>
      </c>
      <c r="C277" s="197" t="s">
        <v>375</v>
      </c>
      <c r="D277" s="198">
        <v>0</v>
      </c>
      <c r="E277" s="198">
        <v>15</v>
      </c>
      <c r="F277" s="198">
        <v>0</v>
      </c>
      <c r="G277" s="198">
        <v>0</v>
      </c>
      <c r="H277" s="198">
        <v>15</v>
      </c>
      <c r="I277" s="199">
        <f t="shared" si="64"/>
        <v>460000</v>
      </c>
      <c r="J277" s="199">
        <f t="shared" si="65"/>
        <v>0</v>
      </c>
      <c r="K277" s="199">
        <f t="shared" si="66"/>
        <v>50000</v>
      </c>
      <c r="L277" s="199">
        <f t="shared" si="67"/>
        <v>0</v>
      </c>
      <c r="M277" s="199">
        <f t="shared" si="68"/>
        <v>0</v>
      </c>
      <c r="N277" s="199">
        <f t="shared" si="69"/>
        <v>30000</v>
      </c>
      <c r="O277" s="200">
        <f t="shared" si="70"/>
        <v>510000</v>
      </c>
      <c r="P277" s="186" t="str">
        <f ca="1">IF(D277=0,'Виды прицепов'!$M$16,IF(D277=30,'Виды прицепов'!$M$17,'Виды прицепов'!$M$18))</f>
        <v>4650*1950*650</v>
      </c>
      <c r="Q277" s="186" t="str">
        <f ca="1">IF(D277=0,'Виды прицепов'!$N$16,IF(D277=30,'Виды прицепов'!$N$17,'Виды прицепов'!$N$18))</f>
        <v>3500*1500*0</v>
      </c>
      <c r="R277" s="201"/>
      <c r="S277" s="201"/>
      <c r="T277" s="201"/>
      <c r="U277" s="201"/>
      <c r="V277" s="201"/>
      <c r="W277" s="201"/>
      <c r="X277" s="201"/>
      <c r="Y277" s="201"/>
      <c r="Z277" s="201"/>
    </row>
    <row r="278" spans="1:26" ht="72" outlineLevel="2">
      <c r="A278" s="195" t="s">
        <v>5934</v>
      </c>
      <c r="B278" s="196" t="s">
        <v>5935</v>
      </c>
      <c r="C278" s="197" t="s">
        <v>375</v>
      </c>
      <c r="D278" s="198">
        <v>30</v>
      </c>
      <c r="E278" s="198">
        <v>15</v>
      </c>
      <c r="F278" s="198">
        <v>0</v>
      </c>
      <c r="G278" s="198">
        <v>0</v>
      </c>
      <c r="H278" s="198">
        <v>15</v>
      </c>
      <c r="I278" s="199">
        <f t="shared" si="64"/>
        <v>460000</v>
      </c>
      <c r="J278" s="199">
        <f t="shared" si="65"/>
        <v>60000</v>
      </c>
      <c r="K278" s="199">
        <f t="shared" si="66"/>
        <v>50000</v>
      </c>
      <c r="L278" s="199">
        <f t="shared" si="67"/>
        <v>0</v>
      </c>
      <c r="M278" s="199">
        <f t="shared" si="68"/>
        <v>0</v>
      </c>
      <c r="N278" s="199">
        <f t="shared" si="69"/>
        <v>30000</v>
      </c>
      <c r="O278" s="200">
        <f t="shared" si="70"/>
        <v>570000</v>
      </c>
      <c r="P278" s="186" t="str">
        <f ca="1">IF(D278=0,'Виды прицепов'!$M$16,IF(D278=30,'Виды прицепов'!$M$17,'Виды прицепов'!$M$18))</f>
        <v>3800*1950*900</v>
      </c>
      <c r="Q278" s="186" t="str">
        <f ca="1">IF(D278=0,'Виды прицепов'!$N$16,IF(D278=30,'Виды прицепов'!$N$17,'Виды прицепов'!$N$18))</f>
        <v>3500*1500*300</v>
      </c>
      <c r="R278" s="201"/>
      <c r="S278" s="201"/>
      <c r="T278" s="201"/>
      <c r="U278" s="201"/>
      <c r="V278" s="201"/>
      <c r="W278" s="201"/>
      <c r="X278" s="201"/>
      <c r="Y278" s="201"/>
      <c r="Z278" s="201"/>
    </row>
    <row r="279" spans="1:26" ht="72" outlineLevel="2">
      <c r="A279" s="195" t="s">
        <v>5936</v>
      </c>
      <c r="B279" s="196" t="s">
        <v>5937</v>
      </c>
      <c r="C279" s="197" t="s">
        <v>375</v>
      </c>
      <c r="D279" s="198">
        <v>50</v>
      </c>
      <c r="E279" s="198">
        <v>15</v>
      </c>
      <c r="F279" s="198">
        <v>0</v>
      </c>
      <c r="G279" s="198">
        <v>0</v>
      </c>
      <c r="H279" s="198">
        <v>15</v>
      </c>
      <c r="I279" s="199">
        <f t="shared" si="64"/>
        <v>460000</v>
      </c>
      <c r="J279" s="199">
        <f t="shared" si="65"/>
        <v>70000</v>
      </c>
      <c r="K279" s="199">
        <f t="shared" si="66"/>
        <v>50000</v>
      </c>
      <c r="L279" s="199">
        <f t="shared" si="67"/>
        <v>0</v>
      </c>
      <c r="M279" s="199">
        <f t="shared" si="68"/>
        <v>0</v>
      </c>
      <c r="N279" s="199">
        <f t="shared" si="69"/>
        <v>30000</v>
      </c>
      <c r="O279" s="200">
        <f t="shared" si="70"/>
        <v>580000</v>
      </c>
      <c r="P279" s="186" t="str">
        <f ca="1">IF(D279=0,'Виды прицепов'!$M$16,IF(D279=30,'Виды прицепов'!$M$17,'Виды прицепов'!$M$18))</f>
        <v>3800*1950*1200</v>
      </c>
      <c r="Q279" s="186" t="str">
        <f ca="1">IF(D279=0,'Виды прицепов'!$N$16,IF(D279=30,'Виды прицепов'!$N$17,'Виды прицепов'!$N$18))</f>
        <v>3500*1500*500</v>
      </c>
      <c r="R279" s="201"/>
      <c r="S279" s="201"/>
      <c r="T279" s="201"/>
      <c r="U279" s="201"/>
      <c r="V279" s="201"/>
      <c r="W279" s="201"/>
      <c r="X279" s="201"/>
      <c r="Y279" s="201"/>
      <c r="Z279" s="201"/>
    </row>
    <row r="280" spans="1:26" ht="57.6" outlineLevel="2">
      <c r="A280" s="195" t="s">
        <v>5938</v>
      </c>
      <c r="B280" s="196" t="s">
        <v>5939</v>
      </c>
      <c r="C280" s="197" t="s">
        <v>375</v>
      </c>
      <c r="D280" s="198">
        <v>0</v>
      </c>
      <c r="E280" s="198">
        <v>0</v>
      </c>
      <c r="F280" s="198" t="s">
        <v>5371</v>
      </c>
      <c r="G280" s="198">
        <v>0</v>
      </c>
      <c r="H280" s="198">
        <v>13</v>
      </c>
      <c r="I280" s="199">
        <f t="shared" si="64"/>
        <v>460000</v>
      </c>
      <c r="J280" s="199">
        <f t="shared" si="65"/>
        <v>0</v>
      </c>
      <c r="K280" s="199">
        <f t="shared" si="66"/>
        <v>0</v>
      </c>
      <c r="L280" s="199">
        <f t="shared" si="67"/>
        <v>10000</v>
      </c>
      <c r="M280" s="199">
        <f t="shared" si="68"/>
        <v>0</v>
      </c>
      <c r="N280" s="199">
        <f t="shared" si="69"/>
        <v>0</v>
      </c>
      <c r="O280" s="200">
        <f t="shared" si="70"/>
        <v>470000</v>
      </c>
      <c r="P280" s="186" t="str">
        <f ca="1">IF(D280=0,'Виды прицепов'!$M$16,IF(D280=30,'Виды прицепов'!$M$17,'Виды прицепов'!$M$18))</f>
        <v>4650*1950*650</v>
      </c>
      <c r="Q280" s="186" t="str">
        <f ca="1">IF(D280=0,'Виды прицепов'!$N$16,IF(D280=30,'Виды прицепов'!$N$17,'Виды прицепов'!$N$18))</f>
        <v>3500*1500*0</v>
      </c>
      <c r="R280" s="201"/>
      <c r="S280" s="201"/>
      <c r="T280" s="201"/>
      <c r="U280" s="201"/>
      <c r="V280" s="201"/>
      <c r="W280" s="201"/>
      <c r="X280" s="201"/>
      <c r="Y280" s="201"/>
      <c r="Z280" s="201"/>
    </row>
    <row r="281" spans="1:26" ht="57.6" outlineLevel="2">
      <c r="A281" s="195" t="s">
        <v>5940</v>
      </c>
      <c r="B281" s="196" t="s">
        <v>5941</v>
      </c>
      <c r="C281" s="197" t="s">
        <v>375</v>
      </c>
      <c r="D281" s="198">
        <v>30</v>
      </c>
      <c r="E281" s="198">
        <v>0</v>
      </c>
      <c r="F281" s="198" t="s">
        <v>5371</v>
      </c>
      <c r="G281" s="198">
        <v>0</v>
      </c>
      <c r="H281" s="198">
        <v>13</v>
      </c>
      <c r="I281" s="199">
        <f t="shared" si="64"/>
        <v>460000</v>
      </c>
      <c r="J281" s="199">
        <f t="shared" si="65"/>
        <v>60000</v>
      </c>
      <c r="K281" s="199">
        <f t="shared" si="66"/>
        <v>0</v>
      </c>
      <c r="L281" s="199">
        <f t="shared" si="67"/>
        <v>10000</v>
      </c>
      <c r="M281" s="199">
        <f t="shared" si="68"/>
        <v>0</v>
      </c>
      <c r="N281" s="199">
        <f t="shared" si="69"/>
        <v>0</v>
      </c>
      <c r="O281" s="200">
        <f t="shared" si="70"/>
        <v>530000</v>
      </c>
      <c r="P281" s="186" t="str">
        <f ca="1">IF(D281=0,'Виды прицепов'!$M$16,IF(D281=30,'Виды прицепов'!$M$17,'Виды прицепов'!$M$18))</f>
        <v>3800*1950*900</v>
      </c>
      <c r="Q281" s="186" t="str">
        <f ca="1">IF(D281=0,'Виды прицепов'!$N$16,IF(D281=30,'Виды прицепов'!$N$17,'Виды прицепов'!$N$18))</f>
        <v>3500*1500*300</v>
      </c>
      <c r="R281" s="201"/>
      <c r="S281" s="201"/>
      <c r="T281" s="201"/>
      <c r="U281" s="201"/>
      <c r="V281" s="201"/>
      <c r="W281" s="201"/>
      <c r="X281" s="201"/>
      <c r="Y281" s="201"/>
      <c r="Z281" s="201"/>
    </row>
    <row r="282" spans="1:26" ht="57.6" outlineLevel="2">
      <c r="A282" s="195" t="s">
        <v>5942</v>
      </c>
      <c r="B282" s="196" t="s">
        <v>5943</v>
      </c>
      <c r="C282" s="197" t="s">
        <v>375</v>
      </c>
      <c r="D282" s="198">
        <v>50</v>
      </c>
      <c r="E282" s="198">
        <v>0</v>
      </c>
      <c r="F282" s="198" t="s">
        <v>5371</v>
      </c>
      <c r="G282" s="198">
        <v>0</v>
      </c>
      <c r="H282" s="198">
        <v>13</v>
      </c>
      <c r="I282" s="199">
        <f t="shared" si="64"/>
        <v>460000</v>
      </c>
      <c r="J282" s="199">
        <f t="shared" si="65"/>
        <v>70000</v>
      </c>
      <c r="K282" s="199">
        <f t="shared" si="66"/>
        <v>0</v>
      </c>
      <c r="L282" s="199">
        <f t="shared" si="67"/>
        <v>10000</v>
      </c>
      <c r="M282" s="199">
        <f t="shared" si="68"/>
        <v>0</v>
      </c>
      <c r="N282" s="199">
        <f t="shared" si="69"/>
        <v>0</v>
      </c>
      <c r="O282" s="200">
        <f t="shared" si="70"/>
        <v>540000</v>
      </c>
      <c r="P282" s="186" t="str">
        <f ca="1">IF(D282=0,'Виды прицепов'!$M$16,IF(D282=30,'Виды прицепов'!$M$17,'Виды прицепов'!$M$18))</f>
        <v>3800*1950*1200</v>
      </c>
      <c r="Q282" s="186" t="str">
        <f ca="1">IF(D282=0,'Виды прицепов'!$N$16,IF(D282=30,'Виды прицепов'!$N$17,'Виды прицепов'!$N$18))</f>
        <v>3500*1500*500</v>
      </c>
      <c r="R282" s="201"/>
      <c r="S282" s="201"/>
      <c r="T282" s="201"/>
      <c r="U282" s="201"/>
      <c r="V282" s="201"/>
      <c r="W282" s="201"/>
      <c r="X282" s="201"/>
      <c r="Y282" s="201"/>
      <c r="Z282" s="201"/>
    </row>
    <row r="283" spans="1:26" ht="72" outlineLevel="2">
      <c r="A283" s="195" t="s">
        <v>5944</v>
      </c>
      <c r="B283" s="196" t="s">
        <v>5945</v>
      </c>
      <c r="C283" s="197" t="s">
        <v>375</v>
      </c>
      <c r="D283" s="198">
        <v>30</v>
      </c>
      <c r="E283" s="198">
        <v>0</v>
      </c>
      <c r="F283" s="198" t="s">
        <v>5371</v>
      </c>
      <c r="G283" s="198">
        <v>120</v>
      </c>
      <c r="H283" s="198">
        <v>13</v>
      </c>
      <c r="I283" s="199">
        <f t="shared" si="64"/>
        <v>460000</v>
      </c>
      <c r="J283" s="199">
        <f t="shared" si="65"/>
        <v>60000</v>
      </c>
      <c r="K283" s="199">
        <f t="shared" si="66"/>
        <v>0</v>
      </c>
      <c r="L283" s="199">
        <f t="shared" si="67"/>
        <v>10000</v>
      </c>
      <c r="M283" s="199">
        <f t="shared" si="68"/>
        <v>130000</v>
      </c>
      <c r="N283" s="199">
        <f t="shared" si="69"/>
        <v>0</v>
      </c>
      <c r="O283" s="200">
        <f t="shared" si="70"/>
        <v>660000</v>
      </c>
      <c r="P283" s="186" t="str">
        <f ca="1">IF(D283=0,'Виды прицепов'!$M$16,IF(D283=30,'Виды прицепов'!$M$17,'Виды прицепов'!$M$18))</f>
        <v>3800*1950*900</v>
      </c>
      <c r="Q283" s="186" t="str">
        <f ca="1">IF(D283=0,'Виды прицепов'!$N$16,IF(D283=30,'Виды прицепов'!$N$17,'Виды прицепов'!$N$18))</f>
        <v>3500*1500*300</v>
      </c>
      <c r="R283" s="201"/>
      <c r="S283" s="201"/>
      <c r="T283" s="201"/>
      <c r="U283" s="201"/>
      <c r="V283" s="201"/>
      <c r="W283" s="201"/>
      <c r="X283" s="201"/>
      <c r="Y283" s="201"/>
      <c r="Z283" s="201"/>
    </row>
    <row r="284" spans="1:26" ht="72" outlineLevel="2">
      <c r="A284" s="195" t="s">
        <v>5946</v>
      </c>
      <c r="B284" s="196" t="s">
        <v>5947</v>
      </c>
      <c r="C284" s="197" t="s">
        <v>375</v>
      </c>
      <c r="D284" s="198">
        <v>50</v>
      </c>
      <c r="E284" s="198">
        <v>0</v>
      </c>
      <c r="F284" s="198" t="s">
        <v>5371</v>
      </c>
      <c r="G284" s="198">
        <v>120</v>
      </c>
      <c r="H284" s="198">
        <v>13</v>
      </c>
      <c r="I284" s="199">
        <f t="shared" si="64"/>
        <v>460000</v>
      </c>
      <c r="J284" s="199">
        <f t="shared" si="65"/>
        <v>70000</v>
      </c>
      <c r="K284" s="199">
        <f t="shared" si="66"/>
        <v>0</v>
      </c>
      <c r="L284" s="199">
        <f t="shared" si="67"/>
        <v>10000</v>
      </c>
      <c r="M284" s="199">
        <f t="shared" si="68"/>
        <v>130000</v>
      </c>
      <c r="N284" s="199">
        <f t="shared" si="69"/>
        <v>0</v>
      </c>
      <c r="O284" s="200">
        <f t="shared" si="70"/>
        <v>670000</v>
      </c>
      <c r="P284" s="186" t="str">
        <f ca="1">IF(D284=0,'Виды прицепов'!$M$16,IF(D284=30,'Виды прицепов'!$M$17,'Виды прицепов'!$M$18))</f>
        <v>3800*1950*1200</v>
      </c>
      <c r="Q284" s="186" t="str">
        <f ca="1">IF(D284=0,'Виды прицепов'!$N$16,IF(D284=30,'Виды прицепов'!$N$17,'Виды прицепов'!$N$18))</f>
        <v>3500*1500*500</v>
      </c>
      <c r="R284" s="201"/>
      <c r="S284" s="201"/>
      <c r="T284" s="201"/>
      <c r="U284" s="201"/>
      <c r="V284" s="201"/>
      <c r="W284" s="201"/>
      <c r="X284" s="201"/>
      <c r="Y284" s="201"/>
      <c r="Z284" s="201"/>
    </row>
    <row r="285" spans="1:26" ht="57.6" outlineLevel="2">
      <c r="A285" s="195" t="s">
        <v>5948</v>
      </c>
      <c r="B285" s="196" t="s">
        <v>5949</v>
      </c>
      <c r="C285" s="197" t="s">
        <v>375</v>
      </c>
      <c r="D285" s="198">
        <v>0</v>
      </c>
      <c r="E285" s="198">
        <v>13</v>
      </c>
      <c r="F285" s="198" t="s">
        <v>5371</v>
      </c>
      <c r="G285" s="198">
        <v>0</v>
      </c>
      <c r="H285" s="198">
        <v>13</v>
      </c>
      <c r="I285" s="199">
        <f t="shared" si="64"/>
        <v>460000</v>
      </c>
      <c r="J285" s="199">
        <f t="shared" si="65"/>
        <v>0</v>
      </c>
      <c r="K285" s="199">
        <f t="shared" si="66"/>
        <v>30000</v>
      </c>
      <c r="L285" s="199">
        <f t="shared" si="67"/>
        <v>10000</v>
      </c>
      <c r="M285" s="199">
        <f t="shared" si="68"/>
        <v>0</v>
      </c>
      <c r="N285" s="199">
        <f t="shared" si="69"/>
        <v>0</v>
      </c>
      <c r="O285" s="200">
        <f t="shared" si="70"/>
        <v>500000</v>
      </c>
      <c r="P285" s="186" t="str">
        <f ca="1">IF(D285=0,'Виды прицепов'!$M$16,IF(D285=30,'Виды прицепов'!$M$17,'Виды прицепов'!$M$18))</f>
        <v>4650*1950*650</v>
      </c>
      <c r="Q285" s="186" t="str">
        <f ca="1">IF(D285=0,'Виды прицепов'!$N$16,IF(D285=30,'Виды прицепов'!$N$17,'Виды прицепов'!$N$18))</f>
        <v>3500*1500*0</v>
      </c>
      <c r="R285" s="201"/>
      <c r="S285" s="201"/>
      <c r="T285" s="201"/>
      <c r="U285" s="201"/>
      <c r="V285" s="201"/>
      <c r="W285" s="201"/>
      <c r="X285" s="201"/>
      <c r="Y285" s="201"/>
      <c r="Z285" s="201"/>
    </row>
    <row r="286" spans="1:26" ht="72" outlineLevel="2">
      <c r="A286" s="195" t="s">
        <v>5385</v>
      </c>
      <c r="B286" s="196" t="s">
        <v>5950</v>
      </c>
      <c r="C286" s="197" t="s">
        <v>375</v>
      </c>
      <c r="D286" s="198">
        <v>30</v>
      </c>
      <c r="E286" s="198">
        <v>13</v>
      </c>
      <c r="F286" s="198" t="s">
        <v>5371</v>
      </c>
      <c r="G286" s="198">
        <v>0</v>
      </c>
      <c r="H286" s="198">
        <v>13</v>
      </c>
      <c r="I286" s="199">
        <f t="shared" si="64"/>
        <v>460000</v>
      </c>
      <c r="J286" s="199">
        <f t="shared" si="65"/>
        <v>60000</v>
      </c>
      <c r="K286" s="199">
        <f t="shared" si="66"/>
        <v>30000</v>
      </c>
      <c r="L286" s="199">
        <f t="shared" si="67"/>
        <v>10000</v>
      </c>
      <c r="M286" s="199">
        <f t="shared" si="68"/>
        <v>0</v>
      </c>
      <c r="N286" s="199">
        <f t="shared" si="69"/>
        <v>0</v>
      </c>
      <c r="O286" s="200">
        <f t="shared" si="70"/>
        <v>560000</v>
      </c>
      <c r="P286" s="186" t="str">
        <f ca="1">IF(D286=0,'Виды прицепов'!$M$16,IF(D286=30,'Виды прицепов'!$M$17,'Виды прицепов'!$M$18))</f>
        <v>3800*1950*900</v>
      </c>
      <c r="Q286" s="186" t="str">
        <f ca="1">IF(D286=0,'Виды прицепов'!$N$16,IF(D286=30,'Виды прицепов'!$N$17,'Виды прицепов'!$N$18))</f>
        <v>3500*1500*300</v>
      </c>
      <c r="R286" s="201"/>
      <c r="S286" s="201"/>
      <c r="T286" s="201"/>
      <c r="U286" s="201"/>
      <c r="V286" s="201"/>
      <c r="W286" s="201"/>
      <c r="X286" s="201"/>
      <c r="Y286" s="201"/>
      <c r="Z286" s="201"/>
    </row>
    <row r="287" spans="1:26" ht="72" outlineLevel="2">
      <c r="A287" s="195" t="s">
        <v>5951</v>
      </c>
      <c r="B287" s="196" t="s">
        <v>5952</v>
      </c>
      <c r="C287" s="197" t="s">
        <v>375</v>
      </c>
      <c r="D287" s="198">
        <v>50</v>
      </c>
      <c r="E287" s="198">
        <v>13</v>
      </c>
      <c r="F287" s="198" t="s">
        <v>5371</v>
      </c>
      <c r="G287" s="198">
        <v>0</v>
      </c>
      <c r="H287" s="198">
        <v>13</v>
      </c>
      <c r="I287" s="199">
        <f t="shared" si="64"/>
        <v>460000</v>
      </c>
      <c r="J287" s="199">
        <f t="shared" si="65"/>
        <v>70000</v>
      </c>
      <c r="K287" s="199">
        <f t="shared" si="66"/>
        <v>30000</v>
      </c>
      <c r="L287" s="199">
        <f t="shared" si="67"/>
        <v>10000</v>
      </c>
      <c r="M287" s="199">
        <f t="shared" si="68"/>
        <v>0</v>
      </c>
      <c r="N287" s="199">
        <f t="shared" si="69"/>
        <v>0</v>
      </c>
      <c r="O287" s="200">
        <f t="shared" si="70"/>
        <v>570000</v>
      </c>
      <c r="P287" s="186" t="str">
        <f ca="1">IF(D287=0,'Виды прицепов'!$M$16,IF(D287=30,'Виды прицепов'!$M$17,'Виды прицепов'!$M$18))</f>
        <v>3800*1950*1200</v>
      </c>
      <c r="Q287" s="186" t="str">
        <f ca="1">IF(D287=0,'Виды прицепов'!$N$16,IF(D287=30,'Виды прицепов'!$N$17,'Виды прицепов'!$N$18))</f>
        <v>3500*1500*500</v>
      </c>
      <c r="R287" s="201"/>
      <c r="S287" s="201"/>
      <c r="T287" s="201"/>
      <c r="U287" s="201"/>
      <c r="V287" s="201"/>
      <c r="W287" s="201"/>
      <c r="X287" s="201"/>
      <c r="Y287" s="201"/>
      <c r="Z287" s="201"/>
    </row>
    <row r="288" spans="1:26" ht="57.6" outlineLevel="2">
      <c r="A288" s="195" t="s">
        <v>5953</v>
      </c>
      <c r="B288" s="196" t="s">
        <v>5954</v>
      </c>
      <c r="C288" s="197" t="s">
        <v>375</v>
      </c>
      <c r="D288" s="198">
        <v>0</v>
      </c>
      <c r="E288" s="198">
        <v>0</v>
      </c>
      <c r="F288" s="198" t="s">
        <v>5371</v>
      </c>
      <c r="G288" s="198">
        <v>0</v>
      </c>
      <c r="H288" s="198">
        <v>15</v>
      </c>
      <c r="I288" s="199">
        <f t="shared" si="64"/>
        <v>460000</v>
      </c>
      <c r="J288" s="199">
        <f t="shared" si="65"/>
        <v>0</v>
      </c>
      <c r="K288" s="199">
        <f t="shared" si="66"/>
        <v>0</v>
      </c>
      <c r="L288" s="199">
        <f t="shared" si="67"/>
        <v>10000</v>
      </c>
      <c r="M288" s="199">
        <f t="shared" si="68"/>
        <v>0</v>
      </c>
      <c r="N288" s="199">
        <f t="shared" si="69"/>
        <v>30000</v>
      </c>
      <c r="O288" s="200">
        <f t="shared" si="70"/>
        <v>470000</v>
      </c>
      <c r="P288" s="186" t="str">
        <f ca="1">IF(D288=0,'Виды прицепов'!$M$16,IF(D288=30,'Виды прицепов'!$M$17,'Виды прицепов'!$M$18))</f>
        <v>4650*1950*650</v>
      </c>
      <c r="Q288" s="186" t="str">
        <f ca="1">IF(D288=0,'Виды прицепов'!$N$16,IF(D288=30,'Виды прицепов'!$N$17,'Виды прицепов'!$N$18))</f>
        <v>3500*1500*0</v>
      </c>
      <c r="R288" s="201"/>
      <c r="S288" s="201"/>
      <c r="T288" s="201"/>
      <c r="U288" s="201"/>
      <c r="V288" s="201"/>
      <c r="W288" s="201"/>
      <c r="X288" s="201"/>
      <c r="Y288" s="201"/>
      <c r="Z288" s="201"/>
    </row>
    <row r="289" spans="1:26" ht="57.6" outlineLevel="2">
      <c r="A289" s="195" t="s">
        <v>5955</v>
      </c>
      <c r="B289" s="196" t="s">
        <v>5956</v>
      </c>
      <c r="C289" s="197" t="s">
        <v>375</v>
      </c>
      <c r="D289" s="198">
        <v>30</v>
      </c>
      <c r="E289" s="198">
        <v>0</v>
      </c>
      <c r="F289" s="198" t="s">
        <v>5371</v>
      </c>
      <c r="G289" s="198">
        <v>0</v>
      </c>
      <c r="H289" s="198">
        <v>15</v>
      </c>
      <c r="I289" s="199">
        <f t="shared" si="64"/>
        <v>460000</v>
      </c>
      <c r="J289" s="199">
        <f t="shared" si="65"/>
        <v>60000</v>
      </c>
      <c r="K289" s="199">
        <f t="shared" si="66"/>
        <v>0</v>
      </c>
      <c r="L289" s="199">
        <f t="shared" si="67"/>
        <v>10000</v>
      </c>
      <c r="M289" s="199">
        <f t="shared" si="68"/>
        <v>0</v>
      </c>
      <c r="N289" s="199">
        <f t="shared" si="69"/>
        <v>30000</v>
      </c>
      <c r="O289" s="200">
        <f t="shared" si="70"/>
        <v>530000</v>
      </c>
      <c r="P289" s="186" t="str">
        <f ca="1">IF(D289=0,'Виды прицепов'!$M$16,IF(D289=30,'Виды прицепов'!$M$17,'Виды прицепов'!$M$18))</f>
        <v>3800*1950*900</v>
      </c>
      <c r="Q289" s="186" t="str">
        <f ca="1">IF(D289=0,'Виды прицепов'!$N$16,IF(D289=30,'Виды прицепов'!$N$17,'Виды прицепов'!$N$18))</f>
        <v>3500*1500*300</v>
      </c>
      <c r="R289" s="201"/>
      <c r="S289" s="201"/>
      <c r="T289" s="201"/>
      <c r="U289" s="201"/>
      <c r="V289" s="201"/>
      <c r="W289" s="201"/>
      <c r="X289" s="201"/>
      <c r="Y289" s="201"/>
      <c r="Z289" s="201"/>
    </row>
    <row r="290" spans="1:26" ht="57.6" outlineLevel="2">
      <c r="A290" s="195" t="s">
        <v>5957</v>
      </c>
      <c r="B290" s="196" t="s">
        <v>5958</v>
      </c>
      <c r="C290" s="197" t="s">
        <v>375</v>
      </c>
      <c r="D290" s="198">
        <v>50</v>
      </c>
      <c r="E290" s="198">
        <v>0</v>
      </c>
      <c r="F290" s="198" t="s">
        <v>5371</v>
      </c>
      <c r="G290" s="198">
        <v>0</v>
      </c>
      <c r="H290" s="198">
        <v>15</v>
      </c>
      <c r="I290" s="199">
        <f t="shared" si="64"/>
        <v>460000</v>
      </c>
      <c r="J290" s="199">
        <f t="shared" si="65"/>
        <v>70000</v>
      </c>
      <c r="K290" s="199">
        <f t="shared" si="66"/>
        <v>0</v>
      </c>
      <c r="L290" s="199">
        <f t="shared" si="67"/>
        <v>10000</v>
      </c>
      <c r="M290" s="199">
        <f t="shared" si="68"/>
        <v>0</v>
      </c>
      <c r="N290" s="199">
        <f t="shared" si="69"/>
        <v>30000</v>
      </c>
      <c r="O290" s="200">
        <f t="shared" si="70"/>
        <v>540000</v>
      </c>
      <c r="P290" s="186" t="str">
        <f ca="1">IF(D290=0,'Виды прицепов'!$M$16,IF(D290=30,'Виды прицепов'!$M$17,'Виды прицепов'!$M$18))</f>
        <v>3800*1950*1200</v>
      </c>
      <c r="Q290" s="186" t="str">
        <f ca="1">IF(D290=0,'Виды прицепов'!$N$16,IF(D290=30,'Виды прицепов'!$N$17,'Виды прицепов'!$N$18))</f>
        <v>3500*1500*500</v>
      </c>
      <c r="R290" s="201"/>
      <c r="S290" s="201"/>
      <c r="T290" s="201"/>
      <c r="U290" s="201"/>
      <c r="V290" s="201"/>
      <c r="W290" s="201"/>
      <c r="X290" s="201"/>
      <c r="Y290" s="201"/>
      <c r="Z290" s="201"/>
    </row>
    <row r="291" spans="1:26" ht="72" outlineLevel="2">
      <c r="A291" s="195" t="s">
        <v>5959</v>
      </c>
      <c r="B291" s="196" t="s">
        <v>5960</v>
      </c>
      <c r="C291" s="197" t="s">
        <v>375</v>
      </c>
      <c r="D291" s="198">
        <v>30</v>
      </c>
      <c r="E291" s="198">
        <v>0</v>
      </c>
      <c r="F291" s="198" t="s">
        <v>5371</v>
      </c>
      <c r="G291" s="198">
        <v>120</v>
      </c>
      <c r="H291" s="198">
        <v>15</v>
      </c>
      <c r="I291" s="199">
        <f t="shared" si="64"/>
        <v>460000</v>
      </c>
      <c r="J291" s="199">
        <f t="shared" si="65"/>
        <v>60000</v>
      </c>
      <c r="K291" s="199">
        <f t="shared" si="66"/>
        <v>0</v>
      </c>
      <c r="L291" s="199">
        <f t="shared" si="67"/>
        <v>10000</v>
      </c>
      <c r="M291" s="199">
        <f t="shared" si="68"/>
        <v>130000</v>
      </c>
      <c r="N291" s="199">
        <f t="shared" si="69"/>
        <v>30000</v>
      </c>
      <c r="O291" s="200">
        <f t="shared" si="70"/>
        <v>660000</v>
      </c>
      <c r="P291" s="186" t="str">
        <f ca="1">IF(D291=0,'Виды прицепов'!$M$16,IF(D291=30,'Виды прицепов'!$M$17,'Виды прицепов'!$M$18))</f>
        <v>3800*1950*900</v>
      </c>
      <c r="Q291" s="186" t="str">
        <f ca="1">IF(D291=0,'Виды прицепов'!$N$16,IF(D291=30,'Виды прицепов'!$N$17,'Виды прицепов'!$N$18))</f>
        <v>3500*1500*300</v>
      </c>
      <c r="R291" s="201"/>
      <c r="S291" s="201"/>
      <c r="T291" s="201"/>
      <c r="U291" s="201"/>
      <c r="V291" s="201"/>
      <c r="W291" s="201"/>
      <c r="X291" s="201"/>
      <c r="Y291" s="201"/>
      <c r="Z291" s="201"/>
    </row>
    <row r="292" spans="1:26" ht="72" outlineLevel="2">
      <c r="A292" s="195" t="s">
        <v>5961</v>
      </c>
      <c r="B292" s="196" t="s">
        <v>5962</v>
      </c>
      <c r="C292" s="197" t="s">
        <v>375</v>
      </c>
      <c r="D292" s="198">
        <v>50</v>
      </c>
      <c r="E292" s="198">
        <v>0</v>
      </c>
      <c r="F292" s="198" t="s">
        <v>5371</v>
      </c>
      <c r="G292" s="198">
        <v>120</v>
      </c>
      <c r="H292" s="198">
        <v>15</v>
      </c>
      <c r="I292" s="199">
        <f t="shared" si="64"/>
        <v>460000</v>
      </c>
      <c r="J292" s="199">
        <f t="shared" si="65"/>
        <v>70000</v>
      </c>
      <c r="K292" s="199">
        <f t="shared" si="66"/>
        <v>0</v>
      </c>
      <c r="L292" s="199">
        <f t="shared" si="67"/>
        <v>10000</v>
      </c>
      <c r="M292" s="199">
        <f t="shared" si="68"/>
        <v>130000</v>
      </c>
      <c r="N292" s="199">
        <f t="shared" si="69"/>
        <v>30000</v>
      </c>
      <c r="O292" s="200">
        <f t="shared" si="70"/>
        <v>670000</v>
      </c>
      <c r="P292" s="186" t="str">
        <f ca="1">IF(D292=0,'Виды прицепов'!$M$16,IF(D292=30,'Виды прицепов'!$M$17,'Виды прицепов'!$M$18))</f>
        <v>3800*1950*1200</v>
      </c>
      <c r="Q292" s="186" t="str">
        <f ca="1">IF(D292=0,'Виды прицепов'!$N$16,IF(D292=30,'Виды прицепов'!$N$17,'Виды прицепов'!$N$18))</f>
        <v>3500*1500*500</v>
      </c>
      <c r="R292" s="201"/>
      <c r="S292" s="201"/>
      <c r="T292" s="201"/>
      <c r="U292" s="201"/>
      <c r="V292" s="201"/>
      <c r="W292" s="201"/>
      <c r="X292" s="201"/>
      <c r="Y292" s="201"/>
      <c r="Z292" s="201"/>
    </row>
    <row r="293" spans="1:26" ht="57.6" outlineLevel="2">
      <c r="A293" s="195" t="s">
        <v>5963</v>
      </c>
      <c r="B293" s="196" t="s">
        <v>5964</v>
      </c>
      <c r="C293" s="197" t="s">
        <v>375</v>
      </c>
      <c r="D293" s="198">
        <v>0</v>
      </c>
      <c r="E293" s="198">
        <v>15</v>
      </c>
      <c r="F293" s="198" t="s">
        <v>5371</v>
      </c>
      <c r="G293" s="198">
        <v>0</v>
      </c>
      <c r="H293" s="198">
        <v>15</v>
      </c>
      <c r="I293" s="199">
        <f t="shared" si="64"/>
        <v>460000</v>
      </c>
      <c r="J293" s="199">
        <f t="shared" si="65"/>
        <v>0</v>
      </c>
      <c r="K293" s="199">
        <f t="shared" si="66"/>
        <v>50000</v>
      </c>
      <c r="L293" s="199">
        <f t="shared" si="67"/>
        <v>10000</v>
      </c>
      <c r="M293" s="199">
        <f t="shared" si="68"/>
        <v>0</v>
      </c>
      <c r="N293" s="199">
        <f t="shared" si="69"/>
        <v>30000</v>
      </c>
      <c r="O293" s="200">
        <f t="shared" si="70"/>
        <v>520000</v>
      </c>
      <c r="P293" s="186" t="str">
        <f ca="1">IF(D293=0,'Виды прицепов'!$M$16,IF(D293=30,'Виды прицепов'!$M$17,'Виды прицепов'!$M$18))</f>
        <v>4650*1950*650</v>
      </c>
      <c r="Q293" s="186" t="str">
        <f ca="1">IF(D293=0,'Виды прицепов'!$N$16,IF(D293=30,'Виды прицепов'!$N$17,'Виды прицепов'!$N$18))</f>
        <v>3500*1500*0</v>
      </c>
      <c r="R293" s="201"/>
      <c r="S293" s="201"/>
      <c r="T293" s="201"/>
      <c r="U293" s="201"/>
      <c r="V293" s="201"/>
      <c r="W293" s="201"/>
      <c r="X293" s="201"/>
      <c r="Y293" s="201"/>
      <c r="Z293" s="201"/>
    </row>
    <row r="294" spans="1:26" ht="72" outlineLevel="2">
      <c r="A294" s="195" t="s">
        <v>5965</v>
      </c>
      <c r="B294" s="196" t="s">
        <v>5966</v>
      </c>
      <c r="C294" s="197" t="s">
        <v>375</v>
      </c>
      <c r="D294" s="198">
        <v>30</v>
      </c>
      <c r="E294" s="198">
        <v>15</v>
      </c>
      <c r="F294" s="198" t="s">
        <v>5371</v>
      </c>
      <c r="G294" s="198">
        <v>0</v>
      </c>
      <c r="H294" s="198">
        <v>15</v>
      </c>
      <c r="I294" s="199">
        <f t="shared" si="64"/>
        <v>460000</v>
      </c>
      <c r="J294" s="199">
        <f t="shared" si="65"/>
        <v>60000</v>
      </c>
      <c r="K294" s="199">
        <f t="shared" si="66"/>
        <v>50000</v>
      </c>
      <c r="L294" s="199">
        <f t="shared" si="67"/>
        <v>10000</v>
      </c>
      <c r="M294" s="199">
        <f t="shared" si="68"/>
        <v>0</v>
      </c>
      <c r="N294" s="199">
        <f t="shared" si="69"/>
        <v>30000</v>
      </c>
      <c r="O294" s="200">
        <f t="shared" si="70"/>
        <v>580000</v>
      </c>
      <c r="P294" s="186" t="str">
        <f ca="1">IF(D294=0,'Виды прицепов'!$M$16,IF(D294=30,'Виды прицепов'!$M$17,'Виды прицепов'!$M$18))</f>
        <v>3800*1950*900</v>
      </c>
      <c r="Q294" s="186" t="str">
        <f ca="1">IF(D294=0,'Виды прицепов'!$N$16,IF(D294=30,'Виды прицепов'!$N$17,'Виды прицепов'!$N$18))</f>
        <v>3500*1500*300</v>
      </c>
      <c r="R294" s="201"/>
      <c r="S294" s="201"/>
      <c r="T294" s="201"/>
      <c r="U294" s="201"/>
      <c r="V294" s="201"/>
      <c r="W294" s="201"/>
      <c r="X294" s="201"/>
      <c r="Y294" s="201"/>
      <c r="Z294" s="201"/>
    </row>
    <row r="295" spans="1:26" ht="72" outlineLevel="2">
      <c r="A295" s="195" t="s">
        <v>5967</v>
      </c>
      <c r="B295" s="196" t="s">
        <v>5968</v>
      </c>
      <c r="C295" s="197" t="s">
        <v>375</v>
      </c>
      <c r="D295" s="198">
        <v>50</v>
      </c>
      <c r="E295" s="198">
        <v>15</v>
      </c>
      <c r="F295" s="198" t="s">
        <v>5371</v>
      </c>
      <c r="G295" s="198">
        <v>0</v>
      </c>
      <c r="H295" s="198">
        <v>15</v>
      </c>
      <c r="I295" s="199">
        <f t="shared" si="64"/>
        <v>460000</v>
      </c>
      <c r="J295" s="199">
        <f t="shared" si="65"/>
        <v>70000</v>
      </c>
      <c r="K295" s="199">
        <f t="shared" si="66"/>
        <v>50000</v>
      </c>
      <c r="L295" s="199">
        <f t="shared" si="67"/>
        <v>10000</v>
      </c>
      <c r="M295" s="199">
        <f t="shared" si="68"/>
        <v>0</v>
      </c>
      <c r="N295" s="199">
        <f t="shared" si="69"/>
        <v>30000</v>
      </c>
      <c r="O295" s="200">
        <f t="shared" si="70"/>
        <v>590000</v>
      </c>
      <c r="P295" s="186" t="str">
        <f ca="1">IF(D295=0,'Виды прицепов'!$M$16,IF(D295=30,'Виды прицепов'!$M$17,'Виды прицепов'!$M$18))</f>
        <v>3800*1950*1200</v>
      </c>
      <c r="Q295" s="186" t="str">
        <f ca="1">IF(D295=0,'Виды прицепов'!$N$16,IF(D295=30,'Виды прицепов'!$N$17,'Виды прицепов'!$N$18))</f>
        <v>3500*1500*500</v>
      </c>
      <c r="R295" s="201"/>
      <c r="S295" s="201"/>
      <c r="T295" s="201"/>
      <c r="U295" s="201"/>
      <c r="V295" s="201"/>
      <c r="W295" s="201"/>
      <c r="X295" s="201"/>
      <c r="Y295" s="201"/>
      <c r="Z295" s="201"/>
    </row>
    <row r="296" spans="1:26" ht="72" outlineLevel="2">
      <c r="A296" s="195" t="s">
        <v>5969</v>
      </c>
      <c r="B296" s="196" t="s">
        <v>5970</v>
      </c>
      <c r="C296" s="197" t="s">
        <v>375</v>
      </c>
      <c r="D296" s="198">
        <v>30</v>
      </c>
      <c r="E296" s="198">
        <v>13</v>
      </c>
      <c r="F296" s="198">
        <v>0</v>
      </c>
      <c r="G296" s="198">
        <v>120</v>
      </c>
      <c r="H296" s="198">
        <v>13</v>
      </c>
      <c r="I296" s="199">
        <f t="shared" si="64"/>
        <v>460000</v>
      </c>
      <c r="J296" s="199">
        <f t="shared" si="65"/>
        <v>60000</v>
      </c>
      <c r="K296" s="199">
        <f t="shared" si="66"/>
        <v>30000</v>
      </c>
      <c r="L296" s="199">
        <f t="shared" si="67"/>
        <v>0</v>
      </c>
      <c r="M296" s="199">
        <f t="shared" si="68"/>
        <v>130000</v>
      </c>
      <c r="N296" s="199">
        <f t="shared" si="69"/>
        <v>0</v>
      </c>
      <c r="O296" s="200">
        <f t="shared" si="70"/>
        <v>680000</v>
      </c>
      <c r="P296" s="186" t="str">
        <f ca="1">IF(D296=0,'Виды прицепов'!$M$16,IF(D296=30,'Виды прицепов'!$M$17,'Виды прицепов'!$M$18))</f>
        <v>3800*1950*900</v>
      </c>
      <c r="Q296" s="186" t="str">
        <f ca="1">IF(D296=0,'Виды прицепов'!$N$16,IF(D296=30,'Виды прицепов'!$N$17,'Виды прицепов'!$N$18))</f>
        <v>3500*1500*300</v>
      </c>
      <c r="R296" s="201"/>
      <c r="S296" s="201"/>
      <c r="T296" s="201"/>
      <c r="U296" s="201"/>
      <c r="V296" s="201"/>
      <c r="W296" s="201"/>
      <c r="X296" s="201"/>
      <c r="Y296" s="201"/>
      <c r="Z296" s="201"/>
    </row>
    <row r="297" spans="1:26" ht="72" outlineLevel="2">
      <c r="A297" s="195" t="s">
        <v>5971</v>
      </c>
      <c r="B297" s="196" t="s">
        <v>5972</v>
      </c>
      <c r="C297" s="197" t="s">
        <v>375</v>
      </c>
      <c r="D297" s="198">
        <v>50</v>
      </c>
      <c r="E297" s="198">
        <v>13</v>
      </c>
      <c r="F297" s="198">
        <v>0</v>
      </c>
      <c r="G297" s="198">
        <v>120</v>
      </c>
      <c r="H297" s="198">
        <v>13</v>
      </c>
      <c r="I297" s="199">
        <f t="shared" si="64"/>
        <v>460000</v>
      </c>
      <c r="J297" s="199">
        <f t="shared" si="65"/>
        <v>70000</v>
      </c>
      <c r="K297" s="199">
        <f t="shared" si="66"/>
        <v>30000</v>
      </c>
      <c r="L297" s="199">
        <f t="shared" si="67"/>
        <v>0</v>
      </c>
      <c r="M297" s="199">
        <f t="shared" si="68"/>
        <v>130000</v>
      </c>
      <c r="N297" s="199">
        <f t="shared" si="69"/>
        <v>0</v>
      </c>
      <c r="O297" s="200">
        <f t="shared" si="70"/>
        <v>690000</v>
      </c>
      <c r="P297" s="186" t="str">
        <f ca="1">IF(D297=0,'Виды прицепов'!$M$16,IF(D297=30,'Виды прицепов'!$M$17,'Виды прицепов'!$M$18))</f>
        <v>3800*1950*1200</v>
      </c>
      <c r="Q297" s="186" t="str">
        <f ca="1">IF(D297=0,'Виды прицепов'!$N$16,IF(D297=30,'Виды прицепов'!$N$17,'Виды прицепов'!$N$18))</f>
        <v>3500*1500*500</v>
      </c>
      <c r="R297" s="201"/>
      <c r="S297" s="201"/>
      <c r="T297" s="201"/>
      <c r="U297" s="201"/>
      <c r="V297" s="201"/>
      <c r="W297" s="201"/>
      <c r="X297" s="201"/>
      <c r="Y297" s="201"/>
      <c r="Z297" s="201"/>
    </row>
    <row r="298" spans="1:26" ht="72" outlineLevel="2">
      <c r="A298" s="195" t="s">
        <v>5973</v>
      </c>
      <c r="B298" s="196" t="s">
        <v>5974</v>
      </c>
      <c r="C298" s="197" t="s">
        <v>375</v>
      </c>
      <c r="D298" s="198">
        <v>30</v>
      </c>
      <c r="E298" s="198">
        <v>15</v>
      </c>
      <c r="F298" s="198">
        <v>0</v>
      </c>
      <c r="G298" s="198">
        <v>120</v>
      </c>
      <c r="H298" s="198">
        <v>15</v>
      </c>
      <c r="I298" s="199">
        <f t="shared" si="64"/>
        <v>460000</v>
      </c>
      <c r="J298" s="199">
        <f t="shared" si="65"/>
        <v>60000</v>
      </c>
      <c r="K298" s="199">
        <f t="shared" si="66"/>
        <v>50000</v>
      </c>
      <c r="L298" s="199">
        <f t="shared" si="67"/>
        <v>0</v>
      </c>
      <c r="M298" s="199">
        <f t="shared" si="68"/>
        <v>130000</v>
      </c>
      <c r="N298" s="199">
        <f t="shared" si="69"/>
        <v>30000</v>
      </c>
      <c r="O298" s="200">
        <f t="shared" si="70"/>
        <v>700000</v>
      </c>
      <c r="P298" s="186" t="str">
        <f ca="1">IF(D298=0,'Виды прицепов'!$M$16,IF(D298=30,'Виды прицепов'!$M$17,'Виды прицепов'!$M$18))</f>
        <v>3800*1950*900</v>
      </c>
      <c r="Q298" s="186" t="str">
        <f ca="1">IF(D298=0,'Виды прицепов'!$N$16,IF(D298=30,'Виды прицепов'!$N$17,'Виды прицепов'!$N$18))</f>
        <v>3500*1500*300</v>
      </c>
      <c r="R298" s="201"/>
      <c r="S298" s="201"/>
      <c r="T298" s="201"/>
      <c r="U298" s="201"/>
      <c r="V298" s="201"/>
      <c r="W298" s="201"/>
      <c r="X298" s="201"/>
      <c r="Y298" s="201"/>
      <c r="Z298" s="201"/>
    </row>
    <row r="299" spans="1:26" ht="72" outlineLevel="2">
      <c r="A299" s="195" t="s">
        <v>5975</v>
      </c>
      <c r="B299" s="196" t="s">
        <v>5976</v>
      </c>
      <c r="C299" s="197" t="s">
        <v>375</v>
      </c>
      <c r="D299" s="198">
        <v>50</v>
      </c>
      <c r="E299" s="198">
        <v>15</v>
      </c>
      <c r="F299" s="198">
        <v>0</v>
      </c>
      <c r="G299" s="198">
        <v>120</v>
      </c>
      <c r="H299" s="198">
        <v>15</v>
      </c>
      <c r="I299" s="199">
        <f t="shared" si="64"/>
        <v>460000</v>
      </c>
      <c r="J299" s="199">
        <f t="shared" si="65"/>
        <v>70000</v>
      </c>
      <c r="K299" s="199">
        <f t="shared" si="66"/>
        <v>50000</v>
      </c>
      <c r="L299" s="199">
        <f t="shared" si="67"/>
        <v>0</v>
      </c>
      <c r="M299" s="199">
        <f t="shared" si="68"/>
        <v>130000</v>
      </c>
      <c r="N299" s="199">
        <f t="shared" si="69"/>
        <v>30000</v>
      </c>
      <c r="O299" s="200">
        <f t="shared" si="70"/>
        <v>710000</v>
      </c>
      <c r="P299" s="186" t="str">
        <f ca="1">IF(D299=0,'Виды прицепов'!$M$16,IF(D299=30,'Виды прицепов'!$M$17,'Виды прицепов'!$M$18))</f>
        <v>3800*1950*1200</v>
      </c>
      <c r="Q299" s="186" t="str">
        <f ca="1">IF(D299=0,'Виды прицепов'!$N$16,IF(D299=30,'Виды прицепов'!$N$17,'Виды прицепов'!$N$18))</f>
        <v>3500*1500*500</v>
      </c>
      <c r="R299" s="201"/>
      <c r="S299" s="201"/>
      <c r="T299" s="201"/>
      <c r="U299" s="201"/>
      <c r="V299" s="201"/>
      <c r="W299" s="201"/>
      <c r="X299" s="201"/>
      <c r="Y299" s="201"/>
      <c r="Z299" s="201"/>
    </row>
    <row r="300" spans="1:26" ht="72" outlineLevel="2">
      <c r="A300" s="195" t="s">
        <v>5977</v>
      </c>
      <c r="B300" s="196" t="s">
        <v>5978</v>
      </c>
      <c r="C300" s="197" t="s">
        <v>375</v>
      </c>
      <c r="D300" s="198">
        <v>30</v>
      </c>
      <c r="E300" s="198">
        <v>13</v>
      </c>
      <c r="F300" s="198" t="s">
        <v>5371</v>
      </c>
      <c r="G300" s="198">
        <v>120</v>
      </c>
      <c r="H300" s="198">
        <v>13</v>
      </c>
      <c r="I300" s="199">
        <f t="shared" si="64"/>
        <v>460000</v>
      </c>
      <c r="J300" s="199">
        <f t="shared" si="65"/>
        <v>60000</v>
      </c>
      <c r="K300" s="199">
        <f t="shared" si="66"/>
        <v>30000</v>
      </c>
      <c r="L300" s="199">
        <f t="shared" si="67"/>
        <v>10000</v>
      </c>
      <c r="M300" s="199">
        <f t="shared" si="68"/>
        <v>130000</v>
      </c>
      <c r="N300" s="199">
        <f t="shared" si="69"/>
        <v>0</v>
      </c>
      <c r="O300" s="200">
        <f t="shared" si="70"/>
        <v>690000</v>
      </c>
      <c r="P300" s="186" t="str">
        <f ca="1">IF(D300=0,'Виды прицепов'!$M$16,IF(D300=30,'Виды прицепов'!$M$17,'Виды прицепов'!$M$18))</f>
        <v>3800*1950*900</v>
      </c>
      <c r="Q300" s="186" t="str">
        <f ca="1">IF(D300=0,'Виды прицепов'!$N$16,IF(D300=30,'Виды прицепов'!$N$17,'Виды прицепов'!$N$18))</f>
        <v>3500*1500*300</v>
      </c>
      <c r="R300" s="201"/>
      <c r="S300" s="201"/>
      <c r="T300" s="201"/>
      <c r="U300" s="201"/>
      <c r="V300" s="201"/>
      <c r="W300" s="201"/>
      <c r="X300" s="201"/>
      <c r="Y300" s="201"/>
      <c r="Z300" s="201"/>
    </row>
    <row r="301" spans="1:26" ht="72" outlineLevel="2">
      <c r="A301" s="195" t="s">
        <v>5979</v>
      </c>
      <c r="B301" s="196" t="s">
        <v>5980</v>
      </c>
      <c r="C301" s="197" t="s">
        <v>375</v>
      </c>
      <c r="D301" s="198">
        <v>50</v>
      </c>
      <c r="E301" s="198">
        <v>13</v>
      </c>
      <c r="F301" s="198" t="s">
        <v>5371</v>
      </c>
      <c r="G301" s="198">
        <v>120</v>
      </c>
      <c r="H301" s="198">
        <v>13</v>
      </c>
      <c r="I301" s="199">
        <f t="shared" si="64"/>
        <v>460000</v>
      </c>
      <c r="J301" s="199">
        <f t="shared" si="65"/>
        <v>70000</v>
      </c>
      <c r="K301" s="199">
        <f t="shared" si="66"/>
        <v>30000</v>
      </c>
      <c r="L301" s="199">
        <f t="shared" si="67"/>
        <v>10000</v>
      </c>
      <c r="M301" s="199">
        <f t="shared" si="68"/>
        <v>130000</v>
      </c>
      <c r="N301" s="199">
        <f t="shared" si="69"/>
        <v>0</v>
      </c>
      <c r="O301" s="200">
        <f t="shared" si="70"/>
        <v>700000</v>
      </c>
      <c r="P301" s="186" t="str">
        <f ca="1">IF(D301=0,'Виды прицепов'!$M$16,IF(D301=30,'Виды прицепов'!$M$17,'Виды прицепов'!$M$18))</f>
        <v>3800*1950*1200</v>
      </c>
      <c r="Q301" s="186" t="str">
        <f ca="1">IF(D301=0,'Виды прицепов'!$N$16,IF(D301=30,'Виды прицепов'!$N$17,'Виды прицепов'!$N$18))</f>
        <v>3500*1500*500</v>
      </c>
      <c r="R301" s="201"/>
      <c r="S301" s="201"/>
      <c r="T301" s="201"/>
      <c r="U301" s="201"/>
      <c r="V301" s="201"/>
      <c r="W301" s="201"/>
      <c r="X301" s="201"/>
      <c r="Y301" s="201"/>
      <c r="Z301" s="201"/>
    </row>
    <row r="302" spans="1:26" ht="72" outlineLevel="2">
      <c r="A302" s="195" t="s">
        <v>5981</v>
      </c>
      <c r="B302" s="196" t="s">
        <v>5982</v>
      </c>
      <c r="C302" s="197" t="s">
        <v>375</v>
      </c>
      <c r="D302" s="198">
        <v>30</v>
      </c>
      <c r="E302" s="198">
        <v>15</v>
      </c>
      <c r="F302" s="198" t="s">
        <v>5371</v>
      </c>
      <c r="G302" s="198">
        <v>120</v>
      </c>
      <c r="H302" s="198">
        <v>15</v>
      </c>
      <c r="I302" s="199">
        <f t="shared" si="64"/>
        <v>460000</v>
      </c>
      <c r="J302" s="199">
        <f t="shared" si="65"/>
        <v>60000</v>
      </c>
      <c r="K302" s="199">
        <f t="shared" si="66"/>
        <v>50000</v>
      </c>
      <c r="L302" s="199">
        <f t="shared" si="67"/>
        <v>10000</v>
      </c>
      <c r="M302" s="199">
        <f t="shared" si="68"/>
        <v>130000</v>
      </c>
      <c r="N302" s="199">
        <f t="shared" si="69"/>
        <v>30000</v>
      </c>
      <c r="O302" s="200">
        <f t="shared" si="70"/>
        <v>710000</v>
      </c>
      <c r="P302" s="186" t="str">
        <f ca="1">IF(D302=0,'Виды прицепов'!$M$16,IF(D302=30,'Виды прицепов'!$M$17,'Виды прицепов'!$M$18))</f>
        <v>3800*1950*900</v>
      </c>
      <c r="Q302" s="186" t="str">
        <f ca="1">IF(D302=0,'Виды прицепов'!$N$16,IF(D302=30,'Виды прицепов'!$N$17,'Виды прицепов'!$N$18))</f>
        <v>3500*1500*300</v>
      </c>
      <c r="R302" s="201"/>
      <c r="S302" s="201"/>
      <c r="T302" s="201"/>
      <c r="U302" s="201"/>
      <c r="V302" s="201"/>
      <c r="W302" s="201"/>
      <c r="X302" s="201"/>
      <c r="Y302" s="201"/>
      <c r="Z302" s="201"/>
    </row>
    <row r="303" spans="1:26" ht="72" outlineLevel="2">
      <c r="A303" s="195" t="s">
        <v>5983</v>
      </c>
      <c r="B303" s="196" t="s">
        <v>5984</v>
      </c>
      <c r="C303" s="197" t="s">
        <v>375</v>
      </c>
      <c r="D303" s="198">
        <v>50</v>
      </c>
      <c r="E303" s="198">
        <v>15</v>
      </c>
      <c r="F303" s="198" t="s">
        <v>5371</v>
      </c>
      <c r="G303" s="198">
        <v>120</v>
      </c>
      <c r="H303" s="198">
        <v>15</v>
      </c>
      <c r="I303" s="199">
        <f t="shared" si="64"/>
        <v>460000</v>
      </c>
      <c r="J303" s="199">
        <f t="shared" si="65"/>
        <v>70000</v>
      </c>
      <c r="K303" s="199">
        <f t="shared" si="66"/>
        <v>50000</v>
      </c>
      <c r="L303" s="199">
        <f t="shared" si="67"/>
        <v>10000</v>
      </c>
      <c r="M303" s="199">
        <f t="shared" si="68"/>
        <v>130000</v>
      </c>
      <c r="N303" s="199">
        <f t="shared" si="69"/>
        <v>30000</v>
      </c>
      <c r="O303" s="200">
        <f t="shared" si="70"/>
        <v>720000</v>
      </c>
      <c r="P303" s="186" t="str">
        <f ca="1">IF(D303=0,'Виды прицепов'!$M$16,IF(D303=30,'Виды прицепов'!$M$17,'Виды прицепов'!$M$18))</f>
        <v>3800*1950*1200</v>
      </c>
      <c r="Q303" s="186" t="str">
        <f ca="1">IF(D303=0,'Виды прицепов'!$N$16,IF(D303=30,'Виды прицепов'!$N$17,'Виды прицепов'!$N$18))</f>
        <v>3500*1500*500</v>
      </c>
      <c r="R303" s="201"/>
      <c r="S303" s="201"/>
      <c r="T303" s="201"/>
      <c r="U303" s="201"/>
      <c r="V303" s="201"/>
      <c r="W303" s="201"/>
      <c r="X303" s="201"/>
      <c r="Y303" s="201"/>
      <c r="Z303" s="201"/>
    </row>
    <row r="304" spans="1:26" ht="14.4" outlineLevel="1">
      <c r="A304" s="175" t="s">
        <v>5985</v>
      </c>
      <c r="B304" s="176"/>
      <c r="C304" s="177"/>
      <c r="D304" s="178"/>
      <c r="E304" s="178"/>
      <c r="F304" s="178"/>
      <c r="G304" s="178"/>
      <c r="H304" s="178"/>
      <c r="I304" s="179"/>
      <c r="J304" s="179"/>
      <c r="K304" s="179"/>
      <c r="L304" s="179"/>
      <c r="M304" s="179"/>
      <c r="N304" s="179"/>
      <c r="O304" s="193"/>
      <c r="P304" s="173"/>
      <c r="Q304" s="173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 spans="1:17" ht="57.6" outlineLevel="2">
      <c r="A305" s="203" t="s">
        <v>5986</v>
      </c>
      <c r="B305" s="204" t="s">
        <v>5987</v>
      </c>
      <c r="C305" s="205" t="s">
        <v>5985</v>
      </c>
      <c r="D305" s="128">
        <v>0</v>
      </c>
      <c r="E305" s="128">
        <v>0</v>
      </c>
      <c r="F305" s="128">
        <v>0</v>
      </c>
      <c r="G305" s="128">
        <v>0</v>
      </c>
      <c r="H305" s="206">
        <v>13</v>
      </c>
      <c r="I305" s="117">
        <f t="shared" ref="I305:I344" si="71">VLOOKUP(C305,Платформа,2,0)</f>
        <v>510000</v>
      </c>
      <c r="J305" s="117">
        <f t="shared" ref="J305:J344" si="72">VLOOKUP(D305,борт_4015,2)</f>
        <v>0</v>
      </c>
      <c r="K305" s="117">
        <f t="shared" ref="K305:K344" si="73">VLOOKUP(E305,колесо,2,0)</f>
        <v>0</v>
      </c>
      <c r="L305" s="117">
        <f t="shared" ref="L305:L344" si="74">VLOOKUP(F305,опорное_колесо,2,0)</f>
        <v>0</v>
      </c>
      <c r="M305" s="117">
        <f t="shared" ref="M305:M344" si="75">VLOOKUP(G305,тент_4015,2,0)</f>
        <v>0</v>
      </c>
      <c r="N305" s="207">
        <f t="shared" ref="N305:N344" si="76">VLOOKUP(H305,ступица,2,0)</f>
        <v>0</v>
      </c>
      <c r="O305" s="208">
        <f t="shared" ref="O305:O344" si="77">SUM(I305:M305)</f>
        <v>510000</v>
      </c>
      <c r="P305" s="186" t="str">
        <f ca="1">IF(D305=0,'Виды прицепов'!$M$19,IF(D305=30,'Виды прицепов'!$M$20,'Виды прицепов'!$M$21))</f>
        <v>5150*1950*650</v>
      </c>
      <c r="Q305" s="186" t="str">
        <f ca="1">IF(D305=0,'Виды прицепов'!$N$19,IF(D305=30,'Виды прицепов'!$N$20,'Виды прицепов'!$N$21))</f>
        <v>4000*1500*0</v>
      </c>
    </row>
    <row r="306" spans="1:17" ht="57.6" outlineLevel="2">
      <c r="A306" s="203" t="s">
        <v>5988</v>
      </c>
      <c r="B306" s="204" t="s">
        <v>5989</v>
      </c>
      <c r="C306" s="205" t="s">
        <v>5985</v>
      </c>
      <c r="D306" s="128">
        <v>30</v>
      </c>
      <c r="E306" s="128">
        <v>0</v>
      </c>
      <c r="F306" s="128">
        <v>0</v>
      </c>
      <c r="G306" s="128">
        <v>0</v>
      </c>
      <c r="H306" s="206">
        <v>13</v>
      </c>
      <c r="I306" s="117">
        <f t="shared" si="71"/>
        <v>510000</v>
      </c>
      <c r="J306" s="117">
        <f t="shared" si="72"/>
        <v>70000</v>
      </c>
      <c r="K306" s="117">
        <f t="shared" si="73"/>
        <v>0</v>
      </c>
      <c r="L306" s="117">
        <f t="shared" si="74"/>
        <v>0</v>
      </c>
      <c r="M306" s="117">
        <f t="shared" si="75"/>
        <v>0</v>
      </c>
      <c r="N306" s="207">
        <f t="shared" si="76"/>
        <v>0</v>
      </c>
      <c r="O306" s="208">
        <f t="shared" si="77"/>
        <v>580000</v>
      </c>
      <c r="P306" s="186" t="str">
        <f ca="1">IF(D306=0,'Виды прицепов'!$M$19,IF(D306=30,'Виды прицепов'!$M$20,'Виды прицепов'!$M$21))</f>
        <v>3800*1950*900</v>
      </c>
      <c r="Q306" s="186" t="str">
        <f ca="1">IF(D306=0,'Виды прицепов'!$N$19,IF(D306=30,'Виды прицепов'!$N$20,'Виды прицепов'!$N$21))</f>
        <v>4000*1500*300</v>
      </c>
    </row>
    <row r="307" spans="1:17" ht="57.6" outlineLevel="2">
      <c r="A307" s="203" t="s">
        <v>5990</v>
      </c>
      <c r="B307" s="204" t="s">
        <v>5991</v>
      </c>
      <c r="C307" s="205" t="s">
        <v>5985</v>
      </c>
      <c r="D307" s="128">
        <v>50</v>
      </c>
      <c r="E307" s="128">
        <v>0</v>
      </c>
      <c r="F307" s="128">
        <v>0</v>
      </c>
      <c r="G307" s="128">
        <v>0</v>
      </c>
      <c r="H307" s="206">
        <v>13</v>
      </c>
      <c r="I307" s="117">
        <f t="shared" si="71"/>
        <v>510000</v>
      </c>
      <c r="J307" s="117">
        <f t="shared" si="72"/>
        <v>80000</v>
      </c>
      <c r="K307" s="117">
        <f t="shared" si="73"/>
        <v>0</v>
      </c>
      <c r="L307" s="117">
        <f t="shared" si="74"/>
        <v>0</v>
      </c>
      <c r="M307" s="117">
        <f t="shared" si="75"/>
        <v>0</v>
      </c>
      <c r="N307" s="207">
        <f t="shared" si="76"/>
        <v>0</v>
      </c>
      <c r="O307" s="208">
        <f t="shared" si="77"/>
        <v>590000</v>
      </c>
      <c r="P307" s="186" t="str">
        <f ca="1">IF(D307=0,'Виды прицепов'!$M$19,IF(D307=30,'Виды прицепов'!$M$20,'Виды прицепов'!$M$21))</f>
        <v>3800*1950*1200</v>
      </c>
      <c r="Q307" s="186" t="str">
        <f ca="1">IF(D307=0,'Виды прицепов'!$N$19,IF(D307=30,'Виды прицепов'!$N$20,'Виды прицепов'!$N$21))</f>
        <v>4000*1500*500</v>
      </c>
    </row>
    <row r="308" spans="1:17" ht="72" outlineLevel="2">
      <c r="A308" s="203" t="s">
        <v>5992</v>
      </c>
      <c r="B308" s="204" t="s">
        <v>5993</v>
      </c>
      <c r="C308" s="205" t="s">
        <v>5985</v>
      </c>
      <c r="D308" s="128">
        <v>30</v>
      </c>
      <c r="E308" s="128">
        <v>0</v>
      </c>
      <c r="F308" s="128">
        <v>0</v>
      </c>
      <c r="G308" s="128">
        <v>120</v>
      </c>
      <c r="H308" s="206">
        <v>13</v>
      </c>
      <c r="I308" s="117">
        <f t="shared" si="71"/>
        <v>510000</v>
      </c>
      <c r="J308" s="117">
        <f t="shared" si="72"/>
        <v>70000</v>
      </c>
      <c r="K308" s="117">
        <f t="shared" si="73"/>
        <v>0</v>
      </c>
      <c r="L308" s="117">
        <f t="shared" si="74"/>
        <v>0</v>
      </c>
      <c r="M308" s="117">
        <f t="shared" si="75"/>
        <v>150000</v>
      </c>
      <c r="N308" s="207">
        <f t="shared" si="76"/>
        <v>0</v>
      </c>
      <c r="O308" s="208">
        <f t="shared" si="77"/>
        <v>730000</v>
      </c>
      <c r="P308" s="186" t="str">
        <f ca="1">IF(D308=0,'Виды прицепов'!$M$19,IF(D308=30,'Виды прицепов'!$M$20,'Виды прицепов'!$M$21))</f>
        <v>3800*1950*900</v>
      </c>
      <c r="Q308" s="186" t="str">
        <f ca="1">IF(D308=0,'Виды прицепов'!$N$19,IF(D308=30,'Виды прицепов'!$N$20,'Виды прицепов'!$N$21))</f>
        <v>4000*1500*300</v>
      </c>
    </row>
    <row r="309" spans="1:17" ht="72" outlineLevel="2">
      <c r="A309" s="203" t="s">
        <v>5994</v>
      </c>
      <c r="B309" s="204" t="s">
        <v>5995</v>
      </c>
      <c r="C309" s="205" t="s">
        <v>5985</v>
      </c>
      <c r="D309" s="128">
        <v>50</v>
      </c>
      <c r="E309" s="128">
        <v>0</v>
      </c>
      <c r="F309" s="128">
        <v>0</v>
      </c>
      <c r="G309" s="128">
        <v>120</v>
      </c>
      <c r="H309" s="206">
        <v>13</v>
      </c>
      <c r="I309" s="117">
        <f t="shared" si="71"/>
        <v>510000</v>
      </c>
      <c r="J309" s="117">
        <f t="shared" si="72"/>
        <v>80000</v>
      </c>
      <c r="K309" s="117">
        <f t="shared" si="73"/>
        <v>0</v>
      </c>
      <c r="L309" s="117">
        <f t="shared" si="74"/>
        <v>0</v>
      </c>
      <c r="M309" s="117">
        <f t="shared" si="75"/>
        <v>150000</v>
      </c>
      <c r="N309" s="207">
        <f t="shared" si="76"/>
        <v>0</v>
      </c>
      <c r="O309" s="208">
        <f t="shared" si="77"/>
        <v>740000</v>
      </c>
      <c r="P309" s="186" t="str">
        <f ca="1">IF(D309=0,'Виды прицепов'!$M$19,IF(D309=30,'Виды прицепов'!$M$20,'Виды прицепов'!$M$21))</f>
        <v>3800*1950*1200</v>
      </c>
      <c r="Q309" s="186" t="str">
        <f ca="1">IF(D309=0,'Виды прицепов'!$N$19,IF(D309=30,'Виды прицепов'!$N$20,'Виды прицепов'!$N$21))</f>
        <v>4000*1500*500</v>
      </c>
    </row>
    <row r="310" spans="1:17" ht="57.6" outlineLevel="2">
      <c r="A310" s="203" t="s">
        <v>5996</v>
      </c>
      <c r="B310" s="204" t="s">
        <v>5997</v>
      </c>
      <c r="C310" s="205" t="s">
        <v>5985</v>
      </c>
      <c r="D310" s="128">
        <v>0</v>
      </c>
      <c r="E310" s="128">
        <v>13</v>
      </c>
      <c r="F310" s="128">
        <v>0</v>
      </c>
      <c r="G310" s="128">
        <v>0</v>
      </c>
      <c r="H310" s="206">
        <v>13</v>
      </c>
      <c r="I310" s="117">
        <f t="shared" si="71"/>
        <v>510000</v>
      </c>
      <c r="J310" s="117">
        <f t="shared" si="72"/>
        <v>0</v>
      </c>
      <c r="K310" s="117">
        <f t="shared" si="73"/>
        <v>30000</v>
      </c>
      <c r="L310" s="117">
        <f t="shared" si="74"/>
        <v>0</v>
      </c>
      <c r="M310" s="117">
        <f t="shared" si="75"/>
        <v>0</v>
      </c>
      <c r="N310" s="207">
        <f t="shared" si="76"/>
        <v>0</v>
      </c>
      <c r="O310" s="208">
        <f t="shared" si="77"/>
        <v>540000</v>
      </c>
      <c r="P310" s="186" t="str">
        <f ca="1">IF(D310=0,'Виды прицепов'!$M$19,IF(D310=30,'Виды прицепов'!$M$20,'Виды прицепов'!$M$21))</f>
        <v>5150*1950*650</v>
      </c>
      <c r="Q310" s="186" t="str">
        <f ca="1">IF(D310=0,'Виды прицепов'!$N$19,IF(D310=30,'Виды прицепов'!$N$20,'Виды прицепов'!$N$21))</f>
        <v>4000*1500*0</v>
      </c>
    </row>
    <row r="311" spans="1:17" ht="57.6" outlineLevel="2">
      <c r="A311" s="203" t="s">
        <v>5998</v>
      </c>
      <c r="B311" s="204" t="s">
        <v>5999</v>
      </c>
      <c r="C311" s="205" t="s">
        <v>5985</v>
      </c>
      <c r="D311" s="128">
        <v>30</v>
      </c>
      <c r="E311" s="128">
        <v>13</v>
      </c>
      <c r="F311" s="128">
        <v>0</v>
      </c>
      <c r="G311" s="128">
        <v>0</v>
      </c>
      <c r="H311" s="206">
        <v>13</v>
      </c>
      <c r="I311" s="117">
        <f t="shared" si="71"/>
        <v>510000</v>
      </c>
      <c r="J311" s="117">
        <f t="shared" si="72"/>
        <v>70000</v>
      </c>
      <c r="K311" s="117">
        <f t="shared" si="73"/>
        <v>30000</v>
      </c>
      <c r="L311" s="117">
        <f t="shared" si="74"/>
        <v>0</v>
      </c>
      <c r="M311" s="117">
        <f t="shared" si="75"/>
        <v>0</v>
      </c>
      <c r="N311" s="207">
        <f t="shared" si="76"/>
        <v>0</v>
      </c>
      <c r="O311" s="208">
        <f t="shared" si="77"/>
        <v>610000</v>
      </c>
      <c r="P311" s="186" t="str">
        <f ca="1">IF(D311=0,'Виды прицепов'!$M$19,IF(D311=30,'Виды прицепов'!$M$20,'Виды прицепов'!$M$21))</f>
        <v>3800*1950*900</v>
      </c>
      <c r="Q311" s="186" t="str">
        <f ca="1">IF(D311=0,'Виды прицепов'!$N$19,IF(D311=30,'Виды прицепов'!$N$20,'Виды прицепов'!$N$21))</f>
        <v>4000*1500*300</v>
      </c>
    </row>
    <row r="312" spans="1:17" ht="57.6" outlineLevel="2">
      <c r="A312" s="203" t="s">
        <v>6000</v>
      </c>
      <c r="B312" s="204" t="s">
        <v>6001</v>
      </c>
      <c r="C312" s="205" t="s">
        <v>5985</v>
      </c>
      <c r="D312" s="128">
        <v>50</v>
      </c>
      <c r="E312" s="128">
        <v>13</v>
      </c>
      <c r="F312" s="128">
        <v>0</v>
      </c>
      <c r="G312" s="128">
        <v>0</v>
      </c>
      <c r="H312" s="206">
        <v>13</v>
      </c>
      <c r="I312" s="117">
        <f t="shared" si="71"/>
        <v>510000</v>
      </c>
      <c r="J312" s="117">
        <f t="shared" si="72"/>
        <v>80000</v>
      </c>
      <c r="K312" s="117">
        <f t="shared" si="73"/>
        <v>30000</v>
      </c>
      <c r="L312" s="117">
        <f t="shared" si="74"/>
        <v>0</v>
      </c>
      <c r="M312" s="117">
        <f t="shared" si="75"/>
        <v>0</v>
      </c>
      <c r="N312" s="207">
        <f t="shared" si="76"/>
        <v>0</v>
      </c>
      <c r="O312" s="208">
        <f t="shared" si="77"/>
        <v>620000</v>
      </c>
      <c r="P312" s="186" t="str">
        <f ca="1">IF(D312=0,'Виды прицепов'!$M$19,IF(D312=30,'Виды прицепов'!$M$20,'Виды прицепов'!$M$21))</f>
        <v>3800*1950*1200</v>
      </c>
      <c r="Q312" s="186" t="str">
        <f ca="1">IF(D312=0,'Виды прицепов'!$N$19,IF(D312=30,'Виды прицепов'!$N$20,'Виды прицепов'!$N$21))</f>
        <v>4000*1500*500</v>
      </c>
    </row>
    <row r="313" spans="1:17" ht="43.2" outlineLevel="2">
      <c r="A313" s="203" t="s">
        <v>6002</v>
      </c>
      <c r="B313" s="204" t="s">
        <v>6003</v>
      </c>
      <c r="C313" s="205" t="s">
        <v>5985</v>
      </c>
      <c r="D313" s="128">
        <v>0</v>
      </c>
      <c r="E313" s="128">
        <v>0</v>
      </c>
      <c r="F313" s="128">
        <v>0</v>
      </c>
      <c r="G313" s="128">
        <v>0</v>
      </c>
      <c r="H313" s="206">
        <v>15</v>
      </c>
      <c r="I313" s="117">
        <f t="shared" si="71"/>
        <v>510000</v>
      </c>
      <c r="J313" s="117">
        <f t="shared" si="72"/>
        <v>0</v>
      </c>
      <c r="K313" s="117">
        <f t="shared" si="73"/>
        <v>0</v>
      </c>
      <c r="L313" s="117">
        <f t="shared" si="74"/>
        <v>0</v>
      </c>
      <c r="M313" s="117">
        <f t="shared" si="75"/>
        <v>0</v>
      </c>
      <c r="N313" s="207">
        <f t="shared" si="76"/>
        <v>30000</v>
      </c>
      <c r="O313" s="208">
        <f t="shared" si="77"/>
        <v>510000</v>
      </c>
      <c r="P313" s="186" t="str">
        <f ca="1">IF(D313=0,'Виды прицепов'!$M$19,IF(D313=30,'Виды прицепов'!$M$20,'Виды прицепов'!$M$21))</f>
        <v>5150*1950*650</v>
      </c>
      <c r="Q313" s="186" t="str">
        <f ca="1">IF(D313=0,'Виды прицепов'!$N$19,IF(D313=30,'Виды прицепов'!$N$20,'Виды прицепов'!$N$21))</f>
        <v>4000*1500*0</v>
      </c>
    </row>
    <row r="314" spans="1:17" ht="57.6" outlineLevel="2">
      <c r="A314" s="203" t="s">
        <v>6004</v>
      </c>
      <c r="B314" s="204" t="s">
        <v>6005</v>
      </c>
      <c r="C314" s="205" t="s">
        <v>5985</v>
      </c>
      <c r="D314" s="128">
        <v>30</v>
      </c>
      <c r="E314" s="128">
        <v>0</v>
      </c>
      <c r="F314" s="128">
        <v>0</v>
      </c>
      <c r="G314" s="128">
        <v>0</v>
      </c>
      <c r="H314" s="206">
        <v>15</v>
      </c>
      <c r="I314" s="117">
        <f t="shared" si="71"/>
        <v>510000</v>
      </c>
      <c r="J314" s="117">
        <f t="shared" si="72"/>
        <v>70000</v>
      </c>
      <c r="K314" s="117">
        <f t="shared" si="73"/>
        <v>0</v>
      </c>
      <c r="L314" s="117">
        <f t="shared" si="74"/>
        <v>0</v>
      </c>
      <c r="M314" s="117">
        <f t="shared" si="75"/>
        <v>0</v>
      </c>
      <c r="N314" s="207">
        <f t="shared" si="76"/>
        <v>30000</v>
      </c>
      <c r="O314" s="208">
        <f t="shared" si="77"/>
        <v>580000</v>
      </c>
      <c r="P314" s="186" t="str">
        <f ca="1">IF(D314=0,'Виды прицепов'!$M$19,IF(D314=30,'Виды прицепов'!$M$20,'Виды прицепов'!$M$21))</f>
        <v>3800*1950*900</v>
      </c>
      <c r="Q314" s="186" t="str">
        <f ca="1">IF(D314=0,'Виды прицепов'!$N$19,IF(D314=30,'Виды прицепов'!$N$20,'Виды прицепов'!$N$21))</f>
        <v>4000*1500*300</v>
      </c>
    </row>
    <row r="315" spans="1:17" ht="57.6" outlineLevel="2">
      <c r="A315" s="203" t="s">
        <v>6006</v>
      </c>
      <c r="B315" s="204" t="s">
        <v>6007</v>
      </c>
      <c r="C315" s="205" t="s">
        <v>5985</v>
      </c>
      <c r="D315" s="128">
        <v>50</v>
      </c>
      <c r="E315" s="128">
        <v>0</v>
      </c>
      <c r="F315" s="128">
        <v>0</v>
      </c>
      <c r="G315" s="128">
        <v>0</v>
      </c>
      <c r="H315" s="206">
        <v>15</v>
      </c>
      <c r="I315" s="117">
        <f t="shared" si="71"/>
        <v>510000</v>
      </c>
      <c r="J315" s="117">
        <f t="shared" si="72"/>
        <v>80000</v>
      </c>
      <c r="K315" s="117">
        <f t="shared" si="73"/>
        <v>0</v>
      </c>
      <c r="L315" s="117">
        <f t="shared" si="74"/>
        <v>0</v>
      </c>
      <c r="M315" s="117">
        <f t="shared" si="75"/>
        <v>0</v>
      </c>
      <c r="N315" s="207">
        <f t="shared" si="76"/>
        <v>30000</v>
      </c>
      <c r="O315" s="208">
        <f t="shared" si="77"/>
        <v>590000</v>
      </c>
      <c r="P315" s="186" t="str">
        <f ca="1">IF(D315=0,'Виды прицепов'!$M$19,IF(D315=30,'Виды прицепов'!$M$20,'Виды прицепов'!$M$21))</f>
        <v>3800*1950*1200</v>
      </c>
      <c r="Q315" s="186" t="str">
        <f ca="1">IF(D315=0,'Виды прицепов'!$N$19,IF(D315=30,'Виды прицепов'!$N$20,'Виды прицепов'!$N$21))</f>
        <v>4000*1500*500</v>
      </c>
    </row>
    <row r="316" spans="1:17" ht="72" outlineLevel="2">
      <c r="A316" s="203" t="s">
        <v>6008</v>
      </c>
      <c r="B316" s="204" t="s">
        <v>6009</v>
      </c>
      <c r="C316" s="205" t="s">
        <v>5985</v>
      </c>
      <c r="D316" s="128">
        <v>30</v>
      </c>
      <c r="E316" s="128">
        <v>0</v>
      </c>
      <c r="F316" s="128">
        <v>0</v>
      </c>
      <c r="G316" s="128">
        <v>120</v>
      </c>
      <c r="H316" s="206">
        <v>15</v>
      </c>
      <c r="I316" s="117">
        <f t="shared" si="71"/>
        <v>510000</v>
      </c>
      <c r="J316" s="117">
        <f t="shared" si="72"/>
        <v>70000</v>
      </c>
      <c r="K316" s="117">
        <f t="shared" si="73"/>
        <v>0</v>
      </c>
      <c r="L316" s="117">
        <f t="shared" si="74"/>
        <v>0</v>
      </c>
      <c r="M316" s="117">
        <f t="shared" si="75"/>
        <v>150000</v>
      </c>
      <c r="N316" s="207">
        <f t="shared" si="76"/>
        <v>30000</v>
      </c>
      <c r="O316" s="208">
        <f t="shared" si="77"/>
        <v>730000</v>
      </c>
      <c r="P316" s="186" t="str">
        <f ca="1">IF(D316=0,'Виды прицепов'!$M$19,IF(D316=30,'Виды прицепов'!$M$20,'Виды прицепов'!$M$21))</f>
        <v>3800*1950*900</v>
      </c>
      <c r="Q316" s="186" t="str">
        <f ca="1">IF(D316=0,'Виды прицепов'!$N$19,IF(D316=30,'Виды прицепов'!$N$20,'Виды прицепов'!$N$21))</f>
        <v>4000*1500*300</v>
      </c>
    </row>
    <row r="317" spans="1:17" ht="72" outlineLevel="2">
      <c r="A317" s="203" t="s">
        <v>6010</v>
      </c>
      <c r="B317" s="204" t="s">
        <v>6011</v>
      </c>
      <c r="C317" s="205" t="s">
        <v>5985</v>
      </c>
      <c r="D317" s="128">
        <v>50</v>
      </c>
      <c r="E317" s="128">
        <v>0</v>
      </c>
      <c r="F317" s="128">
        <v>0</v>
      </c>
      <c r="G317" s="128">
        <v>120</v>
      </c>
      <c r="H317" s="206">
        <v>15</v>
      </c>
      <c r="I317" s="117">
        <f t="shared" si="71"/>
        <v>510000</v>
      </c>
      <c r="J317" s="117">
        <f t="shared" si="72"/>
        <v>80000</v>
      </c>
      <c r="K317" s="117">
        <f t="shared" si="73"/>
        <v>0</v>
      </c>
      <c r="L317" s="117">
        <f t="shared" si="74"/>
        <v>0</v>
      </c>
      <c r="M317" s="117">
        <f t="shared" si="75"/>
        <v>150000</v>
      </c>
      <c r="N317" s="207">
        <f t="shared" si="76"/>
        <v>30000</v>
      </c>
      <c r="O317" s="208">
        <f t="shared" si="77"/>
        <v>740000</v>
      </c>
      <c r="P317" s="186" t="str">
        <f ca="1">IF(D317=0,'Виды прицепов'!$M$19,IF(D317=30,'Виды прицепов'!$M$20,'Виды прицепов'!$M$21))</f>
        <v>3800*1950*1200</v>
      </c>
      <c r="Q317" s="186" t="str">
        <f ca="1">IF(D317=0,'Виды прицепов'!$N$19,IF(D317=30,'Виды прицепов'!$N$20,'Виды прицепов'!$N$21))</f>
        <v>4000*1500*500</v>
      </c>
    </row>
    <row r="318" spans="1:17" ht="57.6" outlineLevel="2">
      <c r="A318" s="203" t="s">
        <v>6012</v>
      </c>
      <c r="B318" s="204" t="s">
        <v>6013</v>
      </c>
      <c r="C318" s="205" t="s">
        <v>5985</v>
      </c>
      <c r="D318" s="128">
        <v>0</v>
      </c>
      <c r="E318" s="128">
        <v>15</v>
      </c>
      <c r="F318" s="128">
        <v>0</v>
      </c>
      <c r="G318" s="128">
        <v>0</v>
      </c>
      <c r="H318" s="206">
        <v>15</v>
      </c>
      <c r="I318" s="117">
        <f t="shared" si="71"/>
        <v>510000</v>
      </c>
      <c r="J318" s="117">
        <f t="shared" si="72"/>
        <v>0</v>
      </c>
      <c r="K318" s="117">
        <f t="shared" si="73"/>
        <v>50000</v>
      </c>
      <c r="L318" s="117">
        <f t="shared" si="74"/>
        <v>0</v>
      </c>
      <c r="M318" s="117">
        <f t="shared" si="75"/>
        <v>0</v>
      </c>
      <c r="N318" s="207">
        <f t="shared" si="76"/>
        <v>30000</v>
      </c>
      <c r="O318" s="208">
        <f t="shared" si="77"/>
        <v>560000</v>
      </c>
      <c r="P318" s="186" t="str">
        <f ca="1">IF(D318=0,'Виды прицепов'!$M$19,IF(D318=30,'Виды прицепов'!$M$20,'Виды прицепов'!$M$21))</f>
        <v>5150*1950*650</v>
      </c>
      <c r="Q318" s="186" t="str">
        <f ca="1">IF(D318=0,'Виды прицепов'!$N$19,IF(D318=30,'Виды прицепов'!$N$20,'Виды прицепов'!$N$21))</f>
        <v>4000*1500*0</v>
      </c>
    </row>
    <row r="319" spans="1:17" ht="57.6" outlineLevel="2">
      <c r="A319" s="203" t="s">
        <v>6014</v>
      </c>
      <c r="B319" s="204" t="s">
        <v>6015</v>
      </c>
      <c r="C319" s="205" t="s">
        <v>5985</v>
      </c>
      <c r="D319" s="128">
        <v>30</v>
      </c>
      <c r="E319" s="128">
        <v>15</v>
      </c>
      <c r="F319" s="128">
        <v>0</v>
      </c>
      <c r="G319" s="128">
        <v>0</v>
      </c>
      <c r="H319" s="206">
        <v>15</v>
      </c>
      <c r="I319" s="117">
        <f t="shared" si="71"/>
        <v>510000</v>
      </c>
      <c r="J319" s="117">
        <f t="shared" si="72"/>
        <v>70000</v>
      </c>
      <c r="K319" s="117">
        <f t="shared" si="73"/>
        <v>50000</v>
      </c>
      <c r="L319" s="117">
        <f t="shared" si="74"/>
        <v>0</v>
      </c>
      <c r="M319" s="117">
        <f t="shared" si="75"/>
        <v>0</v>
      </c>
      <c r="N319" s="207">
        <f t="shared" si="76"/>
        <v>30000</v>
      </c>
      <c r="O319" s="208">
        <f t="shared" si="77"/>
        <v>630000</v>
      </c>
      <c r="P319" s="186" t="str">
        <f ca="1">IF(D319=0,'Виды прицепов'!$M$19,IF(D319=30,'Виды прицепов'!$M$20,'Виды прицепов'!$M$21))</f>
        <v>3800*1950*900</v>
      </c>
      <c r="Q319" s="186" t="str">
        <f ca="1">IF(D319=0,'Виды прицепов'!$N$19,IF(D319=30,'Виды прицепов'!$N$20,'Виды прицепов'!$N$21))</f>
        <v>4000*1500*300</v>
      </c>
    </row>
    <row r="320" spans="1:17" ht="57.6" outlineLevel="2">
      <c r="A320" s="203" t="s">
        <v>6016</v>
      </c>
      <c r="B320" s="204" t="s">
        <v>6017</v>
      </c>
      <c r="C320" s="205" t="s">
        <v>5985</v>
      </c>
      <c r="D320" s="128">
        <v>50</v>
      </c>
      <c r="E320" s="128">
        <v>15</v>
      </c>
      <c r="F320" s="128">
        <v>0</v>
      </c>
      <c r="G320" s="128">
        <v>0</v>
      </c>
      <c r="H320" s="206">
        <v>15</v>
      </c>
      <c r="I320" s="117">
        <f t="shared" si="71"/>
        <v>510000</v>
      </c>
      <c r="J320" s="117">
        <f t="shared" si="72"/>
        <v>80000</v>
      </c>
      <c r="K320" s="117">
        <f t="shared" si="73"/>
        <v>50000</v>
      </c>
      <c r="L320" s="117">
        <f t="shared" si="74"/>
        <v>0</v>
      </c>
      <c r="M320" s="117">
        <f t="shared" si="75"/>
        <v>0</v>
      </c>
      <c r="N320" s="207">
        <f t="shared" si="76"/>
        <v>30000</v>
      </c>
      <c r="O320" s="208">
        <f t="shared" si="77"/>
        <v>640000</v>
      </c>
      <c r="P320" s="186" t="str">
        <f ca="1">IF(D320=0,'Виды прицепов'!$M$19,IF(D320=30,'Виды прицепов'!$M$20,'Виды прицепов'!$M$21))</f>
        <v>3800*1950*1200</v>
      </c>
      <c r="Q320" s="186" t="str">
        <f ca="1">IF(D320=0,'Виды прицепов'!$N$19,IF(D320=30,'Виды прицепов'!$N$20,'Виды прицепов'!$N$21))</f>
        <v>4000*1500*500</v>
      </c>
    </row>
    <row r="321" spans="1:17" ht="57.6" outlineLevel="2">
      <c r="A321" s="203" t="s">
        <v>6018</v>
      </c>
      <c r="B321" s="204" t="s">
        <v>6019</v>
      </c>
      <c r="C321" s="205" t="s">
        <v>5985</v>
      </c>
      <c r="D321" s="128">
        <v>0</v>
      </c>
      <c r="E321" s="128">
        <v>0</v>
      </c>
      <c r="F321" s="128" t="s">
        <v>5371</v>
      </c>
      <c r="G321" s="128">
        <v>0</v>
      </c>
      <c r="H321" s="206">
        <v>13</v>
      </c>
      <c r="I321" s="117">
        <f t="shared" si="71"/>
        <v>510000</v>
      </c>
      <c r="J321" s="117">
        <f t="shared" si="72"/>
        <v>0</v>
      </c>
      <c r="K321" s="117">
        <f t="shared" si="73"/>
        <v>0</v>
      </c>
      <c r="L321" s="117">
        <f t="shared" si="74"/>
        <v>10000</v>
      </c>
      <c r="M321" s="117">
        <f t="shared" si="75"/>
        <v>0</v>
      </c>
      <c r="N321" s="207">
        <f t="shared" si="76"/>
        <v>0</v>
      </c>
      <c r="O321" s="208">
        <f t="shared" si="77"/>
        <v>520000</v>
      </c>
      <c r="P321" s="186" t="str">
        <f ca="1">IF(D321=0,'Виды прицепов'!$M$19,IF(D321=30,'Виды прицепов'!$M$20,'Виды прицепов'!$M$21))</f>
        <v>5150*1950*650</v>
      </c>
      <c r="Q321" s="186" t="str">
        <f ca="1">IF(D321=0,'Виды прицепов'!$N$19,IF(D321=30,'Виды прицепов'!$N$20,'Виды прицепов'!$N$21))</f>
        <v>4000*1500*0</v>
      </c>
    </row>
    <row r="322" spans="1:17" ht="57.6" outlineLevel="2">
      <c r="A322" s="203" t="s">
        <v>6020</v>
      </c>
      <c r="B322" s="204" t="s">
        <v>6021</v>
      </c>
      <c r="C322" s="205" t="s">
        <v>5985</v>
      </c>
      <c r="D322" s="128">
        <v>30</v>
      </c>
      <c r="E322" s="128">
        <v>0</v>
      </c>
      <c r="F322" s="128" t="s">
        <v>5371</v>
      </c>
      <c r="G322" s="128">
        <v>0</v>
      </c>
      <c r="H322" s="206">
        <v>13</v>
      </c>
      <c r="I322" s="117">
        <f t="shared" si="71"/>
        <v>510000</v>
      </c>
      <c r="J322" s="117">
        <f t="shared" si="72"/>
        <v>70000</v>
      </c>
      <c r="K322" s="117">
        <f t="shared" si="73"/>
        <v>0</v>
      </c>
      <c r="L322" s="117">
        <f t="shared" si="74"/>
        <v>10000</v>
      </c>
      <c r="M322" s="117">
        <f t="shared" si="75"/>
        <v>0</v>
      </c>
      <c r="N322" s="207">
        <f t="shared" si="76"/>
        <v>0</v>
      </c>
      <c r="O322" s="208">
        <f t="shared" si="77"/>
        <v>590000</v>
      </c>
      <c r="P322" s="186" t="str">
        <f ca="1">IF(D322=0,'Виды прицепов'!$M$19,IF(D322=30,'Виды прицепов'!$M$20,'Виды прицепов'!$M$21))</f>
        <v>3800*1950*900</v>
      </c>
      <c r="Q322" s="186" t="str">
        <f ca="1">IF(D322=0,'Виды прицепов'!$N$19,IF(D322=30,'Виды прицепов'!$N$20,'Виды прицепов'!$N$21))</f>
        <v>4000*1500*300</v>
      </c>
    </row>
    <row r="323" spans="1:17" ht="57.6" outlineLevel="2">
      <c r="A323" s="203" t="s">
        <v>6022</v>
      </c>
      <c r="B323" s="204" t="s">
        <v>6023</v>
      </c>
      <c r="C323" s="205" t="s">
        <v>5985</v>
      </c>
      <c r="D323" s="128">
        <v>50</v>
      </c>
      <c r="E323" s="128">
        <v>0</v>
      </c>
      <c r="F323" s="128" t="s">
        <v>5371</v>
      </c>
      <c r="G323" s="128">
        <v>0</v>
      </c>
      <c r="H323" s="206">
        <v>13</v>
      </c>
      <c r="I323" s="117">
        <f t="shared" si="71"/>
        <v>510000</v>
      </c>
      <c r="J323" s="117">
        <f t="shared" si="72"/>
        <v>80000</v>
      </c>
      <c r="K323" s="117">
        <f t="shared" si="73"/>
        <v>0</v>
      </c>
      <c r="L323" s="117">
        <f t="shared" si="74"/>
        <v>10000</v>
      </c>
      <c r="M323" s="117">
        <f t="shared" si="75"/>
        <v>0</v>
      </c>
      <c r="N323" s="207">
        <f t="shared" si="76"/>
        <v>0</v>
      </c>
      <c r="O323" s="208">
        <f t="shared" si="77"/>
        <v>600000</v>
      </c>
      <c r="P323" s="186" t="str">
        <f ca="1">IF(D323=0,'Виды прицепов'!$M$19,IF(D323=30,'Виды прицепов'!$M$20,'Виды прицепов'!$M$21))</f>
        <v>3800*1950*1200</v>
      </c>
      <c r="Q323" s="186" t="str">
        <f ca="1">IF(D323=0,'Виды прицепов'!$N$19,IF(D323=30,'Виды прицепов'!$N$20,'Виды прицепов'!$N$21))</f>
        <v>4000*1500*500</v>
      </c>
    </row>
    <row r="324" spans="1:17" ht="72" outlineLevel="2">
      <c r="A324" s="203" t="s">
        <v>6024</v>
      </c>
      <c r="B324" s="204" t="s">
        <v>6025</v>
      </c>
      <c r="C324" s="205" t="s">
        <v>5985</v>
      </c>
      <c r="D324" s="128">
        <v>30</v>
      </c>
      <c r="E324" s="128">
        <v>0</v>
      </c>
      <c r="F324" s="128" t="s">
        <v>5371</v>
      </c>
      <c r="G324" s="128">
        <v>120</v>
      </c>
      <c r="H324" s="206">
        <v>13</v>
      </c>
      <c r="I324" s="117">
        <f t="shared" si="71"/>
        <v>510000</v>
      </c>
      <c r="J324" s="117">
        <f t="shared" si="72"/>
        <v>70000</v>
      </c>
      <c r="K324" s="117">
        <f t="shared" si="73"/>
        <v>0</v>
      </c>
      <c r="L324" s="117">
        <f t="shared" si="74"/>
        <v>10000</v>
      </c>
      <c r="M324" s="117">
        <f t="shared" si="75"/>
        <v>150000</v>
      </c>
      <c r="N324" s="207">
        <f t="shared" si="76"/>
        <v>0</v>
      </c>
      <c r="O324" s="208">
        <f t="shared" si="77"/>
        <v>740000</v>
      </c>
      <c r="P324" s="186" t="str">
        <f ca="1">IF(D324=0,'Виды прицепов'!$M$19,IF(D324=30,'Виды прицепов'!$M$20,'Виды прицепов'!$M$21))</f>
        <v>3800*1950*900</v>
      </c>
      <c r="Q324" s="186" t="str">
        <f ca="1">IF(D324=0,'Виды прицепов'!$N$19,IF(D324=30,'Виды прицепов'!$N$20,'Виды прицепов'!$N$21))</f>
        <v>4000*1500*300</v>
      </c>
    </row>
    <row r="325" spans="1:17" ht="72" outlineLevel="2">
      <c r="A325" s="203" t="s">
        <v>6026</v>
      </c>
      <c r="B325" s="204" t="s">
        <v>6027</v>
      </c>
      <c r="C325" s="205" t="s">
        <v>5985</v>
      </c>
      <c r="D325" s="128">
        <v>50</v>
      </c>
      <c r="E325" s="128">
        <v>0</v>
      </c>
      <c r="F325" s="128" t="s">
        <v>5371</v>
      </c>
      <c r="G325" s="128">
        <v>120</v>
      </c>
      <c r="H325" s="206">
        <v>13</v>
      </c>
      <c r="I325" s="117">
        <f t="shared" si="71"/>
        <v>510000</v>
      </c>
      <c r="J325" s="117">
        <f t="shared" si="72"/>
        <v>80000</v>
      </c>
      <c r="K325" s="117">
        <f t="shared" si="73"/>
        <v>0</v>
      </c>
      <c r="L325" s="117">
        <f t="shared" si="74"/>
        <v>10000</v>
      </c>
      <c r="M325" s="117">
        <f t="shared" si="75"/>
        <v>150000</v>
      </c>
      <c r="N325" s="207">
        <f t="shared" si="76"/>
        <v>0</v>
      </c>
      <c r="O325" s="208">
        <f t="shared" si="77"/>
        <v>750000</v>
      </c>
      <c r="P325" s="186" t="str">
        <f ca="1">IF(D325=0,'Виды прицепов'!$M$19,IF(D325=30,'Виды прицепов'!$M$20,'Виды прицепов'!$M$21))</f>
        <v>3800*1950*1200</v>
      </c>
      <c r="Q325" s="186" t="str">
        <f ca="1">IF(D325=0,'Виды прицепов'!$N$19,IF(D325=30,'Виды прицепов'!$N$20,'Виды прицепов'!$N$21))</f>
        <v>4000*1500*500</v>
      </c>
    </row>
    <row r="326" spans="1:17" ht="57.6" outlineLevel="2">
      <c r="A326" s="203" t="s">
        <v>6028</v>
      </c>
      <c r="B326" s="204" t="s">
        <v>6029</v>
      </c>
      <c r="C326" s="205" t="s">
        <v>5985</v>
      </c>
      <c r="D326" s="128">
        <v>0</v>
      </c>
      <c r="E326" s="128">
        <v>13</v>
      </c>
      <c r="F326" s="128" t="s">
        <v>5371</v>
      </c>
      <c r="G326" s="128">
        <v>0</v>
      </c>
      <c r="H326" s="206">
        <v>13</v>
      </c>
      <c r="I326" s="117">
        <f t="shared" si="71"/>
        <v>510000</v>
      </c>
      <c r="J326" s="117">
        <f t="shared" si="72"/>
        <v>0</v>
      </c>
      <c r="K326" s="117">
        <f t="shared" si="73"/>
        <v>30000</v>
      </c>
      <c r="L326" s="117">
        <f t="shared" si="74"/>
        <v>10000</v>
      </c>
      <c r="M326" s="117">
        <f t="shared" si="75"/>
        <v>0</v>
      </c>
      <c r="N326" s="207">
        <f t="shared" si="76"/>
        <v>0</v>
      </c>
      <c r="O326" s="208">
        <f t="shared" si="77"/>
        <v>550000</v>
      </c>
      <c r="P326" s="186" t="str">
        <f ca="1">IF(D326=0,'Виды прицепов'!$M$19,IF(D326=30,'Виды прицепов'!$M$20,'Виды прицепов'!$M$21))</f>
        <v>5150*1950*650</v>
      </c>
      <c r="Q326" s="186" t="str">
        <f ca="1">IF(D326=0,'Виды прицепов'!$N$19,IF(D326=30,'Виды прицепов'!$N$20,'Виды прицепов'!$N$21))</f>
        <v>4000*1500*0</v>
      </c>
    </row>
    <row r="327" spans="1:17" ht="57.6" outlineLevel="2">
      <c r="A327" s="203" t="s">
        <v>6030</v>
      </c>
      <c r="B327" s="204" t="s">
        <v>6031</v>
      </c>
      <c r="C327" s="205" t="s">
        <v>5985</v>
      </c>
      <c r="D327" s="128">
        <v>30</v>
      </c>
      <c r="E327" s="128">
        <v>13</v>
      </c>
      <c r="F327" s="128" t="s">
        <v>5371</v>
      </c>
      <c r="G327" s="128">
        <v>0</v>
      </c>
      <c r="H327" s="206">
        <v>13</v>
      </c>
      <c r="I327" s="117">
        <f t="shared" si="71"/>
        <v>510000</v>
      </c>
      <c r="J327" s="117">
        <f t="shared" si="72"/>
        <v>70000</v>
      </c>
      <c r="K327" s="117">
        <f t="shared" si="73"/>
        <v>30000</v>
      </c>
      <c r="L327" s="117">
        <f t="shared" si="74"/>
        <v>10000</v>
      </c>
      <c r="M327" s="117">
        <f t="shared" si="75"/>
        <v>0</v>
      </c>
      <c r="N327" s="207">
        <f t="shared" si="76"/>
        <v>0</v>
      </c>
      <c r="O327" s="208">
        <f t="shared" si="77"/>
        <v>620000</v>
      </c>
      <c r="P327" s="186" t="str">
        <f ca="1">IF(D327=0,'Виды прицепов'!$M$19,IF(D327=30,'Виды прицепов'!$M$20,'Виды прицепов'!$M$21))</f>
        <v>3800*1950*900</v>
      </c>
      <c r="Q327" s="186" t="str">
        <f ca="1">IF(D327=0,'Виды прицепов'!$N$19,IF(D327=30,'Виды прицепов'!$N$20,'Виды прицепов'!$N$21))</f>
        <v>4000*1500*300</v>
      </c>
    </row>
    <row r="328" spans="1:17" ht="57.6" outlineLevel="2">
      <c r="A328" s="203" t="s">
        <v>6032</v>
      </c>
      <c r="B328" s="204" t="s">
        <v>6033</v>
      </c>
      <c r="C328" s="205" t="s">
        <v>5985</v>
      </c>
      <c r="D328" s="128">
        <v>50</v>
      </c>
      <c r="E328" s="128">
        <v>13</v>
      </c>
      <c r="F328" s="128" t="s">
        <v>5371</v>
      </c>
      <c r="G328" s="128">
        <v>0</v>
      </c>
      <c r="H328" s="206">
        <v>13</v>
      </c>
      <c r="I328" s="117">
        <f t="shared" si="71"/>
        <v>510000</v>
      </c>
      <c r="J328" s="117">
        <f t="shared" si="72"/>
        <v>80000</v>
      </c>
      <c r="K328" s="117">
        <f t="shared" si="73"/>
        <v>30000</v>
      </c>
      <c r="L328" s="117">
        <f t="shared" si="74"/>
        <v>10000</v>
      </c>
      <c r="M328" s="117">
        <f t="shared" si="75"/>
        <v>0</v>
      </c>
      <c r="N328" s="207">
        <f t="shared" si="76"/>
        <v>0</v>
      </c>
      <c r="O328" s="208">
        <f t="shared" si="77"/>
        <v>630000</v>
      </c>
      <c r="P328" s="186" t="str">
        <f ca="1">IF(D328=0,'Виды прицепов'!$M$19,IF(D328=30,'Виды прицепов'!$M$20,'Виды прицепов'!$M$21))</f>
        <v>3800*1950*1200</v>
      </c>
      <c r="Q328" s="186" t="str">
        <f ca="1">IF(D328=0,'Виды прицепов'!$N$19,IF(D328=30,'Виды прицепов'!$N$20,'Виды прицепов'!$N$21))</f>
        <v>4000*1500*500</v>
      </c>
    </row>
    <row r="329" spans="1:17" ht="57.6" outlineLevel="2">
      <c r="A329" s="203" t="s">
        <v>6034</v>
      </c>
      <c r="B329" s="204" t="s">
        <v>6035</v>
      </c>
      <c r="C329" s="205" t="s">
        <v>5985</v>
      </c>
      <c r="D329" s="128">
        <v>0</v>
      </c>
      <c r="E329" s="128">
        <v>0</v>
      </c>
      <c r="F329" s="128" t="s">
        <v>5371</v>
      </c>
      <c r="G329" s="128">
        <v>0</v>
      </c>
      <c r="H329" s="206">
        <v>15</v>
      </c>
      <c r="I329" s="117">
        <f t="shared" si="71"/>
        <v>510000</v>
      </c>
      <c r="J329" s="117">
        <f t="shared" si="72"/>
        <v>0</v>
      </c>
      <c r="K329" s="117">
        <f t="shared" si="73"/>
        <v>0</v>
      </c>
      <c r="L329" s="117">
        <f t="shared" si="74"/>
        <v>10000</v>
      </c>
      <c r="M329" s="117">
        <f t="shared" si="75"/>
        <v>0</v>
      </c>
      <c r="N329" s="207">
        <f t="shared" si="76"/>
        <v>30000</v>
      </c>
      <c r="O329" s="208">
        <f t="shared" si="77"/>
        <v>520000</v>
      </c>
      <c r="P329" s="186" t="str">
        <f ca="1">IF(D329=0,'Виды прицепов'!$M$19,IF(D329=30,'Виды прицепов'!$M$20,'Виды прицепов'!$M$21))</f>
        <v>5150*1950*650</v>
      </c>
      <c r="Q329" s="186" t="str">
        <f ca="1">IF(D329=0,'Виды прицепов'!$N$19,IF(D329=30,'Виды прицепов'!$N$20,'Виды прицепов'!$N$21))</f>
        <v>4000*1500*0</v>
      </c>
    </row>
    <row r="330" spans="1:17" ht="57.6" outlineLevel="2">
      <c r="A330" s="203" t="s">
        <v>6036</v>
      </c>
      <c r="B330" s="204" t="s">
        <v>6037</v>
      </c>
      <c r="C330" s="205" t="s">
        <v>5985</v>
      </c>
      <c r="D330" s="128">
        <v>30</v>
      </c>
      <c r="E330" s="128">
        <v>0</v>
      </c>
      <c r="F330" s="128" t="s">
        <v>5371</v>
      </c>
      <c r="G330" s="128">
        <v>0</v>
      </c>
      <c r="H330" s="206">
        <v>15</v>
      </c>
      <c r="I330" s="117">
        <f t="shared" si="71"/>
        <v>510000</v>
      </c>
      <c r="J330" s="117">
        <f t="shared" si="72"/>
        <v>70000</v>
      </c>
      <c r="K330" s="117">
        <f t="shared" si="73"/>
        <v>0</v>
      </c>
      <c r="L330" s="117">
        <f t="shared" si="74"/>
        <v>10000</v>
      </c>
      <c r="M330" s="117">
        <f t="shared" si="75"/>
        <v>0</v>
      </c>
      <c r="N330" s="207">
        <f t="shared" si="76"/>
        <v>30000</v>
      </c>
      <c r="O330" s="208">
        <f t="shared" si="77"/>
        <v>590000</v>
      </c>
      <c r="P330" s="186" t="str">
        <f ca="1">IF(D330=0,'Виды прицепов'!$M$19,IF(D330=30,'Виды прицепов'!$M$20,'Виды прицепов'!$M$21))</f>
        <v>3800*1950*900</v>
      </c>
      <c r="Q330" s="186" t="str">
        <f ca="1">IF(D330=0,'Виды прицепов'!$N$19,IF(D330=30,'Виды прицепов'!$N$20,'Виды прицепов'!$N$21))</f>
        <v>4000*1500*300</v>
      </c>
    </row>
    <row r="331" spans="1:17" ht="57.6" outlineLevel="2">
      <c r="A331" s="203" t="s">
        <v>6038</v>
      </c>
      <c r="B331" s="204" t="s">
        <v>6039</v>
      </c>
      <c r="C331" s="205" t="s">
        <v>5985</v>
      </c>
      <c r="D331" s="128">
        <v>50</v>
      </c>
      <c r="E331" s="128">
        <v>0</v>
      </c>
      <c r="F331" s="128" t="s">
        <v>5371</v>
      </c>
      <c r="G331" s="128">
        <v>0</v>
      </c>
      <c r="H331" s="206">
        <v>15</v>
      </c>
      <c r="I331" s="117">
        <f t="shared" si="71"/>
        <v>510000</v>
      </c>
      <c r="J331" s="117">
        <f t="shared" si="72"/>
        <v>80000</v>
      </c>
      <c r="K331" s="117">
        <f t="shared" si="73"/>
        <v>0</v>
      </c>
      <c r="L331" s="117">
        <f t="shared" si="74"/>
        <v>10000</v>
      </c>
      <c r="M331" s="117">
        <f t="shared" si="75"/>
        <v>0</v>
      </c>
      <c r="N331" s="207">
        <f t="shared" si="76"/>
        <v>30000</v>
      </c>
      <c r="O331" s="208">
        <f t="shared" si="77"/>
        <v>600000</v>
      </c>
      <c r="P331" s="186" t="str">
        <f ca="1">IF(D331=0,'Виды прицепов'!$M$19,IF(D331=30,'Виды прицепов'!$M$20,'Виды прицепов'!$M$21))</f>
        <v>3800*1950*1200</v>
      </c>
      <c r="Q331" s="186" t="str">
        <f ca="1">IF(D331=0,'Виды прицепов'!$N$19,IF(D331=30,'Виды прицепов'!$N$20,'Виды прицепов'!$N$21))</f>
        <v>4000*1500*500</v>
      </c>
    </row>
    <row r="332" spans="1:17" ht="72" outlineLevel="2">
      <c r="A332" s="203" t="s">
        <v>6040</v>
      </c>
      <c r="B332" s="204" t="s">
        <v>6041</v>
      </c>
      <c r="C332" s="205" t="s">
        <v>5985</v>
      </c>
      <c r="D332" s="128">
        <v>30</v>
      </c>
      <c r="E332" s="128">
        <v>0</v>
      </c>
      <c r="F332" s="128" t="s">
        <v>5371</v>
      </c>
      <c r="G332" s="128">
        <v>120</v>
      </c>
      <c r="H332" s="206">
        <v>15</v>
      </c>
      <c r="I332" s="117">
        <f t="shared" si="71"/>
        <v>510000</v>
      </c>
      <c r="J332" s="117">
        <f t="shared" si="72"/>
        <v>70000</v>
      </c>
      <c r="K332" s="117">
        <f t="shared" si="73"/>
        <v>0</v>
      </c>
      <c r="L332" s="117">
        <f t="shared" si="74"/>
        <v>10000</v>
      </c>
      <c r="M332" s="117">
        <f t="shared" si="75"/>
        <v>150000</v>
      </c>
      <c r="N332" s="207">
        <f t="shared" si="76"/>
        <v>30000</v>
      </c>
      <c r="O332" s="208">
        <f t="shared" si="77"/>
        <v>740000</v>
      </c>
      <c r="P332" s="186" t="str">
        <f ca="1">IF(D332=0,'Виды прицепов'!$M$19,IF(D332=30,'Виды прицепов'!$M$20,'Виды прицепов'!$M$21))</f>
        <v>3800*1950*900</v>
      </c>
      <c r="Q332" s="186" t="str">
        <f ca="1">IF(D332=0,'Виды прицепов'!$N$19,IF(D332=30,'Виды прицепов'!$N$20,'Виды прицепов'!$N$21))</f>
        <v>4000*1500*300</v>
      </c>
    </row>
    <row r="333" spans="1:17" ht="72" outlineLevel="2">
      <c r="A333" s="203" t="s">
        <v>6042</v>
      </c>
      <c r="B333" s="204" t="s">
        <v>6043</v>
      </c>
      <c r="C333" s="205" t="s">
        <v>5985</v>
      </c>
      <c r="D333" s="128">
        <v>50</v>
      </c>
      <c r="E333" s="128">
        <v>0</v>
      </c>
      <c r="F333" s="128" t="s">
        <v>5371</v>
      </c>
      <c r="G333" s="128">
        <v>120</v>
      </c>
      <c r="H333" s="206">
        <v>15</v>
      </c>
      <c r="I333" s="117">
        <f t="shared" si="71"/>
        <v>510000</v>
      </c>
      <c r="J333" s="117">
        <f t="shared" si="72"/>
        <v>80000</v>
      </c>
      <c r="K333" s="117">
        <f t="shared" si="73"/>
        <v>0</v>
      </c>
      <c r="L333" s="117">
        <f t="shared" si="74"/>
        <v>10000</v>
      </c>
      <c r="M333" s="117">
        <f t="shared" si="75"/>
        <v>150000</v>
      </c>
      <c r="N333" s="207">
        <f t="shared" si="76"/>
        <v>30000</v>
      </c>
      <c r="O333" s="208">
        <f t="shared" si="77"/>
        <v>750000</v>
      </c>
      <c r="P333" s="186" t="str">
        <f ca="1">IF(D333=0,'Виды прицепов'!$M$19,IF(D333=30,'Виды прицепов'!$M$20,'Виды прицепов'!$M$21))</f>
        <v>3800*1950*1200</v>
      </c>
      <c r="Q333" s="186" t="str">
        <f ca="1">IF(D333=0,'Виды прицепов'!$N$19,IF(D333=30,'Виды прицепов'!$N$20,'Виды прицепов'!$N$21))</f>
        <v>4000*1500*500</v>
      </c>
    </row>
    <row r="334" spans="1:17" ht="57.6" outlineLevel="2">
      <c r="A334" s="203" t="s">
        <v>6044</v>
      </c>
      <c r="B334" s="204" t="s">
        <v>6045</v>
      </c>
      <c r="C334" s="205" t="s">
        <v>5985</v>
      </c>
      <c r="D334" s="128">
        <v>0</v>
      </c>
      <c r="E334" s="128">
        <v>15</v>
      </c>
      <c r="F334" s="128" t="s">
        <v>5371</v>
      </c>
      <c r="G334" s="128">
        <v>0</v>
      </c>
      <c r="H334" s="206">
        <v>15</v>
      </c>
      <c r="I334" s="117">
        <f t="shared" si="71"/>
        <v>510000</v>
      </c>
      <c r="J334" s="117">
        <f t="shared" si="72"/>
        <v>0</v>
      </c>
      <c r="K334" s="117">
        <f t="shared" si="73"/>
        <v>50000</v>
      </c>
      <c r="L334" s="117">
        <f t="shared" si="74"/>
        <v>10000</v>
      </c>
      <c r="M334" s="117">
        <f t="shared" si="75"/>
        <v>0</v>
      </c>
      <c r="N334" s="207">
        <f t="shared" si="76"/>
        <v>30000</v>
      </c>
      <c r="O334" s="208">
        <f t="shared" si="77"/>
        <v>570000</v>
      </c>
      <c r="P334" s="186" t="str">
        <f ca="1">IF(D334=0,'Виды прицепов'!$M$19,IF(D334=30,'Виды прицепов'!$M$20,'Виды прицепов'!$M$21))</f>
        <v>5150*1950*650</v>
      </c>
      <c r="Q334" s="186" t="str">
        <f ca="1">IF(D334=0,'Виды прицепов'!$N$19,IF(D334=30,'Виды прицепов'!$N$20,'Виды прицепов'!$N$21))</f>
        <v>4000*1500*0</v>
      </c>
    </row>
    <row r="335" spans="1:17" ht="57.6" outlineLevel="2">
      <c r="A335" s="203" t="s">
        <v>6046</v>
      </c>
      <c r="B335" s="204" t="s">
        <v>6047</v>
      </c>
      <c r="C335" s="205" t="s">
        <v>5985</v>
      </c>
      <c r="D335" s="128">
        <v>30</v>
      </c>
      <c r="E335" s="128">
        <v>15</v>
      </c>
      <c r="F335" s="128" t="s">
        <v>5371</v>
      </c>
      <c r="G335" s="128">
        <v>0</v>
      </c>
      <c r="H335" s="206">
        <v>15</v>
      </c>
      <c r="I335" s="117">
        <f t="shared" si="71"/>
        <v>510000</v>
      </c>
      <c r="J335" s="117">
        <f t="shared" si="72"/>
        <v>70000</v>
      </c>
      <c r="K335" s="117">
        <f t="shared" si="73"/>
        <v>50000</v>
      </c>
      <c r="L335" s="117">
        <f t="shared" si="74"/>
        <v>10000</v>
      </c>
      <c r="M335" s="117">
        <f t="shared" si="75"/>
        <v>0</v>
      </c>
      <c r="N335" s="207">
        <f t="shared" si="76"/>
        <v>30000</v>
      </c>
      <c r="O335" s="208">
        <f t="shared" si="77"/>
        <v>640000</v>
      </c>
      <c r="P335" s="186" t="str">
        <f ca="1">IF(D335=0,'Виды прицепов'!$M$19,IF(D335=30,'Виды прицепов'!$M$20,'Виды прицепов'!$M$21))</f>
        <v>3800*1950*900</v>
      </c>
      <c r="Q335" s="186" t="str">
        <f ca="1">IF(D335=0,'Виды прицепов'!$N$19,IF(D335=30,'Виды прицепов'!$N$20,'Виды прицепов'!$N$21))</f>
        <v>4000*1500*300</v>
      </c>
    </row>
    <row r="336" spans="1:17" ht="57.6" outlineLevel="2">
      <c r="A336" s="203" t="s">
        <v>6048</v>
      </c>
      <c r="B336" s="204" t="s">
        <v>6049</v>
      </c>
      <c r="C336" s="205" t="s">
        <v>5985</v>
      </c>
      <c r="D336" s="128">
        <v>50</v>
      </c>
      <c r="E336" s="128">
        <v>15</v>
      </c>
      <c r="F336" s="128" t="s">
        <v>5371</v>
      </c>
      <c r="G336" s="128">
        <v>0</v>
      </c>
      <c r="H336" s="206">
        <v>15</v>
      </c>
      <c r="I336" s="117">
        <f t="shared" si="71"/>
        <v>510000</v>
      </c>
      <c r="J336" s="117">
        <f t="shared" si="72"/>
        <v>80000</v>
      </c>
      <c r="K336" s="117">
        <f t="shared" si="73"/>
        <v>50000</v>
      </c>
      <c r="L336" s="117">
        <f t="shared" si="74"/>
        <v>10000</v>
      </c>
      <c r="M336" s="117">
        <f t="shared" si="75"/>
        <v>0</v>
      </c>
      <c r="N336" s="207">
        <f t="shared" si="76"/>
        <v>30000</v>
      </c>
      <c r="O336" s="208">
        <f t="shared" si="77"/>
        <v>650000</v>
      </c>
      <c r="P336" s="186" t="str">
        <f ca="1">IF(D336=0,'Виды прицепов'!$M$19,IF(D336=30,'Виды прицепов'!$M$20,'Виды прицепов'!$M$21))</f>
        <v>3800*1950*1200</v>
      </c>
      <c r="Q336" s="186" t="str">
        <f ca="1">IF(D336=0,'Виды прицепов'!$N$19,IF(D336=30,'Виды прицепов'!$N$20,'Виды прицепов'!$N$21))</f>
        <v>4000*1500*500</v>
      </c>
    </row>
    <row r="337" spans="1:26" ht="72" outlineLevel="2">
      <c r="A337" s="203" t="s">
        <v>6050</v>
      </c>
      <c r="B337" s="204" t="s">
        <v>6051</v>
      </c>
      <c r="C337" s="205" t="s">
        <v>5985</v>
      </c>
      <c r="D337" s="128">
        <v>30</v>
      </c>
      <c r="E337" s="128">
        <v>13</v>
      </c>
      <c r="F337" s="128">
        <v>0</v>
      </c>
      <c r="G337" s="128">
        <v>120</v>
      </c>
      <c r="H337" s="206">
        <v>13</v>
      </c>
      <c r="I337" s="117">
        <f t="shared" si="71"/>
        <v>510000</v>
      </c>
      <c r="J337" s="117">
        <f t="shared" si="72"/>
        <v>70000</v>
      </c>
      <c r="K337" s="117">
        <f t="shared" si="73"/>
        <v>30000</v>
      </c>
      <c r="L337" s="117">
        <f t="shared" si="74"/>
        <v>0</v>
      </c>
      <c r="M337" s="117">
        <f t="shared" si="75"/>
        <v>150000</v>
      </c>
      <c r="N337" s="207">
        <f t="shared" si="76"/>
        <v>0</v>
      </c>
      <c r="O337" s="208">
        <f t="shared" si="77"/>
        <v>760000</v>
      </c>
      <c r="P337" s="186" t="str">
        <f ca="1">IF(D337=0,'Виды прицепов'!$M$19,IF(D337=30,'Виды прицепов'!$M$20,'Виды прицепов'!$M$21))</f>
        <v>3800*1950*900</v>
      </c>
      <c r="Q337" s="186" t="str">
        <f ca="1">IF(D337=0,'Виды прицепов'!$N$19,IF(D337=30,'Виды прицепов'!$N$20,'Виды прицепов'!$N$21))</f>
        <v>4000*1500*300</v>
      </c>
    </row>
    <row r="338" spans="1:26" ht="72" outlineLevel="2">
      <c r="A338" s="203" t="s">
        <v>6052</v>
      </c>
      <c r="B338" s="204" t="s">
        <v>6053</v>
      </c>
      <c r="C338" s="205" t="s">
        <v>5985</v>
      </c>
      <c r="D338" s="128">
        <v>50</v>
      </c>
      <c r="E338" s="128">
        <v>13</v>
      </c>
      <c r="F338" s="128">
        <v>0</v>
      </c>
      <c r="G338" s="128">
        <v>120</v>
      </c>
      <c r="H338" s="206">
        <v>13</v>
      </c>
      <c r="I338" s="117">
        <f t="shared" si="71"/>
        <v>510000</v>
      </c>
      <c r="J338" s="117">
        <f t="shared" si="72"/>
        <v>80000</v>
      </c>
      <c r="K338" s="117">
        <f t="shared" si="73"/>
        <v>30000</v>
      </c>
      <c r="L338" s="117">
        <f t="shared" si="74"/>
        <v>0</v>
      </c>
      <c r="M338" s="117">
        <f t="shared" si="75"/>
        <v>150000</v>
      </c>
      <c r="N338" s="207">
        <f t="shared" si="76"/>
        <v>0</v>
      </c>
      <c r="O338" s="208">
        <f t="shared" si="77"/>
        <v>770000</v>
      </c>
      <c r="P338" s="186" t="str">
        <f ca="1">IF(D338=0,'Виды прицепов'!$M$19,IF(D338=30,'Виды прицепов'!$M$20,'Виды прицепов'!$M$21))</f>
        <v>3800*1950*1200</v>
      </c>
      <c r="Q338" s="186" t="str">
        <f ca="1">IF(D338=0,'Виды прицепов'!$N$19,IF(D338=30,'Виды прицепов'!$N$20,'Виды прицепов'!$N$21))</f>
        <v>4000*1500*500</v>
      </c>
    </row>
    <row r="339" spans="1:26" ht="72" outlineLevel="2">
      <c r="A339" s="203" t="s">
        <v>6054</v>
      </c>
      <c r="B339" s="204" t="s">
        <v>6055</v>
      </c>
      <c r="C339" s="205" t="s">
        <v>5985</v>
      </c>
      <c r="D339" s="128">
        <v>30</v>
      </c>
      <c r="E339" s="128">
        <v>15</v>
      </c>
      <c r="F339" s="128">
        <v>0</v>
      </c>
      <c r="G339" s="128">
        <v>120</v>
      </c>
      <c r="H339" s="206">
        <v>15</v>
      </c>
      <c r="I339" s="117">
        <f t="shared" si="71"/>
        <v>510000</v>
      </c>
      <c r="J339" s="117">
        <f t="shared" si="72"/>
        <v>70000</v>
      </c>
      <c r="K339" s="117">
        <f t="shared" si="73"/>
        <v>50000</v>
      </c>
      <c r="L339" s="117">
        <f t="shared" si="74"/>
        <v>0</v>
      </c>
      <c r="M339" s="117">
        <f t="shared" si="75"/>
        <v>150000</v>
      </c>
      <c r="N339" s="207">
        <f t="shared" si="76"/>
        <v>30000</v>
      </c>
      <c r="O339" s="208">
        <f t="shared" si="77"/>
        <v>780000</v>
      </c>
      <c r="P339" s="186" t="str">
        <f ca="1">IF(D339=0,'Виды прицепов'!$M$19,IF(D339=30,'Виды прицепов'!$M$20,'Виды прицепов'!$M$21))</f>
        <v>3800*1950*900</v>
      </c>
      <c r="Q339" s="186" t="str">
        <f ca="1">IF(D339=0,'Виды прицепов'!$N$19,IF(D339=30,'Виды прицепов'!$N$20,'Виды прицепов'!$N$21))</f>
        <v>4000*1500*300</v>
      </c>
    </row>
    <row r="340" spans="1:26" ht="72" outlineLevel="2">
      <c r="A340" s="203" t="s">
        <v>6056</v>
      </c>
      <c r="B340" s="204" t="s">
        <v>6057</v>
      </c>
      <c r="C340" s="205" t="s">
        <v>5985</v>
      </c>
      <c r="D340" s="128">
        <v>50</v>
      </c>
      <c r="E340" s="128">
        <v>15</v>
      </c>
      <c r="F340" s="128">
        <v>0</v>
      </c>
      <c r="G340" s="128">
        <v>120</v>
      </c>
      <c r="H340" s="206">
        <v>15</v>
      </c>
      <c r="I340" s="117">
        <f t="shared" si="71"/>
        <v>510000</v>
      </c>
      <c r="J340" s="117">
        <f t="shared" si="72"/>
        <v>80000</v>
      </c>
      <c r="K340" s="117">
        <f t="shared" si="73"/>
        <v>50000</v>
      </c>
      <c r="L340" s="117">
        <f t="shared" si="74"/>
        <v>0</v>
      </c>
      <c r="M340" s="117">
        <f t="shared" si="75"/>
        <v>150000</v>
      </c>
      <c r="N340" s="207">
        <f t="shared" si="76"/>
        <v>30000</v>
      </c>
      <c r="O340" s="208">
        <f t="shared" si="77"/>
        <v>790000</v>
      </c>
      <c r="P340" s="186" t="str">
        <f ca="1">IF(D340=0,'Виды прицепов'!$M$19,IF(D340=30,'Виды прицепов'!$M$20,'Виды прицепов'!$M$21))</f>
        <v>3800*1950*1200</v>
      </c>
      <c r="Q340" s="186" t="str">
        <f ca="1">IF(D340=0,'Виды прицепов'!$N$19,IF(D340=30,'Виды прицепов'!$N$20,'Виды прицепов'!$N$21))</f>
        <v>4000*1500*500</v>
      </c>
    </row>
    <row r="341" spans="1:26" ht="57.6" outlineLevel="2">
      <c r="A341" s="203" t="s">
        <v>6058</v>
      </c>
      <c r="B341" s="204" t="s">
        <v>6059</v>
      </c>
      <c r="C341" s="205" t="s">
        <v>5985</v>
      </c>
      <c r="D341" s="128">
        <v>30</v>
      </c>
      <c r="E341" s="128">
        <v>13</v>
      </c>
      <c r="F341" s="128" t="s">
        <v>5371</v>
      </c>
      <c r="G341" s="128">
        <v>120</v>
      </c>
      <c r="H341" s="206">
        <v>13</v>
      </c>
      <c r="I341" s="117">
        <f t="shared" si="71"/>
        <v>510000</v>
      </c>
      <c r="J341" s="117">
        <f t="shared" si="72"/>
        <v>70000</v>
      </c>
      <c r="K341" s="117">
        <f t="shared" si="73"/>
        <v>30000</v>
      </c>
      <c r="L341" s="117">
        <f t="shared" si="74"/>
        <v>10000</v>
      </c>
      <c r="M341" s="117">
        <f t="shared" si="75"/>
        <v>150000</v>
      </c>
      <c r="N341" s="207">
        <f t="shared" si="76"/>
        <v>0</v>
      </c>
      <c r="O341" s="208">
        <f t="shared" si="77"/>
        <v>770000</v>
      </c>
      <c r="P341" s="186" t="str">
        <f ca="1">IF(D341=0,'Виды прицепов'!$M$19,IF(D341=30,'Виды прицепов'!$M$20,'Виды прицепов'!$M$21))</f>
        <v>3800*1950*900</v>
      </c>
      <c r="Q341" s="186" t="str">
        <f ca="1">IF(D341=0,'Виды прицепов'!$N$19,IF(D341=30,'Виды прицепов'!$N$20,'Виды прицепов'!$N$21))</f>
        <v>4000*1500*300</v>
      </c>
    </row>
    <row r="342" spans="1:26" ht="57.6" outlineLevel="2">
      <c r="A342" s="203" t="s">
        <v>6060</v>
      </c>
      <c r="B342" s="204" t="s">
        <v>6061</v>
      </c>
      <c r="C342" s="205" t="s">
        <v>5985</v>
      </c>
      <c r="D342" s="128">
        <v>50</v>
      </c>
      <c r="E342" s="128">
        <v>13</v>
      </c>
      <c r="F342" s="128" t="s">
        <v>5371</v>
      </c>
      <c r="G342" s="128">
        <v>120</v>
      </c>
      <c r="H342" s="206">
        <v>13</v>
      </c>
      <c r="I342" s="117">
        <f t="shared" si="71"/>
        <v>510000</v>
      </c>
      <c r="J342" s="117">
        <f t="shared" si="72"/>
        <v>80000</v>
      </c>
      <c r="K342" s="117">
        <f t="shared" si="73"/>
        <v>30000</v>
      </c>
      <c r="L342" s="117">
        <f t="shared" si="74"/>
        <v>10000</v>
      </c>
      <c r="M342" s="117">
        <f t="shared" si="75"/>
        <v>150000</v>
      </c>
      <c r="N342" s="207">
        <f t="shared" si="76"/>
        <v>0</v>
      </c>
      <c r="O342" s="208">
        <f t="shared" si="77"/>
        <v>780000</v>
      </c>
      <c r="P342" s="186" t="str">
        <f ca="1">IF(D342=0,'Виды прицепов'!$M$19,IF(D342=30,'Виды прицепов'!$M$20,'Виды прицепов'!$M$21))</f>
        <v>3800*1950*1200</v>
      </c>
      <c r="Q342" s="186" t="str">
        <f ca="1">IF(D342=0,'Виды прицепов'!$N$19,IF(D342=30,'Виды прицепов'!$N$20,'Виды прицепов'!$N$21))</f>
        <v>4000*1500*500</v>
      </c>
    </row>
    <row r="343" spans="1:26" ht="57.6" outlineLevel="2">
      <c r="A343" s="203" t="s">
        <v>6062</v>
      </c>
      <c r="B343" s="204" t="s">
        <v>6063</v>
      </c>
      <c r="C343" s="205" t="s">
        <v>5985</v>
      </c>
      <c r="D343" s="128">
        <v>30</v>
      </c>
      <c r="E343" s="128">
        <v>15</v>
      </c>
      <c r="F343" s="128" t="s">
        <v>5371</v>
      </c>
      <c r="G343" s="128">
        <v>120</v>
      </c>
      <c r="H343" s="206">
        <v>15</v>
      </c>
      <c r="I343" s="117">
        <f t="shared" si="71"/>
        <v>510000</v>
      </c>
      <c r="J343" s="117">
        <f t="shared" si="72"/>
        <v>70000</v>
      </c>
      <c r="K343" s="117">
        <f t="shared" si="73"/>
        <v>50000</v>
      </c>
      <c r="L343" s="117">
        <f t="shared" si="74"/>
        <v>10000</v>
      </c>
      <c r="M343" s="117">
        <f t="shared" si="75"/>
        <v>150000</v>
      </c>
      <c r="N343" s="207">
        <f t="shared" si="76"/>
        <v>30000</v>
      </c>
      <c r="O343" s="208">
        <f t="shared" si="77"/>
        <v>790000</v>
      </c>
      <c r="P343" s="186" t="str">
        <f ca="1">IF(D343=0,'Виды прицепов'!$M$19,IF(D343=30,'Виды прицепов'!$M$20,'Виды прицепов'!$M$21))</f>
        <v>3800*1950*900</v>
      </c>
      <c r="Q343" s="186" t="str">
        <f ca="1">IF(D343=0,'Виды прицепов'!$N$19,IF(D343=30,'Виды прицепов'!$N$20,'Виды прицепов'!$N$21))</f>
        <v>4000*1500*300</v>
      </c>
    </row>
    <row r="344" spans="1:26" ht="57.6" outlineLevel="2">
      <c r="A344" s="203" t="s">
        <v>6064</v>
      </c>
      <c r="B344" s="204" t="s">
        <v>6065</v>
      </c>
      <c r="C344" s="205" t="s">
        <v>5985</v>
      </c>
      <c r="D344" s="128">
        <v>50</v>
      </c>
      <c r="E344" s="128">
        <v>15</v>
      </c>
      <c r="F344" s="128" t="s">
        <v>5371</v>
      </c>
      <c r="G344" s="128">
        <v>120</v>
      </c>
      <c r="H344" s="206">
        <v>15</v>
      </c>
      <c r="I344" s="117">
        <f t="shared" si="71"/>
        <v>510000</v>
      </c>
      <c r="J344" s="117">
        <f t="shared" si="72"/>
        <v>80000</v>
      </c>
      <c r="K344" s="117">
        <f t="shared" si="73"/>
        <v>50000</v>
      </c>
      <c r="L344" s="117">
        <f t="shared" si="74"/>
        <v>10000</v>
      </c>
      <c r="M344" s="117">
        <f t="shared" si="75"/>
        <v>150000</v>
      </c>
      <c r="N344" s="207">
        <f t="shared" si="76"/>
        <v>30000</v>
      </c>
      <c r="O344" s="208">
        <f t="shared" si="77"/>
        <v>800000</v>
      </c>
      <c r="P344" s="186" t="str">
        <f ca="1">IF(D344=0,'Виды прицепов'!$M$19,IF(D344=30,'Виды прицепов'!$M$20,'Виды прицепов'!$M$21))</f>
        <v>3800*1950*1200</v>
      </c>
      <c r="Q344" s="186" t="str">
        <f ca="1">IF(D344=0,'Виды прицепов'!$N$19,IF(D344=30,'Виды прицепов'!$N$20,'Виды прицепов'!$N$21))</f>
        <v>4000*1500*500</v>
      </c>
    </row>
    <row r="345" spans="1:26" ht="14.4">
      <c r="A345" s="209" t="s">
        <v>6066</v>
      </c>
      <c r="B345" s="210"/>
      <c r="C345" s="211"/>
      <c r="D345" s="212"/>
      <c r="E345" s="212"/>
      <c r="F345" s="212"/>
      <c r="G345" s="212"/>
      <c r="H345" s="213"/>
      <c r="I345" s="214"/>
      <c r="J345" s="214"/>
      <c r="K345" s="214"/>
      <c r="L345" s="214"/>
      <c r="M345" s="214"/>
      <c r="N345" s="215"/>
      <c r="O345" s="216"/>
      <c r="P345" s="173"/>
      <c r="Q345" s="173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 spans="1:26" ht="14.4" outlineLevel="1">
      <c r="A346" s="175" t="s">
        <v>6067</v>
      </c>
      <c r="B346" s="176"/>
      <c r="C346" s="177"/>
      <c r="D346" s="178"/>
      <c r="E346" s="178"/>
      <c r="F346" s="178"/>
      <c r="G346" s="178"/>
      <c r="H346" s="178"/>
      <c r="I346" s="179"/>
      <c r="J346" s="179"/>
      <c r="K346" s="179"/>
      <c r="L346" s="179"/>
      <c r="M346" s="179"/>
      <c r="N346" s="179"/>
      <c r="O346" s="179"/>
      <c r="P346" s="173"/>
      <c r="Q346" s="173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 spans="1:26" ht="57.6" outlineLevel="2">
      <c r="A347" s="203" t="s">
        <v>6068</v>
      </c>
      <c r="B347" s="204" t="s">
        <v>5686</v>
      </c>
      <c r="C347" s="205" t="s">
        <v>5354</v>
      </c>
      <c r="D347" s="128">
        <v>0</v>
      </c>
      <c r="E347" s="128">
        <v>0</v>
      </c>
      <c r="F347" s="128">
        <v>0</v>
      </c>
      <c r="G347" s="128">
        <v>0</v>
      </c>
      <c r="H347" s="206">
        <v>13</v>
      </c>
      <c r="I347" s="117" t="str">
        <f t="shared" ref="I347:I378" si="78">VLOOKUP(C347,платформа2,2,0)</f>
        <v>490 000</v>
      </c>
      <c r="J347" s="117">
        <f t="shared" ref="J347:J378" si="79">VLOOKUP(D347,борт_2515,2)</f>
        <v>0</v>
      </c>
      <c r="K347" s="117">
        <f t="shared" ref="K347:K378" si="80">VLOOKUP(E347,колесо,2,0)*2</f>
        <v>0</v>
      </c>
      <c r="L347" s="117">
        <f t="shared" ref="L347:L378" si="81">VLOOKUP(F347,опорное_колесо,2,0)</f>
        <v>0</v>
      </c>
      <c r="M347" s="117">
        <f t="shared" ref="M347:M378" si="82">VLOOKUP(G347,тент_2515,2,0)</f>
        <v>0</v>
      </c>
      <c r="N347" s="207">
        <f t="shared" ref="N347:N378" si="83">VLOOKUP(H347,ступица,2,0)</f>
        <v>0</v>
      </c>
      <c r="O347" s="208" t="s">
        <v>6069</v>
      </c>
      <c r="P347" s="186" t="str">
        <f ca="1">IF(D347=0,'Виды прицепов'!$M$10,IF(D347=30,'Виды прицепов'!$M$11,'Виды прицепов'!$M$12))</f>
        <v>4000*1950*650</v>
      </c>
      <c r="Q347" s="186" t="str">
        <f ca="1">IF(D347=0,'Виды прицепов'!$N$19,IF(D347=30,'Виды прицепов'!$N$20,'Виды прицепов'!$N$21))</f>
        <v>4000*1500*0</v>
      </c>
    </row>
    <row r="348" spans="1:26" ht="57.6" outlineLevel="2">
      <c r="A348" s="203" t="s">
        <v>6070</v>
      </c>
      <c r="B348" s="204" t="s">
        <v>5688</v>
      </c>
      <c r="C348" s="205" t="s">
        <v>5354</v>
      </c>
      <c r="D348" s="128">
        <v>30</v>
      </c>
      <c r="E348" s="128">
        <v>0</v>
      </c>
      <c r="F348" s="128">
        <v>0</v>
      </c>
      <c r="G348" s="128">
        <v>0</v>
      </c>
      <c r="H348" s="206">
        <v>13</v>
      </c>
      <c r="I348" s="117" t="str">
        <f t="shared" si="78"/>
        <v>490 000</v>
      </c>
      <c r="J348" s="117">
        <f t="shared" si="79"/>
        <v>40000</v>
      </c>
      <c r="K348" s="117">
        <f t="shared" si="80"/>
        <v>0</v>
      </c>
      <c r="L348" s="117">
        <f t="shared" si="81"/>
        <v>0</v>
      </c>
      <c r="M348" s="117">
        <f t="shared" si="82"/>
        <v>0</v>
      </c>
      <c r="N348" s="207">
        <f t="shared" si="83"/>
        <v>0</v>
      </c>
      <c r="O348" s="208" t="s">
        <v>6071</v>
      </c>
      <c r="P348" s="186" t="str">
        <f ca="1">IF(D348=0,'Виды прицепов'!$M$10,IF(D348=30,'Виды прицепов'!$M$11,'Виды прицепов'!$M$12))</f>
        <v>3650*1950*900</v>
      </c>
      <c r="Q348" s="186" t="str">
        <f ca="1">IF(D348=0,'Виды прицепов'!$N$19,IF(D348=30,'Виды прицепов'!$N$20,'Виды прицепов'!$N$21))</f>
        <v>4000*1500*300</v>
      </c>
    </row>
    <row r="349" spans="1:26" ht="57.6" outlineLevel="2">
      <c r="A349" s="203" t="s">
        <v>6072</v>
      </c>
      <c r="B349" s="204" t="s">
        <v>5690</v>
      </c>
      <c r="C349" s="205" t="s">
        <v>5354</v>
      </c>
      <c r="D349" s="128">
        <v>50</v>
      </c>
      <c r="E349" s="128">
        <v>0</v>
      </c>
      <c r="F349" s="128">
        <v>0</v>
      </c>
      <c r="G349" s="128">
        <v>0</v>
      </c>
      <c r="H349" s="206">
        <v>13</v>
      </c>
      <c r="I349" s="117" t="str">
        <f t="shared" si="78"/>
        <v>490 000</v>
      </c>
      <c r="J349" s="117">
        <f t="shared" si="79"/>
        <v>50000</v>
      </c>
      <c r="K349" s="117">
        <f t="shared" si="80"/>
        <v>0</v>
      </c>
      <c r="L349" s="117">
        <f t="shared" si="81"/>
        <v>0</v>
      </c>
      <c r="M349" s="117">
        <f t="shared" si="82"/>
        <v>0</v>
      </c>
      <c r="N349" s="207">
        <f t="shared" si="83"/>
        <v>0</v>
      </c>
      <c r="O349" s="208" t="s">
        <v>6073</v>
      </c>
      <c r="P349" s="186" t="str">
        <f ca="1">IF(D349=0,'Виды прицепов'!$M$10,IF(D349=30,'Виды прицепов'!$M$11,'Виды прицепов'!$M$12))</f>
        <v>3650*1950*1070</v>
      </c>
      <c r="Q349" s="186" t="str">
        <f ca="1">IF(D349=0,'Виды прицепов'!$N$19,IF(D349=30,'Виды прицепов'!$N$20,'Виды прицепов'!$N$21))</f>
        <v>4000*1500*500</v>
      </c>
    </row>
    <row r="350" spans="1:26" ht="72" outlineLevel="2">
      <c r="A350" s="203" t="s">
        <v>6074</v>
      </c>
      <c r="B350" s="204" t="s">
        <v>5692</v>
      </c>
      <c r="C350" s="205" t="s">
        <v>5354</v>
      </c>
      <c r="D350" s="128">
        <v>30</v>
      </c>
      <c r="E350" s="128">
        <v>0</v>
      </c>
      <c r="F350" s="128">
        <v>0</v>
      </c>
      <c r="G350" s="128">
        <v>90</v>
      </c>
      <c r="H350" s="206">
        <v>13</v>
      </c>
      <c r="I350" s="117" t="str">
        <f t="shared" si="78"/>
        <v>490 000</v>
      </c>
      <c r="J350" s="117">
        <f t="shared" si="79"/>
        <v>40000</v>
      </c>
      <c r="K350" s="117">
        <f t="shared" si="80"/>
        <v>0</v>
      </c>
      <c r="L350" s="117">
        <f t="shared" si="81"/>
        <v>0</v>
      </c>
      <c r="M350" s="117">
        <f t="shared" si="82"/>
        <v>100000</v>
      </c>
      <c r="N350" s="207">
        <f t="shared" si="83"/>
        <v>0</v>
      </c>
      <c r="O350" s="208" t="s">
        <v>6075</v>
      </c>
      <c r="P350" s="186" t="str">
        <f ca="1">IF(D350=0,'Виды прицепов'!$M$10,IF(D350=30,'Виды прицепов'!$M$11,'Виды прицепов'!$M$12))</f>
        <v>3650*1950*900</v>
      </c>
      <c r="Q350" s="186" t="str">
        <f ca="1">IF(D350=0,'Виды прицепов'!$N$19,IF(D350=30,'Виды прицепов'!$N$20,'Виды прицепов'!$N$21))</f>
        <v>4000*1500*300</v>
      </c>
    </row>
    <row r="351" spans="1:26" ht="72" outlineLevel="2">
      <c r="A351" s="203" t="s">
        <v>6076</v>
      </c>
      <c r="B351" s="204" t="s">
        <v>5694</v>
      </c>
      <c r="C351" s="205" t="s">
        <v>5354</v>
      </c>
      <c r="D351" s="128">
        <v>50</v>
      </c>
      <c r="E351" s="128">
        <v>0</v>
      </c>
      <c r="F351" s="128">
        <v>0</v>
      </c>
      <c r="G351" s="128">
        <v>90</v>
      </c>
      <c r="H351" s="206">
        <v>13</v>
      </c>
      <c r="I351" s="117" t="str">
        <f t="shared" si="78"/>
        <v>490 000</v>
      </c>
      <c r="J351" s="117">
        <f t="shared" si="79"/>
        <v>50000</v>
      </c>
      <c r="K351" s="117">
        <f t="shared" si="80"/>
        <v>0</v>
      </c>
      <c r="L351" s="117">
        <f t="shared" si="81"/>
        <v>0</v>
      </c>
      <c r="M351" s="117">
        <f t="shared" si="82"/>
        <v>100000</v>
      </c>
      <c r="N351" s="207">
        <f t="shared" si="83"/>
        <v>0</v>
      </c>
      <c r="O351" s="208" t="s">
        <v>6077</v>
      </c>
      <c r="P351" s="186" t="str">
        <f ca="1">IF(D351=0,'Виды прицепов'!$M$10,IF(D351=30,'Виды прицепов'!$M$11,'Виды прицепов'!$M$12))</f>
        <v>3650*1950*1070</v>
      </c>
      <c r="Q351" s="186" t="str">
        <f ca="1">IF(D351=0,'Виды прицепов'!$N$19,IF(D351=30,'Виды прицепов'!$N$20,'Виды прицепов'!$N$21))</f>
        <v>4000*1500*500</v>
      </c>
    </row>
    <row r="352" spans="1:26" ht="72" outlineLevel="2">
      <c r="A352" s="203" t="s">
        <v>6078</v>
      </c>
      <c r="B352" s="204" t="s">
        <v>5696</v>
      </c>
      <c r="C352" s="205" t="s">
        <v>5354</v>
      </c>
      <c r="D352" s="128">
        <v>30</v>
      </c>
      <c r="E352" s="128">
        <v>0</v>
      </c>
      <c r="F352" s="128">
        <v>0</v>
      </c>
      <c r="G352" s="128">
        <v>120</v>
      </c>
      <c r="H352" s="206">
        <v>13</v>
      </c>
      <c r="I352" s="117" t="str">
        <f t="shared" si="78"/>
        <v>490 000</v>
      </c>
      <c r="J352" s="117">
        <f t="shared" si="79"/>
        <v>40000</v>
      </c>
      <c r="K352" s="117">
        <f t="shared" si="80"/>
        <v>0</v>
      </c>
      <c r="L352" s="117">
        <f t="shared" si="81"/>
        <v>0</v>
      </c>
      <c r="M352" s="117">
        <f t="shared" si="82"/>
        <v>110000</v>
      </c>
      <c r="N352" s="207">
        <f t="shared" si="83"/>
        <v>0</v>
      </c>
      <c r="O352" s="208" t="s">
        <v>6079</v>
      </c>
      <c r="P352" s="186" t="str">
        <f ca="1">IF(D352=0,'Виды прицепов'!$M$10,IF(D352=30,'Виды прицепов'!$M$11,'Виды прицепов'!$M$12))</f>
        <v>3650*1950*900</v>
      </c>
      <c r="Q352" s="186" t="str">
        <f ca="1">IF(D352=0,'Виды прицепов'!$N$19,IF(D352=30,'Виды прицепов'!$N$20,'Виды прицепов'!$N$21))</f>
        <v>4000*1500*300</v>
      </c>
    </row>
    <row r="353" spans="1:17" ht="72" outlineLevel="2">
      <c r="A353" s="203" t="s">
        <v>6080</v>
      </c>
      <c r="B353" s="204" t="s">
        <v>5698</v>
      </c>
      <c r="C353" s="205" t="s">
        <v>5354</v>
      </c>
      <c r="D353" s="128">
        <v>50</v>
      </c>
      <c r="E353" s="128">
        <v>0</v>
      </c>
      <c r="F353" s="128">
        <v>0</v>
      </c>
      <c r="G353" s="128">
        <v>120</v>
      </c>
      <c r="H353" s="206">
        <v>13</v>
      </c>
      <c r="I353" s="117" t="str">
        <f t="shared" si="78"/>
        <v>490 000</v>
      </c>
      <c r="J353" s="117">
        <f t="shared" si="79"/>
        <v>50000</v>
      </c>
      <c r="K353" s="117">
        <f t="shared" si="80"/>
        <v>0</v>
      </c>
      <c r="L353" s="117">
        <f t="shared" si="81"/>
        <v>0</v>
      </c>
      <c r="M353" s="117">
        <f t="shared" si="82"/>
        <v>110000</v>
      </c>
      <c r="N353" s="207">
        <f t="shared" si="83"/>
        <v>0</v>
      </c>
      <c r="O353" s="208" t="s">
        <v>6081</v>
      </c>
      <c r="P353" s="186" t="str">
        <f ca="1">IF(D353=0,'Виды прицепов'!$M$10,IF(D353=30,'Виды прицепов'!$M$11,'Виды прицепов'!$M$12))</f>
        <v>3650*1950*1070</v>
      </c>
      <c r="Q353" s="186" t="str">
        <f ca="1">IF(D353=0,'Виды прицепов'!$N$19,IF(D353=30,'Виды прицепов'!$N$20,'Виды прицепов'!$N$21))</f>
        <v>4000*1500*500</v>
      </c>
    </row>
    <row r="354" spans="1:17" ht="57.6" outlineLevel="2">
      <c r="A354" s="203" t="s">
        <v>6082</v>
      </c>
      <c r="B354" s="204" t="s">
        <v>5700</v>
      </c>
      <c r="C354" s="205" t="s">
        <v>5354</v>
      </c>
      <c r="D354" s="128">
        <v>0</v>
      </c>
      <c r="E354" s="128">
        <v>13</v>
      </c>
      <c r="F354" s="128">
        <v>0</v>
      </c>
      <c r="G354" s="128">
        <v>0</v>
      </c>
      <c r="H354" s="206">
        <v>13</v>
      </c>
      <c r="I354" s="117" t="str">
        <f t="shared" si="78"/>
        <v>490 000</v>
      </c>
      <c r="J354" s="117">
        <f t="shared" si="79"/>
        <v>0</v>
      </c>
      <c r="K354" s="117">
        <f t="shared" si="80"/>
        <v>60000</v>
      </c>
      <c r="L354" s="117">
        <f t="shared" si="81"/>
        <v>0</v>
      </c>
      <c r="M354" s="117">
        <f t="shared" si="82"/>
        <v>0</v>
      </c>
      <c r="N354" s="207">
        <f t="shared" si="83"/>
        <v>0</v>
      </c>
      <c r="O354" s="208" t="s">
        <v>6083</v>
      </c>
      <c r="P354" s="186" t="str">
        <f ca="1">IF(D354=0,'Виды прицепов'!$M$10,IF(D354=30,'Виды прицепов'!$M$11,'Виды прицепов'!$M$12))</f>
        <v>4000*1950*650</v>
      </c>
      <c r="Q354" s="186" t="str">
        <f ca="1">IF(D354=0,'Виды прицепов'!$N$19,IF(D354=30,'Виды прицепов'!$N$20,'Виды прицепов'!$N$21))</f>
        <v>4000*1500*0</v>
      </c>
    </row>
    <row r="355" spans="1:17" ht="57.6" outlineLevel="2">
      <c r="A355" s="203" t="s">
        <v>6084</v>
      </c>
      <c r="B355" s="204" t="s">
        <v>6085</v>
      </c>
      <c r="C355" s="205" t="s">
        <v>5354</v>
      </c>
      <c r="D355" s="128">
        <v>30</v>
      </c>
      <c r="E355" s="128">
        <v>13</v>
      </c>
      <c r="F355" s="128">
        <v>0</v>
      </c>
      <c r="G355" s="128">
        <v>0</v>
      </c>
      <c r="H355" s="206">
        <v>13</v>
      </c>
      <c r="I355" s="117" t="str">
        <f t="shared" si="78"/>
        <v>490 000</v>
      </c>
      <c r="J355" s="117">
        <f t="shared" si="79"/>
        <v>40000</v>
      </c>
      <c r="K355" s="117">
        <f t="shared" si="80"/>
        <v>60000</v>
      </c>
      <c r="L355" s="117">
        <f t="shared" si="81"/>
        <v>0</v>
      </c>
      <c r="M355" s="117">
        <f t="shared" si="82"/>
        <v>0</v>
      </c>
      <c r="N355" s="207">
        <f t="shared" si="83"/>
        <v>0</v>
      </c>
      <c r="O355" s="208" t="s">
        <v>6086</v>
      </c>
      <c r="P355" s="186" t="str">
        <f ca="1">IF(D355=0,'Виды прицепов'!$M$10,IF(D355=30,'Виды прицепов'!$M$11,'Виды прицепов'!$M$12))</f>
        <v>3650*1950*900</v>
      </c>
      <c r="Q355" s="186" t="str">
        <f ca="1">IF(D355=0,'Виды прицепов'!$N$19,IF(D355=30,'Виды прицепов'!$N$20,'Виды прицепов'!$N$21))</f>
        <v>4000*1500*300</v>
      </c>
    </row>
    <row r="356" spans="1:17" ht="57.6" outlineLevel="2">
      <c r="A356" s="203" t="s">
        <v>6087</v>
      </c>
      <c r="B356" s="204" t="s">
        <v>6088</v>
      </c>
      <c r="C356" s="205" t="s">
        <v>5354</v>
      </c>
      <c r="D356" s="128">
        <v>50</v>
      </c>
      <c r="E356" s="128">
        <v>13</v>
      </c>
      <c r="F356" s="128">
        <v>0</v>
      </c>
      <c r="G356" s="128">
        <v>0</v>
      </c>
      <c r="H356" s="206">
        <v>13</v>
      </c>
      <c r="I356" s="117" t="str">
        <f t="shared" si="78"/>
        <v>490 000</v>
      </c>
      <c r="J356" s="117">
        <f t="shared" si="79"/>
        <v>50000</v>
      </c>
      <c r="K356" s="117">
        <f t="shared" si="80"/>
        <v>60000</v>
      </c>
      <c r="L356" s="117">
        <f t="shared" si="81"/>
        <v>0</v>
      </c>
      <c r="M356" s="117">
        <f t="shared" si="82"/>
        <v>0</v>
      </c>
      <c r="N356" s="207">
        <f t="shared" si="83"/>
        <v>0</v>
      </c>
      <c r="O356" s="208" t="s">
        <v>6089</v>
      </c>
      <c r="P356" s="186" t="str">
        <f ca="1">IF(D356=0,'Виды прицепов'!$M$10,IF(D356=30,'Виды прицепов'!$M$11,'Виды прицепов'!$M$12))</f>
        <v>3650*1950*1070</v>
      </c>
      <c r="Q356" s="186" t="str">
        <f ca="1">IF(D356=0,'Виды прицепов'!$N$19,IF(D356=30,'Виды прицепов'!$N$20,'Виды прицепов'!$N$21))</f>
        <v>4000*1500*500</v>
      </c>
    </row>
    <row r="357" spans="1:17" ht="43.2" outlineLevel="2">
      <c r="A357" s="203" t="s">
        <v>6090</v>
      </c>
      <c r="B357" s="204" t="s">
        <v>5706</v>
      </c>
      <c r="C357" s="205" t="s">
        <v>5354</v>
      </c>
      <c r="D357" s="128">
        <v>0</v>
      </c>
      <c r="E357" s="128">
        <v>0</v>
      </c>
      <c r="F357" s="128">
        <v>0</v>
      </c>
      <c r="G357" s="128">
        <v>0</v>
      </c>
      <c r="H357" s="206">
        <v>15</v>
      </c>
      <c r="I357" s="117" t="str">
        <f t="shared" si="78"/>
        <v>490 000</v>
      </c>
      <c r="J357" s="117">
        <f t="shared" si="79"/>
        <v>0</v>
      </c>
      <c r="K357" s="117">
        <f t="shared" si="80"/>
        <v>0</v>
      </c>
      <c r="L357" s="117">
        <f t="shared" si="81"/>
        <v>0</v>
      </c>
      <c r="M357" s="117">
        <f t="shared" si="82"/>
        <v>0</v>
      </c>
      <c r="N357" s="207">
        <f t="shared" si="83"/>
        <v>30000</v>
      </c>
      <c r="O357" s="208" t="s">
        <v>6069</v>
      </c>
      <c r="P357" s="186" t="str">
        <f ca="1">IF(D357=0,'Виды прицепов'!$M$10,IF(D357=30,'Виды прицепов'!$M$11,'Виды прицепов'!$M$12))</f>
        <v>4000*1950*650</v>
      </c>
      <c r="Q357" s="186" t="str">
        <f ca="1">IF(D357=0,'Виды прицепов'!$N$19,IF(D357=30,'Виды прицепов'!$N$20,'Виды прицепов'!$N$21))</f>
        <v>4000*1500*0</v>
      </c>
    </row>
    <row r="358" spans="1:17" ht="57.6" outlineLevel="2">
      <c r="A358" s="203" t="s">
        <v>6091</v>
      </c>
      <c r="B358" s="204" t="s">
        <v>5708</v>
      </c>
      <c r="C358" s="205" t="s">
        <v>5354</v>
      </c>
      <c r="D358" s="128">
        <v>30</v>
      </c>
      <c r="E358" s="128">
        <v>0</v>
      </c>
      <c r="F358" s="128">
        <v>0</v>
      </c>
      <c r="G358" s="128">
        <v>0</v>
      </c>
      <c r="H358" s="206">
        <v>15</v>
      </c>
      <c r="I358" s="117" t="str">
        <f t="shared" si="78"/>
        <v>490 000</v>
      </c>
      <c r="J358" s="117">
        <f t="shared" si="79"/>
        <v>40000</v>
      </c>
      <c r="K358" s="117">
        <f t="shared" si="80"/>
        <v>0</v>
      </c>
      <c r="L358" s="117">
        <f t="shared" si="81"/>
        <v>0</v>
      </c>
      <c r="M358" s="117">
        <f t="shared" si="82"/>
        <v>0</v>
      </c>
      <c r="N358" s="207">
        <f t="shared" si="83"/>
        <v>30000</v>
      </c>
      <c r="O358" s="208" t="s">
        <v>6071</v>
      </c>
      <c r="P358" s="186" t="str">
        <f ca="1">IF(D358=0,'Виды прицепов'!$M$10,IF(D358=30,'Виды прицепов'!$M$11,'Виды прицепов'!$M$12))</f>
        <v>3650*1950*900</v>
      </c>
      <c r="Q358" s="186" t="str">
        <f ca="1">IF(D358=0,'Виды прицепов'!$N$19,IF(D358=30,'Виды прицепов'!$N$20,'Виды прицепов'!$N$21))</f>
        <v>4000*1500*300</v>
      </c>
    </row>
    <row r="359" spans="1:17" ht="57.6" outlineLevel="2">
      <c r="A359" s="203" t="s">
        <v>6092</v>
      </c>
      <c r="B359" s="204" t="s">
        <v>5710</v>
      </c>
      <c r="C359" s="205" t="s">
        <v>5354</v>
      </c>
      <c r="D359" s="128">
        <v>50</v>
      </c>
      <c r="E359" s="128">
        <v>0</v>
      </c>
      <c r="F359" s="128">
        <v>0</v>
      </c>
      <c r="G359" s="128">
        <v>0</v>
      </c>
      <c r="H359" s="206">
        <v>15</v>
      </c>
      <c r="I359" s="117" t="str">
        <f t="shared" si="78"/>
        <v>490 000</v>
      </c>
      <c r="J359" s="117">
        <f t="shared" si="79"/>
        <v>50000</v>
      </c>
      <c r="K359" s="117">
        <f t="shared" si="80"/>
        <v>0</v>
      </c>
      <c r="L359" s="117">
        <f t="shared" si="81"/>
        <v>0</v>
      </c>
      <c r="M359" s="117">
        <f t="shared" si="82"/>
        <v>0</v>
      </c>
      <c r="N359" s="207">
        <f t="shared" si="83"/>
        <v>30000</v>
      </c>
      <c r="O359" s="208" t="s">
        <v>6073</v>
      </c>
      <c r="P359" s="186" t="str">
        <f ca="1">IF(D359=0,'Виды прицепов'!$M$10,IF(D359=30,'Виды прицепов'!$M$11,'Виды прицепов'!$M$12))</f>
        <v>3650*1950*1070</v>
      </c>
      <c r="Q359" s="186" t="str">
        <f ca="1">IF(D359=0,'Виды прицепов'!$N$19,IF(D359=30,'Виды прицепов'!$N$20,'Виды прицепов'!$N$21))</f>
        <v>4000*1500*500</v>
      </c>
    </row>
    <row r="360" spans="1:17" ht="72" outlineLevel="2">
      <c r="A360" s="203" t="s">
        <v>6093</v>
      </c>
      <c r="B360" s="204" t="s">
        <v>5712</v>
      </c>
      <c r="C360" s="205" t="s">
        <v>5354</v>
      </c>
      <c r="D360" s="128">
        <v>30</v>
      </c>
      <c r="E360" s="128">
        <v>0</v>
      </c>
      <c r="F360" s="128">
        <v>0</v>
      </c>
      <c r="G360" s="128">
        <v>90</v>
      </c>
      <c r="H360" s="206">
        <v>15</v>
      </c>
      <c r="I360" s="117" t="str">
        <f t="shared" si="78"/>
        <v>490 000</v>
      </c>
      <c r="J360" s="117">
        <f t="shared" si="79"/>
        <v>40000</v>
      </c>
      <c r="K360" s="117">
        <f t="shared" si="80"/>
        <v>0</v>
      </c>
      <c r="L360" s="117">
        <f t="shared" si="81"/>
        <v>0</v>
      </c>
      <c r="M360" s="117">
        <f t="shared" si="82"/>
        <v>100000</v>
      </c>
      <c r="N360" s="207">
        <f t="shared" si="83"/>
        <v>30000</v>
      </c>
      <c r="O360" s="208" t="s">
        <v>6075</v>
      </c>
      <c r="P360" s="186" t="str">
        <f ca="1">IF(D360=0,'Виды прицепов'!$M$10,IF(D360=30,'Виды прицепов'!$M$11,'Виды прицепов'!$M$12))</f>
        <v>3650*1950*900</v>
      </c>
      <c r="Q360" s="186" t="str">
        <f ca="1">IF(D360=0,'Виды прицепов'!$N$19,IF(D360=30,'Виды прицепов'!$N$20,'Виды прицепов'!$N$21))</f>
        <v>4000*1500*300</v>
      </c>
    </row>
    <row r="361" spans="1:17" ht="72" outlineLevel="2">
      <c r="A361" s="203" t="s">
        <v>6094</v>
      </c>
      <c r="B361" s="204" t="s">
        <v>5714</v>
      </c>
      <c r="C361" s="205" t="s">
        <v>5354</v>
      </c>
      <c r="D361" s="128">
        <v>50</v>
      </c>
      <c r="E361" s="128">
        <v>0</v>
      </c>
      <c r="F361" s="128">
        <v>0</v>
      </c>
      <c r="G361" s="128">
        <v>90</v>
      </c>
      <c r="H361" s="206">
        <v>15</v>
      </c>
      <c r="I361" s="117" t="str">
        <f t="shared" si="78"/>
        <v>490 000</v>
      </c>
      <c r="J361" s="117">
        <f t="shared" si="79"/>
        <v>50000</v>
      </c>
      <c r="K361" s="117">
        <f t="shared" si="80"/>
        <v>0</v>
      </c>
      <c r="L361" s="117">
        <f t="shared" si="81"/>
        <v>0</v>
      </c>
      <c r="M361" s="117">
        <f t="shared" si="82"/>
        <v>100000</v>
      </c>
      <c r="N361" s="207">
        <f t="shared" si="83"/>
        <v>30000</v>
      </c>
      <c r="O361" s="208" t="s">
        <v>6077</v>
      </c>
      <c r="P361" s="186" t="str">
        <f ca="1">IF(D361=0,'Виды прицепов'!$M$10,IF(D361=30,'Виды прицепов'!$M$11,'Виды прицепов'!$M$12))</f>
        <v>3650*1950*1070</v>
      </c>
      <c r="Q361" s="186" t="str">
        <f ca="1">IF(D361=0,'Виды прицепов'!$N$19,IF(D361=30,'Виды прицепов'!$N$20,'Виды прицепов'!$N$21))</f>
        <v>4000*1500*500</v>
      </c>
    </row>
    <row r="362" spans="1:17" ht="72" outlineLevel="2">
      <c r="A362" s="203" t="s">
        <v>6095</v>
      </c>
      <c r="B362" s="204" t="s">
        <v>5716</v>
      </c>
      <c r="C362" s="205" t="s">
        <v>5354</v>
      </c>
      <c r="D362" s="128">
        <v>30</v>
      </c>
      <c r="E362" s="128">
        <v>0</v>
      </c>
      <c r="F362" s="128">
        <v>0</v>
      </c>
      <c r="G362" s="128">
        <v>120</v>
      </c>
      <c r="H362" s="206">
        <v>15</v>
      </c>
      <c r="I362" s="117" t="str">
        <f t="shared" si="78"/>
        <v>490 000</v>
      </c>
      <c r="J362" s="117">
        <f t="shared" si="79"/>
        <v>40000</v>
      </c>
      <c r="K362" s="117">
        <f t="shared" si="80"/>
        <v>0</v>
      </c>
      <c r="L362" s="117">
        <f t="shared" si="81"/>
        <v>0</v>
      </c>
      <c r="M362" s="117">
        <f t="shared" si="82"/>
        <v>110000</v>
      </c>
      <c r="N362" s="207">
        <f t="shared" si="83"/>
        <v>30000</v>
      </c>
      <c r="O362" s="208" t="s">
        <v>6079</v>
      </c>
      <c r="P362" s="186" t="str">
        <f ca="1">IF(D362=0,'Виды прицепов'!$M$10,IF(D362=30,'Виды прицепов'!$M$11,'Виды прицепов'!$M$12))</f>
        <v>3650*1950*900</v>
      </c>
      <c r="Q362" s="186" t="str">
        <f ca="1">IF(D362=0,'Виды прицепов'!$N$19,IF(D362=30,'Виды прицепов'!$N$20,'Виды прицепов'!$N$21))</f>
        <v>4000*1500*300</v>
      </c>
    </row>
    <row r="363" spans="1:17" ht="72" outlineLevel="2">
      <c r="A363" s="203" t="s">
        <v>6096</v>
      </c>
      <c r="B363" s="204" t="s">
        <v>5718</v>
      </c>
      <c r="C363" s="205" t="s">
        <v>5354</v>
      </c>
      <c r="D363" s="128">
        <v>50</v>
      </c>
      <c r="E363" s="128">
        <v>0</v>
      </c>
      <c r="F363" s="128">
        <v>0</v>
      </c>
      <c r="G363" s="128">
        <v>120</v>
      </c>
      <c r="H363" s="206">
        <v>15</v>
      </c>
      <c r="I363" s="117" t="str">
        <f t="shared" si="78"/>
        <v>490 000</v>
      </c>
      <c r="J363" s="117">
        <f t="shared" si="79"/>
        <v>50000</v>
      </c>
      <c r="K363" s="117">
        <f t="shared" si="80"/>
        <v>0</v>
      </c>
      <c r="L363" s="117">
        <f t="shared" si="81"/>
        <v>0</v>
      </c>
      <c r="M363" s="117">
        <f t="shared" si="82"/>
        <v>110000</v>
      </c>
      <c r="N363" s="207">
        <f t="shared" si="83"/>
        <v>30000</v>
      </c>
      <c r="O363" s="208" t="s">
        <v>6081</v>
      </c>
      <c r="P363" s="186" t="str">
        <f ca="1">IF(D363=0,'Виды прицепов'!$M$10,IF(D363=30,'Виды прицепов'!$M$11,'Виды прицепов'!$M$12))</f>
        <v>3650*1950*1070</v>
      </c>
      <c r="Q363" s="186" t="str">
        <f ca="1">IF(D363=0,'Виды прицепов'!$N$19,IF(D363=30,'Виды прицепов'!$N$20,'Виды прицепов'!$N$21))</f>
        <v>4000*1500*500</v>
      </c>
    </row>
    <row r="364" spans="1:17" ht="57.6" outlineLevel="2">
      <c r="A364" s="203" t="s">
        <v>6097</v>
      </c>
      <c r="B364" s="204" t="s">
        <v>5720</v>
      </c>
      <c r="C364" s="205" t="s">
        <v>5354</v>
      </c>
      <c r="D364" s="128">
        <v>0</v>
      </c>
      <c r="E364" s="128">
        <v>15</v>
      </c>
      <c r="F364" s="128">
        <v>0</v>
      </c>
      <c r="G364" s="128">
        <v>0</v>
      </c>
      <c r="H364" s="206">
        <v>15</v>
      </c>
      <c r="I364" s="117" t="str">
        <f t="shared" si="78"/>
        <v>490 000</v>
      </c>
      <c r="J364" s="117">
        <f t="shared" si="79"/>
        <v>0</v>
      </c>
      <c r="K364" s="117">
        <f t="shared" si="80"/>
        <v>100000</v>
      </c>
      <c r="L364" s="117">
        <f t="shared" si="81"/>
        <v>0</v>
      </c>
      <c r="M364" s="117">
        <f t="shared" si="82"/>
        <v>0</v>
      </c>
      <c r="N364" s="207">
        <f t="shared" si="83"/>
        <v>30000</v>
      </c>
      <c r="O364" s="208" t="s">
        <v>6098</v>
      </c>
      <c r="P364" s="186" t="str">
        <f ca="1">IF(D364=0,'Виды прицепов'!$M$10,IF(D364=30,'Виды прицепов'!$M$11,'Виды прицепов'!$M$12))</f>
        <v>4000*1950*650</v>
      </c>
      <c r="Q364" s="186" t="str">
        <f ca="1">IF(D364=0,'Виды прицепов'!$N$19,IF(D364=30,'Виды прицепов'!$N$20,'Виды прицепов'!$N$21))</f>
        <v>4000*1500*0</v>
      </c>
    </row>
    <row r="365" spans="1:17" ht="57.6" outlineLevel="2">
      <c r="A365" s="203" t="s">
        <v>6099</v>
      </c>
      <c r="B365" s="204" t="s">
        <v>5722</v>
      </c>
      <c r="C365" s="205" t="s">
        <v>5354</v>
      </c>
      <c r="D365" s="128">
        <v>30</v>
      </c>
      <c r="E365" s="128">
        <v>15</v>
      </c>
      <c r="F365" s="128">
        <v>0</v>
      </c>
      <c r="G365" s="128">
        <v>0</v>
      </c>
      <c r="H365" s="206">
        <v>15</v>
      </c>
      <c r="I365" s="117" t="str">
        <f t="shared" si="78"/>
        <v>490 000</v>
      </c>
      <c r="J365" s="117">
        <f t="shared" si="79"/>
        <v>40000</v>
      </c>
      <c r="K365" s="117">
        <f t="shared" si="80"/>
        <v>100000</v>
      </c>
      <c r="L365" s="117">
        <f t="shared" si="81"/>
        <v>0</v>
      </c>
      <c r="M365" s="117">
        <f t="shared" si="82"/>
        <v>0</v>
      </c>
      <c r="N365" s="207">
        <f t="shared" si="83"/>
        <v>30000</v>
      </c>
      <c r="O365" s="208" t="s">
        <v>6075</v>
      </c>
      <c r="P365" s="186" t="str">
        <f ca="1">IF(D365=0,'Виды прицепов'!$M$10,IF(D365=30,'Виды прицепов'!$M$11,'Виды прицепов'!$M$12))</f>
        <v>3650*1950*900</v>
      </c>
      <c r="Q365" s="186" t="str">
        <f ca="1">IF(D365=0,'Виды прицепов'!$N$19,IF(D365=30,'Виды прицепов'!$N$20,'Виды прицепов'!$N$21))</f>
        <v>4000*1500*300</v>
      </c>
    </row>
    <row r="366" spans="1:17" ht="57.6" outlineLevel="2">
      <c r="A366" s="203" t="s">
        <v>6100</v>
      </c>
      <c r="B366" s="204" t="s">
        <v>5724</v>
      </c>
      <c r="C366" s="205" t="s">
        <v>5354</v>
      </c>
      <c r="D366" s="128">
        <v>50</v>
      </c>
      <c r="E366" s="128">
        <v>15</v>
      </c>
      <c r="F366" s="128">
        <v>0</v>
      </c>
      <c r="G366" s="128">
        <v>0</v>
      </c>
      <c r="H366" s="206">
        <v>15</v>
      </c>
      <c r="I366" s="117" t="str">
        <f t="shared" si="78"/>
        <v>490 000</v>
      </c>
      <c r="J366" s="117">
        <f t="shared" si="79"/>
        <v>50000</v>
      </c>
      <c r="K366" s="117">
        <f t="shared" si="80"/>
        <v>100000</v>
      </c>
      <c r="L366" s="117">
        <f t="shared" si="81"/>
        <v>0</v>
      </c>
      <c r="M366" s="117">
        <f t="shared" si="82"/>
        <v>0</v>
      </c>
      <c r="N366" s="207">
        <f t="shared" si="83"/>
        <v>30000</v>
      </c>
      <c r="O366" s="208" t="s">
        <v>6077</v>
      </c>
      <c r="P366" s="186" t="str">
        <f ca="1">IF(D366=0,'Виды прицепов'!$M$10,IF(D366=30,'Виды прицепов'!$M$11,'Виды прицепов'!$M$12))</f>
        <v>3650*1950*1070</v>
      </c>
      <c r="Q366" s="186" t="str">
        <f ca="1">IF(D366=0,'Виды прицепов'!$N$19,IF(D366=30,'Виды прицепов'!$N$20,'Виды прицепов'!$N$21))</f>
        <v>4000*1500*500</v>
      </c>
    </row>
    <row r="367" spans="1:17" ht="57.6" outlineLevel="2">
      <c r="A367" s="203" t="s">
        <v>6101</v>
      </c>
      <c r="B367" s="204" t="s">
        <v>5726</v>
      </c>
      <c r="C367" s="205" t="s">
        <v>5354</v>
      </c>
      <c r="D367" s="128">
        <v>0</v>
      </c>
      <c r="E367" s="128">
        <v>0</v>
      </c>
      <c r="F367" s="128" t="s">
        <v>5371</v>
      </c>
      <c r="G367" s="128">
        <v>0</v>
      </c>
      <c r="H367" s="206">
        <v>13</v>
      </c>
      <c r="I367" s="117" t="str">
        <f t="shared" si="78"/>
        <v>490 000</v>
      </c>
      <c r="J367" s="117">
        <f t="shared" si="79"/>
        <v>0</v>
      </c>
      <c r="K367" s="117">
        <f t="shared" si="80"/>
        <v>0</v>
      </c>
      <c r="L367" s="117">
        <f t="shared" si="81"/>
        <v>10000</v>
      </c>
      <c r="M367" s="117">
        <f t="shared" si="82"/>
        <v>0</v>
      </c>
      <c r="N367" s="207">
        <f t="shared" si="83"/>
        <v>0</v>
      </c>
      <c r="O367" s="208" t="s">
        <v>6102</v>
      </c>
      <c r="P367" s="186" t="str">
        <f ca="1">IF(D367=0,'Виды прицепов'!$M$10,IF(D367=30,'Виды прицепов'!$M$11,'Виды прицепов'!$M$12))</f>
        <v>4000*1950*650</v>
      </c>
      <c r="Q367" s="186" t="str">
        <f ca="1">IF(D367=0,'Виды прицепов'!$N$19,IF(D367=30,'Виды прицепов'!$N$20,'Виды прицепов'!$N$21))</f>
        <v>4000*1500*0</v>
      </c>
    </row>
    <row r="368" spans="1:17" ht="57.6" outlineLevel="2">
      <c r="A368" s="203" t="s">
        <v>6103</v>
      </c>
      <c r="B368" s="204" t="s">
        <v>5728</v>
      </c>
      <c r="C368" s="205" t="s">
        <v>5354</v>
      </c>
      <c r="D368" s="128">
        <v>30</v>
      </c>
      <c r="E368" s="128">
        <v>0</v>
      </c>
      <c r="F368" s="128" t="s">
        <v>5371</v>
      </c>
      <c r="G368" s="128">
        <v>0</v>
      </c>
      <c r="H368" s="206">
        <v>13</v>
      </c>
      <c r="I368" s="117" t="str">
        <f t="shared" si="78"/>
        <v>490 000</v>
      </c>
      <c r="J368" s="117">
        <f t="shared" si="79"/>
        <v>40000</v>
      </c>
      <c r="K368" s="117">
        <f t="shared" si="80"/>
        <v>0</v>
      </c>
      <c r="L368" s="117">
        <f t="shared" si="81"/>
        <v>10000</v>
      </c>
      <c r="M368" s="117">
        <f t="shared" si="82"/>
        <v>0</v>
      </c>
      <c r="N368" s="207">
        <f t="shared" si="83"/>
        <v>0</v>
      </c>
      <c r="O368" s="208" t="s">
        <v>6083</v>
      </c>
      <c r="P368" s="186" t="str">
        <f ca="1">IF(D368=0,'Виды прицепов'!$M$10,IF(D368=30,'Виды прицепов'!$M$11,'Виды прицепов'!$M$12))</f>
        <v>3650*1950*900</v>
      </c>
      <c r="Q368" s="186" t="str">
        <f ca="1">IF(D368=0,'Виды прицепов'!$N$19,IF(D368=30,'Виды прицепов'!$N$20,'Виды прицепов'!$N$21))</f>
        <v>4000*1500*300</v>
      </c>
    </row>
    <row r="369" spans="1:17" ht="57.6" outlineLevel="2">
      <c r="A369" s="203" t="s">
        <v>6104</v>
      </c>
      <c r="B369" s="204" t="s">
        <v>5730</v>
      </c>
      <c r="C369" s="205" t="s">
        <v>5354</v>
      </c>
      <c r="D369" s="128">
        <v>50</v>
      </c>
      <c r="E369" s="128">
        <v>0</v>
      </c>
      <c r="F369" s="128" t="s">
        <v>5371</v>
      </c>
      <c r="G369" s="128">
        <v>0</v>
      </c>
      <c r="H369" s="206">
        <v>13</v>
      </c>
      <c r="I369" s="117" t="str">
        <f t="shared" si="78"/>
        <v>490 000</v>
      </c>
      <c r="J369" s="117">
        <f t="shared" si="79"/>
        <v>50000</v>
      </c>
      <c r="K369" s="117">
        <f t="shared" si="80"/>
        <v>0</v>
      </c>
      <c r="L369" s="117">
        <f t="shared" si="81"/>
        <v>10000</v>
      </c>
      <c r="M369" s="117">
        <f t="shared" si="82"/>
        <v>0</v>
      </c>
      <c r="N369" s="207">
        <f t="shared" si="83"/>
        <v>0</v>
      </c>
      <c r="O369" s="208" t="s">
        <v>6105</v>
      </c>
      <c r="P369" s="186" t="str">
        <f ca="1">IF(D369=0,'Виды прицепов'!$M$10,IF(D369=30,'Виды прицепов'!$M$11,'Виды прицепов'!$M$12))</f>
        <v>3650*1950*1070</v>
      </c>
      <c r="Q369" s="186" t="str">
        <f ca="1">IF(D369=0,'Виды прицепов'!$N$19,IF(D369=30,'Виды прицепов'!$N$20,'Виды прицепов'!$N$21))</f>
        <v>4000*1500*500</v>
      </c>
    </row>
    <row r="370" spans="1:17" ht="72" outlineLevel="2">
      <c r="A370" s="203" t="s">
        <v>6106</v>
      </c>
      <c r="B370" s="204" t="s">
        <v>5732</v>
      </c>
      <c r="C370" s="205" t="s">
        <v>5354</v>
      </c>
      <c r="D370" s="128">
        <v>30</v>
      </c>
      <c r="E370" s="128">
        <v>0</v>
      </c>
      <c r="F370" s="128" t="s">
        <v>5371</v>
      </c>
      <c r="G370" s="128">
        <v>90</v>
      </c>
      <c r="H370" s="206">
        <v>13</v>
      </c>
      <c r="I370" s="117" t="str">
        <f t="shared" si="78"/>
        <v>490 000</v>
      </c>
      <c r="J370" s="117">
        <f t="shared" si="79"/>
        <v>40000</v>
      </c>
      <c r="K370" s="117">
        <f t="shared" si="80"/>
        <v>0</v>
      </c>
      <c r="L370" s="117">
        <f t="shared" si="81"/>
        <v>10000</v>
      </c>
      <c r="M370" s="117">
        <f t="shared" si="82"/>
        <v>100000</v>
      </c>
      <c r="N370" s="207">
        <f t="shared" si="83"/>
        <v>0</v>
      </c>
      <c r="O370" s="208" t="s">
        <v>6079</v>
      </c>
      <c r="P370" s="186" t="str">
        <f ca="1">IF(D370=0,'Виды прицепов'!$M$10,IF(D370=30,'Виды прицепов'!$M$11,'Виды прицепов'!$M$12))</f>
        <v>3650*1950*900</v>
      </c>
      <c r="Q370" s="186" t="str">
        <f ca="1">IF(D370=0,'Виды прицепов'!$N$19,IF(D370=30,'Виды прицепов'!$N$20,'Виды прицепов'!$N$21))</f>
        <v>4000*1500*300</v>
      </c>
    </row>
    <row r="371" spans="1:17" ht="72" outlineLevel="2">
      <c r="A371" s="203" t="s">
        <v>6107</v>
      </c>
      <c r="B371" s="204" t="s">
        <v>5734</v>
      </c>
      <c r="C371" s="205" t="s">
        <v>5354</v>
      </c>
      <c r="D371" s="128">
        <v>50</v>
      </c>
      <c r="E371" s="128">
        <v>0</v>
      </c>
      <c r="F371" s="128" t="s">
        <v>5371</v>
      </c>
      <c r="G371" s="128">
        <v>90</v>
      </c>
      <c r="H371" s="206">
        <v>13</v>
      </c>
      <c r="I371" s="117" t="str">
        <f t="shared" si="78"/>
        <v>490 000</v>
      </c>
      <c r="J371" s="117">
        <f t="shared" si="79"/>
        <v>50000</v>
      </c>
      <c r="K371" s="117">
        <f t="shared" si="80"/>
        <v>0</v>
      </c>
      <c r="L371" s="117">
        <f t="shared" si="81"/>
        <v>10000</v>
      </c>
      <c r="M371" s="117">
        <f t="shared" si="82"/>
        <v>100000</v>
      </c>
      <c r="N371" s="207">
        <f t="shared" si="83"/>
        <v>0</v>
      </c>
      <c r="O371" s="208" t="s">
        <v>6081</v>
      </c>
      <c r="P371" s="186" t="str">
        <f ca="1">IF(D371=0,'Виды прицепов'!$M$10,IF(D371=30,'Виды прицепов'!$M$11,'Виды прицепов'!$M$12))</f>
        <v>3650*1950*1070</v>
      </c>
      <c r="Q371" s="186" t="str">
        <f ca="1">IF(D371=0,'Виды прицепов'!$N$19,IF(D371=30,'Виды прицепов'!$N$20,'Виды прицепов'!$N$21))</f>
        <v>4000*1500*500</v>
      </c>
    </row>
    <row r="372" spans="1:17" ht="72" outlineLevel="2">
      <c r="A372" s="203" t="s">
        <v>6108</v>
      </c>
      <c r="B372" s="204" t="s">
        <v>5736</v>
      </c>
      <c r="C372" s="205" t="s">
        <v>5354</v>
      </c>
      <c r="D372" s="128">
        <v>30</v>
      </c>
      <c r="E372" s="128">
        <v>0</v>
      </c>
      <c r="F372" s="128" t="s">
        <v>5371</v>
      </c>
      <c r="G372" s="128">
        <v>120</v>
      </c>
      <c r="H372" s="206">
        <v>13</v>
      </c>
      <c r="I372" s="117" t="str">
        <f t="shared" si="78"/>
        <v>490 000</v>
      </c>
      <c r="J372" s="117">
        <f t="shared" si="79"/>
        <v>40000</v>
      </c>
      <c r="K372" s="117">
        <f t="shared" si="80"/>
        <v>0</v>
      </c>
      <c r="L372" s="117">
        <f t="shared" si="81"/>
        <v>10000</v>
      </c>
      <c r="M372" s="117">
        <f t="shared" si="82"/>
        <v>110000</v>
      </c>
      <c r="N372" s="207">
        <f t="shared" si="83"/>
        <v>0</v>
      </c>
      <c r="O372" s="208" t="s">
        <v>6077</v>
      </c>
      <c r="P372" s="186" t="str">
        <f ca="1">IF(D372=0,'Виды прицепов'!$M$10,IF(D372=30,'Виды прицепов'!$M$11,'Виды прицепов'!$M$12))</f>
        <v>3650*1950*900</v>
      </c>
      <c r="Q372" s="186" t="str">
        <f ca="1">IF(D372=0,'Виды прицепов'!$N$19,IF(D372=30,'Виды прицепов'!$N$20,'Виды прицепов'!$N$21))</f>
        <v>4000*1500*300</v>
      </c>
    </row>
    <row r="373" spans="1:17" ht="72" outlineLevel="2">
      <c r="A373" s="203" t="s">
        <v>6109</v>
      </c>
      <c r="B373" s="204" t="s">
        <v>5738</v>
      </c>
      <c r="C373" s="205" t="s">
        <v>5354</v>
      </c>
      <c r="D373" s="128">
        <v>50</v>
      </c>
      <c r="E373" s="128">
        <v>0</v>
      </c>
      <c r="F373" s="128" t="s">
        <v>5371</v>
      </c>
      <c r="G373" s="128">
        <v>120</v>
      </c>
      <c r="H373" s="206">
        <v>13</v>
      </c>
      <c r="I373" s="117" t="str">
        <f t="shared" si="78"/>
        <v>490 000</v>
      </c>
      <c r="J373" s="117">
        <f t="shared" si="79"/>
        <v>50000</v>
      </c>
      <c r="K373" s="117">
        <f t="shared" si="80"/>
        <v>0</v>
      </c>
      <c r="L373" s="117">
        <f t="shared" si="81"/>
        <v>10000</v>
      </c>
      <c r="M373" s="117">
        <f t="shared" si="82"/>
        <v>110000</v>
      </c>
      <c r="N373" s="207">
        <f t="shared" si="83"/>
        <v>0</v>
      </c>
      <c r="O373" s="208" t="s">
        <v>6110</v>
      </c>
      <c r="P373" s="186" t="str">
        <f ca="1">IF(D373=0,'Виды прицепов'!$M$10,IF(D373=30,'Виды прицепов'!$M$11,'Виды прицепов'!$M$12))</f>
        <v>3650*1950*1070</v>
      </c>
      <c r="Q373" s="186" t="str">
        <f ca="1">IF(D373=0,'Виды прицепов'!$N$19,IF(D373=30,'Виды прицепов'!$N$20,'Виды прицепов'!$N$21))</f>
        <v>4000*1500*500</v>
      </c>
    </row>
    <row r="374" spans="1:17" ht="57.6" outlineLevel="2">
      <c r="A374" s="203" t="s">
        <v>6111</v>
      </c>
      <c r="B374" s="204" t="s">
        <v>6112</v>
      </c>
      <c r="C374" s="205" t="s">
        <v>5354</v>
      </c>
      <c r="D374" s="128">
        <v>0</v>
      </c>
      <c r="E374" s="128">
        <v>13</v>
      </c>
      <c r="F374" s="128" t="s">
        <v>5371</v>
      </c>
      <c r="G374" s="128">
        <v>0</v>
      </c>
      <c r="H374" s="206">
        <v>13</v>
      </c>
      <c r="I374" s="117" t="str">
        <f t="shared" si="78"/>
        <v>490 000</v>
      </c>
      <c r="J374" s="117">
        <f t="shared" si="79"/>
        <v>0</v>
      </c>
      <c r="K374" s="117">
        <f t="shared" si="80"/>
        <v>60000</v>
      </c>
      <c r="L374" s="117">
        <f t="shared" si="81"/>
        <v>10000</v>
      </c>
      <c r="M374" s="117">
        <f t="shared" si="82"/>
        <v>0</v>
      </c>
      <c r="N374" s="207">
        <f t="shared" si="83"/>
        <v>0</v>
      </c>
      <c r="O374" s="208" t="s">
        <v>6073</v>
      </c>
      <c r="P374" s="186" t="str">
        <f ca="1">IF(D374=0,'Виды прицепов'!$M$10,IF(D374=30,'Виды прицепов'!$M$11,'Виды прицепов'!$M$12))</f>
        <v>4000*1950*650</v>
      </c>
      <c r="Q374" s="186" t="str">
        <f ca="1">IF(D374=0,'Виды прицепов'!$N$19,IF(D374=30,'Виды прицепов'!$N$20,'Виды прицепов'!$N$21))</f>
        <v>4000*1500*0</v>
      </c>
    </row>
    <row r="375" spans="1:17" ht="57.6" outlineLevel="2">
      <c r="A375" s="203" t="s">
        <v>348</v>
      </c>
      <c r="B375" s="204" t="s">
        <v>6113</v>
      </c>
      <c r="C375" s="205" t="s">
        <v>5354</v>
      </c>
      <c r="D375" s="128">
        <v>30</v>
      </c>
      <c r="E375" s="128">
        <v>13</v>
      </c>
      <c r="F375" s="128" t="s">
        <v>5371</v>
      </c>
      <c r="G375" s="128">
        <v>0</v>
      </c>
      <c r="H375" s="206">
        <v>13</v>
      </c>
      <c r="I375" s="117" t="str">
        <f t="shared" si="78"/>
        <v>490 000</v>
      </c>
      <c r="J375" s="117">
        <f t="shared" si="79"/>
        <v>40000</v>
      </c>
      <c r="K375" s="117">
        <f t="shared" si="80"/>
        <v>60000</v>
      </c>
      <c r="L375" s="117">
        <f t="shared" si="81"/>
        <v>10000</v>
      </c>
      <c r="M375" s="117">
        <f t="shared" si="82"/>
        <v>0</v>
      </c>
      <c r="N375" s="207">
        <f t="shared" si="83"/>
        <v>0</v>
      </c>
      <c r="O375" s="208" t="s">
        <v>6114</v>
      </c>
      <c r="P375" s="186" t="str">
        <f ca="1">IF(D375=0,'Виды прицепов'!$M$10,IF(D375=30,'Виды прицепов'!$M$11,'Виды прицепов'!$M$12))</f>
        <v>3650*1950*900</v>
      </c>
      <c r="Q375" s="186" t="str">
        <f ca="1">IF(D375=0,'Виды прицепов'!$N$19,IF(D375=30,'Виды прицепов'!$N$20,'Виды прицепов'!$N$21))</f>
        <v>4000*1500*300</v>
      </c>
    </row>
    <row r="376" spans="1:17" ht="57.6" outlineLevel="2">
      <c r="A376" s="203" t="s">
        <v>356</v>
      </c>
      <c r="B376" s="204" t="s">
        <v>6115</v>
      </c>
      <c r="C376" s="205" t="s">
        <v>5354</v>
      </c>
      <c r="D376" s="128">
        <v>50</v>
      </c>
      <c r="E376" s="128">
        <v>13</v>
      </c>
      <c r="F376" s="128" t="s">
        <v>5371</v>
      </c>
      <c r="G376" s="128">
        <v>0</v>
      </c>
      <c r="H376" s="206">
        <v>13</v>
      </c>
      <c r="I376" s="117" t="str">
        <f t="shared" si="78"/>
        <v>490 000</v>
      </c>
      <c r="J376" s="117">
        <f t="shared" si="79"/>
        <v>50000</v>
      </c>
      <c r="K376" s="117">
        <f t="shared" si="80"/>
        <v>60000</v>
      </c>
      <c r="L376" s="117">
        <f t="shared" si="81"/>
        <v>10000</v>
      </c>
      <c r="M376" s="117">
        <f t="shared" si="82"/>
        <v>0</v>
      </c>
      <c r="N376" s="207">
        <f t="shared" si="83"/>
        <v>0</v>
      </c>
      <c r="O376" s="208" t="s">
        <v>6116</v>
      </c>
      <c r="P376" s="186" t="str">
        <f ca="1">IF(D376=0,'Виды прицепов'!$M$10,IF(D376=30,'Виды прицепов'!$M$11,'Виды прицепов'!$M$12))</f>
        <v>3650*1950*1070</v>
      </c>
      <c r="Q376" s="186" t="str">
        <f ca="1">IF(D376=0,'Виды прицепов'!$N$19,IF(D376=30,'Виды прицепов'!$N$20,'Виды прицепов'!$N$21))</f>
        <v>4000*1500*500</v>
      </c>
    </row>
    <row r="377" spans="1:17" ht="57.6" outlineLevel="2">
      <c r="A377" s="203" t="s">
        <v>6117</v>
      </c>
      <c r="B377" s="204" t="s">
        <v>5744</v>
      </c>
      <c r="C377" s="205" t="s">
        <v>5354</v>
      </c>
      <c r="D377" s="128">
        <v>0</v>
      </c>
      <c r="E377" s="128">
        <v>0</v>
      </c>
      <c r="F377" s="128" t="s">
        <v>5371</v>
      </c>
      <c r="G377" s="128">
        <v>0</v>
      </c>
      <c r="H377" s="206">
        <v>15</v>
      </c>
      <c r="I377" s="117" t="str">
        <f t="shared" si="78"/>
        <v>490 000</v>
      </c>
      <c r="J377" s="117">
        <f t="shared" si="79"/>
        <v>0</v>
      </c>
      <c r="K377" s="117">
        <f t="shared" si="80"/>
        <v>0</v>
      </c>
      <c r="L377" s="117">
        <f t="shared" si="81"/>
        <v>10000</v>
      </c>
      <c r="M377" s="117">
        <f t="shared" si="82"/>
        <v>0</v>
      </c>
      <c r="N377" s="207">
        <f t="shared" si="83"/>
        <v>30000</v>
      </c>
      <c r="O377" s="208" t="s">
        <v>6102</v>
      </c>
      <c r="P377" s="186" t="str">
        <f ca="1">IF(D377=0,'Виды прицепов'!$M$10,IF(D377=30,'Виды прицепов'!$M$11,'Виды прицепов'!$M$12))</f>
        <v>4000*1950*650</v>
      </c>
      <c r="Q377" s="186" t="str">
        <f ca="1">IF(D377=0,'Виды прицепов'!$N$19,IF(D377=30,'Виды прицепов'!$N$20,'Виды прицепов'!$N$21))</f>
        <v>4000*1500*0</v>
      </c>
    </row>
    <row r="378" spans="1:17" ht="57.6" outlineLevel="2">
      <c r="A378" s="203" t="s">
        <v>6118</v>
      </c>
      <c r="B378" s="204" t="s">
        <v>5746</v>
      </c>
      <c r="C378" s="205" t="s">
        <v>5354</v>
      </c>
      <c r="D378" s="128">
        <v>30</v>
      </c>
      <c r="E378" s="128">
        <v>0</v>
      </c>
      <c r="F378" s="128" t="s">
        <v>5371</v>
      </c>
      <c r="G378" s="128">
        <v>0</v>
      </c>
      <c r="H378" s="206">
        <v>15</v>
      </c>
      <c r="I378" s="117" t="str">
        <f t="shared" si="78"/>
        <v>490 000</v>
      </c>
      <c r="J378" s="117">
        <f t="shared" si="79"/>
        <v>40000</v>
      </c>
      <c r="K378" s="117">
        <f t="shared" si="80"/>
        <v>0</v>
      </c>
      <c r="L378" s="117">
        <f t="shared" si="81"/>
        <v>10000</v>
      </c>
      <c r="M378" s="117">
        <f t="shared" si="82"/>
        <v>0</v>
      </c>
      <c r="N378" s="207">
        <f t="shared" si="83"/>
        <v>30000</v>
      </c>
      <c r="O378" s="208" t="s">
        <v>6083</v>
      </c>
      <c r="P378" s="186" t="str">
        <f ca="1">IF(D378=0,'Виды прицепов'!$M$10,IF(D378=30,'Виды прицепов'!$M$11,'Виды прицепов'!$M$12))</f>
        <v>3650*1950*900</v>
      </c>
      <c r="Q378" s="186" t="str">
        <f ca="1">IF(D378=0,'Виды прицепов'!$N$19,IF(D378=30,'Виды прицепов'!$N$20,'Виды прицепов'!$N$21))</f>
        <v>4000*1500*300</v>
      </c>
    </row>
    <row r="379" spans="1:17" ht="57.6" outlineLevel="2">
      <c r="A379" s="203" t="s">
        <v>6119</v>
      </c>
      <c r="B379" s="204" t="s">
        <v>5748</v>
      </c>
      <c r="C379" s="205" t="s">
        <v>5354</v>
      </c>
      <c r="D379" s="128">
        <v>50</v>
      </c>
      <c r="E379" s="128">
        <v>0</v>
      </c>
      <c r="F379" s="128" t="s">
        <v>5371</v>
      </c>
      <c r="G379" s="128">
        <v>0</v>
      </c>
      <c r="H379" s="206">
        <v>15</v>
      </c>
      <c r="I379" s="117" t="str">
        <f t="shared" ref="I379:I402" si="84">VLOOKUP(C379,платформа2,2,0)</f>
        <v>490 000</v>
      </c>
      <c r="J379" s="117">
        <f t="shared" ref="J379:J402" si="85">VLOOKUP(D379,борт_2515,2)</f>
        <v>50000</v>
      </c>
      <c r="K379" s="117">
        <f t="shared" ref="K379:K402" si="86">VLOOKUP(E379,колесо,2,0)*2</f>
        <v>0</v>
      </c>
      <c r="L379" s="117">
        <f t="shared" ref="L379:L402" si="87">VLOOKUP(F379,опорное_колесо,2,0)</f>
        <v>10000</v>
      </c>
      <c r="M379" s="117">
        <f t="shared" ref="M379:M402" si="88">VLOOKUP(G379,тент_2515,2,0)</f>
        <v>0</v>
      </c>
      <c r="N379" s="207">
        <f t="shared" ref="N379:N402" si="89">VLOOKUP(H379,ступица,2,0)</f>
        <v>30000</v>
      </c>
      <c r="O379" s="208" t="s">
        <v>6105</v>
      </c>
      <c r="P379" s="186" t="str">
        <f ca="1">IF(D379=0,'Виды прицепов'!$M$10,IF(D379=30,'Виды прицепов'!$M$11,'Виды прицепов'!$M$12))</f>
        <v>3650*1950*1070</v>
      </c>
      <c r="Q379" s="186" t="str">
        <f ca="1">IF(D379=0,'Виды прицепов'!$N$19,IF(D379=30,'Виды прицепов'!$N$20,'Виды прицепов'!$N$21))</f>
        <v>4000*1500*500</v>
      </c>
    </row>
    <row r="380" spans="1:17" ht="72" outlineLevel="2">
      <c r="A380" s="203" t="s">
        <v>6120</v>
      </c>
      <c r="B380" s="204" t="s">
        <v>5750</v>
      </c>
      <c r="C380" s="205" t="s">
        <v>5354</v>
      </c>
      <c r="D380" s="128">
        <v>30</v>
      </c>
      <c r="E380" s="128">
        <v>0</v>
      </c>
      <c r="F380" s="128" t="s">
        <v>5371</v>
      </c>
      <c r="G380" s="128">
        <v>90</v>
      </c>
      <c r="H380" s="206">
        <v>15</v>
      </c>
      <c r="I380" s="117" t="str">
        <f t="shared" si="84"/>
        <v>490 000</v>
      </c>
      <c r="J380" s="117">
        <f t="shared" si="85"/>
        <v>40000</v>
      </c>
      <c r="K380" s="117">
        <f t="shared" si="86"/>
        <v>0</v>
      </c>
      <c r="L380" s="117">
        <f t="shared" si="87"/>
        <v>10000</v>
      </c>
      <c r="M380" s="117">
        <f t="shared" si="88"/>
        <v>100000</v>
      </c>
      <c r="N380" s="207">
        <f t="shared" si="89"/>
        <v>30000</v>
      </c>
      <c r="O380" s="208" t="s">
        <v>6079</v>
      </c>
      <c r="P380" s="186" t="str">
        <f ca="1">IF(D380=0,'Виды прицепов'!$M$10,IF(D380=30,'Виды прицепов'!$M$11,'Виды прицепов'!$M$12))</f>
        <v>3650*1950*900</v>
      </c>
      <c r="Q380" s="186" t="str">
        <f ca="1">IF(D380=0,'Виды прицепов'!$N$19,IF(D380=30,'Виды прицепов'!$N$20,'Виды прицепов'!$N$21))</f>
        <v>4000*1500*300</v>
      </c>
    </row>
    <row r="381" spans="1:17" ht="72" outlineLevel="2">
      <c r="A381" s="203" t="s">
        <v>6121</v>
      </c>
      <c r="B381" s="204" t="s">
        <v>5752</v>
      </c>
      <c r="C381" s="205" t="s">
        <v>5354</v>
      </c>
      <c r="D381" s="128">
        <v>50</v>
      </c>
      <c r="E381" s="128">
        <v>0</v>
      </c>
      <c r="F381" s="128" t="s">
        <v>5371</v>
      </c>
      <c r="G381" s="128">
        <v>90</v>
      </c>
      <c r="H381" s="206">
        <v>15</v>
      </c>
      <c r="I381" s="117" t="str">
        <f t="shared" si="84"/>
        <v>490 000</v>
      </c>
      <c r="J381" s="117">
        <f t="shared" si="85"/>
        <v>50000</v>
      </c>
      <c r="K381" s="117">
        <f t="shared" si="86"/>
        <v>0</v>
      </c>
      <c r="L381" s="117">
        <f t="shared" si="87"/>
        <v>10000</v>
      </c>
      <c r="M381" s="117">
        <f t="shared" si="88"/>
        <v>100000</v>
      </c>
      <c r="N381" s="207">
        <f t="shared" si="89"/>
        <v>30000</v>
      </c>
      <c r="O381" s="208" t="s">
        <v>6081</v>
      </c>
      <c r="P381" s="186" t="str">
        <f ca="1">IF(D381=0,'Виды прицепов'!$M$10,IF(D381=30,'Виды прицепов'!$M$11,'Виды прицепов'!$M$12))</f>
        <v>3650*1950*1070</v>
      </c>
      <c r="Q381" s="186" t="str">
        <f ca="1">IF(D381=0,'Виды прицепов'!$N$19,IF(D381=30,'Виды прицепов'!$N$20,'Виды прицепов'!$N$21))</f>
        <v>4000*1500*500</v>
      </c>
    </row>
    <row r="382" spans="1:17" ht="72" outlineLevel="2">
      <c r="A382" s="203" t="s">
        <v>6122</v>
      </c>
      <c r="B382" s="204" t="s">
        <v>5754</v>
      </c>
      <c r="C382" s="205" t="s">
        <v>5354</v>
      </c>
      <c r="D382" s="128">
        <v>30</v>
      </c>
      <c r="E382" s="128">
        <v>0</v>
      </c>
      <c r="F382" s="128" t="s">
        <v>5371</v>
      </c>
      <c r="G382" s="128">
        <v>120</v>
      </c>
      <c r="H382" s="206">
        <v>15</v>
      </c>
      <c r="I382" s="117" t="str">
        <f t="shared" si="84"/>
        <v>490 000</v>
      </c>
      <c r="J382" s="117">
        <f t="shared" si="85"/>
        <v>40000</v>
      </c>
      <c r="K382" s="117">
        <f t="shared" si="86"/>
        <v>0</v>
      </c>
      <c r="L382" s="117">
        <f t="shared" si="87"/>
        <v>10000</v>
      </c>
      <c r="M382" s="117">
        <f t="shared" si="88"/>
        <v>110000</v>
      </c>
      <c r="N382" s="207">
        <f t="shared" si="89"/>
        <v>30000</v>
      </c>
      <c r="O382" s="208" t="s">
        <v>6077</v>
      </c>
      <c r="P382" s="186" t="str">
        <f ca="1">IF(D382=0,'Виды прицепов'!$M$10,IF(D382=30,'Виды прицепов'!$M$11,'Виды прицепов'!$M$12))</f>
        <v>3650*1950*900</v>
      </c>
      <c r="Q382" s="186" t="str">
        <f ca="1">IF(D382=0,'Виды прицепов'!$N$19,IF(D382=30,'Виды прицепов'!$N$20,'Виды прицепов'!$N$21))</f>
        <v>4000*1500*300</v>
      </c>
    </row>
    <row r="383" spans="1:17" ht="72" outlineLevel="2">
      <c r="A383" s="203" t="s">
        <v>6123</v>
      </c>
      <c r="B383" s="204" t="s">
        <v>5756</v>
      </c>
      <c r="C383" s="205" t="s">
        <v>5354</v>
      </c>
      <c r="D383" s="128">
        <v>50</v>
      </c>
      <c r="E383" s="128">
        <v>0</v>
      </c>
      <c r="F383" s="128" t="s">
        <v>5371</v>
      </c>
      <c r="G383" s="128">
        <v>120</v>
      </c>
      <c r="H383" s="206">
        <v>15</v>
      </c>
      <c r="I383" s="117" t="str">
        <f t="shared" si="84"/>
        <v>490 000</v>
      </c>
      <c r="J383" s="117">
        <f t="shared" si="85"/>
        <v>50000</v>
      </c>
      <c r="K383" s="117">
        <f t="shared" si="86"/>
        <v>0</v>
      </c>
      <c r="L383" s="117">
        <f t="shared" si="87"/>
        <v>10000</v>
      </c>
      <c r="M383" s="117">
        <f t="shared" si="88"/>
        <v>110000</v>
      </c>
      <c r="N383" s="207">
        <f t="shared" si="89"/>
        <v>30000</v>
      </c>
      <c r="O383" s="208" t="s">
        <v>6110</v>
      </c>
      <c r="P383" s="186" t="str">
        <f ca="1">IF(D383=0,'Виды прицепов'!$M$10,IF(D383=30,'Виды прицепов'!$M$11,'Виды прицепов'!$M$12))</f>
        <v>3650*1950*1070</v>
      </c>
      <c r="Q383" s="186" t="str">
        <f ca="1">IF(D383=0,'Виды прицепов'!$N$19,IF(D383=30,'Виды прицепов'!$N$20,'Виды прицепов'!$N$21))</f>
        <v>4000*1500*500</v>
      </c>
    </row>
    <row r="384" spans="1:17" ht="57.6" outlineLevel="2">
      <c r="A384" s="203" t="s">
        <v>6124</v>
      </c>
      <c r="B384" s="204" t="s">
        <v>5758</v>
      </c>
      <c r="C384" s="205" t="s">
        <v>5354</v>
      </c>
      <c r="D384" s="128">
        <v>0</v>
      </c>
      <c r="E384" s="128">
        <v>15</v>
      </c>
      <c r="F384" s="128" t="s">
        <v>5371</v>
      </c>
      <c r="G384" s="128">
        <v>0</v>
      </c>
      <c r="H384" s="206">
        <v>15</v>
      </c>
      <c r="I384" s="117" t="str">
        <f t="shared" si="84"/>
        <v>490 000</v>
      </c>
      <c r="J384" s="117">
        <f t="shared" si="85"/>
        <v>0</v>
      </c>
      <c r="K384" s="117">
        <f t="shared" si="86"/>
        <v>100000</v>
      </c>
      <c r="L384" s="117">
        <f t="shared" si="87"/>
        <v>10000</v>
      </c>
      <c r="M384" s="117">
        <f t="shared" si="88"/>
        <v>0</v>
      </c>
      <c r="N384" s="207">
        <f t="shared" si="89"/>
        <v>30000</v>
      </c>
      <c r="O384" s="208" t="s">
        <v>6086</v>
      </c>
      <c r="P384" s="186" t="str">
        <f ca="1">IF(D384=0,'Виды прицепов'!$M$10,IF(D384=30,'Виды прицепов'!$M$11,'Виды прицепов'!$M$12))</f>
        <v>4000*1950*650</v>
      </c>
      <c r="Q384" s="186" t="str">
        <f ca="1">IF(D384=0,'Виды прицепов'!$N$19,IF(D384=30,'Виды прицепов'!$N$20,'Виды прицепов'!$N$21))</f>
        <v>4000*1500*0</v>
      </c>
    </row>
    <row r="385" spans="1:17" ht="57.6" outlineLevel="2">
      <c r="A385" s="203" t="s">
        <v>6125</v>
      </c>
      <c r="B385" s="204" t="s">
        <v>5760</v>
      </c>
      <c r="C385" s="205" t="s">
        <v>5354</v>
      </c>
      <c r="D385" s="128">
        <v>30</v>
      </c>
      <c r="E385" s="128">
        <v>15</v>
      </c>
      <c r="F385" s="128" t="s">
        <v>5371</v>
      </c>
      <c r="G385" s="128">
        <v>0</v>
      </c>
      <c r="H385" s="206">
        <v>15</v>
      </c>
      <c r="I385" s="117" t="str">
        <f t="shared" si="84"/>
        <v>490 000</v>
      </c>
      <c r="J385" s="117">
        <f t="shared" si="85"/>
        <v>40000</v>
      </c>
      <c r="K385" s="117">
        <f t="shared" si="86"/>
        <v>100000</v>
      </c>
      <c r="L385" s="117">
        <f t="shared" si="87"/>
        <v>10000</v>
      </c>
      <c r="M385" s="117">
        <f t="shared" si="88"/>
        <v>0</v>
      </c>
      <c r="N385" s="207">
        <f t="shared" si="89"/>
        <v>30000</v>
      </c>
      <c r="O385" s="208" t="s">
        <v>6079</v>
      </c>
      <c r="P385" s="186" t="str">
        <f ca="1">IF(D385=0,'Виды прицепов'!$M$10,IF(D385=30,'Виды прицепов'!$M$11,'Виды прицепов'!$M$12))</f>
        <v>3650*1950*900</v>
      </c>
      <c r="Q385" s="186" t="str">
        <f ca="1">IF(D385=0,'Виды прицепов'!$N$19,IF(D385=30,'Виды прицепов'!$N$20,'Виды прицепов'!$N$21))</f>
        <v>4000*1500*300</v>
      </c>
    </row>
    <row r="386" spans="1:17" ht="57.6" outlineLevel="2">
      <c r="A386" s="203" t="s">
        <v>6126</v>
      </c>
      <c r="B386" s="204" t="s">
        <v>5762</v>
      </c>
      <c r="C386" s="205" t="s">
        <v>5354</v>
      </c>
      <c r="D386" s="128">
        <v>50</v>
      </c>
      <c r="E386" s="128">
        <v>15</v>
      </c>
      <c r="F386" s="128" t="s">
        <v>5371</v>
      </c>
      <c r="G386" s="128">
        <v>0</v>
      </c>
      <c r="H386" s="206">
        <v>15</v>
      </c>
      <c r="I386" s="117" t="str">
        <f t="shared" si="84"/>
        <v>490 000</v>
      </c>
      <c r="J386" s="117">
        <f t="shared" si="85"/>
        <v>50000</v>
      </c>
      <c r="K386" s="117">
        <f t="shared" si="86"/>
        <v>100000</v>
      </c>
      <c r="L386" s="117">
        <f t="shared" si="87"/>
        <v>10000</v>
      </c>
      <c r="M386" s="117">
        <f t="shared" si="88"/>
        <v>0</v>
      </c>
      <c r="N386" s="207">
        <f t="shared" si="89"/>
        <v>30000</v>
      </c>
      <c r="O386" s="208" t="s">
        <v>6081</v>
      </c>
      <c r="P386" s="186" t="str">
        <f ca="1">IF(D386=0,'Виды прицепов'!$M$10,IF(D386=30,'Виды прицепов'!$M$11,'Виды прицепов'!$M$12))</f>
        <v>3650*1950*1070</v>
      </c>
      <c r="Q386" s="186" t="str">
        <f ca="1">IF(D386=0,'Виды прицепов'!$N$19,IF(D386=30,'Виды прицепов'!$N$20,'Виды прицепов'!$N$21))</f>
        <v>4000*1500*500</v>
      </c>
    </row>
    <row r="387" spans="1:17" ht="72" outlineLevel="2">
      <c r="A387" s="203" t="s">
        <v>6127</v>
      </c>
      <c r="B387" s="204" t="s">
        <v>6128</v>
      </c>
      <c r="C387" s="205" t="s">
        <v>5354</v>
      </c>
      <c r="D387" s="128">
        <v>30</v>
      </c>
      <c r="E387" s="128">
        <v>13</v>
      </c>
      <c r="F387" s="128">
        <v>0</v>
      </c>
      <c r="G387" s="128">
        <v>90</v>
      </c>
      <c r="H387" s="206">
        <v>13</v>
      </c>
      <c r="I387" s="117" t="str">
        <f t="shared" si="84"/>
        <v>490 000</v>
      </c>
      <c r="J387" s="117">
        <f t="shared" si="85"/>
        <v>40000</v>
      </c>
      <c r="K387" s="117">
        <f t="shared" si="86"/>
        <v>60000</v>
      </c>
      <c r="L387" s="117">
        <f t="shared" si="87"/>
        <v>0</v>
      </c>
      <c r="M387" s="117">
        <f t="shared" si="88"/>
        <v>100000</v>
      </c>
      <c r="N387" s="207">
        <f t="shared" si="89"/>
        <v>0</v>
      </c>
      <c r="O387" s="208" t="s">
        <v>6129</v>
      </c>
      <c r="P387" s="186" t="str">
        <f ca="1">IF(D387=0,'Виды прицепов'!$M$10,IF(D387=30,'Виды прицепов'!$M$11,'Виды прицепов'!$M$12))</f>
        <v>3650*1950*900</v>
      </c>
      <c r="Q387" s="186" t="str">
        <f ca="1">IF(D387=0,'Виды прицепов'!$N$19,IF(D387=30,'Виды прицепов'!$N$20,'Виды прицепов'!$N$21))</f>
        <v>4000*1500*300</v>
      </c>
    </row>
    <row r="388" spans="1:17" ht="72" outlineLevel="2">
      <c r="A388" s="203" t="s">
        <v>6130</v>
      </c>
      <c r="B388" s="204" t="s">
        <v>6131</v>
      </c>
      <c r="C388" s="205" t="s">
        <v>5354</v>
      </c>
      <c r="D388" s="128">
        <v>50</v>
      </c>
      <c r="E388" s="128">
        <v>13</v>
      </c>
      <c r="F388" s="128">
        <v>0</v>
      </c>
      <c r="G388" s="128">
        <v>90</v>
      </c>
      <c r="H388" s="206">
        <v>13</v>
      </c>
      <c r="I388" s="117" t="str">
        <f t="shared" si="84"/>
        <v>490 000</v>
      </c>
      <c r="J388" s="117">
        <f t="shared" si="85"/>
        <v>50000</v>
      </c>
      <c r="K388" s="117">
        <f t="shared" si="86"/>
        <v>60000</v>
      </c>
      <c r="L388" s="117">
        <f t="shared" si="87"/>
        <v>0</v>
      </c>
      <c r="M388" s="117">
        <f t="shared" si="88"/>
        <v>100000</v>
      </c>
      <c r="N388" s="207">
        <f t="shared" si="89"/>
        <v>0</v>
      </c>
      <c r="O388" s="208" t="s">
        <v>6132</v>
      </c>
      <c r="P388" s="186" t="str">
        <f ca="1">IF(D388=0,'Виды прицепов'!$M$10,IF(D388=30,'Виды прицепов'!$M$11,'Виды прицепов'!$M$12))</f>
        <v>3650*1950*1070</v>
      </c>
      <c r="Q388" s="186" t="str">
        <f ca="1">IF(D388=0,'Виды прицепов'!$N$19,IF(D388=30,'Виды прицепов'!$N$20,'Виды прицепов'!$N$21))</f>
        <v>4000*1500*500</v>
      </c>
    </row>
    <row r="389" spans="1:17" ht="72" outlineLevel="2">
      <c r="A389" s="203" t="s">
        <v>6133</v>
      </c>
      <c r="B389" s="204" t="s">
        <v>6134</v>
      </c>
      <c r="C389" s="205" t="s">
        <v>5354</v>
      </c>
      <c r="D389" s="128">
        <v>30</v>
      </c>
      <c r="E389" s="128">
        <v>15</v>
      </c>
      <c r="F389" s="128">
        <v>0</v>
      </c>
      <c r="G389" s="128">
        <v>90</v>
      </c>
      <c r="H389" s="206">
        <v>15</v>
      </c>
      <c r="I389" s="117" t="str">
        <f t="shared" si="84"/>
        <v>490 000</v>
      </c>
      <c r="J389" s="117">
        <f t="shared" si="85"/>
        <v>40000</v>
      </c>
      <c r="K389" s="117">
        <f t="shared" si="86"/>
        <v>100000</v>
      </c>
      <c r="L389" s="117">
        <f t="shared" si="87"/>
        <v>0</v>
      </c>
      <c r="M389" s="117">
        <f t="shared" si="88"/>
        <v>100000</v>
      </c>
      <c r="N389" s="207">
        <f t="shared" si="89"/>
        <v>30000</v>
      </c>
      <c r="O389" s="208" t="s">
        <v>6135</v>
      </c>
      <c r="P389" s="186" t="str">
        <f ca="1">IF(D389=0,'Виды прицепов'!$M$10,IF(D389=30,'Виды прицепов'!$M$11,'Виды прицепов'!$M$12))</f>
        <v>3650*1950*900</v>
      </c>
      <c r="Q389" s="186" t="str">
        <f ca="1">IF(D389=0,'Виды прицепов'!$N$19,IF(D389=30,'Виды прицепов'!$N$20,'Виды прицепов'!$N$21))</f>
        <v>4000*1500*300</v>
      </c>
    </row>
    <row r="390" spans="1:17" ht="72" outlineLevel="2">
      <c r="A390" s="203" t="s">
        <v>6136</v>
      </c>
      <c r="B390" s="204" t="s">
        <v>6137</v>
      </c>
      <c r="C390" s="205" t="s">
        <v>5354</v>
      </c>
      <c r="D390" s="128">
        <v>50</v>
      </c>
      <c r="E390" s="128">
        <v>15</v>
      </c>
      <c r="F390" s="128">
        <v>0</v>
      </c>
      <c r="G390" s="128">
        <v>90</v>
      </c>
      <c r="H390" s="206">
        <v>15</v>
      </c>
      <c r="I390" s="117" t="str">
        <f t="shared" si="84"/>
        <v>490 000</v>
      </c>
      <c r="J390" s="117">
        <f t="shared" si="85"/>
        <v>50000</v>
      </c>
      <c r="K390" s="117">
        <f t="shared" si="86"/>
        <v>100000</v>
      </c>
      <c r="L390" s="117">
        <f t="shared" si="87"/>
        <v>0</v>
      </c>
      <c r="M390" s="117">
        <f t="shared" si="88"/>
        <v>100000</v>
      </c>
      <c r="N390" s="207">
        <f t="shared" si="89"/>
        <v>30000</v>
      </c>
      <c r="O390" s="208" t="s">
        <v>6138</v>
      </c>
      <c r="P390" s="186" t="str">
        <f ca="1">IF(D390=0,'Виды прицепов'!$M$10,IF(D390=30,'Виды прицепов'!$M$11,'Виды прицепов'!$M$12))</f>
        <v>3650*1950*1070</v>
      </c>
      <c r="Q390" s="186" t="str">
        <f ca="1">IF(D390=0,'Виды прицепов'!$N$19,IF(D390=30,'Виды прицепов'!$N$20,'Виды прицепов'!$N$21))</f>
        <v>4000*1500*500</v>
      </c>
    </row>
    <row r="391" spans="1:17" ht="57.6" outlineLevel="2">
      <c r="A391" s="203" t="s">
        <v>6139</v>
      </c>
      <c r="B391" s="204" t="s">
        <v>6140</v>
      </c>
      <c r="C391" s="205" t="s">
        <v>5354</v>
      </c>
      <c r="D391" s="128">
        <v>30</v>
      </c>
      <c r="E391" s="128">
        <v>13</v>
      </c>
      <c r="F391" s="128" t="s">
        <v>5371</v>
      </c>
      <c r="G391" s="128">
        <v>90</v>
      </c>
      <c r="H391" s="206">
        <v>13</v>
      </c>
      <c r="I391" s="117" t="str">
        <f t="shared" si="84"/>
        <v>490 000</v>
      </c>
      <c r="J391" s="117">
        <f t="shared" si="85"/>
        <v>40000</v>
      </c>
      <c r="K391" s="117">
        <f t="shared" si="86"/>
        <v>60000</v>
      </c>
      <c r="L391" s="117">
        <f t="shared" si="87"/>
        <v>10000</v>
      </c>
      <c r="M391" s="117">
        <f t="shared" si="88"/>
        <v>100000</v>
      </c>
      <c r="N391" s="207">
        <f t="shared" si="89"/>
        <v>0</v>
      </c>
      <c r="O391" s="208" t="s">
        <v>6141</v>
      </c>
      <c r="P391" s="186" t="str">
        <f ca="1">IF(D391=0,'Виды прицепов'!$M$10,IF(D391=30,'Виды прицепов'!$M$11,'Виды прицепов'!$M$12))</f>
        <v>3650*1950*900</v>
      </c>
      <c r="Q391" s="186" t="str">
        <f ca="1">IF(D391=0,'Виды прицепов'!$N$19,IF(D391=30,'Виды прицепов'!$N$20,'Виды прицепов'!$N$21))</f>
        <v>4000*1500*300</v>
      </c>
    </row>
    <row r="392" spans="1:17" ht="57.6" outlineLevel="2">
      <c r="A392" s="203" t="s">
        <v>354</v>
      </c>
      <c r="B392" s="204" t="s">
        <v>6142</v>
      </c>
      <c r="C392" s="205" t="s">
        <v>5354</v>
      </c>
      <c r="D392" s="128">
        <v>50</v>
      </c>
      <c r="E392" s="128">
        <v>13</v>
      </c>
      <c r="F392" s="128" t="s">
        <v>5371</v>
      </c>
      <c r="G392" s="128">
        <v>90</v>
      </c>
      <c r="H392" s="206">
        <v>13</v>
      </c>
      <c r="I392" s="117" t="str">
        <f t="shared" si="84"/>
        <v>490 000</v>
      </c>
      <c r="J392" s="117">
        <f t="shared" si="85"/>
        <v>50000</v>
      </c>
      <c r="K392" s="117">
        <f t="shared" si="86"/>
        <v>60000</v>
      </c>
      <c r="L392" s="117">
        <f t="shared" si="87"/>
        <v>10000</v>
      </c>
      <c r="M392" s="117">
        <f t="shared" si="88"/>
        <v>100000</v>
      </c>
      <c r="N392" s="207">
        <f t="shared" si="89"/>
        <v>0</v>
      </c>
      <c r="O392" s="208" t="s">
        <v>6143</v>
      </c>
      <c r="P392" s="186" t="str">
        <f ca="1">IF(D392=0,'Виды прицепов'!$M$10,IF(D392=30,'Виды прицепов'!$M$11,'Виды прицепов'!$M$12))</f>
        <v>3650*1950*1070</v>
      </c>
      <c r="Q392" s="186" t="str">
        <f ca="1">IF(D392=0,'Виды прицепов'!$N$19,IF(D392=30,'Виды прицепов'!$N$20,'Виды прицепов'!$N$21))</f>
        <v>4000*1500*500</v>
      </c>
    </row>
    <row r="393" spans="1:17" ht="57.6" outlineLevel="2">
      <c r="A393" s="203" t="s">
        <v>6144</v>
      </c>
      <c r="B393" s="204" t="s">
        <v>5776</v>
      </c>
      <c r="C393" s="205" t="s">
        <v>5354</v>
      </c>
      <c r="D393" s="128">
        <v>30</v>
      </c>
      <c r="E393" s="128">
        <v>15</v>
      </c>
      <c r="F393" s="128" t="s">
        <v>5371</v>
      </c>
      <c r="G393" s="128">
        <v>90</v>
      </c>
      <c r="H393" s="206">
        <v>15</v>
      </c>
      <c r="I393" s="117" t="str">
        <f t="shared" si="84"/>
        <v>490 000</v>
      </c>
      <c r="J393" s="117">
        <f t="shared" si="85"/>
        <v>40000</v>
      </c>
      <c r="K393" s="117">
        <f t="shared" si="86"/>
        <v>100000</v>
      </c>
      <c r="L393" s="117">
        <f t="shared" si="87"/>
        <v>10000</v>
      </c>
      <c r="M393" s="117">
        <f t="shared" si="88"/>
        <v>100000</v>
      </c>
      <c r="N393" s="207">
        <f t="shared" si="89"/>
        <v>30000</v>
      </c>
      <c r="O393" s="208" t="s">
        <v>6145</v>
      </c>
      <c r="P393" s="186" t="str">
        <f ca="1">IF(D393=0,'Виды прицепов'!$M$10,IF(D393=30,'Виды прицепов'!$M$11,'Виды прицепов'!$M$12))</f>
        <v>3650*1950*900</v>
      </c>
      <c r="Q393" s="186" t="str">
        <f ca="1">IF(D393=0,'Виды прицепов'!$N$19,IF(D393=30,'Виды прицепов'!$N$20,'Виды прицепов'!$N$21))</f>
        <v>4000*1500*300</v>
      </c>
    </row>
    <row r="394" spans="1:17" ht="57.6" outlineLevel="2">
      <c r="A394" s="203" t="s">
        <v>6146</v>
      </c>
      <c r="B394" s="204" t="s">
        <v>5778</v>
      </c>
      <c r="C394" s="205" t="s">
        <v>5354</v>
      </c>
      <c r="D394" s="128">
        <v>50</v>
      </c>
      <c r="E394" s="128">
        <v>15</v>
      </c>
      <c r="F394" s="128" t="s">
        <v>5371</v>
      </c>
      <c r="G394" s="128">
        <v>90</v>
      </c>
      <c r="H394" s="206">
        <v>15</v>
      </c>
      <c r="I394" s="117" t="str">
        <f t="shared" si="84"/>
        <v>490 000</v>
      </c>
      <c r="J394" s="117">
        <f t="shared" si="85"/>
        <v>50000</v>
      </c>
      <c r="K394" s="117">
        <f t="shared" si="86"/>
        <v>100000</v>
      </c>
      <c r="L394" s="117">
        <f t="shared" si="87"/>
        <v>10000</v>
      </c>
      <c r="M394" s="117">
        <f t="shared" si="88"/>
        <v>100000</v>
      </c>
      <c r="N394" s="207">
        <f t="shared" si="89"/>
        <v>30000</v>
      </c>
      <c r="O394" s="208" t="s">
        <v>6147</v>
      </c>
      <c r="P394" s="186" t="str">
        <f ca="1">IF(D394=0,'Виды прицепов'!$M$10,IF(D394=30,'Виды прицепов'!$M$11,'Виды прицепов'!$M$12))</f>
        <v>3650*1950*1070</v>
      </c>
      <c r="Q394" s="186" t="str">
        <f ca="1">IF(D394=0,'Виды прицепов'!$N$19,IF(D394=30,'Виды прицепов'!$N$20,'Виды прицепов'!$N$21))</f>
        <v>4000*1500*500</v>
      </c>
    </row>
    <row r="395" spans="1:17" ht="72" outlineLevel="2">
      <c r="A395" s="203" t="s">
        <v>6148</v>
      </c>
      <c r="B395" s="204" t="s">
        <v>6149</v>
      </c>
      <c r="C395" s="205" t="s">
        <v>5354</v>
      </c>
      <c r="D395" s="128">
        <v>30</v>
      </c>
      <c r="E395" s="128">
        <v>13</v>
      </c>
      <c r="F395" s="128">
        <v>0</v>
      </c>
      <c r="G395" s="128">
        <v>120</v>
      </c>
      <c r="H395" s="206">
        <v>13</v>
      </c>
      <c r="I395" s="117" t="str">
        <f t="shared" si="84"/>
        <v>490 000</v>
      </c>
      <c r="J395" s="117">
        <f t="shared" si="85"/>
        <v>40000</v>
      </c>
      <c r="K395" s="117">
        <f t="shared" si="86"/>
        <v>60000</v>
      </c>
      <c r="L395" s="117">
        <f t="shared" si="87"/>
        <v>0</v>
      </c>
      <c r="M395" s="117">
        <f t="shared" si="88"/>
        <v>110000</v>
      </c>
      <c r="N395" s="207">
        <f t="shared" si="89"/>
        <v>0</v>
      </c>
      <c r="O395" s="208" t="s">
        <v>6141</v>
      </c>
      <c r="P395" s="186" t="str">
        <f ca="1">IF(D395=0,'Виды прицепов'!$M$10,IF(D395=30,'Виды прицепов'!$M$11,'Виды прицепов'!$M$12))</f>
        <v>3650*1950*900</v>
      </c>
      <c r="Q395" s="186" t="str">
        <f ca="1">IF(D395=0,'Виды прицепов'!$N$19,IF(D395=30,'Виды прицепов'!$N$20,'Виды прицепов'!$N$21))</f>
        <v>4000*1500*300</v>
      </c>
    </row>
    <row r="396" spans="1:17" ht="72" outlineLevel="2">
      <c r="A396" s="203" t="s">
        <v>6150</v>
      </c>
      <c r="B396" s="204" t="s">
        <v>6151</v>
      </c>
      <c r="C396" s="205" t="s">
        <v>5354</v>
      </c>
      <c r="D396" s="128">
        <v>50</v>
      </c>
      <c r="E396" s="128">
        <v>13</v>
      </c>
      <c r="F396" s="128">
        <v>0</v>
      </c>
      <c r="G396" s="128">
        <v>120</v>
      </c>
      <c r="H396" s="206">
        <v>13</v>
      </c>
      <c r="I396" s="117" t="str">
        <f t="shared" si="84"/>
        <v>490 000</v>
      </c>
      <c r="J396" s="117">
        <f t="shared" si="85"/>
        <v>50000</v>
      </c>
      <c r="K396" s="117">
        <f t="shared" si="86"/>
        <v>60000</v>
      </c>
      <c r="L396" s="117">
        <f t="shared" si="87"/>
        <v>0</v>
      </c>
      <c r="M396" s="117">
        <f t="shared" si="88"/>
        <v>110000</v>
      </c>
      <c r="N396" s="207">
        <f t="shared" si="89"/>
        <v>0</v>
      </c>
      <c r="O396" s="208" t="s">
        <v>6143</v>
      </c>
      <c r="P396" s="186" t="str">
        <f ca="1">IF(D396=0,'Виды прицепов'!$M$10,IF(D396=30,'Виды прицепов'!$M$11,'Виды прицепов'!$M$12))</f>
        <v>3650*1950*1070</v>
      </c>
      <c r="Q396" s="186" t="str">
        <f ca="1">IF(D396=0,'Виды прицепов'!$N$19,IF(D396=30,'Виды прицепов'!$N$20,'Виды прицепов'!$N$21))</f>
        <v>4000*1500*500</v>
      </c>
    </row>
    <row r="397" spans="1:17" ht="72" outlineLevel="2">
      <c r="A397" s="203" t="s">
        <v>6152</v>
      </c>
      <c r="B397" s="204" t="s">
        <v>5784</v>
      </c>
      <c r="C397" s="205" t="s">
        <v>5354</v>
      </c>
      <c r="D397" s="128">
        <v>30</v>
      </c>
      <c r="E397" s="128">
        <v>15</v>
      </c>
      <c r="F397" s="128">
        <v>0</v>
      </c>
      <c r="G397" s="128">
        <v>120</v>
      </c>
      <c r="H397" s="206">
        <v>15</v>
      </c>
      <c r="I397" s="117" t="str">
        <f t="shared" si="84"/>
        <v>490 000</v>
      </c>
      <c r="J397" s="117">
        <f t="shared" si="85"/>
        <v>40000</v>
      </c>
      <c r="K397" s="117">
        <f t="shared" si="86"/>
        <v>100000</v>
      </c>
      <c r="L397" s="117">
        <f t="shared" si="87"/>
        <v>0</v>
      </c>
      <c r="M397" s="117">
        <f t="shared" si="88"/>
        <v>110000</v>
      </c>
      <c r="N397" s="207">
        <f t="shared" si="89"/>
        <v>30000</v>
      </c>
      <c r="O397" s="208" t="s">
        <v>6145</v>
      </c>
      <c r="P397" s="186" t="str">
        <f ca="1">IF(D397=0,'Виды прицепов'!$M$10,IF(D397=30,'Виды прицепов'!$M$11,'Виды прицепов'!$M$12))</f>
        <v>3650*1950*900</v>
      </c>
      <c r="Q397" s="186" t="str">
        <f ca="1">IF(D397=0,'Виды прицепов'!$N$19,IF(D397=30,'Виды прицепов'!$N$20,'Виды прицепов'!$N$21))</f>
        <v>4000*1500*300</v>
      </c>
    </row>
    <row r="398" spans="1:17" ht="72" outlineLevel="2">
      <c r="A398" s="203" t="s">
        <v>6153</v>
      </c>
      <c r="B398" s="204" t="s">
        <v>5786</v>
      </c>
      <c r="C398" s="205" t="s">
        <v>5354</v>
      </c>
      <c r="D398" s="128">
        <v>50</v>
      </c>
      <c r="E398" s="128">
        <v>15</v>
      </c>
      <c r="F398" s="128">
        <v>0</v>
      </c>
      <c r="G398" s="128">
        <v>120</v>
      </c>
      <c r="H398" s="206">
        <v>15</v>
      </c>
      <c r="I398" s="117" t="str">
        <f t="shared" si="84"/>
        <v>490 000</v>
      </c>
      <c r="J398" s="117">
        <f t="shared" si="85"/>
        <v>50000</v>
      </c>
      <c r="K398" s="117">
        <f t="shared" si="86"/>
        <v>100000</v>
      </c>
      <c r="L398" s="117">
        <f t="shared" si="87"/>
        <v>0</v>
      </c>
      <c r="M398" s="117">
        <f t="shared" si="88"/>
        <v>110000</v>
      </c>
      <c r="N398" s="207">
        <f t="shared" si="89"/>
        <v>30000</v>
      </c>
      <c r="O398" s="208" t="s">
        <v>6147</v>
      </c>
      <c r="P398" s="186" t="str">
        <f ca="1">IF(D398=0,'Виды прицепов'!$M$10,IF(D398=30,'Виды прицепов'!$M$11,'Виды прицепов'!$M$12))</f>
        <v>3650*1950*1070</v>
      </c>
      <c r="Q398" s="186" t="str">
        <f ca="1">IF(D398=0,'Виды прицепов'!$N$19,IF(D398=30,'Виды прицепов'!$N$20,'Виды прицепов'!$N$21))</f>
        <v>4000*1500*500</v>
      </c>
    </row>
    <row r="399" spans="1:17" ht="57.6" outlineLevel="2">
      <c r="A399" s="203" t="s">
        <v>6154</v>
      </c>
      <c r="B399" s="204" t="s">
        <v>6155</v>
      </c>
      <c r="C399" s="205" t="s">
        <v>5354</v>
      </c>
      <c r="D399" s="128">
        <v>30</v>
      </c>
      <c r="E399" s="128">
        <v>13</v>
      </c>
      <c r="F399" s="128" t="s">
        <v>5371</v>
      </c>
      <c r="G399" s="128">
        <v>120</v>
      </c>
      <c r="H399" s="206">
        <v>13</v>
      </c>
      <c r="I399" s="117" t="str">
        <f t="shared" si="84"/>
        <v>490 000</v>
      </c>
      <c r="J399" s="117">
        <f t="shared" si="85"/>
        <v>40000</v>
      </c>
      <c r="K399" s="117">
        <f t="shared" si="86"/>
        <v>60000</v>
      </c>
      <c r="L399" s="117">
        <f t="shared" si="87"/>
        <v>10000</v>
      </c>
      <c r="M399" s="117">
        <f t="shared" si="88"/>
        <v>110000</v>
      </c>
      <c r="N399" s="207">
        <f t="shared" si="89"/>
        <v>0</v>
      </c>
      <c r="O399" s="208" t="s">
        <v>6132</v>
      </c>
      <c r="P399" s="186" t="str">
        <f ca="1">IF(D399=0,'Виды прицепов'!$M$10,IF(D399=30,'Виды прицепов'!$M$11,'Виды прицепов'!$M$12))</f>
        <v>3650*1950*900</v>
      </c>
      <c r="Q399" s="186" t="str">
        <f ca="1">IF(D399=0,'Виды прицепов'!$N$19,IF(D399=30,'Виды прицепов'!$N$20,'Виды прицепов'!$N$21))</f>
        <v>4000*1500*300</v>
      </c>
    </row>
    <row r="400" spans="1:17" ht="57.6" outlineLevel="2">
      <c r="A400" s="203" t="s">
        <v>6156</v>
      </c>
      <c r="B400" s="204" t="s">
        <v>6157</v>
      </c>
      <c r="C400" s="205" t="s">
        <v>5354</v>
      </c>
      <c r="D400" s="128">
        <v>50</v>
      </c>
      <c r="E400" s="128">
        <v>13</v>
      </c>
      <c r="F400" s="128" t="s">
        <v>5371</v>
      </c>
      <c r="G400" s="128">
        <v>120</v>
      </c>
      <c r="H400" s="206">
        <v>13</v>
      </c>
      <c r="I400" s="117" t="str">
        <f t="shared" si="84"/>
        <v>490 000</v>
      </c>
      <c r="J400" s="117">
        <f t="shared" si="85"/>
        <v>50000</v>
      </c>
      <c r="K400" s="117">
        <f t="shared" si="86"/>
        <v>60000</v>
      </c>
      <c r="L400" s="117">
        <f t="shared" si="87"/>
        <v>10000</v>
      </c>
      <c r="M400" s="117">
        <f t="shared" si="88"/>
        <v>110000</v>
      </c>
      <c r="N400" s="207">
        <f t="shared" si="89"/>
        <v>0</v>
      </c>
      <c r="O400" s="208" t="s">
        <v>6135</v>
      </c>
      <c r="P400" s="186" t="str">
        <f ca="1">IF(D400=0,'Виды прицепов'!$M$10,IF(D400=30,'Виды прицепов'!$M$11,'Виды прицепов'!$M$12))</f>
        <v>3650*1950*1070</v>
      </c>
      <c r="Q400" s="186" t="str">
        <f ca="1">IF(D400=0,'Виды прицепов'!$N$19,IF(D400=30,'Виды прицепов'!$N$20,'Виды прицепов'!$N$21))</f>
        <v>4000*1500*500</v>
      </c>
    </row>
    <row r="401" spans="1:26" ht="57.6" outlineLevel="2">
      <c r="A401" s="203" t="s">
        <v>6158</v>
      </c>
      <c r="B401" s="204" t="s">
        <v>5791</v>
      </c>
      <c r="C401" s="205" t="s">
        <v>5354</v>
      </c>
      <c r="D401" s="128">
        <v>30</v>
      </c>
      <c r="E401" s="128">
        <v>15</v>
      </c>
      <c r="F401" s="128" t="s">
        <v>5371</v>
      </c>
      <c r="G401" s="128">
        <v>120</v>
      </c>
      <c r="H401" s="206">
        <v>15</v>
      </c>
      <c r="I401" s="117" t="str">
        <f t="shared" si="84"/>
        <v>490 000</v>
      </c>
      <c r="J401" s="117">
        <f t="shared" si="85"/>
        <v>40000</v>
      </c>
      <c r="K401" s="117">
        <f t="shared" si="86"/>
        <v>100000</v>
      </c>
      <c r="L401" s="117">
        <f t="shared" si="87"/>
        <v>10000</v>
      </c>
      <c r="M401" s="117">
        <f t="shared" si="88"/>
        <v>110000</v>
      </c>
      <c r="N401" s="207">
        <f t="shared" si="89"/>
        <v>30000</v>
      </c>
      <c r="O401" s="208" t="s">
        <v>6138</v>
      </c>
      <c r="P401" s="186" t="str">
        <f ca="1">IF(D401=0,'Виды прицепов'!$M$10,IF(D401=30,'Виды прицепов'!$M$11,'Виды прицепов'!$M$12))</f>
        <v>3650*1950*900</v>
      </c>
      <c r="Q401" s="186" t="str">
        <f ca="1">IF(D401=0,'Виды прицепов'!$N$19,IF(D401=30,'Виды прицепов'!$N$20,'Виды прицепов'!$N$21))</f>
        <v>4000*1500*300</v>
      </c>
    </row>
    <row r="402" spans="1:26" ht="57.6" outlineLevel="2">
      <c r="A402" s="203" t="s">
        <v>6159</v>
      </c>
      <c r="B402" s="204" t="s">
        <v>5793</v>
      </c>
      <c r="C402" s="205" t="s">
        <v>5354</v>
      </c>
      <c r="D402" s="128">
        <v>50</v>
      </c>
      <c r="E402" s="128">
        <v>15</v>
      </c>
      <c r="F402" s="128" t="s">
        <v>5371</v>
      </c>
      <c r="G402" s="128">
        <v>120</v>
      </c>
      <c r="H402" s="206">
        <v>15</v>
      </c>
      <c r="I402" s="117" t="str">
        <f t="shared" si="84"/>
        <v>490 000</v>
      </c>
      <c r="J402" s="117">
        <f t="shared" si="85"/>
        <v>50000</v>
      </c>
      <c r="K402" s="117">
        <f t="shared" si="86"/>
        <v>100000</v>
      </c>
      <c r="L402" s="117">
        <f t="shared" si="87"/>
        <v>10000</v>
      </c>
      <c r="M402" s="117">
        <f t="shared" si="88"/>
        <v>110000</v>
      </c>
      <c r="N402" s="207">
        <f t="shared" si="89"/>
        <v>30000</v>
      </c>
      <c r="O402" s="208" t="s">
        <v>6160</v>
      </c>
      <c r="P402" s="186" t="str">
        <f ca="1">IF(D402=0,'Виды прицепов'!$M$10,IF(D402=30,'Виды прицепов'!$M$11,'Виды прицепов'!$M$12))</f>
        <v>3650*1950*1070</v>
      </c>
      <c r="Q402" s="186" t="str">
        <f ca="1">IF(D402=0,'Виды прицепов'!$N$19,IF(D402=30,'Виды прицепов'!$N$20,'Виды прицепов'!$N$21))</f>
        <v>4000*1500*500</v>
      </c>
    </row>
    <row r="403" spans="1:26" ht="14.4" outlineLevel="1">
      <c r="A403" s="217" t="s">
        <v>6161</v>
      </c>
      <c r="B403" s="176"/>
      <c r="C403" s="177"/>
      <c r="D403" s="178"/>
      <c r="E403" s="178"/>
      <c r="F403" s="178"/>
      <c r="G403" s="178"/>
      <c r="H403" s="178"/>
      <c r="I403" s="179"/>
      <c r="J403" s="179"/>
      <c r="K403" s="179"/>
      <c r="L403" s="179"/>
      <c r="M403" s="179"/>
      <c r="N403" s="179"/>
      <c r="O403" s="193"/>
      <c r="P403" s="173"/>
      <c r="Q403" s="173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 spans="1:26" ht="57.6" outlineLevel="2">
      <c r="A404" s="203" t="s">
        <v>6162</v>
      </c>
      <c r="B404" s="204" t="s">
        <v>5796</v>
      </c>
      <c r="C404" s="205" t="s">
        <v>6163</v>
      </c>
      <c r="D404" s="128">
        <v>0</v>
      </c>
      <c r="E404" s="128">
        <v>0</v>
      </c>
      <c r="F404" s="128">
        <v>0</v>
      </c>
      <c r="G404" s="128">
        <v>0</v>
      </c>
      <c r="H404" s="206">
        <v>13</v>
      </c>
      <c r="I404" s="117" t="str">
        <f t="shared" ref="I404:I443" si="90">VLOOKUP(C404,платформа2,2,0)</f>
        <v>530 000</v>
      </c>
      <c r="J404" s="117">
        <f t="shared" ref="J404:J443" si="91">VLOOKUP(D404,борт_3015,2)</f>
        <v>0</v>
      </c>
      <c r="K404" s="117">
        <f t="shared" ref="K404:K443" si="92">VLOOKUP(E404,колесо,2,0)*2</f>
        <v>0</v>
      </c>
      <c r="L404" s="117">
        <f t="shared" ref="L404:L443" si="93">VLOOKUP(F404,опорное_колесо,2,0)</f>
        <v>0</v>
      </c>
      <c r="M404" s="117">
        <f t="shared" ref="M404:M443" si="94">VLOOKUP(G404,тент_3015,2,0)</f>
        <v>0</v>
      </c>
      <c r="N404" s="207">
        <f t="shared" ref="N404:N443" si="95">VLOOKUP(H404,ступица,2,0)</f>
        <v>0</v>
      </c>
      <c r="O404" s="208" t="s">
        <v>6164</v>
      </c>
      <c r="P404" s="186" t="str">
        <f ca="1">IF(D404=0,'Виды прицепов'!$M$10,IF(D404=30,'Виды прицепов'!$M$11,'Виды прицепов'!$M$12))</f>
        <v>4000*1950*650</v>
      </c>
      <c r="Q404" s="186" t="str">
        <f ca="1">IF(D404=0,'Виды прицепов'!$N$19,IF(D404=30,'Виды прицепов'!$N$20,'Виды прицепов'!$N$21))</f>
        <v>4000*1500*0</v>
      </c>
    </row>
    <row r="405" spans="1:26" ht="57.6" outlineLevel="2">
      <c r="A405" s="203" t="s">
        <v>6165</v>
      </c>
      <c r="B405" s="204" t="s">
        <v>5798</v>
      </c>
      <c r="C405" s="205" t="s">
        <v>6163</v>
      </c>
      <c r="D405" s="128">
        <v>30</v>
      </c>
      <c r="E405" s="128">
        <v>0</v>
      </c>
      <c r="F405" s="128">
        <v>0</v>
      </c>
      <c r="G405" s="128">
        <v>0</v>
      </c>
      <c r="H405" s="206">
        <v>13</v>
      </c>
      <c r="I405" s="117" t="str">
        <f t="shared" si="90"/>
        <v>530 000</v>
      </c>
      <c r="J405" s="117">
        <f t="shared" si="91"/>
        <v>50000</v>
      </c>
      <c r="K405" s="117">
        <f t="shared" si="92"/>
        <v>0</v>
      </c>
      <c r="L405" s="117">
        <f t="shared" si="93"/>
        <v>0</v>
      </c>
      <c r="M405" s="117">
        <f t="shared" si="94"/>
        <v>0</v>
      </c>
      <c r="N405" s="207">
        <f t="shared" si="95"/>
        <v>0</v>
      </c>
      <c r="O405" s="208" t="s">
        <v>6166</v>
      </c>
      <c r="P405" s="186"/>
      <c r="Q405" s="186"/>
    </row>
    <row r="406" spans="1:26" ht="72" outlineLevel="2">
      <c r="A406" s="203" t="s">
        <v>6167</v>
      </c>
      <c r="B406" s="204" t="s">
        <v>5806</v>
      </c>
      <c r="C406" s="205" t="s">
        <v>6163</v>
      </c>
      <c r="D406" s="128">
        <v>30</v>
      </c>
      <c r="E406" s="128">
        <v>0</v>
      </c>
      <c r="F406" s="128">
        <v>0</v>
      </c>
      <c r="G406" s="128">
        <v>120</v>
      </c>
      <c r="H406" s="206">
        <v>13</v>
      </c>
      <c r="I406" s="117" t="str">
        <f t="shared" si="90"/>
        <v>530 000</v>
      </c>
      <c r="J406" s="117">
        <f t="shared" si="91"/>
        <v>50000</v>
      </c>
      <c r="K406" s="117">
        <f t="shared" si="92"/>
        <v>0</v>
      </c>
      <c r="L406" s="117">
        <f t="shared" si="93"/>
        <v>0</v>
      </c>
      <c r="M406" s="117">
        <f t="shared" si="94"/>
        <v>140000</v>
      </c>
      <c r="N406" s="207">
        <f t="shared" si="95"/>
        <v>0</v>
      </c>
      <c r="O406" s="208" t="s">
        <v>6141</v>
      </c>
      <c r="P406" s="186"/>
      <c r="Q406" s="186"/>
    </row>
    <row r="407" spans="1:26" ht="57.6" outlineLevel="2">
      <c r="A407" s="203" t="s">
        <v>6168</v>
      </c>
      <c r="B407" s="204" t="s">
        <v>5810</v>
      </c>
      <c r="C407" s="205" t="s">
        <v>6163</v>
      </c>
      <c r="D407" s="128">
        <v>0</v>
      </c>
      <c r="E407" s="128">
        <v>13</v>
      </c>
      <c r="F407" s="128">
        <v>0</v>
      </c>
      <c r="G407" s="128">
        <v>0</v>
      </c>
      <c r="H407" s="206">
        <v>13</v>
      </c>
      <c r="I407" s="117" t="str">
        <f t="shared" si="90"/>
        <v>530 000</v>
      </c>
      <c r="J407" s="117">
        <f t="shared" si="91"/>
        <v>0</v>
      </c>
      <c r="K407" s="117">
        <f t="shared" si="92"/>
        <v>60000</v>
      </c>
      <c r="L407" s="117">
        <f t="shared" si="93"/>
        <v>0</v>
      </c>
      <c r="M407" s="117">
        <f t="shared" si="94"/>
        <v>0</v>
      </c>
      <c r="N407" s="207">
        <f t="shared" si="95"/>
        <v>0</v>
      </c>
      <c r="O407" s="208" t="s">
        <v>6098</v>
      </c>
      <c r="P407" s="186"/>
      <c r="Q407" s="186"/>
    </row>
    <row r="408" spans="1:26" ht="57.6" outlineLevel="2">
      <c r="A408" s="203" t="s">
        <v>6169</v>
      </c>
      <c r="B408" s="204" t="s">
        <v>6170</v>
      </c>
      <c r="C408" s="205" t="s">
        <v>6163</v>
      </c>
      <c r="D408" s="128">
        <v>30</v>
      </c>
      <c r="E408" s="128">
        <v>13</v>
      </c>
      <c r="F408" s="128">
        <v>0</v>
      </c>
      <c r="G408" s="128">
        <v>0</v>
      </c>
      <c r="H408" s="206">
        <v>13</v>
      </c>
      <c r="I408" s="117" t="str">
        <f t="shared" si="90"/>
        <v>530 000</v>
      </c>
      <c r="J408" s="117">
        <f t="shared" si="91"/>
        <v>50000</v>
      </c>
      <c r="K408" s="117">
        <f t="shared" si="92"/>
        <v>60000</v>
      </c>
      <c r="L408" s="117">
        <f t="shared" si="93"/>
        <v>0</v>
      </c>
      <c r="M408" s="117">
        <f t="shared" si="94"/>
        <v>0</v>
      </c>
      <c r="N408" s="207">
        <f t="shared" si="95"/>
        <v>0</v>
      </c>
      <c r="O408" s="208" t="s">
        <v>6075</v>
      </c>
      <c r="P408" s="186"/>
      <c r="Q408" s="186"/>
    </row>
    <row r="409" spans="1:26" ht="43.2" outlineLevel="2">
      <c r="A409" s="203" t="s">
        <v>6171</v>
      </c>
      <c r="B409" s="204" t="s">
        <v>5816</v>
      </c>
      <c r="C409" s="205" t="s">
        <v>6163</v>
      </c>
      <c r="D409" s="128">
        <v>0</v>
      </c>
      <c r="E409" s="128">
        <v>0</v>
      </c>
      <c r="F409" s="128">
        <v>0</v>
      </c>
      <c r="G409" s="128">
        <v>0</v>
      </c>
      <c r="H409" s="206">
        <v>15</v>
      </c>
      <c r="I409" s="117" t="str">
        <f t="shared" si="90"/>
        <v>530 000</v>
      </c>
      <c r="J409" s="117">
        <f t="shared" si="91"/>
        <v>0</v>
      </c>
      <c r="K409" s="117">
        <f t="shared" si="92"/>
        <v>0</v>
      </c>
      <c r="L409" s="117">
        <f t="shared" si="93"/>
        <v>0</v>
      </c>
      <c r="M409" s="117">
        <f t="shared" si="94"/>
        <v>0</v>
      </c>
      <c r="N409" s="207">
        <f t="shared" si="95"/>
        <v>30000</v>
      </c>
      <c r="O409" s="208" t="s">
        <v>6164</v>
      </c>
      <c r="P409" s="186"/>
      <c r="Q409" s="186"/>
    </row>
    <row r="410" spans="1:26" ht="57.6" outlineLevel="2">
      <c r="A410" s="203" t="s">
        <v>6172</v>
      </c>
      <c r="B410" s="204" t="s">
        <v>5818</v>
      </c>
      <c r="C410" s="205" t="s">
        <v>6163</v>
      </c>
      <c r="D410" s="128">
        <v>30</v>
      </c>
      <c r="E410" s="128">
        <v>0</v>
      </c>
      <c r="F410" s="128">
        <v>0</v>
      </c>
      <c r="G410" s="128">
        <v>0</v>
      </c>
      <c r="H410" s="206">
        <v>15</v>
      </c>
      <c r="I410" s="117" t="str">
        <f t="shared" si="90"/>
        <v>530 000</v>
      </c>
      <c r="J410" s="117">
        <f t="shared" si="91"/>
        <v>50000</v>
      </c>
      <c r="K410" s="117">
        <f t="shared" si="92"/>
        <v>0</v>
      </c>
      <c r="L410" s="117">
        <f t="shared" si="93"/>
        <v>0</v>
      </c>
      <c r="M410" s="117">
        <f t="shared" si="94"/>
        <v>0</v>
      </c>
      <c r="N410" s="207">
        <f t="shared" si="95"/>
        <v>30000</v>
      </c>
      <c r="O410" s="208" t="s">
        <v>6166</v>
      </c>
      <c r="P410" s="186"/>
      <c r="Q410" s="186"/>
    </row>
    <row r="411" spans="1:26" ht="72" outlineLevel="2">
      <c r="A411" s="203" t="s">
        <v>6173</v>
      </c>
      <c r="B411" s="204" t="s">
        <v>5826</v>
      </c>
      <c r="C411" s="205" t="s">
        <v>6163</v>
      </c>
      <c r="D411" s="128">
        <v>30</v>
      </c>
      <c r="E411" s="128">
        <v>0</v>
      </c>
      <c r="F411" s="128">
        <v>0</v>
      </c>
      <c r="G411" s="128">
        <v>120</v>
      </c>
      <c r="H411" s="206">
        <v>15</v>
      </c>
      <c r="I411" s="117" t="str">
        <f t="shared" si="90"/>
        <v>530 000</v>
      </c>
      <c r="J411" s="117">
        <f t="shared" si="91"/>
        <v>50000</v>
      </c>
      <c r="K411" s="117">
        <f t="shared" si="92"/>
        <v>0</v>
      </c>
      <c r="L411" s="117">
        <f t="shared" si="93"/>
        <v>0</v>
      </c>
      <c r="M411" s="117">
        <f t="shared" si="94"/>
        <v>140000</v>
      </c>
      <c r="N411" s="207">
        <f t="shared" si="95"/>
        <v>30000</v>
      </c>
      <c r="O411" s="208" t="s">
        <v>6141</v>
      </c>
      <c r="P411" s="186"/>
      <c r="Q411" s="186"/>
    </row>
    <row r="412" spans="1:26" ht="57.6" outlineLevel="2">
      <c r="A412" s="203" t="s">
        <v>6174</v>
      </c>
      <c r="B412" s="204" t="s">
        <v>5830</v>
      </c>
      <c r="C412" s="205" t="s">
        <v>6163</v>
      </c>
      <c r="D412" s="128">
        <v>0</v>
      </c>
      <c r="E412" s="128">
        <v>15</v>
      </c>
      <c r="F412" s="128">
        <v>0</v>
      </c>
      <c r="G412" s="128">
        <v>0</v>
      </c>
      <c r="H412" s="206">
        <v>15</v>
      </c>
      <c r="I412" s="117" t="str">
        <f t="shared" si="90"/>
        <v>530 000</v>
      </c>
      <c r="J412" s="117">
        <f t="shared" si="91"/>
        <v>0</v>
      </c>
      <c r="K412" s="117">
        <f t="shared" si="92"/>
        <v>100000</v>
      </c>
      <c r="L412" s="117">
        <f t="shared" si="93"/>
        <v>0</v>
      </c>
      <c r="M412" s="117">
        <f t="shared" si="94"/>
        <v>0</v>
      </c>
      <c r="N412" s="207">
        <f t="shared" si="95"/>
        <v>30000</v>
      </c>
      <c r="O412" s="208" t="s">
        <v>6116</v>
      </c>
      <c r="P412" s="186"/>
      <c r="Q412" s="186"/>
    </row>
    <row r="413" spans="1:26" ht="57.6" outlineLevel="2">
      <c r="A413" s="203" t="s">
        <v>6175</v>
      </c>
      <c r="B413" s="204" t="s">
        <v>5832</v>
      </c>
      <c r="C413" s="205" t="s">
        <v>6163</v>
      </c>
      <c r="D413" s="128">
        <v>30</v>
      </c>
      <c r="E413" s="128">
        <v>15</v>
      </c>
      <c r="F413" s="128">
        <v>0</v>
      </c>
      <c r="G413" s="128">
        <v>0</v>
      </c>
      <c r="H413" s="206">
        <v>15</v>
      </c>
      <c r="I413" s="117" t="str">
        <f t="shared" si="90"/>
        <v>530 000</v>
      </c>
      <c r="J413" s="117">
        <f t="shared" si="91"/>
        <v>50000</v>
      </c>
      <c r="K413" s="117">
        <f t="shared" si="92"/>
        <v>100000</v>
      </c>
      <c r="L413" s="117">
        <f t="shared" si="93"/>
        <v>0</v>
      </c>
      <c r="M413" s="117">
        <f t="shared" si="94"/>
        <v>0</v>
      </c>
      <c r="N413" s="207">
        <f t="shared" si="95"/>
        <v>30000</v>
      </c>
      <c r="O413" s="208" t="s">
        <v>6110</v>
      </c>
      <c r="P413" s="186"/>
      <c r="Q413" s="186"/>
    </row>
    <row r="414" spans="1:26" ht="57.6" outlineLevel="2">
      <c r="A414" s="203" t="s">
        <v>6176</v>
      </c>
      <c r="B414" s="204" t="s">
        <v>5836</v>
      </c>
      <c r="C414" s="205" t="s">
        <v>6163</v>
      </c>
      <c r="D414" s="128">
        <v>0</v>
      </c>
      <c r="E414" s="128">
        <v>0</v>
      </c>
      <c r="F414" s="128" t="s">
        <v>5371</v>
      </c>
      <c r="G414" s="128">
        <v>0</v>
      </c>
      <c r="H414" s="206">
        <v>13</v>
      </c>
      <c r="I414" s="117" t="str">
        <f t="shared" si="90"/>
        <v>530 000</v>
      </c>
      <c r="J414" s="117">
        <f t="shared" si="91"/>
        <v>0</v>
      </c>
      <c r="K414" s="117">
        <f t="shared" si="92"/>
        <v>0</v>
      </c>
      <c r="L414" s="117">
        <f t="shared" si="93"/>
        <v>10000</v>
      </c>
      <c r="M414" s="117">
        <f t="shared" si="94"/>
        <v>0</v>
      </c>
      <c r="N414" s="207">
        <f t="shared" si="95"/>
        <v>0</v>
      </c>
      <c r="O414" s="208" t="s">
        <v>6071</v>
      </c>
      <c r="P414" s="186"/>
      <c r="Q414" s="186"/>
    </row>
    <row r="415" spans="1:26" ht="57.6" outlineLevel="2">
      <c r="A415" s="203" t="s">
        <v>6177</v>
      </c>
      <c r="B415" s="204" t="s">
        <v>5838</v>
      </c>
      <c r="C415" s="205" t="s">
        <v>6163</v>
      </c>
      <c r="D415" s="128">
        <v>30</v>
      </c>
      <c r="E415" s="128">
        <v>0</v>
      </c>
      <c r="F415" s="128" t="s">
        <v>5371</v>
      </c>
      <c r="G415" s="128">
        <v>0</v>
      </c>
      <c r="H415" s="206">
        <v>13</v>
      </c>
      <c r="I415" s="117" t="str">
        <f t="shared" si="90"/>
        <v>530 000</v>
      </c>
      <c r="J415" s="117">
        <f t="shared" si="91"/>
        <v>50000</v>
      </c>
      <c r="K415" s="117">
        <f t="shared" si="92"/>
        <v>0</v>
      </c>
      <c r="L415" s="117">
        <f t="shared" si="93"/>
        <v>10000</v>
      </c>
      <c r="M415" s="117">
        <f t="shared" si="94"/>
        <v>0</v>
      </c>
      <c r="N415" s="207">
        <f t="shared" si="95"/>
        <v>0</v>
      </c>
      <c r="O415" s="208" t="s">
        <v>6098</v>
      </c>
      <c r="P415" s="186"/>
      <c r="Q415" s="186"/>
    </row>
    <row r="416" spans="1:26" ht="72" outlineLevel="2">
      <c r="A416" s="203" t="s">
        <v>6178</v>
      </c>
      <c r="B416" s="204" t="s">
        <v>5846</v>
      </c>
      <c r="C416" s="205" t="s">
        <v>6163</v>
      </c>
      <c r="D416" s="128">
        <v>30</v>
      </c>
      <c r="E416" s="128">
        <v>0</v>
      </c>
      <c r="F416" s="128" t="s">
        <v>5371</v>
      </c>
      <c r="G416" s="128">
        <v>120</v>
      </c>
      <c r="H416" s="206">
        <v>13</v>
      </c>
      <c r="I416" s="117" t="str">
        <f t="shared" si="90"/>
        <v>530 000</v>
      </c>
      <c r="J416" s="117">
        <f t="shared" si="91"/>
        <v>50000</v>
      </c>
      <c r="K416" s="117">
        <f t="shared" si="92"/>
        <v>0</v>
      </c>
      <c r="L416" s="117">
        <f t="shared" si="93"/>
        <v>10000</v>
      </c>
      <c r="M416" s="117">
        <f t="shared" si="94"/>
        <v>140000</v>
      </c>
      <c r="N416" s="207">
        <f t="shared" si="95"/>
        <v>0</v>
      </c>
      <c r="O416" s="208" t="s">
        <v>6132</v>
      </c>
      <c r="P416" s="186"/>
      <c r="Q416" s="186"/>
    </row>
    <row r="417" spans="1:17" ht="57.6" outlineLevel="2">
      <c r="A417" s="203" t="s">
        <v>6179</v>
      </c>
      <c r="B417" s="204" t="s">
        <v>6180</v>
      </c>
      <c r="C417" s="205" t="s">
        <v>6163</v>
      </c>
      <c r="D417" s="128">
        <v>0</v>
      </c>
      <c r="E417" s="128">
        <v>13</v>
      </c>
      <c r="F417" s="128" t="s">
        <v>5371</v>
      </c>
      <c r="G417" s="128">
        <v>0</v>
      </c>
      <c r="H417" s="206">
        <v>13</v>
      </c>
      <c r="I417" s="117" t="str">
        <f t="shared" si="90"/>
        <v>530 000</v>
      </c>
      <c r="J417" s="117">
        <f t="shared" si="91"/>
        <v>0</v>
      </c>
      <c r="K417" s="117">
        <f t="shared" si="92"/>
        <v>60000</v>
      </c>
      <c r="L417" s="117">
        <f t="shared" si="93"/>
        <v>10000</v>
      </c>
      <c r="M417" s="117">
        <f t="shared" si="94"/>
        <v>0</v>
      </c>
      <c r="N417" s="207">
        <f t="shared" si="95"/>
        <v>0</v>
      </c>
      <c r="O417" s="208" t="s">
        <v>6086</v>
      </c>
      <c r="P417" s="186"/>
      <c r="Q417" s="186"/>
    </row>
    <row r="418" spans="1:17" ht="57.6" outlineLevel="2">
      <c r="A418" s="203" t="s">
        <v>367</v>
      </c>
      <c r="B418" s="204" t="s">
        <v>6181</v>
      </c>
      <c r="C418" s="205" t="s">
        <v>6163</v>
      </c>
      <c r="D418" s="128">
        <v>30</v>
      </c>
      <c r="E418" s="128">
        <v>13</v>
      </c>
      <c r="F418" s="128" t="s">
        <v>5371</v>
      </c>
      <c r="G418" s="128">
        <v>0</v>
      </c>
      <c r="H418" s="206">
        <v>13</v>
      </c>
      <c r="I418" s="117" t="str">
        <f t="shared" si="90"/>
        <v>530 000</v>
      </c>
      <c r="J418" s="117">
        <f t="shared" si="91"/>
        <v>50000</v>
      </c>
      <c r="K418" s="117">
        <f t="shared" si="92"/>
        <v>60000</v>
      </c>
      <c r="L418" s="117">
        <f t="shared" si="93"/>
        <v>10000</v>
      </c>
      <c r="M418" s="117">
        <f t="shared" si="94"/>
        <v>0</v>
      </c>
      <c r="N418" s="207">
        <f t="shared" si="95"/>
        <v>0</v>
      </c>
      <c r="O418" s="208" t="s">
        <v>6079</v>
      </c>
      <c r="P418" s="186"/>
      <c r="Q418" s="186"/>
    </row>
    <row r="419" spans="1:17" ht="57.6" outlineLevel="2">
      <c r="A419" s="203" t="s">
        <v>6182</v>
      </c>
      <c r="B419" s="204" t="s">
        <v>5855</v>
      </c>
      <c r="C419" s="205" t="s">
        <v>6163</v>
      </c>
      <c r="D419" s="128">
        <v>0</v>
      </c>
      <c r="E419" s="128">
        <v>0</v>
      </c>
      <c r="F419" s="128" t="s">
        <v>5371</v>
      </c>
      <c r="G419" s="128">
        <v>0</v>
      </c>
      <c r="H419" s="206">
        <v>15</v>
      </c>
      <c r="I419" s="117" t="str">
        <f t="shared" si="90"/>
        <v>530 000</v>
      </c>
      <c r="J419" s="117">
        <f t="shared" si="91"/>
        <v>0</v>
      </c>
      <c r="K419" s="117">
        <f t="shared" si="92"/>
        <v>0</v>
      </c>
      <c r="L419" s="117">
        <f t="shared" si="93"/>
        <v>10000</v>
      </c>
      <c r="M419" s="117">
        <f t="shared" si="94"/>
        <v>0</v>
      </c>
      <c r="N419" s="207">
        <f t="shared" si="95"/>
        <v>30000</v>
      </c>
      <c r="O419" s="208" t="s">
        <v>6071</v>
      </c>
      <c r="P419" s="186"/>
      <c r="Q419" s="186"/>
    </row>
    <row r="420" spans="1:17" ht="57.6" outlineLevel="2">
      <c r="A420" s="203" t="s">
        <v>6183</v>
      </c>
      <c r="B420" s="204" t="s">
        <v>5857</v>
      </c>
      <c r="C420" s="205" t="s">
        <v>6163</v>
      </c>
      <c r="D420" s="128">
        <v>30</v>
      </c>
      <c r="E420" s="128">
        <v>0</v>
      </c>
      <c r="F420" s="128" t="s">
        <v>5371</v>
      </c>
      <c r="G420" s="128">
        <v>0</v>
      </c>
      <c r="H420" s="206">
        <v>15</v>
      </c>
      <c r="I420" s="117" t="str">
        <f t="shared" si="90"/>
        <v>530 000</v>
      </c>
      <c r="J420" s="117">
        <f t="shared" si="91"/>
        <v>50000</v>
      </c>
      <c r="K420" s="117">
        <f t="shared" si="92"/>
        <v>0</v>
      </c>
      <c r="L420" s="117">
        <f t="shared" si="93"/>
        <v>10000</v>
      </c>
      <c r="M420" s="117">
        <f t="shared" si="94"/>
        <v>0</v>
      </c>
      <c r="N420" s="207">
        <f t="shared" si="95"/>
        <v>30000</v>
      </c>
      <c r="O420" s="208" t="s">
        <v>6098</v>
      </c>
      <c r="P420" s="186"/>
      <c r="Q420" s="186"/>
    </row>
    <row r="421" spans="1:17" ht="72" outlineLevel="2">
      <c r="A421" s="203" t="s">
        <v>6184</v>
      </c>
      <c r="B421" s="204" t="s">
        <v>5865</v>
      </c>
      <c r="C421" s="205" t="s">
        <v>6163</v>
      </c>
      <c r="D421" s="128">
        <v>30</v>
      </c>
      <c r="E421" s="128">
        <v>0</v>
      </c>
      <c r="F421" s="128" t="s">
        <v>5371</v>
      </c>
      <c r="G421" s="128">
        <v>120</v>
      </c>
      <c r="H421" s="206">
        <v>15</v>
      </c>
      <c r="I421" s="117" t="str">
        <f t="shared" si="90"/>
        <v>530 000</v>
      </c>
      <c r="J421" s="117">
        <f t="shared" si="91"/>
        <v>50000</v>
      </c>
      <c r="K421" s="117">
        <f t="shared" si="92"/>
        <v>0</v>
      </c>
      <c r="L421" s="117">
        <f t="shared" si="93"/>
        <v>10000</v>
      </c>
      <c r="M421" s="117">
        <f t="shared" si="94"/>
        <v>140000</v>
      </c>
      <c r="N421" s="207">
        <f t="shared" si="95"/>
        <v>30000</v>
      </c>
      <c r="O421" s="208" t="s">
        <v>6132</v>
      </c>
      <c r="P421" s="186"/>
      <c r="Q421" s="186"/>
    </row>
    <row r="422" spans="1:17" ht="57.6" outlineLevel="2">
      <c r="A422" s="203" t="s">
        <v>6185</v>
      </c>
      <c r="B422" s="204" t="s">
        <v>5869</v>
      </c>
      <c r="C422" s="205" t="s">
        <v>6163</v>
      </c>
      <c r="D422" s="128">
        <v>0</v>
      </c>
      <c r="E422" s="128">
        <v>15</v>
      </c>
      <c r="F422" s="128" t="s">
        <v>5371</v>
      </c>
      <c r="G422" s="128">
        <v>0</v>
      </c>
      <c r="H422" s="206">
        <v>15</v>
      </c>
      <c r="I422" s="117" t="str">
        <f t="shared" si="90"/>
        <v>530 000</v>
      </c>
      <c r="J422" s="117">
        <f t="shared" si="91"/>
        <v>0</v>
      </c>
      <c r="K422" s="117">
        <f t="shared" si="92"/>
        <v>100000</v>
      </c>
      <c r="L422" s="117">
        <f t="shared" si="93"/>
        <v>10000</v>
      </c>
      <c r="M422" s="117">
        <f t="shared" si="94"/>
        <v>0</v>
      </c>
      <c r="N422" s="207">
        <f t="shared" si="95"/>
        <v>30000</v>
      </c>
      <c r="O422" s="208" t="s">
        <v>6075</v>
      </c>
      <c r="P422" s="186"/>
      <c r="Q422" s="186"/>
    </row>
    <row r="423" spans="1:17" ht="57.6" outlineLevel="2">
      <c r="A423" s="203" t="s">
        <v>5386</v>
      </c>
      <c r="B423" s="204" t="s">
        <v>5871</v>
      </c>
      <c r="C423" s="205" t="s">
        <v>6163</v>
      </c>
      <c r="D423" s="128">
        <v>30</v>
      </c>
      <c r="E423" s="128">
        <v>15</v>
      </c>
      <c r="F423" s="128" t="s">
        <v>5371</v>
      </c>
      <c r="G423" s="128">
        <v>0</v>
      </c>
      <c r="H423" s="206">
        <v>15</v>
      </c>
      <c r="I423" s="117" t="str">
        <f t="shared" si="90"/>
        <v>530 000</v>
      </c>
      <c r="J423" s="117">
        <f t="shared" si="91"/>
        <v>50000</v>
      </c>
      <c r="K423" s="117">
        <f t="shared" si="92"/>
        <v>100000</v>
      </c>
      <c r="L423" s="117">
        <f t="shared" si="93"/>
        <v>10000</v>
      </c>
      <c r="M423" s="117">
        <f t="shared" si="94"/>
        <v>0</v>
      </c>
      <c r="N423" s="207">
        <f t="shared" si="95"/>
        <v>30000</v>
      </c>
      <c r="O423" s="208" t="s">
        <v>6186</v>
      </c>
      <c r="P423" s="186"/>
      <c r="Q423" s="186"/>
    </row>
    <row r="424" spans="1:17" ht="72" outlineLevel="2">
      <c r="A424" s="203" t="s">
        <v>6187</v>
      </c>
      <c r="B424" s="204" t="s">
        <v>6188</v>
      </c>
      <c r="C424" s="205" t="s">
        <v>6163</v>
      </c>
      <c r="D424" s="128">
        <v>30</v>
      </c>
      <c r="E424" s="128">
        <v>13</v>
      </c>
      <c r="F424" s="128">
        <v>0</v>
      </c>
      <c r="G424" s="128">
        <v>120</v>
      </c>
      <c r="H424" s="206">
        <v>13</v>
      </c>
      <c r="I424" s="117" t="str">
        <f t="shared" si="90"/>
        <v>530 000</v>
      </c>
      <c r="J424" s="117">
        <f t="shared" si="91"/>
        <v>50000</v>
      </c>
      <c r="K424" s="117">
        <f t="shared" si="92"/>
        <v>60000</v>
      </c>
      <c r="L424" s="117">
        <f t="shared" si="93"/>
        <v>0</v>
      </c>
      <c r="M424" s="117">
        <f t="shared" si="94"/>
        <v>140000</v>
      </c>
      <c r="N424" s="207">
        <f t="shared" si="95"/>
        <v>0</v>
      </c>
      <c r="O424" s="208" t="s">
        <v>6147</v>
      </c>
      <c r="P424" s="186"/>
      <c r="Q424" s="186"/>
    </row>
    <row r="425" spans="1:17" ht="72" outlineLevel="2">
      <c r="A425" s="203" t="s">
        <v>6189</v>
      </c>
      <c r="B425" s="204" t="s">
        <v>5895</v>
      </c>
      <c r="C425" s="205" t="s">
        <v>6163</v>
      </c>
      <c r="D425" s="128">
        <v>30</v>
      </c>
      <c r="E425" s="128">
        <v>15</v>
      </c>
      <c r="F425" s="128">
        <v>0</v>
      </c>
      <c r="G425" s="128">
        <v>120</v>
      </c>
      <c r="H425" s="206">
        <v>15</v>
      </c>
      <c r="I425" s="117" t="str">
        <f t="shared" si="90"/>
        <v>530 000</v>
      </c>
      <c r="J425" s="117">
        <f t="shared" si="91"/>
        <v>50000</v>
      </c>
      <c r="K425" s="117">
        <f t="shared" si="92"/>
        <v>100000</v>
      </c>
      <c r="L425" s="117">
        <f t="shared" si="93"/>
        <v>0</v>
      </c>
      <c r="M425" s="117">
        <f t="shared" si="94"/>
        <v>140000</v>
      </c>
      <c r="N425" s="207">
        <f t="shared" si="95"/>
        <v>30000</v>
      </c>
      <c r="O425" s="208" t="s">
        <v>6190</v>
      </c>
      <c r="P425" s="186"/>
      <c r="Q425" s="186"/>
    </row>
    <row r="426" spans="1:17" ht="57.6" outlineLevel="2">
      <c r="A426" s="203" t="s">
        <v>6191</v>
      </c>
      <c r="B426" s="204" t="s">
        <v>6192</v>
      </c>
      <c r="C426" s="205" t="s">
        <v>6163</v>
      </c>
      <c r="D426" s="128">
        <v>30</v>
      </c>
      <c r="E426" s="128">
        <v>13</v>
      </c>
      <c r="F426" s="128" t="s">
        <v>5371</v>
      </c>
      <c r="G426" s="128">
        <v>120</v>
      </c>
      <c r="H426" s="206">
        <v>13</v>
      </c>
      <c r="I426" s="117" t="str">
        <f t="shared" si="90"/>
        <v>530 000</v>
      </c>
      <c r="J426" s="117">
        <f t="shared" si="91"/>
        <v>50000</v>
      </c>
      <c r="K426" s="117">
        <f t="shared" si="92"/>
        <v>60000</v>
      </c>
      <c r="L426" s="117">
        <f t="shared" si="93"/>
        <v>10000</v>
      </c>
      <c r="M426" s="117">
        <f t="shared" si="94"/>
        <v>140000</v>
      </c>
      <c r="N426" s="207">
        <f t="shared" si="95"/>
        <v>0</v>
      </c>
      <c r="O426" s="208" t="s">
        <v>6160</v>
      </c>
      <c r="P426" s="186"/>
      <c r="Q426" s="186"/>
    </row>
    <row r="427" spans="1:17" ht="57.6" outlineLevel="2">
      <c r="A427" s="203" t="s">
        <v>6193</v>
      </c>
      <c r="B427" s="204" t="s">
        <v>5903</v>
      </c>
      <c r="C427" s="205" t="s">
        <v>6163</v>
      </c>
      <c r="D427" s="128">
        <v>30</v>
      </c>
      <c r="E427" s="128">
        <v>15</v>
      </c>
      <c r="F427" s="128" t="s">
        <v>5371</v>
      </c>
      <c r="G427" s="128">
        <v>120</v>
      </c>
      <c r="H427" s="206">
        <v>15</v>
      </c>
      <c r="I427" s="117" t="str">
        <f t="shared" si="90"/>
        <v>530 000</v>
      </c>
      <c r="J427" s="117">
        <f t="shared" si="91"/>
        <v>50000</v>
      </c>
      <c r="K427" s="117">
        <f t="shared" si="92"/>
        <v>100000</v>
      </c>
      <c r="L427" s="117">
        <f t="shared" si="93"/>
        <v>10000</v>
      </c>
      <c r="M427" s="117">
        <f t="shared" si="94"/>
        <v>140000</v>
      </c>
      <c r="N427" s="207">
        <f t="shared" si="95"/>
        <v>30000</v>
      </c>
      <c r="O427" s="208" t="s">
        <v>6194</v>
      </c>
      <c r="P427" s="186"/>
      <c r="Q427" s="186"/>
    </row>
    <row r="428" spans="1:17" ht="57.6" outlineLevel="2">
      <c r="A428" s="203" t="s">
        <v>6195</v>
      </c>
      <c r="B428" s="204" t="s">
        <v>6196</v>
      </c>
      <c r="C428" s="205" t="s">
        <v>6163</v>
      </c>
      <c r="D428" s="128">
        <v>50</v>
      </c>
      <c r="E428" s="128">
        <v>0</v>
      </c>
      <c r="F428" s="128">
        <v>0</v>
      </c>
      <c r="G428" s="128">
        <v>0</v>
      </c>
      <c r="H428" s="206">
        <v>13</v>
      </c>
      <c r="I428" s="117" t="str">
        <f t="shared" si="90"/>
        <v>530 000</v>
      </c>
      <c r="J428" s="117">
        <f t="shared" si="91"/>
        <v>60000</v>
      </c>
      <c r="K428" s="117">
        <f t="shared" si="92"/>
        <v>0</v>
      </c>
      <c r="L428" s="117">
        <f t="shared" si="93"/>
        <v>0</v>
      </c>
      <c r="M428" s="117">
        <f t="shared" si="94"/>
        <v>0</v>
      </c>
      <c r="N428" s="207">
        <f t="shared" si="95"/>
        <v>0</v>
      </c>
      <c r="O428" s="208" t="s">
        <v>6166</v>
      </c>
      <c r="P428" s="186"/>
      <c r="Q428" s="186"/>
    </row>
    <row r="429" spans="1:17" ht="72" outlineLevel="2">
      <c r="A429" s="203" t="s">
        <v>6197</v>
      </c>
      <c r="B429" s="204" t="s">
        <v>6198</v>
      </c>
      <c r="C429" s="205" t="s">
        <v>6163</v>
      </c>
      <c r="D429" s="128">
        <v>50</v>
      </c>
      <c r="E429" s="128">
        <v>0</v>
      </c>
      <c r="F429" s="128">
        <v>0</v>
      </c>
      <c r="G429" s="128">
        <v>120</v>
      </c>
      <c r="H429" s="206">
        <v>13</v>
      </c>
      <c r="I429" s="117" t="str">
        <f t="shared" si="90"/>
        <v>530 000</v>
      </c>
      <c r="J429" s="117">
        <f t="shared" si="91"/>
        <v>60000</v>
      </c>
      <c r="K429" s="117">
        <f t="shared" si="92"/>
        <v>0</v>
      </c>
      <c r="L429" s="117">
        <f t="shared" si="93"/>
        <v>0</v>
      </c>
      <c r="M429" s="117">
        <f t="shared" si="94"/>
        <v>140000</v>
      </c>
      <c r="N429" s="207">
        <f t="shared" si="95"/>
        <v>0</v>
      </c>
      <c r="O429" s="208" t="s">
        <v>6141</v>
      </c>
      <c r="P429" s="186"/>
      <c r="Q429" s="186"/>
    </row>
    <row r="430" spans="1:17" ht="57.6" outlineLevel="2">
      <c r="A430" s="203" t="s">
        <v>6199</v>
      </c>
      <c r="B430" s="204" t="s">
        <v>6200</v>
      </c>
      <c r="C430" s="205" t="s">
        <v>6163</v>
      </c>
      <c r="D430" s="128">
        <v>50</v>
      </c>
      <c r="E430" s="128">
        <v>13</v>
      </c>
      <c r="F430" s="128">
        <v>0</v>
      </c>
      <c r="G430" s="128">
        <v>0</v>
      </c>
      <c r="H430" s="206">
        <v>13</v>
      </c>
      <c r="I430" s="117" t="str">
        <f t="shared" si="90"/>
        <v>530 000</v>
      </c>
      <c r="J430" s="117">
        <f t="shared" si="91"/>
        <v>60000</v>
      </c>
      <c r="K430" s="117">
        <f t="shared" si="92"/>
        <v>60000</v>
      </c>
      <c r="L430" s="117">
        <f t="shared" si="93"/>
        <v>0</v>
      </c>
      <c r="M430" s="117">
        <f t="shared" si="94"/>
        <v>0</v>
      </c>
      <c r="N430" s="207">
        <f t="shared" si="95"/>
        <v>0</v>
      </c>
      <c r="O430" s="208" t="s">
        <v>6075</v>
      </c>
      <c r="P430" s="186"/>
      <c r="Q430" s="186"/>
    </row>
    <row r="431" spans="1:17" ht="57.6" outlineLevel="2">
      <c r="A431" s="203" t="s">
        <v>6201</v>
      </c>
      <c r="B431" s="204" t="s">
        <v>5820</v>
      </c>
      <c r="C431" s="205" t="s">
        <v>6163</v>
      </c>
      <c r="D431" s="128">
        <v>50</v>
      </c>
      <c r="E431" s="128">
        <v>0</v>
      </c>
      <c r="F431" s="128">
        <v>0</v>
      </c>
      <c r="G431" s="128">
        <v>0</v>
      </c>
      <c r="H431" s="206">
        <v>15</v>
      </c>
      <c r="I431" s="117" t="str">
        <f t="shared" si="90"/>
        <v>530 000</v>
      </c>
      <c r="J431" s="117">
        <f t="shared" si="91"/>
        <v>60000</v>
      </c>
      <c r="K431" s="117">
        <f t="shared" si="92"/>
        <v>0</v>
      </c>
      <c r="L431" s="117">
        <f t="shared" si="93"/>
        <v>0</v>
      </c>
      <c r="M431" s="117">
        <f t="shared" si="94"/>
        <v>0</v>
      </c>
      <c r="N431" s="207">
        <f t="shared" si="95"/>
        <v>30000</v>
      </c>
      <c r="O431" s="208" t="s">
        <v>6166</v>
      </c>
      <c r="P431" s="186"/>
      <c r="Q431" s="186"/>
    </row>
    <row r="432" spans="1:17" ht="72" outlineLevel="2">
      <c r="A432" s="203" t="s">
        <v>6202</v>
      </c>
      <c r="B432" s="204" t="s">
        <v>5828</v>
      </c>
      <c r="C432" s="205" t="s">
        <v>6163</v>
      </c>
      <c r="D432" s="128">
        <v>50</v>
      </c>
      <c r="E432" s="128">
        <v>0</v>
      </c>
      <c r="F432" s="128">
        <v>0</v>
      </c>
      <c r="G432" s="128">
        <v>120</v>
      </c>
      <c r="H432" s="206">
        <v>15</v>
      </c>
      <c r="I432" s="117" t="str">
        <f t="shared" si="90"/>
        <v>530 000</v>
      </c>
      <c r="J432" s="117">
        <f t="shared" si="91"/>
        <v>60000</v>
      </c>
      <c r="K432" s="117">
        <f t="shared" si="92"/>
        <v>0</v>
      </c>
      <c r="L432" s="117">
        <f t="shared" si="93"/>
        <v>0</v>
      </c>
      <c r="M432" s="117">
        <f t="shared" si="94"/>
        <v>140000</v>
      </c>
      <c r="N432" s="207">
        <f t="shared" si="95"/>
        <v>30000</v>
      </c>
      <c r="O432" s="208" t="s">
        <v>6141</v>
      </c>
      <c r="P432" s="186"/>
      <c r="Q432" s="186"/>
    </row>
    <row r="433" spans="1:26" ht="57.6" outlineLevel="2">
      <c r="A433" s="203" t="s">
        <v>6203</v>
      </c>
      <c r="B433" s="204" t="s">
        <v>5834</v>
      </c>
      <c r="C433" s="205" t="s">
        <v>6163</v>
      </c>
      <c r="D433" s="128">
        <v>50</v>
      </c>
      <c r="E433" s="128">
        <v>15</v>
      </c>
      <c r="F433" s="128">
        <v>0</v>
      </c>
      <c r="G433" s="128">
        <v>0</v>
      </c>
      <c r="H433" s="206">
        <v>15</v>
      </c>
      <c r="I433" s="117" t="str">
        <f t="shared" si="90"/>
        <v>530 000</v>
      </c>
      <c r="J433" s="117">
        <f t="shared" si="91"/>
        <v>60000</v>
      </c>
      <c r="K433" s="117">
        <f t="shared" si="92"/>
        <v>100000</v>
      </c>
      <c r="L433" s="117">
        <f t="shared" si="93"/>
        <v>0</v>
      </c>
      <c r="M433" s="117">
        <f t="shared" si="94"/>
        <v>0</v>
      </c>
      <c r="N433" s="207">
        <f t="shared" si="95"/>
        <v>30000</v>
      </c>
      <c r="O433" s="208" t="s">
        <v>6110</v>
      </c>
      <c r="P433" s="186"/>
      <c r="Q433" s="186"/>
    </row>
    <row r="434" spans="1:26" ht="57.6" outlineLevel="2">
      <c r="A434" s="203" t="s">
        <v>6204</v>
      </c>
      <c r="B434" s="204" t="s">
        <v>5840</v>
      </c>
      <c r="C434" s="205" t="s">
        <v>6163</v>
      </c>
      <c r="D434" s="128">
        <v>50</v>
      </c>
      <c r="E434" s="128">
        <v>0</v>
      </c>
      <c r="F434" s="128" t="s">
        <v>5371</v>
      </c>
      <c r="G434" s="128">
        <v>0</v>
      </c>
      <c r="H434" s="206">
        <v>13</v>
      </c>
      <c r="I434" s="117" t="str">
        <f t="shared" si="90"/>
        <v>530 000</v>
      </c>
      <c r="J434" s="117">
        <f t="shared" si="91"/>
        <v>60000</v>
      </c>
      <c r="K434" s="117">
        <f t="shared" si="92"/>
        <v>0</v>
      </c>
      <c r="L434" s="117">
        <f t="shared" si="93"/>
        <v>10000</v>
      </c>
      <c r="M434" s="117">
        <f t="shared" si="94"/>
        <v>0</v>
      </c>
      <c r="N434" s="207">
        <f t="shared" si="95"/>
        <v>0</v>
      </c>
      <c r="O434" s="208" t="s">
        <v>6098</v>
      </c>
      <c r="P434" s="186"/>
      <c r="Q434" s="186"/>
    </row>
    <row r="435" spans="1:26" ht="72" outlineLevel="2">
      <c r="A435" s="203" t="s">
        <v>6205</v>
      </c>
      <c r="B435" s="204" t="s">
        <v>6206</v>
      </c>
      <c r="C435" s="205" t="s">
        <v>6163</v>
      </c>
      <c r="D435" s="128">
        <v>50</v>
      </c>
      <c r="E435" s="128">
        <v>0</v>
      </c>
      <c r="F435" s="128" t="s">
        <v>5371</v>
      </c>
      <c r="G435" s="128">
        <v>120</v>
      </c>
      <c r="H435" s="206">
        <v>13</v>
      </c>
      <c r="I435" s="117" t="str">
        <f t="shared" si="90"/>
        <v>530 000</v>
      </c>
      <c r="J435" s="117">
        <f t="shared" si="91"/>
        <v>60000</v>
      </c>
      <c r="K435" s="117">
        <f t="shared" si="92"/>
        <v>0</v>
      </c>
      <c r="L435" s="117">
        <f t="shared" si="93"/>
        <v>10000</v>
      </c>
      <c r="M435" s="117">
        <f t="shared" si="94"/>
        <v>140000</v>
      </c>
      <c r="N435" s="207">
        <f t="shared" si="95"/>
        <v>0</v>
      </c>
      <c r="O435" s="208" t="s">
        <v>6132</v>
      </c>
      <c r="P435" s="186"/>
      <c r="Q435" s="186"/>
    </row>
    <row r="436" spans="1:26" ht="57.6" outlineLevel="2">
      <c r="A436" s="203" t="s">
        <v>857</v>
      </c>
      <c r="B436" s="204" t="s">
        <v>6207</v>
      </c>
      <c r="C436" s="205" t="s">
        <v>6163</v>
      </c>
      <c r="D436" s="128">
        <v>50</v>
      </c>
      <c r="E436" s="128">
        <v>13</v>
      </c>
      <c r="F436" s="128" t="s">
        <v>5371</v>
      </c>
      <c r="G436" s="128">
        <v>0</v>
      </c>
      <c r="H436" s="206">
        <v>13</v>
      </c>
      <c r="I436" s="117" t="str">
        <f t="shared" si="90"/>
        <v>530 000</v>
      </c>
      <c r="J436" s="117">
        <f t="shared" si="91"/>
        <v>60000</v>
      </c>
      <c r="K436" s="117">
        <f t="shared" si="92"/>
        <v>60000</v>
      </c>
      <c r="L436" s="117">
        <f t="shared" si="93"/>
        <v>10000</v>
      </c>
      <c r="M436" s="117">
        <f t="shared" si="94"/>
        <v>0</v>
      </c>
      <c r="N436" s="207">
        <f t="shared" si="95"/>
        <v>0</v>
      </c>
      <c r="O436" s="208" t="s">
        <v>6079</v>
      </c>
      <c r="P436" s="186"/>
      <c r="Q436" s="186"/>
    </row>
    <row r="437" spans="1:26" ht="57.6" outlineLevel="2">
      <c r="A437" s="203" t="s">
        <v>6208</v>
      </c>
      <c r="B437" s="204" t="s">
        <v>5859</v>
      </c>
      <c r="C437" s="205" t="s">
        <v>6163</v>
      </c>
      <c r="D437" s="128">
        <v>50</v>
      </c>
      <c r="E437" s="128">
        <v>0</v>
      </c>
      <c r="F437" s="128" t="s">
        <v>5371</v>
      </c>
      <c r="G437" s="128">
        <v>0</v>
      </c>
      <c r="H437" s="206">
        <v>15</v>
      </c>
      <c r="I437" s="117" t="str">
        <f t="shared" si="90"/>
        <v>530 000</v>
      </c>
      <c r="J437" s="117">
        <f t="shared" si="91"/>
        <v>60000</v>
      </c>
      <c r="K437" s="117">
        <f t="shared" si="92"/>
        <v>0</v>
      </c>
      <c r="L437" s="117">
        <f t="shared" si="93"/>
        <v>10000</v>
      </c>
      <c r="M437" s="117">
        <f t="shared" si="94"/>
        <v>0</v>
      </c>
      <c r="N437" s="207">
        <f t="shared" si="95"/>
        <v>30000</v>
      </c>
      <c r="O437" s="208" t="s">
        <v>6098</v>
      </c>
      <c r="P437" s="186"/>
      <c r="Q437" s="186"/>
    </row>
    <row r="438" spans="1:26" ht="72" outlineLevel="2">
      <c r="A438" s="203" t="s">
        <v>6209</v>
      </c>
      <c r="B438" s="204" t="s">
        <v>5867</v>
      </c>
      <c r="C438" s="205" t="s">
        <v>6163</v>
      </c>
      <c r="D438" s="128">
        <v>50</v>
      </c>
      <c r="E438" s="128">
        <v>0</v>
      </c>
      <c r="F438" s="128" t="s">
        <v>5371</v>
      </c>
      <c r="G438" s="128">
        <v>120</v>
      </c>
      <c r="H438" s="206">
        <v>15</v>
      </c>
      <c r="I438" s="117" t="str">
        <f t="shared" si="90"/>
        <v>530 000</v>
      </c>
      <c r="J438" s="117">
        <f t="shared" si="91"/>
        <v>60000</v>
      </c>
      <c r="K438" s="117">
        <f t="shared" si="92"/>
        <v>0</v>
      </c>
      <c r="L438" s="117">
        <f t="shared" si="93"/>
        <v>10000</v>
      </c>
      <c r="M438" s="117">
        <f t="shared" si="94"/>
        <v>140000</v>
      </c>
      <c r="N438" s="207">
        <f t="shared" si="95"/>
        <v>30000</v>
      </c>
      <c r="O438" s="208" t="s">
        <v>6132</v>
      </c>
      <c r="P438" s="186"/>
      <c r="Q438" s="186"/>
    </row>
    <row r="439" spans="1:26" ht="57.6" outlineLevel="2">
      <c r="A439" s="203" t="s">
        <v>6210</v>
      </c>
      <c r="B439" s="204" t="s">
        <v>5873</v>
      </c>
      <c r="C439" s="205" t="s">
        <v>6163</v>
      </c>
      <c r="D439" s="128">
        <v>50</v>
      </c>
      <c r="E439" s="128">
        <v>15</v>
      </c>
      <c r="F439" s="128" t="s">
        <v>5371</v>
      </c>
      <c r="G439" s="128">
        <v>0</v>
      </c>
      <c r="H439" s="206">
        <v>15</v>
      </c>
      <c r="I439" s="117" t="str">
        <f t="shared" si="90"/>
        <v>530 000</v>
      </c>
      <c r="J439" s="117">
        <f t="shared" si="91"/>
        <v>60000</v>
      </c>
      <c r="K439" s="117">
        <f t="shared" si="92"/>
        <v>100000</v>
      </c>
      <c r="L439" s="117">
        <f t="shared" si="93"/>
        <v>10000</v>
      </c>
      <c r="M439" s="117">
        <f t="shared" si="94"/>
        <v>0</v>
      </c>
      <c r="N439" s="207">
        <f t="shared" si="95"/>
        <v>30000</v>
      </c>
      <c r="O439" s="208" t="s">
        <v>6186</v>
      </c>
      <c r="P439" s="186"/>
      <c r="Q439" s="186"/>
    </row>
    <row r="440" spans="1:26" ht="72" outlineLevel="2">
      <c r="A440" s="203" t="s">
        <v>6211</v>
      </c>
      <c r="B440" s="204" t="s">
        <v>6212</v>
      </c>
      <c r="C440" s="205" t="s">
        <v>6163</v>
      </c>
      <c r="D440" s="128">
        <v>50</v>
      </c>
      <c r="E440" s="128">
        <v>13</v>
      </c>
      <c r="F440" s="128">
        <v>0</v>
      </c>
      <c r="G440" s="128">
        <v>120</v>
      </c>
      <c r="H440" s="206">
        <v>13</v>
      </c>
      <c r="I440" s="117" t="str">
        <f t="shared" si="90"/>
        <v>530 000</v>
      </c>
      <c r="J440" s="117">
        <f t="shared" si="91"/>
        <v>60000</v>
      </c>
      <c r="K440" s="117">
        <f t="shared" si="92"/>
        <v>60000</v>
      </c>
      <c r="L440" s="117">
        <f t="shared" si="93"/>
        <v>0</v>
      </c>
      <c r="M440" s="117">
        <f t="shared" si="94"/>
        <v>140000</v>
      </c>
      <c r="N440" s="207">
        <f t="shared" si="95"/>
        <v>0</v>
      </c>
      <c r="O440" s="208" t="s">
        <v>6147</v>
      </c>
      <c r="P440" s="186"/>
      <c r="Q440" s="186"/>
    </row>
    <row r="441" spans="1:26" ht="72" outlineLevel="2">
      <c r="A441" s="203" t="s">
        <v>6213</v>
      </c>
      <c r="B441" s="204" t="s">
        <v>5897</v>
      </c>
      <c r="C441" s="205" t="s">
        <v>6163</v>
      </c>
      <c r="D441" s="128">
        <v>50</v>
      </c>
      <c r="E441" s="128">
        <v>15</v>
      </c>
      <c r="F441" s="128">
        <v>0</v>
      </c>
      <c r="G441" s="128">
        <v>120</v>
      </c>
      <c r="H441" s="206">
        <v>15</v>
      </c>
      <c r="I441" s="117" t="str">
        <f t="shared" si="90"/>
        <v>530 000</v>
      </c>
      <c r="J441" s="117">
        <f t="shared" si="91"/>
        <v>60000</v>
      </c>
      <c r="K441" s="117">
        <f t="shared" si="92"/>
        <v>100000</v>
      </c>
      <c r="L441" s="117">
        <f t="shared" si="93"/>
        <v>0</v>
      </c>
      <c r="M441" s="117">
        <f t="shared" si="94"/>
        <v>140000</v>
      </c>
      <c r="N441" s="207">
        <f t="shared" si="95"/>
        <v>30000</v>
      </c>
      <c r="O441" s="208" t="s">
        <v>6190</v>
      </c>
      <c r="P441" s="186"/>
      <c r="Q441" s="186"/>
    </row>
    <row r="442" spans="1:26" ht="57.6" outlineLevel="2">
      <c r="A442" s="203" t="s">
        <v>6214</v>
      </c>
      <c r="B442" s="204" t="s">
        <v>6215</v>
      </c>
      <c r="C442" s="205" t="s">
        <v>6163</v>
      </c>
      <c r="D442" s="128">
        <v>50</v>
      </c>
      <c r="E442" s="128">
        <v>13</v>
      </c>
      <c r="F442" s="128" t="s">
        <v>5371</v>
      </c>
      <c r="G442" s="128">
        <v>120</v>
      </c>
      <c r="H442" s="206">
        <v>13</v>
      </c>
      <c r="I442" s="117" t="str">
        <f t="shared" si="90"/>
        <v>530 000</v>
      </c>
      <c r="J442" s="117">
        <f t="shared" si="91"/>
        <v>60000</v>
      </c>
      <c r="K442" s="117">
        <f t="shared" si="92"/>
        <v>60000</v>
      </c>
      <c r="L442" s="117">
        <f t="shared" si="93"/>
        <v>10000</v>
      </c>
      <c r="M442" s="117">
        <f t="shared" si="94"/>
        <v>140000</v>
      </c>
      <c r="N442" s="207">
        <f t="shared" si="95"/>
        <v>0</v>
      </c>
      <c r="O442" s="208" t="s">
        <v>6160</v>
      </c>
      <c r="P442" s="186"/>
      <c r="Q442" s="186"/>
    </row>
    <row r="443" spans="1:26" ht="57.6" outlineLevel="2">
      <c r="A443" s="203" t="s">
        <v>6216</v>
      </c>
      <c r="B443" s="204" t="s">
        <v>5905</v>
      </c>
      <c r="C443" s="205" t="s">
        <v>6163</v>
      </c>
      <c r="D443" s="128">
        <v>50</v>
      </c>
      <c r="E443" s="128">
        <v>15</v>
      </c>
      <c r="F443" s="128" t="s">
        <v>5371</v>
      </c>
      <c r="G443" s="128">
        <v>120</v>
      </c>
      <c r="H443" s="206">
        <v>15</v>
      </c>
      <c r="I443" s="117" t="str">
        <f t="shared" si="90"/>
        <v>530 000</v>
      </c>
      <c r="J443" s="117">
        <f t="shared" si="91"/>
        <v>60000</v>
      </c>
      <c r="K443" s="117">
        <f t="shared" si="92"/>
        <v>100000</v>
      </c>
      <c r="L443" s="117">
        <f t="shared" si="93"/>
        <v>10000</v>
      </c>
      <c r="M443" s="117">
        <f t="shared" si="94"/>
        <v>140000</v>
      </c>
      <c r="N443" s="207">
        <f t="shared" si="95"/>
        <v>30000</v>
      </c>
      <c r="O443" s="208" t="s">
        <v>6194</v>
      </c>
      <c r="P443" s="186"/>
      <c r="Q443" s="186"/>
    </row>
    <row r="444" spans="1:26" ht="14.4" outlineLevel="1">
      <c r="A444" s="217" t="s">
        <v>6217</v>
      </c>
      <c r="B444" s="176"/>
      <c r="C444" s="177"/>
      <c r="D444" s="178"/>
      <c r="E444" s="178"/>
      <c r="F444" s="178"/>
      <c r="G444" s="178"/>
      <c r="H444" s="178"/>
      <c r="I444" s="179"/>
      <c r="J444" s="179"/>
      <c r="K444" s="179"/>
      <c r="L444" s="179"/>
      <c r="M444" s="179"/>
      <c r="N444" s="179"/>
      <c r="O444" s="193"/>
      <c r="P444" s="173"/>
      <c r="Q444" s="173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 spans="1:26" ht="57.6" outlineLevel="2">
      <c r="A445" s="203" t="s">
        <v>6218</v>
      </c>
      <c r="B445" s="204" t="s">
        <v>5907</v>
      </c>
      <c r="C445" s="205" t="s">
        <v>5358</v>
      </c>
      <c r="D445" s="128">
        <v>0</v>
      </c>
      <c r="E445" s="128">
        <v>0</v>
      </c>
      <c r="F445" s="128">
        <v>0</v>
      </c>
      <c r="G445" s="128">
        <v>0</v>
      </c>
      <c r="H445" s="206">
        <v>13</v>
      </c>
      <c r="I445" s="117" t="str">
        <f t="shared" ref="I445:I484" si="96">VLOOKUP(C445,платформа2,2,0)</f>
        <v>580 000</v>
      </c>
      <c r="J445" s="117">
        <f t="shared" ref="J445:J484" si="97">VLOOKUP(D445,борт_3515,2)</f>
        <v>0</v>
      </c>
      <c r="K445" s="117">
        <f t="shared" ref="K445:K484" si="98">VLOOKUP(E445,колесо,2,0)*2</f>
        <v>0</v>
      </c>
      <c r="L445" s="117">
        <f t="shared" ref="L445:L484" si="99">VLOOKUP(F445,опорное_колесо,2,0)</f>
        <v>0</v>
      </c>
      <c r="M445" s="117">
        <f t="shared" ref="M445:M484" si="100">VLOOKUP(G445,тент_3515,2,0)</f>
        <v>0</v>
      </c>
      <c r="N445" s="207">
        <f t="shared" ref="N445:N484" si="101">VLOOKUP(H445,ступица,2,0)</f>
        <v>0</v>
      </c>
      <c r="O445" s="208" t="s">
        <v>6166</v>
      </c>
      <c r="P445" s="186"/>
      <c r="Q445" s="186"/>
    </row>
    <row r="446" spans="1:26" ht="57.6" outlineLevel="2">
      <c r="A446" s="203" t="s">
        <v>6219</v>
      </c>
      <c r="B446" s="204" t="s">
        <v>5909</v>
      </c>
      <c r="C446" s="205" t="s">
        <v>5358</v>
      </c>
      <c r="D446" s="128">
        <v>30</v>
      </c>
      <c r="E446" s="128">
        <v>0</v>
      </c>
      <c r="F446" s="128">
        <v>0</v>
      </c>
      <c r="G446" s="128">
        <v>0</v>
      </c>
      <c r="H446" s="206">
        <v>13</v>
      </c>
      <c r="I446" s="117" t="str">
        <f t="shared" si="96"/>
        <v>580 000</v>
      </c>
      <c r="J446" s="117">
        <f t="shared" si="97"/>
        <v>60000</v>
      </c>
      <c r="K446" s="117">
        <f t="shared" si="98"/>
        <v>0</v>
      </c>
      <c r="L446" s="117">
        <f t="shared" si="99"/>
        <v>0</v>
      </c>
      <c r="M446" s="117">
        <f t="shared" si="100"/>
        <v>0</v>
      </c>
      <c r="N446" s="207">
        <f t="shared" si="101"/>
        <v>0</v>
      </c>
      <c r="O446" s="208" t="s">
        <v>6116</v>
      </c>
      <c r="P446" s="186"/>
      <c r="Q446" s="186"/>
    </row>
    <row r="447" spans="1:26" ht="72" outlineLevel="2">
      <c r="A447" s="203" t="s">
        <v>6220</v>
      </c>
      <c r="B447" s="204" t="s">
        <v>5913</v>
      </c>
      <c r="C447" s="205" t="s">
        <v>5358</v>
      </c>
      <c r="D447" s="128">
        <v>30</v>
      </c>
      <c r="E447" s="128">
        <v>0</v>
      </c>
      <c r="F447" s="128">
        <v>0</v>
      </c>
      <c r="G447" s="128">
        <v>150</v>
      </c>
      <c r="H447" s="206">
        <v>13</v>
      </c>
      <c r="I447" s="117" t="str">
        <f t="shared" si="96"/>
        <v>580 000</v>
      </c>
      <c r="J447" s="117">
        <f t="shared" si="97"/>
        <v>60000</v>
      </c>
      <c r="K447" s="117">
        <f t="shared" si="98"/>
        <v>0</v>
      </c>
      <c r="L447" s="117">
        <f t="shared" si="99"/>
        <v>0</v>
      </c>
      <c r="M447" s="117">
        <f t="shared" si="100"/>
        <v>140000</v>
      </c>
      <c r="N447" s="207">
        <f t="shared" si="101"/>
        <v>0</v>
      </c>
      <c r="O447" s="208" t="s">
        <v>6221</v>
      </c>
      <c r="P447" s="186"/>
      <c r="Q447" s="186"/>
    </row>
    <row r="448" spans="1:26" ht="57.6" outlineLevel="2">
      <c r="A448" s="203" t="s">
        <v>6222</v>
      </c>
      <c r="B448" s="204" t="s">
        <v>5917</v>
      </c>
      <c r="C448" s="205" t="s">
        <v>5358</v>
      </c>
      <c r="D448" s="128">
        <v>0</v>
      </c>
      <c r="E448" s="128">
        <v>13</v>
      </c>
      <c r="F448" s="128">
        <v>0</v>
      </c>
      <c r="G448" s="128">
        <v>0</v>
      </c>
      <c r="H448" s="206">
        <v>13</v>
      </c>
      <c r="I448" s="117" t="str">
        <f t="shared" si="96"/>
        <v>580 000</v>
      </c>
      <c r="J448" s="117">
        <f t="shared" si="97"/>
        <v>0</v>
      </c>
      <c r="K448" s="117">
        <f t="shared" si="98"/>
        <v>60000</v>
      </c>
      <c r="L448" s="117">
        <f t="shared" si="99"/>
        <v>0</v>
      </c>
      <c r="M448" s="117">
        <f t="shared" si="100"/>
        <v>0</v>
      </c>
      <c r="N448" s="207">
        <f t="shared" si="101"/>
        <v>0</v>
      </c>
      <c r="O448" s="208" t="s">
        <v>6075</v>
      </c>
      <c r="P448" s="186"/>
      <c r="Q448" s="186"/>
    </row>
    <row r="449" spans="1:17" ht="57.6" outlineLevel="2">
      <c r="A449" s="203" t="s">
        <v>6223</v>
      </c>
      <c r="B449" s="204" t="s">
        <v>6224</v>
      </c>
      <c r="C449" s="205" t="s">
        <v>5358</v>
      </c>
      <c r="D449" s="128">
        <v>30</v>
      </c>
      <c r="E449" s="128">
        <v>13</v>
      </c>
      <c r="F449" s="128">
        <v>0</v>
      </c>
      <c r="G449" s="128">
        <v>0</v>
      </c>
      <c r="H449" s="206">
        <v>13</v>
      </c>
      <c r="I449" s="117" t="str">
        <f t="shared" si="96"/>
        <v>580 000</v>
      </c>
      <c r="J449" s="117">
        <f t="shared" si="97"/>
        <v>60000</v>
      </c>
      <c r="K449" s="117">
        <f t="shared" si="98"/>
        <v>60000</v>
      </c>
      <c r="L449" s="117">
        <f t="shared" si="99"/>
        <v>0</v>
      </c>
      <c r="M449" s="117">
        <f t="shared" si="100"/>
        <v>0</v>
      </c>
      <c r="N449" s="207">
        <f t="shared" si="101"/>
        <v>0</v>
      </c>
      <c r="O449" s="208" t="s">
        <v>6186</v>
      </c>
      <c r="P449" s="186"/>
      <c r="Q449" s="186"/>
    </row>
    <row r="450" spans="1:17" ht="43.2" outlineLevel="2">
      <c r="A450" s="203" t="s">
        <v>6225</v>
      </c>
      <c r="B450" s="204" t="s">
        <v>5923</v>
      </c>
      <c r="C450" s="205" t="s">
        <v>5358</v>
      </c>
      <c r="D450" s="128">
        <v>0</v>
      </c>
      <c r="E450" s="128">
        <v>0</v>
      </c>
      <c r="F450" s="128">
        <v>0</v>
      </c>
      <c r="G450" s="128">
        <v>0</v>
      </c>
      <c r="H450" s="206">
        <v>15</v>
      </c>
      <c r="I450" s="117" t="str">
        <f t="shared" si="96"/>
        <v>580 000</v>
      </c>
      <c r="J450" s="117">
        <f t="shared" si="97"/>
        <v>0</v>
      </c>
      <c r="K450" s="117">
        <f t="shared" si="98"/>
        <v>0</v>
      </c>
      <c r="L450" s="117">
        <f t="shared" si="99"/>
        <v>0</v>
      </c>
      <c r="M450" s="117">
        <f t="shared" si="100"/>
        <v>0</v>
      </c>
      <c r="N450" s="207">
        <f t="shared" si="101"/>
        <v>30000</v>
      </c>
      <c r="O450" s="208" t="s">
        <v>6166</v>
      </c>
      <c r="P450" s="186"/>
      <c r="Q450" s="186"/>
    </row>
    <row r="451" spans="1:17" ht="57.6" outlineLevel="2">
      <c r="A451" s="203" t="s">
        <v>6226</v>
      </c>
      <c r="B451" s="204" t="s">
        <v>5925</v>
      </c>
      <c r="C451" s="205" t="s">
        <v>5358</v>
      </c>
      <c r="D451" s="128">
        <v>30</v>
      </c>
      <c r="E451" s="128">
        <v>0</v>
      </c>
      <c r="F451" s="128">
        <v>0</v>
      </c>
      <c r="G451" s="128">
        <v>0</v>
      </c>
      <c r="H451" s="206">
        <v>15</v>
      </c>
      <c r="I451" s="117" t="str">
        <f t="shared" si="96"/>
        <v>580 000</v>
      </c>
      <c r="J451" s="117">
        <f t="shared" si="97"/>
        <v>60000</v>
      </c>
      <c r="K451" s="117">
        <f t="shared" si="98"/>
        <v>0</v>
      </c>
      <c r="L451" s="117">
        <f t="shared" si="99"/>
        <v>0</v>
      </c>
      <c r="M451" s="117">
        <f t="shared" si="100"/>
        <v>0</v>
      </c>
      <c r="N451" s="207">
        <f t="shared" si="101"/>
        <v>30000</v>
      </c>
      <c r="O451" s="208" t="s">
        <v>6116</v>
      </c>
      <c r="P451" s="186"/>
      <c r="Q451" s="186"/>
    </row>
    <row r="452" spans="1:17" ht="72" outlineLevel="2">
      <c r="A452" s="203" t="s">
        <v>6227</v>
      </c>
      <c r="B452" s="204" t="s">
        <v>5929</v>
      </c>
      <c r="C452" s="205" t="s">
        <v>5358</v>
      </c>
      <c r="D452" s="128">
        <v>30</v>
      </c>
      <c r="E452" s="128">
        <v>0</v>
      </c>
      <c r="F452" s="128">
        <v>0</v>
      </c>
      <c r="G452" s="128">
        <v>150</v>
      </c>
      <c r="H452" s="206">
        <v>15</v>
      </c>
      <c r="I452" s="117" t="str">
        <f t="shared" si="96"/>
        <v>580 000</v>
      </c>
      <c r="J452" s="117">
        <f t="shared" si="97"/>
        <v>60000</v>
      </c>
      <c r="K452" s="117">
        <f t="shared" si="98"/>
        <v>0</v>
      </c>
      <c r="L452" s="117">
        <f t="shared" si="99"/>
        <v>0</v>
      </c>
      <c r="M452" s="117">
        <f t="shared" si="100"/>
        <v>140000</v>
      </c>
      <c r="N452" s="207">
        <f t="shared" si="101"/>
        <v>30000</v>
      </c>
      <c r="O452" s="208" t="s">
        <v>6221</v>
      </c>
      <c r="P452" s="186"/>
      <c r="Q452" s="186"/>
    </row>
    <row r="453" spans="1:17" ht="57.6" outlineLevel="2">
      <c r="A453" s="203" t="s">
        <v>6228</v>
      </c>
      <c r="B453" s="204" t="s">
        <v>5933</v>
      </c>
      <c r="C453" s="205" t="s">
        <v>5358</v>
      </c>
      <c r="D453" s="128">
        <v>0</v>
      </c>
      <c r="E453" s="128">
        <v>15</v>
      </c>
      <c r="F453" s="128">
        <v>0</v>
      </c>
      <c r="G453" s="128">
        <v>0</v>
      </c>
      <c r="H453" s="206">
        <v>15</v>
      </c>
      <c r="I453" s="117" t="str">
        <f t="shared" si="96"/>
        <v>580 000</v>
      </c>
      <c r="J453" s="117">
        <f t="shared" si="97"/>
        <v>0</v>
      </c>
      <c r="K453" s="117">
        <f t="shared" si="98"/>
        <v>100000</v>
      </c>
      <c r="L453" s="117">
        <f t="shared" si="99"/>
        <v>0</v>
      </c>
      <c r="M453" s="117">
        <f t="shared" si="100"/>
        <v>0</v>
      </c>
      <c r="N453" s="207">
        <f t="shared" si="101"/>
        <v>30000</v>
      </c>
      <c r="O453" s="208" t="s">
        <v>6110</v>
      </c>
      <c r="P453" s="186"/>
      <c r="Q453" s="186"/>
    </row>
    <row r="454" spans="1:17" ht="57.6" outlineLevel="2">
      <c r="A454" s="203" t="s">
        <v>6229</v>
      </c>
      <c r="B454" s="204" t="s">
        <v>5935</v>
      </c>
      <c r="C454" s="205" t="s">
        <v>5358</v>
      </c>
      <c r="D454" s="128">
        <v>30</v>
      </c>
      <c r="E454" s="128">
        <v>15</v>
      </c>
      <c r="F454" s="128">
        <v>0</v>
      </c>
      <c r="G454" s="128">
        <v>0</v>
      </c>
      <c r="H454" s="206">
        <v>15</v>
      </c>
      <c r="I454" s="117" t="str">
        <f t="shared" si="96"/>
        <v>580 000</v>
      </c>
      <c r="J454" s="117">
        <f t="shared" si="97"/>
        <v>60000</v>
      </c>
      <c r="K454" s="117">
        <f t="shared" si="98"/>
        <v>100000</v>
      </c>
      <c r="L454" s="117">
        <f t="shared" si="99"/>
        <v>0</v>
      </c>
      <c r="M454" s="117">
        <f t="shared" si="100"/>
        <v>0</v>
      </c>
      <c r="N454" s="207">
        <f t="shared" si="101"/>
        <v>30000</v>
      </c>
      <c r="O454" s="208" t="s">
        <v>6143</v>
      </c>
      <c r="P454" s="186"/>
      <c r="Q454" s="186"/>
    </row>
    <row r="455" spans="1:17" ht="57.6" outlineLevel="2">
      <c r="A455" s="203" t="s">
        <v>6230</v>
      </c>
      <c r="B455" s="204" t="s">
        <v>5939</v>
      </c>
      <c r="C455" s="205" t="s">
        <v>5358</v>
      </c>
      <c r="D455" s="128">
        <v>0</v>
      </c>
      <c r="E455" s="128">
        <v>0</v>
      </c>
      <c r="F455" s="128" t="s">
        <v>5371</v>
      </c>
      <c r="G455" s="128">
        <v>0</v>
      </c>
      <c r="H455" s="206">
        <v>13</v>
      </c>
      <c r="I455" s="117" t="str">
        <f t="shared" si="96"/>
        <v>580 000</v>
      </c>
      <c r="J455" s="117">
        <f t="shared" si="97"/>
        <v>0</v>
      </c>
      <c r="K455" s="117">
        <f t="shared" si="98"/>
        <v>0</v>
      </c>
      <c r="L455" s="117">
        <f t="shared" si="99"/>
        <v>10000</v>
      </c>
      <c r="M455" s="117">
        <f t="shared" si="100"/>
        <v>0</v>
      </c>
      <c r="N455" s="207">
        <f t="shared" si="101"/>
        <v>0</v>
      </c>
      <c r="O455" s="208" t="s">
        <v>6098</v>
      </c>
      <c r="P455" s="186"/>
      <c r="Q455" s="186"/>
    </row>
    <row r="456" spans="1:17" ht="57.6" outlineLevel="2">
      <c r="A456" s="203" t="s">
        <v>6231</v>
      </c>
      <c r="B456" s="204" t="s">
        <v>5941</v>
      </c>
      <c r="C456" s="205" t="s">
        <v>5358</v>
      </c>
      <c r="D456" s="128">
        <v>30</v>
      </c>
      <c r="E456" s="128">
        <v>0</v>
      </c>
      <c r="F456" s="128" t="s">
        <v>5371</v>
      </c>
      <c r="G456" s="128">
        <v>0</v>
      </c>
      <c r="H456" s="206">
        <v>13</v>
      </c>
      <c r="I456" s="117" t="str">
        <f t="shared" si="96"/>
        <v>580 000</v>
      </c>
      <c r="J456" s="117">
        <f t="shared" si="97"/>
        <v>60000</v>
      </c>
      <c r="K456" s="117">
        <f t="shared" si="98"/>
        <v>0</v>
      </c>
      <c r="L456" s="117">
        <f t="shared" si="99"/>
        <v>10000</v>
      </c>
      <c r="M456" s="117">
        <f t="shared" si="100"/>
        <v>0</v>
      </c>
      <c r="N456" s="207">
        <f t="shared" si="101"/>
        <v>0</v>
      </c>
      <c r="O456" s="208" t="s">
        <v>6075</v>
      </c>
      <c r="P456" s="186"/>
      <c r="Q456" s="186"/>
    </row>
    <row r="457" spans="1:17" ht="72" outlineLevel="2">
      <c r="A457" s="203" t="s">
        <v>6232</v>
      </c>
      <c r="B457" s="204" t="s">
        <v>5945</v>
      </c>
      <c r="C457" s="205" t="s">
        <v>5358</v>
      </c>
      <c r="D457" s="128">
        <v>30</v>
      </c>
      <c r="E457" s="128">
        <v>0</v>
      </c>
      <c r="F457" s="128" t="s">
        <v>5371</v>
      </c>
      <c r="G457" s="128">
        <v>150</v>
      </c>
      <c r="H457" s="206">
        <v>13</v>
      </c>
      <c r="I457" s="117" t="str">
        <f t="shared" si="96"/>
        <v>580 000</v>
      </c>
      <c r="J457" s="117">
        <f t="shared" si="97"/>
        <v>60000</v>
      </c>
      <c r="K457" s="117">
        <f t="shared" si="98"/>
        <v>0</v>
      </c>
      <c r="L457" s="117">
        <f t="shared" si="99"/>
        <v>10000</v>
      </c>
      <c r="M457" s="117">
        <f t="shared" si="100"/>
        <v>140000</v>
      </c>
      <c r="N457" s="207">
        <f t="shared" si="101"/>
        <v>0</v>
      </c>
      <c r="O457" s="208" t="s">
        <v>6233</v>
      </c>
      <c r="P457" s="186"/>
      <c r="Q457" s="186"/>
    </row>
    <row r="458" spans="1:17" ht="57.6" outlineLevel="2">
      <c r="A458" s="203" t="s">
        <v>6234</v>
      </c>
      <c r="B458" s="204" t="s">
        <v>6235</v>
      </c>
      <c r="C458" s="205" t="s">
        <v>5358</v>
      </c>
      <c r="D458" s="128">
        <v>0</v>
      </c>
      <c r="E458" s="128">
        <v>13</v>
      </c>
      <c r="F458" s="128" t="s">
        <v>5371</v>
      </c>
      <c r="G458" s="128">
        <v>0</v>
      </c>
      <c r="H458" s="206">
        <v>13</v>
      </c>
      <c r="I458" s="117" t="str">
        <f t="shared" si="96"/>
        <v>580 000</v>
      </c>
      <c r="J458" s="117">
        <f t="shared" si="97"/>
        <v>0</v>
      </c>
      <c r="K458" s="117">
        <f t="shared" si="98"/>
        <v>60000</v>
      </c>
      <c r="L458" s="117">
        <f t="shared" si="99"/>
        <v>10000</v>
      </c>
      <c r="M458" s="117">
        <f t="shared" si="100"/>
        <v>0</v>
      </c>
      <c r="N458" s="207">
        <f t="shared" si="101"/>
        <v>0</v>
      </c>
      <c r="O458" s="208" t="s">
        <v>6079</v>
      </c>
      <c r="P458" s="186"/>
      <c r="Q458" s="186"/>
    </row>
    <row r="459" spans="1:17" ht="57.6" outlineLevel="2">
      <c r="A459" s="203" t="s">
        <v>829</v>
      </c>
      <c r="B459" s="204" t="s">
        <v>6236</v>
      </c>
      <c r="C459" s="205" t="s">
        <v>5358</v>
      </c>
      <c r="D459" s="128">
        <v>30</v>
      </c>
      <c r="E459" s="128">
        <v>13</v>
      </c>
      <c r="F459" s="128" t="s">
        <v>5371</v>
      </c>
      <c r="G459" s="128">
        <v>0</v>
      </c>
      <c r="H459" s="206">
        <v>13</v>
      </c>
      <c r="I459" s="117" t="str">
        <f t="shared" si="96"/>
        <v>580 000</v>
      </c>
      <c r="J459" s="117">
        <f t="shared" si="97"/>
        <v>60000</v>
      </c>
      <c r="K459" s="117">
        <f t="shared" si="98"/>
        <v>60000</v>
      </c>
      <c r="L459" s="117">
        <f t="shared" si="99"/>
        <v>10000</v>
      </c>
      <c r="M459" s="117">
        <f t="shared" si="100"/>
        <v>0</v>
      </c>
      <c r="N459" s="207">
        <f t="shared" si="101"/>
        <v>0</v>
      </c>
      <c r="O459" s="208" t="s">
        <v>6129</v>
      </c>
      <c r="P459" s="186"/>
      <c r="Q459" s="186"/>
    </row>
    <row r="460" spans="1:17" ht="57.6" outlineLevel="2">
      <c r="A460" s="203" t="s">
        <v>6237</v>
      </c>
      <c r="B460" s="204" t="s">
        <v>5954</v>
      </c>
      <c r="C460" s="205" t="s">
        <v>5358</v>
      </c>
      <c r="D460" s="128">
        <v>0</v>
      </c>
      <c r="E460" s="128">
        <v>0</v>
      </c>
      <c r="F460" s="128" t="s">
        <v>5371</v>
      </c>
      <c r="G460" s="128">
        <v>0</v>
      </c>
      <c r="H460" s="206">
        <v>15</v>
      </c>
      <c r="I460" s="117" t="str">
        <f t="shared" si="96"/>
        <v>580 000</v>
      </c>
      <c r="J460" s="117">
        <f t="shared" si="97"/>
        <v>0</v>
      </c>
      <c r="K460" s="117">
        <f t="shared" si="98"/>
        <v>0</v>
      </c>
      <c r="L460" s="117">
        <f t="shared" si="99"/>
        <v>10000</v>
      </c>
      <c r="M460" s="117">
        <f t="shared" si="100"/>
        <v>0</v>
      </c>
      <c r="N460" s="207">
        <f t="shared" si="101"/>
        <v>30000</v>
      </c>
      <c r="O460" s="208" t="s">
        <v>6098</v>
      </c>
      <c r="P460" s="186"/>
      <c r="Q460" s="186"/>
    </row>
    <row r="461" spans="1:17" ht="57.6" outlineLevel="2">
      <c r="A461" s="203" t="s">
        <v>6238</v>
      </c>
      <c r="B461" s="204" t="s">
        <v>5956</v>
      </c>
      <c r="C461" s="205" t="s">
        <v>5358</v>
      </c>
      <c r="D461" s="128">
        <v>30</v>
      </c>
      <c r="E461" s="128">
        <v>0</v>
      </c>
      <c r="F461" s="128" t="s">
        <v>5371</v>
      </c>
      <c r="G461" s="128">
        <v>0</v>
      </c>
      <c r="H461" s="206">
        <v>15</v>
      </c>
      <c r="I461" s="117" t="str">
        <f t="shared" si="96"/>
        <v>580 000</v>
      </c>
      <c r="J461" s="117">
        <f t="shared" si="97"/>
        <v>60000</v>
      </c>
      <c r="K461" s="117">
        <f t="shared" si="98"/>
        <v>0</v>
      </c>
      <c r="L461" s="117">
        <f t="shared" si="99"/>
        <v>10000</v>
      </c>
      <c r="M461" s="117">
        <f t="shared" si="100"/>
        <v>0</v>
      </c>
      <c r="N461" s="207">
        <f t="shared" si="101"/>
        <v>30000</v>
      </c>
      <c r="O461" s="208" t="s">
        <v>6075</v>
      </c>
      <c r="P461" s="186"/>
      <c r="Q461" s="186"/>
    </row>
    <row r="462" spans="1:17" ht="72" outlineLevel="2">
      <c r="A462" s="203" t="s">
        <v>6239</v>
      </c>
      <c r="B462" s="204" t="s">
        <v>5960</v>
      </c>
      <c r="C462" s="205" t="s">
        <v>5358</v>
      </c>
      <c r="D462" s="128">
        <v>30</v>
      </c>
      <c r="E462" s="128">
        <v>0</v>
      </c>
      <c r="F462" s="128" t="s">
        <v>5371</v>
      </c>
      <c r="G462" s="128">
        <v>150</v>
      </c>
      <c r="H462" s="206">
        <v>15</v>
      </c>
      <c r="I462" s="117" t="str">
        <f t="shared" si="96"/>
        <v>580 000</v>
      </c>
      <c r="J462" s="117">
        <f t="shared" si="97"/>
        <v>60000</v>
      </c>
      <c r="K462" s="117">
        <f t="shared" si="98"/>
        <v>0</v>
      </c>
      <c r="L462" s="117">
        <f t="shared" si="99"/>
        <v>10000</v>
      </c>
      <c r="M462" s="117">
        <f t="shared" si="100"/>
        <v>140000</v>
      </c>
      <c r="N462" s="207">
        <f t="shared" si="101"/>
        <v>30000</v>
      </c>
      <c r="O462" s="208" t="s">
        <v>6233</v>
      </c>
      <c r="P462" s="186"/>
      <c r="Q462" s="186"/>
    </row>
    <row r="463" spans="1:17" ht="57.6" outlineLevel="2">
      <c r="A463" s="203" t="s">
        <v>6240</v>
      </c>
      <c r="B463" s="204" t="s">
        <v>5964</v>
      </c>
      <c r="C463" s="205" t="s">
        <v>5358</v>
      </c>
      <c r="D463" s="128">
        <v>0</v>
      </c>
      <c r="E463" s="128">
        <v>15</v>
      </c>
      <c r="F463" s="128" t="s">
        <v>5371</v>
      </c>
      <c r="G463" s="128">
        <v>0</v>
      </c>
      <c r="H463" s="206">
        <v>15</v>
      </c>
      <c r="I463" s="117" t="str">
        <f t="shared" si="96"/>
        <v>580 000</v>
      </c>
      <c r="J463" s="117">
        <f t="shared" si="97"/>
        <v>0</v>
      </c>
      <c r="K463" s="117">
        <f t="shared" si="98"/>
        <v>100000</v>
      </c>
      <c r="L463" s="117">
        <f t="shared" si="99"/>
        <v>10000</v>
      </c>
      <c r="M463" s="117">
        <f t="shared" si="100"/>
        <v>0</v>
      </c>
      <c r="N463" s="207">
        <f t="shared" si="101"/>
        <v>30000</v>
      </c>
      <c r="O463" s="208" t="s">
        <v>6186</v>
      </c>
      <c r="P463" s="186"/>
      <c r="Q463" s="186"/>
    </row>
    <row r="464" spans="1:17" ht="57.6" outlineLevel="2">
      <c r="A464" s="203" t="s">
        <v>6241</v>
      </c>
      <c r="B464" s="204" t="s">
        <v>5966</v>
      </c>
      <c r="C464" s="205" t="s">
        <v>5358</v>
      </c>
      <c r="D464" s="128">
        <v>30</v>
      </c>
      <c r="E464" s="128">
        <v>15</v>
      </c>
      <c r="F464" s="128" t="s">
        <v>5371</v>
      </c>
      <c r="G464" s="128">
        <v>0</v>
      </c>
      <c r="H464" s="206">
        <v>15</v>
      </c>
      <c r="I464" s="117" t="str">
        <f t="shared" si="96"/>
        <v>580 000</v>
      </c>
      <c r="J464" s="117">
        <f t="shared" si="97"/>
        <v>60000</v>
      </c>
      <c r="K464" s="117">
        <f t="shared" si="98"/>
        <v>100000</v>
      </c>
      <c r="L464" s="117">
        <f t="shared" si="99"/>
        <v>10000</v>
      </c>
      <c r="M464" s="117">
        <f t="shared" si="100"/>
        <v>0</v>
      </c>
      <c r="N464" s="207">
        <f t="shared" si="101"/>
        <v>30000</v>
      </c>
      <c r="O464" s="208" t="s">
        <v>6135</v>
      </c>
      <c r="P464" s="186"/>
      <c r="Q464" s="186"/>
    </row>
    <row r="465" spans="1:17" ht="72" outlineLevel="2">
      <c r="A465" s="203" t="s">
        <v>6242</v>
      </c>
      <c r="B465" s="204" t="s">
        <v>6243</v>
      </c>
      <c r="C465" s="205" t="s">
        <v>5358</v>
      </c>
      <c r="D465" s="128">
        <v>30</v>
      </c>
      <c r="E465" s="128">
        <v>13</v>
      </c>
      <c r="F465" s="128">
        <v>0</v>
      </c>
      <c r="G465" s="128">
        <v>150</v>
      </c>
      <c r="H465" s="206">
        <v>13</v>
      </c>
      <c r="I465" s="117" t="str">
        <f t="shared" si="96"/>
        <v>580 000</v>
      </c>
      <c r="J465" s="117">
        <f t="shared" si="97"/>
        <v>60000</v>
      </c>
      <c r="K465" s="117">
        <f t="shared" si="98"/>
        <v>60000</v>
      </c>
      <c r="L465" s="117">
        <f t="shared" si="99"/>
        <v>0</v>
      </c>
      <c r="M465" s="117">
        <f t="shared" si="100"/>
        <v>140000</v>
      </c>
      <c r="N465" s="207">
        <f t="shared" si="101"/>
        <v>0</v>
      </c>
      <c r="O465" s="208" t="s">
        <v>6244</v>
      </c>
      <c r="P465" s="186"/>
      <c r="Q465" s="186"/>
    </row>
    <row r="466" spans="1:17" ht="72" outlineLevel="2">
      <c r="A466" s="203" t="s">
        <v>6245</v>
      </c>
      <c r="B466" s="204" t="s">
        <v>5974</v>
      </c>
      <c r="C466" s="205" t="s">
        <v>5358</v>
      </c>
      <c r="D466" s="128">
        <v>30</v>
      </c>
      <c r="E466" s="128">
        <v>15</v>
      </c>
      <c r="F466" s="128">
        <v>0</v>
      </c>
      <c r="G466" s="128">
        <v>150</v>
      </c>
      <c r="H466" s="206">
        <v>15</v>
      </c>
      <c r="I466" s="117" t="str">
        <f t="shared" si="96"/>
        <v>580 000</v>
      </c>
      <c r="J466" s="117">
        <f t="shared" si="97"/>
        <v>60000</v>
      </c>
      <c r="K466" s="117">
        <f t="shared" si="98"/>
        <v>100000</v>
      </c>
      <c r="L466" s="117">
        <f t="shared" si="99"/>
        <v>0</v>
      </c>
      <c r="M466" s="117">
        <f t="shared" si="100"/>
        <v>140000</v>
      </c>
      <c r="N466" s="207">
        <f t="shared" si="101"/>
        <v>30000</v>
      </c>
      <c r="O466" s="208" t="s">
        <v>6246</v>
      </c>
      <c r="P466" s="186"/>
      <c r="Q466" s="186"/>
    </row>
    <row r="467" spans="1:17" ht="57.6" outlineLevel="2">
      <c r="A467" s="203" t="s">
        <v>377</v>
      </c>
      <c r="B467" s="204" t="s">
        <v>6247</v>
      </c>
      <c r="C467" s="205" t="s">
        <v>5358</v>
      </c>
      <c r="D467" s="128">
        <v>30</v>
      </c>
      <c r="E467" s="128">
        <v>13</v>
      </c>
      <c r="F467" s="128" t="s">
        <v>5371</v>
      </c>
      <c r="G467" s="128">
        <v>150</v>
      </c>
      <c r="H467" s="206">
        <v>13</v>
      </c>
      <c r="I467" s="117" t="str">
        <f t="shared" si="96"/>
        <v>580 000</v>
      </c>
      <c r="J467" s="117">
        <f t="shared" si="97"/>
        <v>60000</v>
      </c>
      <c r="K467" s="117">
        <f t="shared" si="98"/>
        <v>60000</v>
      </c>
      <c r="L467" s="117">
        <f t="shared" si="99"/>
        <v>10000</v>
      </c>
      <c r="M467" s="117">
        <f t="shared" si="100"/>
        <v>140000</v>
      </c>
      <c r="N467" s="207">
        <f t="shared" si="101"/>
        <v>0</v>
      </c>
      <c r="O467" s="208" t="s">
        <v>6248</v>
      </c>
      <c r="P467" s="186"/>
      <c r="Q467" s="186"/>
    </row>
    <row r="468" spans="1:17" ht="57.6" outlineLevel="2">
      <c r="A468" s="203" t="s">
        <v>376</v>
      </c>
      <c r="B468" s="204" t="s">
        <v>5982</v>
      </c>
      <c r="C468" s="205" t="s">
        <v>5358</v>
      </c>
      <c r="D468" s="128">
        <v>30</v>
      </c>
      <c r="E468" s="128">
        <v>15</v>
      </c>
      <c r="F468" s="128" t="s">
        <v>5371</v>
      </c>
      <c r="G468" s="128">
        <v>150</v>
      </c>
      <c r="H468" s="206">
        <v>15</v>
      </c>
      <c r="I468" s="117" t="str">
        <f t="shared" si="96"/>
        <v>580 000</v>
      </c>
      <c r="J468" s="117">
        <f t="shared" si="97"/>
        <v>60000</v>
      </c>
      <c r="K468" s="117">
        <f t="shared" si="98"/>
        <v>100000</v>
      </c>
      <c r="L468" s="117">
        <f t="shared" si="99"/>
        <v>10000</v>
      </c>
      <c r="M468" s="117">
        <f t="shared" si="100"/>
        <v>140000</v>
      </c>
      <c r="N468" s="207">
        <f t="shared" si="101"/>
        <v>30000</v>
      </c>
      <c r="O468" s="208" t="s">
        <v>6249</v>
      </c>
      <c r="P468" s="186"/>
      <c r="Q468" s="186"/>
    </row>
    <row r="469" spans="1:17" ht="57.6" outlineLevel="2">
      <c r="A469" s="203" t="s">
        <v>6250</v>
      </c>
      <c r="B469" s="204" t="s">
        <v>6251</v>
      </c>
      <c r="C469" s="205" t="s">
        <v>5358</v>
      </c>
      <c r="D469" s="128">
        <v>50</v>
      </c>
      <c r="E469" s="128">
        <v>0</v>
      </c>
      <c r="F469" s="128">
        <v>0</v>
      </c>
      <c r="G469" s="128">
        <v>0</v>
      </c>
      <c r="H469" s="206">
        <v>13</v>
      </c>
      <c r="I469" s="117" t="str">
        <f t="shared" si="96"/>
        <v>580 000</v>
      </c>
      <c r="J469" s="117">
        <f t="shared" si="97"/>
        <v>70000</v>
      </c>
      <c r="K469" s="117">
        <f t="shared" si="98"/>
        <v>0</v>
      </c>
      <c r="L469" s="117">
        <f t="shared" si="99"/>
        <v>0</v>
      </c>
      <c r="M469" s="117">
        <f t="shared" si="100"/>
        <v>0</v>
      </c>
      <c r="N469" s="207">
        <f t="shared" si="101"/>
        <v>0</v>
      </c>
      <c r="O469" s="208" t="s">
        <v>6116</v>
      </c>
      <c r="P469" s="186"/>
      <c r="Q469" s="186"/>
    </row>
    <row r="470" spans="1:17" ht="72" outlineLevel="2">
      <c r="A470" s="203" t="s">
        <v>6252</v>
      </c>
      <c r="B470" s="204" t="s">
        <v>6253</v>
      </c>
      <c r="C470" s="205" t="s">
        <v>5358</v>
      </c>
      <c r="D470" s="128">
        <v>50</v>
      </c>
      <c r="E470" s="128">
        <v>0</v>
      </c>
      <c r="F470" s="128">
        <v>0</v>
      </c>
      <c r="G470" s="128">
        <v>150</v>
      </c>
      <c r="H470" s="206">
        <v>13</v>
      </c>
      <c r="I470" s="117" t="str">
        <f t="shared" si="96"/>
        <v>580 000</v>
      </c>
      <c r="J470" s="117">
        <f t="shared" si="97"/>
        <v>70000</v>
      </c>
      <c r="K470" s="117">
        <f t="shared" si="98"/>
        <v>0</v>
      </c>
      <c r="L470" s="117">
        <f t="shared" si="99"/>
        <v>0</v>
      </c>
      <c r="M470" s="117">
        <f t="shared" si="100"/>
        <v>140000</v>
      </c>
      <c r="N470" s="207">
        <f t="shared" si="101"/>
        <v>0</v>
      </c>
      <c r="O470" s="208" t="s">
        <v>6221</v>
      </c>
      <c r="P470" s="186"/>
      <c r="Q470" s="186"/>
    </row>
    <row r="471" spans="1:17" ht="57.6" outlineLevel="2">
      <c r="A471" s="203" t="s">
        <v>6254</v>
      </c>
      <c r="B471" s="204" t="s">
        <v>6255</v>
      </c>
      <c r="C471" s="205" t="s">
        <v>5358</v>
      </c>
      <c r="D471" s="128">
        <v>50</v>
      </c>
      <c r="E471" s="128">
        <v>13</v>
      </c>
      <c r="F471" s="128">
        <v>0</v>
      </c>
      <c r="G471" s="128">
        <v>0</v>
      </c>
      <c r="H471" s="206">
        <v>13</v>
      </c>
      <c r="I471" s="117" t="str">
        <f t="shared" si="96"/>
        <v>580 000</v>
      </c>
      <c r="J471" s="117">
        <f t="shared" si="97"/>
        <v>70000</v>
      </c>
      <c r="K471" s="117">
        <f t="shared" si="98"/>
        <v>60000</v>
      </c>
      <c r="L471" s="117">
        <f t="shared" si="99"/>
        <v>0</v>
      </c>
      <c r="M471" s="117">
        <f t="shared" si="100"/>
        <v>0</v>
      </c>
      <c r="N471" s="207">
        <f t="shared" si="101"/>
        <v>0</v>
      </c>
      <c r="O471" s="208" t="s">
        <v>6186</v>
      </c>
      <c r="P471" s="186"/>
      <c r="Q471" s="186"/>
    </row>
    <row r="472" spans="1:17" ht="57.6" outlineLevel="2">
      <c r="A472" s="203" t="s">
        <v>6256</v>
      </c>
      <c r="B472" s="204" t="s">
        <v>5927</v>
      </c>
      <c r="C472" s="205" t="s">
        <v>5358</v>
      </c>
      <c r="D472" s="128">
        <v>50</v>
      </c>
      <c r="E472" s="128">
        <v>0</v>
      </c>
      <c r="F472" s="128">
        <v>0</v>
      </c>
      <c r="G472" s="128">
        <v>0</v>
      </c>
      <c r="H472" s="206">
        <v>15</v>
      </c>
      <c r="I472" s="117" t="str">
        <f t="shared" si="96"/>
        <v>580 000</v>
      </c>
      <c r="J472" s="117">
        <f t="shared" si="97"/>
        <v>70000</v>
      </c>
      <c r="K472" s="117">
        <f t="shared" si="98"/>
        <v>0</v>
      </c>
      <c r="L472" s="117">
        <f t="shared" si="99"/>
        <v>0</v>
      </c>
      <c r="M472" s="117">
        <f t="shared" si="100"/>
        <v>0</v>
      </c>
      <c r="N472" s="207">
        <f t="shared" si="101"/>
        <v>30000</v>
      </c>
      <c r="O472" s="208" t="s">
        <v>6116</v>
      </c>
      <c r="P472" s="186"/>
      <c r="Q472" s="186"/>
    </row>
    <row r="473" spans="1:17" ht="72" outlineLevel="2">
      <c r="A473" s="203" t="s">
        <v>6257</v>
      </c>
      <c r="B473" s="204" t="s">
        <v>5931</v>
      </c>
      <c r="C473" s="205" t="s">
        <v>5358</v>
      </c>
      <c r="D473" s="128">
        <v>50</v>
      </c>
      <c r="E473" s="128">
        <v>0</v>
      </c>
      <c r="F473" s="128">
        <v>0</v>
      </c>
      <c r="G473" s="128">
        <v>150</v>
      </c>
      <c r="H473" s="206">
        <v>15</v>
      </c>
      <c r="I473" s="117" t="str">
        <f t="shared" si="96"/>
        <v>580 000</v>
      </c>
      <c r="J473" s="117">
        <f t="shared" si="97"/>
        <v>70000</v>
      </c>
      <c r="K473" s="117">
        <f t="shared" si="98"/>
        <v>0</v>
      </c>
      <c r="L473" s="117">
        <f t="shared" si="99"/>
        <v>0</v>
      </c>
      <c r="M473" s="117">
        <f t="shared" si="100"/>
        <v>140000</v>
      </c>
      <c r="N473" s="207">
        <f t="shared" si="101"/>
        <v>30000</v>
      </c>
      <c r="O473" s="208" t="s">
        <v>6221</v>
      </c>
      <c r="P473" s="186"/>
      <c r="Q473" s="186"/>
    </row>
    <row r="474" spans="1:17" ht="57.6" outlineLevel="2">
      <c r="A474" s="203" t="s">
        <v>6258</v>
      </c>
      <c r="B474" s="204" t="s">
        <v>5937</v>
      </c>
      <c r="C474" s="205" t="s">
        <v>5358</v>
      </c>
      <c r="D474" s="128">
        <v>50</v>
      </c>
      <c r="E474" s="128">
        <v>15</v>
      </c>
      <c r="F474" s="128">
        <v>0</v>
      </c>
      <c r="G474" s="128">
        <v>0</v>
      </c>
      <c r="H474" s="206">
        <v>15</v>
      </c>
      <c r="I474" s="117" t="str">
        <f t="shared" si="96"/>
        <v>580 000</v>
      </c>
      <c r="J474" s="117">
        <f t="shared" si="97"/>
        <v>70000</v>
      </c>
      <c r="K474" s="117">
        <f t="shared" si="98"/>
        <v>100000</v>
      </c>
      <c r="L474" s="117">
        <f t="shared" si="99"/>
        <v>0</v>
      </c>
      <c r="M474" s="117">
        <f t="shared" si="100"/>
        <v>0</v>
      </c>
      <c r="N474" s="207">
        <f t="shared" si="101"/>
        <v>30000</v>
      </c>
      <c r="O474" s="208" t="s">
        <v>6143</v>
      </c>
      <c r="P474" s="186"/>
      <c r="Q474" s="186"/>
    </row>
    <row r="475" spans="1:17" ht="57.6" outlineLevel="2">
      <c r="A475" s="203" t="s">
        <v>6259</v>
      </c>
      <c r="B475" s="204" t="s">
        <v>5943</v>
      </c>
      <c r="C475" s="205" t="s">
        <v>5358</v>
      </c>
      <c r="D475" s="128">
        <v>50</v>
      </c>
      <c r="E475" s="128">
        <v>0</v>
      </c>
      <c r="F475" s="128" t="s">
        <v>5371</v>
      </c>
      <c r="G475" s="128">
        <v>0</v>
      </c>
      <c r="H475" s="206">
        <v>13</v>
      </c>
      <c r="I475" s="117" t="str">
        <f t="shared" si="96"/>
        <v>580 000</v>
      </c>
      <c r="J475" s="117">
        <f t="shared" si="97"/>
        <v>70000</v>
      </c>
      <c r="K475" s="117">
        <f t="shared" si="98"/>
        <v>0</v>
      </c>
      <c r="L475" s="117">
        <f t="shared" si="99"/>
        <v>10000</v>
      </c>
      <c r="M475" s="117">
        <f t="shared" si="100"/>
        <v>0</v>
      </c>
      <c r="N475" s="207">
        <f t="shared" si="101"/>
        <v>0</v>
      </c>
      <c r="O475" s="208" t="s">
        <v>6075</v>
      </c>
      <c r="P475" s="186"/>
      <c r="Q475" s="186"/>
    </row>
    <row r="476" spans="1:17" ht="72" outlineLevel="2">
      <c r="A476" s="203" t="s">
        <v>6260</v>
      </c>
      <c r="B476" s="204" t="s">
        <v>6261</v>
      </c>
      <c r="C476" s="205" t="s">
        <v>5358</v>
      </c>
      <c r="D476" s="128">
        <v>50</v>
      </c>
      <c r="E476" s="128">
        <v>0</v>
      </c>
      <c r="F476" s="128" t="s">
        <v>5371</v>
      </c>
      <c r="G476" s="128">
        <v>150</v>
      </c>
      <c r="H476" s="206">
        <v>13</v>
      </c>
      <c r="I476" s="117" t="str">
        <f t="shared" si="96"/>
        <v>580 000</v>
      </c>
      <c r="J476" s="117">
        <f t="shared" si="97"/>
        <v>70000</v>
      </c>
      <c r="K476" s="117">
        <f t="shared" si="98"/>
        <v>0</v>
      </c>
      <c r="L476" s="117">
        <f t="shared" si="99"/>
        <v>10000</v>
      </c>
      <c r="M476" s="117">
        <f t="shared" si="100"/>
        <v>140000</v>
      </c>
      <c r="N476" s="207">
        <f t="shared" si="101"/>
        <v>0</v>
      </c>
      <c r="O476" s="208" t="s">
        <v>6233</v>
      </c>
      <c r="P476" s="186"/>
      <c r="Q476" s="186"/>
    </row>
    <row r="477" spans="1:17" ht="57.6" outlineLevel="2">
      <c r="A477" s="203" t="s">
        <v>600</v>
      </c>
      <c r="B477" s="204" t="s">
        <v>6262</v>
      </c>
      <c r="C477" s="205" t="s">
        <v>5358</v>
      </c>
      <c r="D477" s="128">
        <v>50</v>
      </c>
      <c r="E477" s="128">
        <v>13</v>
      </c>
      <c r="F477" s="128" t="s">
        <v>5371</v>
      </c>
      <c r="G477" s="128">
        <v>0</v>
      </c>
      <c r="H477" s="206">
        <v>13</v>
      </c>
      <c r="I477" s="117" t="str">
        <f t="shared" si="96"/>
        <v>580 000</v>
      </c>
      <c r="J477" s="117">
        <f t="shared" si="97"/>
        <v>70000</v>
      </c>
      <c r="K477" s="117">
        <f t="shared" si="98"/>
        <v>60000</v>
      </c>
      <c r="L477" s="117">
        <f t="shared" si="99"/>
        <v>10000</v>
      </c>
      <c r="M477" s="117">
        <f t="shared" si="100"/>
        <v>0</v>
      </c>
      <c r="N477" s="207">
        <f t="shared" si="101"/>
        <v>0</v>
      </c>
      <c r="O477" s="208" t="s">
        <v>6129</v>
      </c>
      <c r="P477" s="186"/>
      <c r="Q477" s="186"/>
    </row>
    <row r="478" spans="1:17" ht="57.6" outlineLevel="2">
      <c r="A478" s="203" t="s">
        <v>6263</v>
      </c>
      <c r="B478" s="204" t="s">
        <v>5958</v>
      </c>
      <c r="C478" s="205" t="s">
        <v>5358</v>
      </c>
      <c r="D478" s="128">
        <v>50</v>
      </c>
      <c r="E478" s="128">
        <v>0</v>
      </c>
      <c r="F478" s="128" t="s">
        <v>5371</v>
      </c>
      <c r="G478" s="128">
        <v>0</v>
      </c>
      <c r="H478" s="206">
        <v>15</v>
      </c>
      <c r="I478" s="117" t="str">
        <f t="shared" si="96"/>
        <v>580 000</v>
      </c>
      <c r="J478" s="117">
        <f t="shared" si="97"/>
        <v>70000</v>
      </c>
      <c r="K478" s="117">
        <f t="shared" si="98"/>
        <v>0</v>
      </c>
      <c r="L478" s="117">
        <f t="shared" si="99"/>
        <v>10000</v>
      </c>
      <c r="M478" s="117">
        <f t="shared" si="100"/>
        <v>0</v>
      </c>
      <c r="N478" s="207">
        <f t="shared" si="101"/>
        <v>30000</v>
      </c>
      <c r="O478" s="208" t="s">
        <v>6075</v>
      </c>
      <c r="P478" s="186"/>
      <c r="Q478" s="186"/>
    </row>
    <row r="479" spans="1:17" ht="72" outlineLevel="2">
      <c r="A479" s="203" t="s">
        <v>6264</v>
      </c>
      <c r="B479" s="204" t="s">
        <v>5962</v>
      </c>
      <c r="C479" s="205" t="s">
        <v>5358</v>
      </c>
      <c r="D479" s="128">
        <v>50</v>
      </c>
      <c r="E479" s="128">
        <v>0</v>
      </c>
      <c r="F479" s="128" t="s">
        <v>5371</v>
      </c>
      <c r="G479" s="128">
        <v>150</v>
      </c>
      <c r="H479" s="206">
        <v>15</v>
      </c>
      <c r="I479" s="117" t="str">
        <f t="shared" si="96"/>
        <v>580 000</v>
      </c>
      <c r="J479" s="117">
        <f t="shared" si="97"/>
        <v>70000</v>
      </c>
      <c r="K479" s="117">
        <f t="shared" si="98"/>
        <v>0</v>
      </c>
      <c r="L479" s="117">
        <f t="shared" si="99"/>
        <v>10000</v>
      </c>
      <c r="M479" s="117">
        <f t="shared" si="100"/>
        <v>140000</v>
      </c>
      <c r="N479" s="207">
        <f t="shared" si="101"/>
        <v>30000</v>
      </c>
      <c r="O479" s="208" t="s">
        <v>6233</v>
      </c>
      <c r="P479" s="186"/>
      <c r="Q479" s="186"/>
    </row>
    <row r="480" spans="1:17" ht="57.6" outlineLevel="2">
      <c r="A480" s="203" t="s">
        <v>6265</v>
      </c>
      <c r="B480" s="204" t="s">
        <v>5968</v>
      </c>
      <c r="C480" s="205" t="s">
        <v>5358</v>
      </c>
      <c r="D480" s="128">
        <v>50</v>
      </c>
      <c r="E480" s="128">
        <v>15</v>
      </c>
      <c r="F480" s="128" t="s">
        <v>5371</v>
      </c>
      <c r="G480" s="128">
        <v>0</v>
      </c>
      <c r="H480" s="206">
        <v>15</v>
      </c>
      <c r="I480" s="117" t="str">
        <f t="shared" si="96"/>
        <v>580 000</v>
      </c>
      <c r="J480" s="117">
        <f t="shared" si="97"/>
        <v>70000</v>
      </c>
      <c r="K480" s="117">
        <f t="shared" si="98"/>
        <v>100000</v>
      </c>
      <c r="L480" s="117">
        <f t="shared" si="99"/>
        <v>10000</v>
      </c>
      <c r="M480" s="117">
        <f t="shared" si="100"/>
        <v>0</v>
      </c>
      <c r="N480" s="207">
        <f t="shared" si="101"/>
        <v>30000</v>
      </c>
      <c r="O480" s="208" t="s">
        <v>6135</v>
      </c>
      <c r="P480" s="186"/>
      <c r="Q480" s="186"/>
    </row>
    <row r="481" spans="1:26" ht="72" outlineLevel="2">
      <c r="A481" s="203" t="s">
        <v>6266</v>
      </c>
      <c r="B481" s="204" t="s">
        <v>6267</v>
      </c>
      <c r="C481" s="205" t="s">
        <v>5358</v>
      </c>
      <c r="D481" s="128">
        <v>50</v>
      </c>
      <c r="E481" s="128">
        <v>13</v>
      </c>
      <c r="F481" s="128">
        <v>0</v>
      </c>
      <c r="G481" s="128">
        <v>150</v>
      </c>
      <c r="H481" s="206">
        <v>13</v>
      </c>
      <c r="I481" s="117" t="str">
        <f t="shared" si="96"/>
        <v>580 000</v>
      </c>
      <c r="J481" s="117">
        <f t="shared" si="97"/>
        <v>70000</v>
      </c>
      <c r="K481" s="117">
        <f t="shared" si="98"/>
        <v>60000</v>
      </c>
      <c r="L481" s="117">
        <f t="shared" si="99"/>
        <v>0</v>
      </c>
      <c r="M481" s="117">
        <f t="shared" si="100"/>
        <v>140000</v>
      </c>
      <c r="N481" s="207">
        <f t="shared" si="101"/>
        <v>0</v>
      </c>
      <c r="O481" s="208" t="s">
        <v>6244</v>
      </c>
      <c r="P481" s="186"/>
      <c r="Q481" s="186"/>
    </row>
    <row r="482" spans="1:26" ht="72" outlineLevel="2">
      <c r="A482" s="203" t="s">
        <v>6268</v>
      </c>
      <c r="B482" s="204" t="s">
        <v>5976</v>
      </c>
      <c r="C482" s="205" t="s">
        <v>5358</v>
      </c>
      <c r="D482" s="128">
        <v>50</v>
      </c>
      <c r="E482" s="128">
        <v>15</v>
      </c>
      <c r="F482" s="128">
        <v>0</v>
      </c>
      <c r="G482" s="128">
        <v>150</v>
      </c>
      <c r="H482" s="206">
        <v>15</v>
      </c>
      <c r="I482" s="117" t="str">
        <f t="shared" si="96"/>
        <v>580 000</v>
      </c>
      <c r="J482" s="117">
        <f t="shared" si="97"/>
        <v>70000</v>
      </c>
      <c r="K482" s="117">
        <f t="shared" si="98"/>
        <v>100000</v>
      </c>
      <c r="L482" s="117">
        <f t="shared" si="99"/>
        <v>0</v>
      </c>
      <c r="M482" s="117">
        <f t="shared" si="100"/>
        <v>140000</v>
      </c>
      <c r="N482" s="207">
        <f t="shared" si="101"/>
        <v>30000</v>
      </c>
      <c r="O482" s="208" t="s">
        <v>6246</v>
      </c>
      <c r="P482" s="186"/>
      <c r="Q482" s="186"/>
    </row>
    <row r="483" spans="1:26" ht="57.6" outlineLevel="2">
      <c r="A483" s="203" t="s">
        <v>379</v>
      </c>
      <c r="B483" s="204" t="s">
        <v>6269</v>
      </c>
      <c r="C483" s="205" t="s">
        <v>5358</v>
      </c>
      <c r="D483" s="128">
        <v>50</v>
      </c>
      <c r="E483" s="128">
        <v>13</v>
      </c>
      <c r="F483" s="128" t="s">
        <v>5371</v>
      </c>
      <c r="G483" s="128">
        <v>150</v>
      </c>
      <c r="H483" s="206">
        <v>13</v>
      </c>
      <c r="I483" s="117" t="str">
        <f t="shared" si="96"/>
        <v>580 000</v>
      </c>
      <c r="J483" s="117">
        <f t="shared" si="97"/>
        <v>70000</v>
      </c>
      <c r="K483" s="117">
        <f t="shared" si="98"/>
        <v>60000</v>
      </c>
      <c r="L483" s="117">
        <f t="shared" si="99"/>
        <v>10000</v>
      </c>
      <c r="M483" s="117">
        <f t="shared" si="100"/>
        <v>140000</v>
      </c>
      <c r="N483" s="207">
        <f t="shared" si="101"/>
        <v>0</v>
      </c>
      <c r="O483" s="208" t="s">
        <v>6248</v>
      </c>
      <c r="P483" s="186"/>
      <c r="Q483" s="186"/>
    </row>
    <row r="484" spans="1:26" ht="57.6" outlineLevel="2">
      <c r="A484" s="203" t="s">
        <v>6270</v>
      </c>
      <c r="B484" s="204" t="s">
        <v>5984</v>
      </c>
      <c r="C484" s="205" t="s">
        <v>5358</v>
      </c>
      <c r="D484" s="128">
        <v>50</v>
      </c>
      <c r="E484" s="128">
        <v>15</v>
      </c>
      <c r="F484" s="128" t="s">
        <v>5371</v>
      </c>
      <c r="G484" s="128">
        <v>150</v>
      </c>
      <c r="H484" s="206">
        <v>15</v>
      </c>
      <c r="I484" s="117" t="str">
        <f t="shared" si="96"/>
        <v>580 000</v>
      </c>
      <c r="J484" s="117">
        <f t="shared" si="97"/>
        <v>70000</v>
      </c>
      <c r="K484" s="117">
        <f t="shared" si="98"/>
        <v>100000</v>
      </c>
      <c r="L484" s="117">
        <f t="shared" si="99"/>
        <v>10000</v>
      </c>
      <c r="M484" s="117">
        <f t="shared" si="100"/>
        <v>140000</v>
      </c>
      <c r="N484" s="207">
        <f t="shared" si="101"/>
        <v>30000</v>
      </c>
      <c r="O484" s="208" t="s">
        <v>6249</v>
      </c>
      <c r="P484" s="186"/>
      <c r="Q484" s="186"/>
    </row>
    <row r="485" spans="1:26" ht="14.4" outlineLevel="1">
      <c r="A485" s="217" t="s">
        <v>6271</v>
      </c>
      <c r="B485" s="176"/>
      <c r="C485" s="177"/>
      <c r="D485" s="178"/>
      <c r="E485" s="178"/>
      <c r="F485" s="178"/>
      <c r="G485" s="178"/>
      <c r="H485" s="178"/>
      <c r="I485" s="179"/>
      <c r="J485" s="179"/>
      <c r="K485" s="179"/>
      <c r="L485" s="179"/>
      <c r="M485" s="179"/>
      <c r="N485" s="179"/>
      <c r="O485" s="193"/>
      <c r="P485" s="173"/>
      <c r="Q485" s="173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 spans="1:26" ht="57.6" outlineLevel="2">
      <c r="A486" s="203" t="s">
        <v>6272</v>
      </c>
      <c r="B486" s="204" t="s">
        <v>5987</v>
      </c>
      <c r="C486" s="205" t="s">
        <v>6273</v>
      </c>
      <c r="D486" s="128">
        <v>0</v>
      </c>
      <c r="E486" s="128">
        <v>0</v>
      </c>
      <c r="F486" s="128">
        <v>0</v>
      </c>
      <c r="G486" s="128">
        <v>0</v>
      </c>
      <c r="H486" s="206">
        <v>13</v>
      </c>
      <c r="I486" s="117" t="str">
        <f t="shared" ref="I486:I509" si="102">VLOOKUP(C486,платформа2,2,0)</f>
        <v>680 000</v>
      </c>
      <c r="J486" s="117">
        <f t="shared" ref="J486:J509" si="103">VLOOKUP(D486,борт_4015,2)</f>
        <v>0</v>
      </c>
      <c r="K486" s="117">
        <f t="shared" ref="K486:K509" si="104">VLOOKUP(E486,колесо,2,0)*2</f>
        <v>0</v>
      </c>
      <c r="L486" s="117">
        <f t="shared" ref="L486:L509" si="105">VLOOKUP(F486,опорное_колесо,2,0)</f>
        <v>0</v>
      </c>
      <c r="M486" s="117">
        <f t="shared" ref="M486:M509" si="106">VLOOKUP(G486,тент_4015,2,0)</f>
        <v>0</v>
      </c>
      <c r="N486" s="207">
        <f t="shared" ref="N486:N509" si="107">VLOOKUP(H486,ступица,2,0)</f>
        <v>0</v>
      </c>
      <c r="O486" s="208" t="s">
        <v>6110</v>
      </c>
      <c r="P486" s="186"/>
      <c r="Q486" s="186"/>
    </row>
    <row r="487" spans="1:26" ht="57.6" outlineLevel="2">
      <c r="A487" s="203" t="s">
        <v>6274</v>
      </c>
      <c r="B487" s="204" t="s">
        <v>5989</v>
      </c>
      <c r="C487" s="205" t="s">
        <v>6273</v>
      </c>
      <c r="D487" s="128">
        <v>30</v>
      </c>
      <c r="E487" s="128">
        <v>0</v>
      </c>
      <c r="F487" s="128">
        <v>0</v>
      </c>
      <c r="G487" s="128">
        <v>0</v>
      </c>
      <c r="H487" s="206">
        <v>13</v>
      </c>
      <c r="I487" s="117" t="str">
        <f t="shared" si="102"/>
        <v>680 000</v>
      </c>
      <c r="J487" s="117">
        <f t="shared" si="103"/>
        <v>70000</v>
      </c>
      <c r="K487" s="117">
        <f t="shared" si="104"/>
        <v>0</v>
      </c>
      <c r="L487" s="117">
        <f t="shared" si="105"/>
        <v>0</v>
      </c>
      <c r="M487" s="117">
        <f t="shared" si="106"/>
        <v>0</v>
      </c>
      <c r="N487" s="207">
        <f t="shared" si="107"/>
        <v>0</v>
      </c>
      <c r="O487" s="208" t="s">
        <v>6143</v>
      </c>
      <c r="P487" s="186"/>
      <c r="Q487" s="186"/>
    </row>
    <row r="488" spans="1:26" ht="72" outlineLevel="2">
      <c r="A488" s="203" t="s">
        <v>6275</v>
      </c>
      <c r="B488" s="204" t="s">
        <v>5993</v>
      </c>
      <c r="C488" s="205" t="s">
        <v>6273</v>
      </c>
      <c r="D488" s="128">
        <v>30</v>
      </c>
      <c r="E488" s="128">
        <v>0</v>
      </c>
      <c r="F488" s="128">
        <v>0</v>
      </c>
      <c r="G488" s="128">
        <v>150</v>
      </c>
      <c r="H488" s="206">
        <v>13</v>
      </c>
      <c r="I488" s="117" t="str">
        <f t="shared" si="102"/>
        <v>680 000</v>
      </c>
      <c r="J488" s="117">
        <f t="shared" si="103"/>
        <v>70000</v>
      </c>
      <c r="K488" s="117">
        <f t="shared" si="104"/>
        <v>0</v>
      </c>
      <c r="L488" s="117">
        <f t="shared" si="105"/>
        <v>0</v>
      </c>
      <c r="M488" s="117">
        <f t="shared" si="106"/>
        <v>160000</v>
      </c>
      <c r="N488" s="207">
        <f t="shared" si="107"/>
        <v>0</v>
      </c>
      <c r="O488" s="208" t="s">
        <v>6249</v>
      </c>
      <c r="P488" s="186"/>
      <c r="Q488" s="186"/>
    </row>
    <row r="489" spans="1:26" ht="57.6" outlineLevel="2">
      <c r="A489" s="203" t="s">
        <v>6276</v>
      </c>
      <c r="B489" s="204" t="s">
        <v>5997</v>
      </c>
      <c r="C489" s="205" t="s">
        <v>6273</v>
      </c>
      <c r="D489" s="128">
        <v>0</v>
      </c>
      <c r="E489" s="128">
        <v>13</v>
      </c>
      <c r="F489" s="128">
        <v>0</v>
      </c>
      <c r="G489" s="128">
        <v>0</v>
      </c>
      <c r="H489" s="206">
        <v>13</v>
      </c>
      <c r="I489" s="117" t="str">
        <f t="shared" si="102"/>
        <v>680 000</v>
      </c>
      <c r="J489" s="117">
        <f t="shared" si="103"/>
        <v>0</v>
      </c>
      <c r="K489" s="117">
        <f t="shared" si="104"/>
        <v>60000</v>
      </c>
      <c r="L489" s="117">
        <f t="shared" si="105"/>
        <v>0</v>
      </c>
      <c r="M489" s="117">
        <f t="shared" si="106"/>
        <v>0</v>
      </c>
      <c r="N489" s="207">
        <f t="shared" si="107"/>
        <v>0</v>
      </c>
      <c r="O489" s="208" t="s">
        <v>6135</v>
      </c>
      <c r="P489" s="186"/>
      <c r="Q489" s="186"/>
    </row>
    <row r="490" spans="1:26" ht="57.6" outlineLevel="2">
      <c r="A490" s="203" t="s">
        <v>6277</v>
      </c>
      <c r="B490" s="204" t="s">
        <v>6278</v>
      </c>
      <c r="C490" s="205" t="s">
        <v>6273</v>
      </c>
      <c r="D490" s="128">
        <v>30</v>
      </c>
      <c r="E490" s="128">
        <v>13</v>
      </c>
      <c r="F490" s="128">
        <v>0</v>
      </c>
      <c r="G490" s="128">
        <v>0</v>
      </c>
      <c r="H490" s="206">
        <v>13</v>
      </c>
      <c r="I490" s="117" t="str">
        <f t="shared" si="102"/>
        <v>680 000</v>
      </c>
      <c r="J490" s="117">
        <f t="shared" si="103"/>
        <v>70000</v>
      </c>
      <c r="K490" s="117">
        <f t="shared" si="104"/>
        <v>60000</v>
      </c>
      <c r="L490" s="117">
        <f t="shared" si="105"/>
        <v>0</v>
      </c>
      <c r="M490" s="117">
        <f t="shared" si="106"/>
        <v>0</v>
      </c>
      <c r="N490" s="207">
        <f t="shared" si="107"/>
        <v>0</v>
      </c>
      <c r="O490" s="208" t="s">
        <v>6221</v>
      </c>
      <c r="P490" s="186"/>
      <c r="Q490" s="186"/>
    </row>
    <row r="491" spans="1:26" ht="43.2" outlineLevel="2">
      <c r="A491" s="203" t="s">
        <v>6279</v>
      </c>
      <c r="B491" s="204" t="s">
        <v>6003</v>
      </c>
      <c r="C491" s="205" t="s">
        <v>6273</v>
      </c>
      <c r="D491" s="128">
        <v>0</v>
      </c>
      <c r="E491" s="128">
        <v>0</v>
      </c>
      <c r="F491" s="128">
        <v>0</v>
      </c>
      <c r="G491" s="128">
        <v>0</v>
      </c>
      <c r="H491" s="206">
        <v>15</v>
      </c>
      <c r="I491" s="117" t="str">
        <f t="shared" si="102"/>
        <v>680 000</v>
      </c>
      <c r="J491" s="117">
        <f t="shared" si="103"/>
        <v>0</v>
      </c>
      <c r="K491" s="117">
        <f t="shared" si="104"/>
        <v>0</v>
      </c>
      <c r="L491" s="117">
        <f t="shared" si="105"/>
        <v>0</v>
      </c>
      <c r="M491" s="117">
        <f t="shared" si="106"/>
        <v>0</v>
      </c>
      <c r="N491" s="207">
        <f t="shared" si="107"/>
        <v>30000</v>
      </c>
      <c r="O491" s="208" t="s">
        <v>6110</v>
      </c>
      <c r="P491" s="186"/>
      <c r="Q491" s="186"/>
    </row>
    <row r="492" spans="1:26" ht="57.6" outlineLevel="2">
      <c r="A492" s="203" t="s">
        <v>6280</v>
      </c>
      <c r="B492" s="204" t="s">
        <v>6005</v>
      </c>
      <c r="C492" s="205" t="s">
        <v>6273</v>
      </c>
      <c r="D492" s="128">
        <v>30</v>
      </c>
      <c r="E492" s="128">
        <v>0</v>
      </c>
      <c r="F492" s="128">
        <v>0</v>
      </c>
      <c r="G492" s="128">
        <v>0</v>
      </c>
      <c r="H492" s="206">
        <v>15</v>
      </c>
      <c r="I492" s="117" t="str">
        <f t="shared" si="102"/>
        <v>680 000</v>
      </c>
      <c r="J492" s="117">
        <f t="shared" si="103"/>
        <v>70000</v>
      </c>
      <c r="K492" s="117">
        <f t="shared" si="104"/>
        <v>0</v>
      </c>
      <c r="L492" s="117">
        <f t="shared" si="105"/>
        <v>0</v>
      </c>
      <c r="M492" s="117">
        <f t="shared" si="106"/>
        <v>0</v>
      </c>
      <c r="N492" s="207">
        <f t="shared" si="107"/>
        <v>30000</v>
      </c>
      <c r="O492" s="208" t="s">
        <v>6143</v>
      </c>
      <c r="P492" s="186"/>
      <c r="Q492" s="186"/>
    </row>
    <row r="493" spans="1:26" ht="72" outlineLevel="2">
      <c r="A493" s="203" t="s">
        <v>6281</v>
      </c>
      <c r="B493" s="204" t="s">
        <v>6009</v>
      </c>
      <c r="C493" s="205" t="s">
        <v>6273</v>
      </c>
      <c r="D493" s="128">
        <v>30</v>
      </c>
      <c r="E493" s="128">
        <v>0</v>
      </c>
      <c r="F493" s="128">
        <v>0</v>
      </c>
      <c r="G493" s="128">
        <v>150</v>
      </c>
      <c r="H493" s="206">
        <v>15</v>
      </c>
      <c r="I493" s="117" t="str">
        <f t="shared" si="102"/>
        <v>680 000</v>
      </c>
      <c r="J493" s="117">
        <f t="shared" si="103"/>
        <v>70000</v>
      </c>
      <c r="K493" s="117">
        <f t="shared" si="104"/>
        <v>0</v>
      </c>
      <c r="L493" s="117">
        <f t="shared" si="105"/>
        <v>0</v>
      </c>
      <c r="M493" s="117">
        <f t="shared" si="106"/>
        <v>160000</v>
      </c>
      <c r="N493" s="207">
        <f t="shared" si="107"/>
        <v>30000</v>
      </c>
      <c r="O493" s="208" t="s">
        <v>6249</v>
      </c>
      <c r="P493" s="186"/>
      <c r="Q493" s="186"/>
    </row>
    <row r="494" spans="1:26" ht="57.6" outlineLevel="2">
      <c r="A494" s="203" t="s">
        <v>6282</v>
      </c>
      <c r="B494" s="204" t="s">
        <v>6013</v>
      </c>
      <c r="C494" s="205" t="s">
        <v>6273</v>
      </c>
      <c r="D494" s="128">
        <v>0</v>
      </c>
      <c r="E494" s="128">
        <v>15</v>
      </c>
      <c r="F494" s="128">
        <v>0</v>
      </c>
      <c r="G494" s="128">
        <v>0</v>
      </c>
      <c r="H494" s="206">
        <v>15</v>
      </c>
      <c r="I494" s="117" t="str">
        <f t="shared" si="102"/>
        <v>680 000</v>
      </c>
      <c r="J494" s="117">
        <f t="shared" si="103"/>
        <v>0</v>
      </c>
      <c r="K494" s="117">
        <f t="shared" si="104"/>
        <v>100000</v>
      </c>
      <c r="L494" s="117">
        <f t="shared" si="105"/>
        <v>0</v>
      </c>
      <c r="M494" s="117">
        <f t="shared" si="106"/>
        <v>0</v>
      </c>
      <c r="N494" s="207">
        <f t="shared" si="107"/>
        <v>30000</v>
      </c>
      <c r="O494" s="208" t="s">
        <v>6160</v>
      </c>
      <c r="P494" s="186"/>
      <c r="Q494" s="186"/>
    </row>
    <row r="495" spans="1:26" ht="57.6" outlineLevel="2">
      <c r="A495" s="203" t="s">
        <v>6283</v>
      </c>
      <c r="B495" s="204" t="s">
        <v>6015</v>
      </c>
      <c r="C495" s="205" t="s">
        <v>6273</v>
      </c>
      <c r="D495" s="128">
        <v>30</v>
      </c>
      <c r="E495" s="128">
        <v>15</v>
      </c>
      <c r="F495" s="128">
        <v>0</v>
      </c>
      <c r="G495" s="128">
        <v>0</v>
      </c>
      <c r="H495" s="206">
        <v>15</v>
      </c>
      <c r="I495" s="117" t="str">
        <f t="shared" si="102"/>
        <v>680 000</v>
      </c>
      <c r="J495" s="117">
        <f t="shared" si="103"/>
        <v>70000</v>
      </c>
      <c r="K495" s="117">
        <f t="shared" si="104"/>
        <v>100000</v>
      </c>
      <c r="L495" s="117">
        <f t="shared" si="105"/>
        <v>0</v>
      </c>
      <c r="M495" s="117">
        <f t="shared" si="106"/>
        <v>0</v>
      </c>
      <c r="N495" s="207">
        <f t="shared" si="107"/>
        <v>30000</v>
      </c>
      <c r="O495" s="208" t="s">
        <v>6284</v>
      </c>
      <c r="P495" s="186"/>
      <c r="Q495" s="186"/>
    </row>
    <row r="496" spans="1:26" ht="57.6" outlineLevel="2">
      <c r="A496" s="203" t="s">
        <v>6285</v>
      </c>
      <c r="B496" s="204" t="s">
        <v>6019</v>
      </c>
      <c r="C496" s="205" t="s">
        <v>6273</v>
      </c>
      <c r="D496" s="128">
        <v>0</v>
      </c>
      <c r="E496" s="128">
        <v>0</v>
      </c>
      <c r="F496" s="128" t="s">
        <v>5371</v>
      </c>
      <c r="G496" s="128">
        <v>0</v>
      </c>
      <c r="H496" s="206">
        <v>13</v>
      </c>
      <c r="I496" s="117" t="str">
        <f t="shared" si="102"/>
        <v>680 000</v>
      </c>
      <c r="J496" s="117">
        <f t="shared" si="103"/>
        <v>0</v>
      </c>
      <c r="K496" s="117">
        <f t="shared" si="104"/>
        <v>0</v>
      </c>
      <c r="L496" s="117">
        <f t="shared" si="105"/>
        <v>10000</v>
      </c>
      <c r="M496" s="117">
        <f t="shared" si="106"/>
        <v>0</v>
      </c>
      <c r="N496" s="207">
        <f t="shared" si="107"/>
        <v>0</v>
      </c>
      <c r="O496" s="208" t="s">
        <v>6186</v>
      </c>
      <c r="P496" s="186"/>
      <c r="Q496" s="186"/>
    </row>
    <row r="497" spans="1:17" ht="57.6" outlineLevel="2">
      <c r="A497" s="203" t="s">
        <v>6286</v>
      </c>
      <c r="B497" s="204" t="s">
        <v>6021</v>
      </c>
      <c r="C497" s="205" t="s">
        <v>6273</v>
      </c>
      <c r="D497" s="128">
        <v>30</v>
      </c>
      <c r="E497" s="128">
        <v>0</v>
      </c>
      <c r="F497" s="128" t="s">
        <v>5371</v>
      </c>
      <c r="G497" s="128">
        <v>0</v>
      </c>
      <c r="H497" s="206">
        <v>13</v>
      </c>
      <c r="I497" s="117" t="str">
        <f t="shared" si="102"/>
        <v>680 000</v>
      </c>
      <c r="J497" s="117">
        <f t="shared" si="103"/>
        <v>70000</v>
      </c>
      <c r="K497" s="117">
        <f t="shared" si="104"/>
        <v>0</v>
      </c>
      <c r="L497" s="117">
        <f t="shared" si="105"/>
        <v>10000</v>
      </c>
      <c r="M497" s="117">
        <f t="shared" si="106"/>
        <v>0</v>
      </c>
      <c r="N497" s="207">
        <f t="shared" si="107"/>
        <v>0</v>
      </c>
      <c r="O497" s="208" t="s">
        <v>6135</v>
      </c>
      <c r="P497" s="186"/>
      <c r="Q497" s="186"/>
    </row>
    <row r="498" spans="1:17" ht="72" outlineLevel="2">
      <c r="A498" s="203" t="s">
        <v>6287</v>
      </c>
      <c r="B498" s="204" t="s">
        <v>6025</v>
      </c>
      <c r="C498" s="205" t="s">
        <v>6273</v>
      </c>
      <c r="D498" s="128">
        <v>30</v>
      </c>
      <c r="E498" s="128">
        <v>0</v>
      </c>
      <c r="F498" s="128" t="s">
        <v>5371</v>
      </c>
      <c r="G498" s="128">
        <v>150</v>
      </c>
      <c r="H498" s="206">
        <v>13</v>
      </c>
      <c r="I498" s="117" t="str">
        <f t="shared" si="102"/>
        <v>680 000</v>
      </c>
      <c r="J498" s="117">
        <f t="shared" si="103"/>
        <v>70000</v>
      </c>
      <c r="K498" s="117">
        <f t="shared" si="104"/>
        <v>0</v>
      </c>
      <c r="L498" s="117">
        <f t="shared" si="105"/>
        <v>10000</v>
      </c>
      <c r="M498" s="117">
        <f t="shared" si="106"/>
        <v>160000</v>
      </c>
      <c r="N498" s="207">
        <f t="shared" si="107"/>
        <v>0</v>
      </c>
      <c r="O498" s="208" t="s">
        <v>6288</v>
      </c>
      <c r="P498" s="186"/>
      <c r="Q498" s="186"/>
    </row>
    <row r="499" spans="1:17" ht="57.6" outlineLevel="2">
      <c r="A499" s="203" t="s">
        <v>6289</v>
      </c>
      <c r="B499" s="204" t="s">
        <v>6290</v>
      </c>
      <c r="C499" s="205" t="s">
        <v>6273</v>
      </c>
      <c r="D499" s="128">
        <v>0</v>
      </c>
      <c r="E499" s="128">
        <v>13</v>
      </c>
      <c r="F499" s="128" t="s">
        <v>5371</v>
      </c>
      <c r="G499" s="128">
        <v>0</v>
      </c>
      <c r="H499" s="206">
        <v>13</v>
      </c>
      <c r="I499" s="117" t="str">
        <f t="shared" si="102"/>
        <v>680 000</v>
      </c>
      <c r="J499" s="117">
        <f t="shared" si="103"/>
        <v>0</v>
      </c>
      <c r="K499" s="117">
        <f t="shared" si="104"/>
        <v>60000</v>
      </c>
      <c r="L499" s="117">
        <f t="shared" si="105"/>
        <v>10000</v>
      </c>
      <c r="M499" s="117">
        <f t="shared" si="106"/>
        <v>0</v>
      </c>
      <c r="N499" s="207">
        <f t="shared" si="107"/>
        <v>0</v>
      </c>
      <c r="O499" s="208" t="s">
        <v>6145</v>
      </c>
      <c r="P499" s="186"/>
      <c r="Q499" s="186"/>
    </row>
    <row r="500" spans="1:17" ht="57.6" outlineLevel="2">
      <c r="A500" s="203" t="s">
        <v>6291</v>
      </c>
      <c r="B500" s="204" t="s">
        <v>6292</v>
      </c>
      <c r="C500" s="205" t="s">
        <v>6273</v>
      </c>
      <c r="D500" s="128">
        <v>30</v>
      </c>
      <c r="E500" s="128">
        <v>13</v>
      </c>
      <c r="F500" s="128" t="s">
        <v>5371</v>
      </c>
      <c r="G500" s="128">
        <v>0</v>
      </c>
      <c r="H500" s="206">
        <v>13</v>
      </c>
      <c r="I500" s="117" t="str">
        <f t="shared" si="102"/>
        <v>680 000</v>
      </c>
      <c r="J500" s="117">
        <f t="shared" si="103"/>
        <v>70000</v>
      </c>
      <c r="K500" s="117">
        <f t="shared" si="104"/>
        <v>60000</v>
      </c>
      <c r="L500" s="117">
        <f t="shared" si="105"/>
        <v>10000</v>
      </c>
      <c r="M500" s="117">
        <f t="shared" si="106"/>
        <v>0</v>
      </c>
      <c r="N500" s="207">
        <f t="shared" si="107"/>
        <v>0</v>
      </c>
      <c r="O500" s="208" t="s">
        <v>6233</v>
      </c>
      <c r="P500" s="186"/>
      <c r="Q500" s="186"/>
    </row>
    <row r="501" spans="1:17" ht="57.6" outlineLevel="2">
      <c r="A501" s="203" t="s">
        <v>6293</v>
      </c>
      <c r="B501" s="204" t="s">
        <v>6035</v>
      </c>
      <c r="C501" s="205" t="s">
        <v>6273</v>
      </c>
      <c r="D501" s="128">
        <v>0</v>
      </c>
      <c r="E501" s="128">
        <v>0</v>
      </c>
      <c r="F501" s="128" t="s">
        <v>5371</v>
      </c>
      <c r="G501" s="128">
        <v>0</v>
      </c>
      <c r="H501" s="206">
        <v>15</v>
      </c>
      <c r="I501" s="117" t="str">
        <f t="shared" si="102"/>
        <v>680 000</v>
      </c>
      <c r="J501" s="117">
        <f t="shared" si="103"/>
        <v>0</v>
      </c>
      <c r="K501" s="117">
        <f t="shared" si="104"/>
        <v>0</v>
      </c>
      <c r="L501" s="117">
        <f t="shared" si="105"/>
        <v>10000</v>
      </c>
      <c r="M501" s="117">
        <f t="shared" si="106"/>
        <v>0</v>
      </c>
      <c r="N501" s="207">
        <f t="shared" si="107"/>
        <v>30000</v>
      </c>
      <c r="O501" s="208" t="s">
        <v>6186</v>
      </c>
      <c r="P501" s="186"/>
      <c r="Q501" s="186"/>
    </row>
    <row r="502" spans="1:17" ht="57.6" outlineLevel="2">
      <c r="A502" s="203" t="s">
        <v>6294</v>
      </c>
      <c r="B502" s="204" t="s">
        <v>6037</v>
      </c>
      <c r="C502" s="205" t="s">
        <v>6273</v>
      </c>
      <c r="D502" s="128">
        <v>30</v>
      </c>
      <c r="E502" s="128">
        <v>0</v>
      </c>
      <c r="F502" s="128" t="s">
        <v>5371</v>
      </c>
      <c r="G502" s="128">
        <v>0</v>
      </c>
      <c r="H502" s="206">
        <v>15</v>
      </c>
      <c r="I502" s="117" t="str">
        <f t="shared" si="102"/>
        <v>680 000</v>
      </c>
      <c r="J502" s="117">
        <f t="shared" si="103"/>
        <v>70000</v>
      </c>
      <c r="K502" s="117">
        <f t="shared" si="104"/>
        <v>0</v>
      </c>
      <c r="L502" s="117">
        <f t="shared" si="105"/>
        <v>10000</v>
      </c>
      <c r="M502" s="117">
        <f t="shared" si="106"/>
        <v>0</v>
      </c>
      <c r="N502" s="207">
        <f t="shared" si="107"/>
        <v>30000</v>
      </c>
      <c r="O502" s="208" t="s">
        <v>6135</v>
      </c>
      <c r="P502" s="186"/>
      <c r="Q502" s="186"/>
    </row>
    <row r="503" spans="1:17" ht="72" outlineLevel="2">
      <c r="A503" s="203" t="s">
        <v>6295</v>
      </c>
      <c r="B503" s="204" t="s">
        <v>6041</v>
      </c>
      <c r="C503" s="205" t="s">
        <v>6273</v>
      </c>
      <c r="D503" s="128">
        <v>30</v>
      </c>
      <c r="E503" s="128">
        <v>0</v>
      </c>
      <c r="F503" s="128" t="s">
        <v>5371</v>
      </c>
      <c r="G503" s="128">
        <v>150</v>
      </c>
      <c r="H503" s="206">
        <v>15</v>
      </c>
      <c r="I503" s="117" t="str">
        <f t="shared" si="102"/>
        <v>680 000</v>
      </c>
      <c r="J503" s="117">
        <f t="shared" si="103"/>
        <v>70000</v>
      </c>
      <c r="K503" s="117">
        <f t="shared" si="104"/>
        <v>0</v>
      </c>
      <c r="L503" s="117">
        <f t="shared" si="105"/>
        <v>10000</v>
      </c>
      <c r="M503" s="117">
        <f t="shared" si="106"/>
        <v>160000</v>
      </c>
      <c r="N503" s="207">
        <f t="shared" si="107"/>
        <v>30000</v>
      </c>
      <c r="O503" s="208" t="s">
        <v>6288</v>
      </c>
      <c r="P503" s="186"/>
      <c r="Q503" s="186"/>
    </row>
    <row r="504" spans="1:17" ht="57.6" outlineLevel="2">
      <c r="A504" s="203" t="s">
        <v>6296</v>
      </c>
      <c r="B504" s="204" t="s">
        <v>6045</v>
      </c>
      <c r="C504" s="205" t="s">
        <v>6273</v>
      </c>
      <c r="D504" s="128">
        <v>0</v>
      </c>
      <c r="E504" s="128">
        <v>15</v>
      </c>
      <c r="F504" s="128" t="s">
        <v>5371</v>
      </c>
      <c r="G504" s="128">
        <v>0</v>
      </c>
      <c r="H504" s="206">
        <v>15</v>
      </c>
      <c r="I504" s="117" t="str">
        <f t="shared" si="102"/>
        <v>680 000</v>
      </c>
      <c r="J504" s="117">
        <f t="shared" si="103"/>
        <v>0</v>
      </c>
      <c r="K504" s="117">
        <f t="shared" si="104"/>
        <v>100000</v>
      </c>
      <c r="L504" s="117">
        <f t="shared" si="105"/>
        <v>10000</v>
      </c>
      <c r="M504" s="117">
        <f t="shared" si="106"/>
        <v>0</v>
      </c>
      <c r="N504" s="207">
        <f t="shared" si="107"/>
        <v>30000</v>
      </c>
      <c r="O504" s="208" t="s">
        <v>6221</v>
      </c>
      <c r="P504" s="186"/>
      <c r="Q504" s="186"/>
    </row>
    <row r="505" spans="1:17" ht="57.6" outlineLevel="2">
      <c r="A505" s="203" t="s">
        <v>6297</v>
      </c>
      <c r="B505" s="204" t="s">
        <v>6047</v>
      </c>
      <c r="C505" s="205" t="s">
        <v>6273</v>
      </c>
      <c r="D505" s="128">
        <v>30</v>
      </c>
      <c r="E505" s="128">
        <v>15</v>
      </c>
      <c r="F505" s="128" t="s">
        <v>5371</v>
      </c>
      <c r="G505" s="128">
        <v>0</v>
      </c>
      <c r="H505" s="206">
        <v>15</v>
      </c>
      <c r="I505" s="117" t="str">
        <f t="shared" si="102"/>
        <v>680 000</v>
      </c>
      <c r="J505" s="117">
        <f t="shared" si="103"/>
        <v>70000</v>
      </c>
      <c r="K505" s="117">
        <f t="shared" si="104"/>
        <v>100000</v>
      </c>
      <c r="L505" s="117">
        <f t="shared" si="105"/>
        <v>10000</v>
      </c>
      <c r="M505" s="117">
        <f t="shared" si="106"/>
        <v>0</v>
      </c>
      <c r="N505" s="207">
        <f t="shared" si="107"/>
        <v>30000</v>
      </c>
      <c r="O505" s="208" t="s">
        <v>6298</v>
      </c>
      <c r="P505" s="186"/>
      <c r="Q505" s="186"/>
    </row>
    <row r="506" spans="1:17" ht="72" outlineLevel="2">
      <c r="A506" s="203" t="s">
        <v>6299</v>
      </c>
      <c r="B506" s="204" t="s">
        <v>6300</v>
      </c>
      <c r="C506" s="205" t="s">
        <v>6273</v>
      </c>
      <c r="D506" s="128">
        <v>30</v>
      </c>
      <c r="E506" s="128">
        <v>13</v>
      </c>
      <c r="F506" s="128">
        <v>0</v>
      </c>
      <c r="G506" s="128">
        <v>150</v>
      </c>
      <c r="H506" s="206">
        <v>13</v>
      </c>
      <c r="I506" s="117" t="str">
        <f t="shared" si="102"/>
        <v>680 000</v>
      </c>
      <c r="J506" s="117">
        <f t="shared" si="103"/>
        <v>70000</v>
      </c>
      <c r="K506" s="117">
        <f t="shared" si="104"/>
        <v>60000</v>
      </c>
      <c r="L506" s="117">
        <f t="shared" si="105"/>
        <v>0</v>
      </c>
      <c r="M506" s="117">
        <f t="shared" si="106"/>
        <v>160000</v>
      </c>
      <c r="N506" s="207">
        <f t="shared" si="107"/>
        <v>0</v>
      </c>
      <c r="O506" s="208" t="s">
        <v>6301</v>
      </c>
      <c r="P506" s="186"/>
      <c r="Q506" s="186"/>
    </row>
    <row r="507" spans="1:17" ht="72" outlineLevel="2">
      <c r="A507" s="203" t="s">
        <v>6302</v>
      </c>
      <c r="B507" s="204" t="s">
        <v>6055</v>
      </c>
      <c r="C507" s="205" t="s">
        <v>6273</v>
      </c>
      <c r="D507" s="128">
        <v>30</v>
      </c>
      <c r="E507" s="128">
        <v>15</v>
      </c>
      <c r="F507" s="128">
        <v>0</v>
      </c>
      <c r="G507" s="128">
        <v>150</v>
      </c>
      <c r="H507" s="206">
        <v>15</v>
      </c>
      <c r="I507" s="117" t="str">
        <f t="shared" si="102"/>
        <v>680 000</v>
      </c>
      <c r="J507" s="117">
        <f t="shared" si="103"/>
        <v>70000</v>
      </c>
      <c r="K507" s="117">
        <f t="shared" si="104"/>
        <v>100000</v>
      </c>
      <c r="L507" s="117">
        <f t="shared" si="105"/>
        <v>0</v>
      </c>
      <c r="M507" s="117">
        <f t="shared" si="106"/>
        <v>160000</v>
      </c>
      <c r="N507" s="207">
        <f t="shared" si="107"/>
        <v>30000</v>
      </c>
      <c r="O507" s="208" t="s">
        <v>6303</v>
      </c>
      <c r="P507" s="186"/>
      <c r="Q507" s="186"/>
    </row>
    <row r="508" spans="1:17" ht="57.6" outlineLevel="2">
      <c r="A508" s="203" t="s">
        <v>6304</v>
      </c>
      <c r="B508" s="204" t="s">
        <v>6305</v>
      </c>
      <c r="C508" s="205" t="s">
        <v>6273</v>
      </c>
      <c r="D508" s="128">
        <v>30</v>
      </c>
      <c r="E508" s="128">
        <v>13</v>
      </c>
      <c r="F508" s="128" t="s">
        <v>5371</v>
      </c>
      <c r="G508" s="128">
        <v>150</v>
      </c>
      <c r="H508" s="206">
        <v>13</v>
      </c>
      <c r="I508" s="117" t="str">
        <f t="shared" si="102"/>
        <v>680 000</v>
      </c>
      <c r="J508" s="117">
        <f t="shared" si="103"/>
        <v>70000</v>
      </c>
      <c r="K508" s="117">
        <f t="shared" si="104"/>
        <v>60000</v>
      </c>
      <c r="L508" s="117">
        <f t="shared" si="105"/>
        <v>10000</v>
      </c>
      <c r="M508" s="117">
        <f t="shared" si="106"/>
        <v>160000</v>
      </c>
      <c r="N508" s="207">
        <f t="shared" si="107"/>
        <v>0</v>
      </c>
      <c r="O508" s="208" t="s">
        <v>6306</v>
      </c>
      <c r="P508" s="186"/>
      <c r="Q508" s="186"/>
    </row>
    <row r="509" spans="1:17" ht="57.6" outlineLevel="2">
      <c r="A509" s="203" t="s">
        <v>6307</v>
      </c>
      <c r="B509" s="204" t="s">
        <v>6063</v>
      </c>
      <c r="C509" s="205" t="s">
        <v>6273</v>
      </c>
      <c r="D509" s="128">
        <v>30</v>
      </c>
      <c r="E509" s="128">
        <v>15</v>
      </c>
      <c r="F509" s="128" t="s">
        <v>5371</v>
      </c>
      <c r="G509" s="128">
        <v>150</v>
      </c>
      <c r="H509" s="206">
        <v>15</v>
      </c>
      <c r="I509" s="117" t="str">
        <f t="shared" si="102"/>
        <v>680 000</v>
      </c>
      <c r="J509" s="117">
        <f t="shared" si="103"/>
        <v>70000</v>
      </c>
      <c r="K509" s="117">
        <f t="shared" si="104"/>
        <v>100000</v>
      </c>
      <c r="L509" s="117">
        <f t="shared" si="105"/>
        <v>10000</v>
      </c>
      <c r="M509" s="117">
        <f t="shared" si="106"/>
        <v>160000</v>
      </c>
      <c r="N509" s="207">
        <f t="shared" si="107"/>
        <v>30000</v>
      </c>
      <c r="O509" s="208" t="s">
        <v>6308</v>
      </c>
      <c r="P509" s="186"/>
      <c r="Q509" s="186"/>
    </row>
  </sheetData>
  <autoFilter ref="A1:Z509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15</vt:i4>
      </vt:variant>
      <vt:variant>
        <vt:lpstr>Именованные диапазоны</vt:lpstr>
      </vt:variant>
      <vt:variant>
        <vt:i4>31</vt:i4>
      </vt:variant>
    </vt:vector>
  </HeadingPairs>
  <TitlesOfParts>
    <vt:vector size="46" baseType="lpstr">
      <vt:lpstr>Реестр договоров</vt:lpstr>
      <vt:lpstr>Прицепы</vt:lpstr>
      <vt:lpstr>Сводная таблица ФЛ</vt:lpstr>
      <vt:lpstr>Шаблон Договора ФЛ</vt:lpstr>
      <vt:lpstr>юр лица</vt:lpstr>
      <vt:lpstr>заказы каспи магазин</vt:lpstr>
      <vt:lpstr>Покупатели</vt:lpstr>
      <vt:lpstr>наличие</vt:lpstr>
      <vt:lpstr>продажи</vt:lpstr>
      <vt:lpstr>Сводная таблица ЮЛ</vt:lpstr>
      <vt:lpstr>для артикула</vt:lpstr>
      <vt:lpstr>Ценообразование</vt:lpstr>
      <vt:lpstr>Виды прицепов</vt:lpstr>
      <vt:lpstr>ОТТС</vt:lpstr>
      <vt:lpstr>Матрица основная</vt:lpstr>
      <vt:lpstr>борт_2013</vt:lpstr>
      <vt:lpstr>борт_2513</vt:lpstr>
      <vt:lpstr>борт_2515</vt:lpstr>
      <vt:lpstr>борт_3015</vt:lpstr>
      <vt:lpstr>борт_3515</vt:lpstr>
      <vt:lpstr>борт_4015</vt:lpstr>
      <vt:lpstr>колесо</vt:lpstr>
      <vt:lpstr>Кузов_2013</vt:lpstr>
      <vt:lpstr>кузов_2513</vt:lpstr>
      <vt:lpstr>кузов_2515</vt:lpstr>
      <vt:lpstr>кузов_3015</vt:lpstr>
      <vt:lpstr>кузов_3515</vt:lpstr>
      <vt:lpstr>кузов_4015</vt:lpstr>
      <vt:lpstr>матрица</vt:lpstr>
      <vt:lpstr>опорное_колесо</vt:lpstr>
      <vt:lpstr>Платформа</vt:lpstr>
      <vt:lpstr>платформа2</vt:lpstr>
      <vt:lpstr>Покупатели</vt:lpstr>
      <vt:lpstr>ПРИЦЕПЫ</vt:lpstr>
      <vt:lpstr>Реестр_Договоров</vt:lpstr>
      <vt:lpstr>Св_табл_ЮЛ</vt:lpstr>
      <vt:lpstr>'Сводная таблица ЮЛ'!Сводная_таблица</vt:lpstr>
      <vt:lpstr>Сводная_таблица</vt:lpstr>
      <vt:lpstr>ступица</vt:lpstr>
      <vt:lpstr>тент_2013</vt:lpstr>
      <vt:lpstr>тент_2513</vt:lpstr>
      <vt:lpstr>тент_2515</vt:lpstr>
      <vt:lpstr>тент_3015</vt:lpstr>
      <vt:lpstr>тент_3515</vt:lpstr>
      <vt:lpstr>тент_4015</vt:lpstr>
      <vt:lpstr>Юр_лица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АДМИН</cp:lastModifiedBy>
  <dcterms:modified xsi:type="dcterms:W3CDTF">2025-12-09T05:05:15Z</dcterms:modified>
</cp:coreProperties>
</file>